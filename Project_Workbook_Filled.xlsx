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comments/comment7.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worksheets/sheet21.xml" ContentType="application/vnd.openxmlformats-officedocument.spreadsheetml.worksheet+xml"/>
  <Override PartName="/xl/comments/comment13.xml" ContentType="application/vnd.openxmlformats-officedocument.spreadsheetml.comments+xml"/>
  <Override PartName="/xl/worksheets/sheet22.xml" ContentType="application/vnd.openxmlformats-officedocument.spreadsheetml.worksheet+xml"/>
  <Override PartName="/xl/comments/comment14.xml" ContentType="application/vnd.openxmlformats-officedocument.spreadsheetml.comments+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comments/comment15.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16.xml" ContentType="application/vnd.openxmlformats-officedocument.spreadsheetml.comments+xml"/>
  <Override PartName="/xl/worksheets/sheet31.xml" ContentType="application/vnd.openxmlformats-officedocument.spreadsheetml.worksheet+xml"/>
  <Override PartName="/xl/comments/comment1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fo" sheetId="1" state="visible" r:id="rId1"/>
    <sheet xmlns:r="http://schemas.openxmlformats.org/officeDocument/2006/relationships" name="Data" sheetId="2" state="visible" r:id="rId2"/>
    <sheet xmlns:r="http://schemas.openxmlformats.org/officeDocument/2006/relationships" name="Minicharter" sheetId="3" state="visible" r:id="rId3"/>
    <sheet xmlns:r="http://schemas.openxmlformats.org/officeDocument/2006/relationships" name="Stoplight" sheetId="4" state="visible" r:id="rId4"/>
    <sheet xmlns:r="http://schemas.openxmlformats.org/officeDocument/2006/relationships" name="Budget" sheetId="5" state="visible" r:id="rId5"/>
    <sheet xmlns:r="http://schemas.openxmlformats.org/officeDocument/2006/relationships" name="CBA" sheetId="6" state="visible" r:id="rId6"/>
    <sheet xmlns:r="http://schemas.openxmlformats.org/officeDocument/2006/relationships" name="Risks" sheetId="7" state="visible" r:id="rId7"/>
    <sheet xmlns:r="http://schemas.openxmlformats.org/officeDocument/2006/relationships" name="Issues" sheetId="8" state="visible" r:id="rId8"/>
    <sheet xmlns:r="http://schemas.openxmlformats.org/officeDocument/2006/relationships" name="Action" sheetId="9" state="visible" r:id="rId9"/>
    <sheet xmlns:r="http://schemas.openxmlformats.org/officeDocument/2006/relationships" name="Miles" sheetId="10" state="visible" r:id="rId10"/>
    <sheet xmlns:r="http://schemas.openxmlformats.org/officeDocument/2006/relationships" name="WBS" sheetId="11" state="visible" r:id="rId11"/>
    <sheet xmlns:r="http://schemas.openxmlformats.org/officeDocument/2006/relationships" name="Roster" sheetId="12" state="visible" r:id="rId12"/>
    <sheet xmlns:r="http://schemas.openxmlformats.org/officeDocument/2006/relationships" name="R&amp;R" sheetId="13" state="visible" r:id="rId13"/>
    <sheet xmlns:r="http://schemas.openxmlformats.org/officeDocument/2006/relationships" name="RAM" sheetId="14" state="visible" r:id="rId14"/>
    <sheet xmlns:r="http://schemas.openxmlformats.org/officeDocument/2006/relationships" name="RCM" sheetId="15" state="visible" r:id="rId15"/>
    <sheet xmlns:r="http://schemas.openxmlformats.org/officeDocument/2006/relationships" name="A&amp;C" sheetId="16" state="visible" r:id="rId16"/>
    <sheet xmlns:r="http://schemas.openxmlformats.org/officeDocument/2006/relationships" name="Decision" sheetId="17" state="visible" r:id="rId17"/>
    <sheet xmlns:r="http://schemas.openxmlformats.org/officeDocument/2006/relationships" name="Comm" sheetId="18" state="visible" r:id="rId18"/>
    <sheet xmlns:r="http://schemas.openxmlformats.org/officeDocument/2006/relationships" name="Stake" sheetId="19" state="visible" r:id="rId19"/>
    <sheet xmlns:r="http://schemas.openxmlformats.org/officeDocument/2006/relationships" name="Expectations" sheetId="20" state="visible" r:id="rId20"/>
    <sheet xmlns:r="http://schemas.openxmlformats.org/officeDocument/2006/relationships" name="Chg Log" sheetId="21" state="visible" r:id="rId21"/>
    <sheet xmlns:r="http://schemas.openxmlformats.org/officeDocument/2006/relationships" name="Deliver" sheetId="22" state="visible" r:id="rId22"/>
    <sheet xmlns:r="http://schemas.openxmlformats.org/officeDocument/2006/relationships" name="PERT" sheetId="23" state="visible" r:id="rId23"/>
    <sheet xmlns:r="http://schemas.openxmlformats.org/officeDocument/2006/relationships" name="Delphi" sheetId="24" state="visible" r:id="rId24"/>
    <sheet xmlns:r="http://schemas.openxmlformats.org/officeDocument/2006/relationships" name="TimeSum" sheetId="25" state="visible" r:id="rId25"/>
    <sheet xmlns:r="http://schemas.openxmlformats.org/officeDocument/2006/relationships" name="Timesheet" sheetId="26" state="visible" r:id="rId26"/>
    <sheet xmlns:r="http://schemas.openxmlformats.org/officeDocument/2006/relationships" name="Size Est" sheetId="27" state="visible" r:id="rId27"/>
    <sheet xmlns:r="http://schemas.openxmlformats.org/officeDocument/2006/relationships" name="Res Load" sheetId="28" state="visible" r:id="rId28"/>
    <sheet xmlns:r="http://schemas.openxmlformats.org/officeDocument/2006/relationships" name="Qual Metrics" sheetId="29" state="visible" r:id="rId29"/>
    <sheet xmlns:r="http://schemas.openxmlformats.org/officeDocument/2006/relationships" name="Project Register" sheetId="30" state="visible" r:id="rId30"/>
    <sheet xmlns:r="http://schemas.openxmlformats.org/officeDocument/2006/relationships" name="Portfolio Review" sheetId="31" state="visible" r:id="rId31"/>
  </sheets>
  <definedNames>
    <definedName name="_xlnm.Print_Titles" localSheetId="0">'Info'!$1:$1</definedName>
    <definedName name="_xlnm.Print_Titles" localSheetId="2">'Minicharter'!$1:$1</definedName>
    <definedName name="_xlnm.Print_Titles" localSheetId="3">'Stoplight'!$1:$1</definedName>
    <definedName name="_ftn1" localSheetId="4" hidden="0" function="0" vbProcedure="0">#REF!</definedName>
    <definedName name="_ftnref1" localSheetId="4" hidden="0" function="0" vbProcedure="0">#REF!</definedName>
    <definedName name="_xlnm.Print_Titles" localSheetId="4">'Budget'!$1:$1</definedName>
    <definedName name="_ftn1" localSheetId="5" hidden="0" function="0" vbProcedure="0">#REF!</definedName>
    <definedName name="_ftnref1" localSheetId="5" hidden="0" function="0" vbProcedure="0">#REF!</definedName>
    <definedName name="_xlnm.Print_Titles" localSheetId="5">'CBA'!$1:$1</definedName>
    <definedName name="_xlnm.Print_Titles" localSheetId="6">'Risks'!$1:$1</definedName>
    <definedName name="_xlnm.Print_Titles" localSheetId="7">'Issues'!$1:$1</definedName>
    <definedName name="_xlnm.Print_Titles" localSheetId="8">'Action'!$1:$1</definedName>
    <definedName name="_xlnm.Print_Titles" localSheetId="9">'Miles'!$1:$1</definedName>
    <definedName name="_xlnm.Print_Titles" localSheetId="10">'WBS'!$1:$1</definedName>
    <definedName name="_xlnm.Print_Titles" localSheetId="11">'Roster'!$6:$6</definedName>
    <definedName name="_xlnm.Print_Titles" localSheetId="12">'R&amp;R'!$1:$1</definedName>
    <definedName name="_xlnm.Print_Titles" localSheetId="14">'RCM'!$1:$1</definedName>
    <definedName name="_xlnm.Print_Titles" localSheetId="15">'A&amp;C'!$1:$1</definedName>
    <definedName name="_xlnm.Print_Area" localSheetId="15">'A&amp;C'!$A$1:$F$22</definedName>
    <definedName name="_xlnm.Print_Titles" localSheetId="16">'Decision'!$1:$1</definedName>
    <definedName name="_xlnm.Print_Titles" localSheetId="17">'Comm'!$1:$1</definedName>
    <definedName name="_xlnm.Print_Titles" localSheetId="18">'Stake'!$1:$1</definedName>
    <definedName name="_xlnm.Print_Titles" localSheetId="19">'Expectations'!$1:$1</definedName>
    <definedName name="_xlnm.Print_Titles" localSheetId="20">'Chg Log'!$1:$1</definedName>
    <definedName name="_xlnm.Print_Titles" localSheetId="21">'Deliver'!$1:$1</definedName>
    <definedName name="_xlnm.Print_Titles" localSheetId="22">'PERT'!$1:$1</definedName>
    <definedName name="_xlnm.Print_Titles" localSheetId="23">'Delphi'!$1:$1</definedName>
    <definedName name="_xlnm.Print_Titles" localSheetId="24">'TimeSum'!$1:$1</definedName>
    <definedName name="_xlnm.Print_Titles" localSheetId="25">'Timesheet'!$1:$1</definedName>
    <definedName name="_xlnm.Print_Titles" localSheetId="26">'Size Est'!$1:$1</definedName>
    <definedName name="_xlnm.Print_Titles" localSheetId="27">'Res Load'!$6:$7</definedName>
    <definedName name="_xlnm.Print_Area" localSheetId="30">'Portfolio Review'!$A$1:$L$29</definedName>
  </definedNames>
  <calcPr calcId="124519" fullCalcOnLoad="1" refMode="A1" iterate="0" iterateCount="100" iterateDelta="0.001"/>
</workbook>
</file>

<file path=xl/styles.xml><?xml version="1.0" encoding="utf-8"?>
<styleSheet xmlns="http://schemas.openxmlformats.org/spreadsheetml/2006/main">
  <numFmts count="6">
    <numFmt numFmtId="164" formatCode="mm/dd/yy"/>
    <numFmt numFmtId="165" formatCode="\$#,##0.00"/>
    <numFmt numFmtId="166" formatCode="[$-409]m/d/yyyy"/>
    <numFmt numFmtId="167" formatCode="[$-409]d\-mmm"/>
    <numFmt numFmtId="168" formatCode="[$-409]mmm\-yy"/>
    <numFmt numFmtId="169" formatCode="0.0"/>
  </numFmts>
  <fonts count="23">
    <font>
      <name val="Arial"/>
      <family val="0"/>
      <sz val="10"/>
    </font>
    <font>
      <name val="Arial"/>
      <family val="0"/>
      <sz val="10"/>
    </font>
    <font>
      <name val="Arial"/>
      <family val="0"/>
      <sz val="10"/>
    </font>
    <font>
      <name val="Arial"/>
      <family val="0"/>
      <sz val="10"/>
    </font>
    <font>
      <name val="Arial"/>
      <family val="2"/>
      <b val="1"/>
      <color rgb="FFFFFFFF"/>
      <sz val="12"/>
    </font>
    <font>
      <name val="Times New Roman"/>
      <family val="1"/>
      <sz val="10"/>
    </font>
    <font>
      <name val="Arial"/>
      <family val="2"/>
      <b val="1"/>
      <color rgb="FFFFFFFF"/>
      <sz val="10"/>
    </font>
    <font>
      <name val="Arial"/>
      <family val="2"/>
      <b val="1"/>
      <sz val="9"/>
    </font>
    <font>
      <name val="Times New Roman"/>
      <family val="1"/>
      <i val="1"/>
      <sz val="10"/>
    </font>
    <font>
      <name val="Arial"/>
      <family val="2"/>
      <color rgb="FF969696"/>
      <sz val="8"/>
    </font>
    <font>
      <name val="Times New Roman"/>
      <family val="1"/>
      <sz val="9"/>
    </font>
    <font>
      <name val="Arial"/>
      <family val="2"/>
      <sz val="9"/>
    </font>
    <font>
      <name val="Times New Roman"/>
      <family val="1"/>
      <b val="1"/>
      <sz val="10"/>
    </font>
    <font>
      <name val="Tahoma"/>
      <family val="0"/>
      <color rgb="FF000000"/>
      <sz val="8"/>
    </font>
    <font>
      <name val="Tahoma"/>
      <family val="2"/>
      <b val="1"/>
      <color rgb="FF000000"/>
      <sz val="8"/>
    </font>
    <font>
      <name val="Tahoma"/>
      <family val="2"/>
      <color rgb="FF000000"/>
      <sz val="8"/>
    </font>
    <font>
      <name val="Arial"/>
      <family val="2"/>
      <b val="1"/>
      <color rgb="FFFFFFFF"/>
      <sz val="9"/>
    </font>
    <font>
      <name val="Times New Roman"/>
      <family val="1"/>
      <b val="1"/>
      <color rgb="FFFFFFFF"/>
      <sz val="10"/>
    </font>
    <font>
      <name val="Arial"/>
      <family val="0"/>
      <b val="1"/>
      <sz val="8"/>
    </font>
    <font>
      <name val="Microsoft Sans Serif"/>
      <family val="2"/>
      <sz val="9"/>
    </font>
    <font>
      <name val="Times New Roman"/>
      <family val="1"/>
      <color rgb="FF000000"/>
      <sz val="8"/>
    </font>
    <font>
      <name val="Arial"/>
      <family val="2"/>
      <b val="1"/>
      <sz val="10"/>
    </font>
    <font>
      <name val="Tahoma"/>
      <family val="0"/>
      <b val="1"/>
      <color rgb="FF000000"/>
      <sz val="8"/>
    </font>
  </fonts>
  <fills count="8">
    <fill>
      <patternFill/>
    </fill>
    <fill>
      <patternFill patternType="gray125"/>
    </fill>
    <fill>
      <patternFill patternType="solid">
        <fgColor rgb="FF333399"/>
        <bgColor rgb="FF003366"/>
      </patternFill>
    </fill>
    <fill>
      <patternFill patternType="solid">
        <fgColor rgb="FFFFFFCC"/>
        <bgColor rgb="FFFFFFFF"/>
      </patternFill>
    </fill>
    <fill>
      <patternFill patternType="solid">
        <fgColor rgb="FF008000"/>
        <bgColor rgb="FF008080"/>
      </patternFill>
    </fill>
    <fill>
      <patternFill patternType="solid">
        <fgColor rgb="FFFFFF00"/>
        <bgColor rgb="FFFFFF00"/>
      </patternFill>
    </fill>
    <fill>
      <patternFill patternType="solid">
        <fgColor rgb="FFFF0000"/>
        <bgColor rgb="FF993300"/>
      </patternFill>
    </fill>
    <fill>
      <patternFill patternType="solid">
        <fgColor rgb="FFC0C0C0"/>
        <bgColor rgb="FFCCCCFF"/>
      </patternFill>
    </fill>
  </fills>
  <borders count="15">
    <border>
      <left/>
      <right/>
      <top/>
      <bottom/>
      <diagonal/>
    </border>
    <border>
      <left/>
      <right style="thin"/>
      <top/>
      <bottom/>
      <diagonal/>
    </border>
    <border>
      <left/>
      <right style="thin"/>
      <top/>
      <bottom style="thin"/>
      <diagonal/>
    </border>
    <border>
      <left style="thin"/>
      <right style="thin"/>
      <top style="thin"/>
      <bottom style="thin"/>
      <diagonal/>
    </border>
    <border>
      <left style="thin"/>
      <right style="thin"/>
      <top style="thin"/>
      <bottom/>
      <diagonal/>
    </border>
    <border>
      <left style="thin"/>
      <right style="thin"/>
      <top/>
      <bottom style="thin"/>
      <diagonal/>
    </border>
    <border>
      <left/>
      <right/>
      <top style="thin"/>
      <bottom style="thin"/>
      <diagonal/>
    </border>
    <border>
      <left/>
      <right/>
      <top style="thin"/>
      <bottom/>
      <diagonal/>
    </border>
    <border>
      <left/>
      <right/>
      <top/>
      <bottom style="thin"/>
      <diagonal/>
    </border>
    <border>
      <left style="thin"/>
      <right/>
      <top/>
      <bottom/>
      <diagonal/>
    </border>
    <border>
      <left/>
      <right style="thin"/>
      <top style="thin"/>
      <bottom style="thin"/>
      <diagonal/>
    </border>
    <border>
      <left style="thin"/>
      <right/>
      <top/>
      <bottom style="thin"/>
      <diagonal/>
    </border>
    <border>
      <left style="thin"/>
      <right/>
      <top style="thin"/>
      <bottom style="thin"/>
      <diagonal/>
    </border>
    <border>
      <left style="thin"/>
      <right style="thin"/>
      <top/>
      <bottom/>
      <diagonal/>
    </border>
    <border>
      <left/>
      <right style="thin"/>
      <top style="thin"/>
      <bottom/>
      <diagonal/>
    </border>
  </borders>
  <cellStyleXfs count="6">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54">
    <xf numFmtId="0" fontId="0" fillId="0" borderId="0" applyAlignment="1" pivotButton="0" quotePrefix="0" xfId="0">
      <alignment horizontal="general" vertical="bottom"/>
    </xf>
    <xf numFmtId="0" fontId="4" fillId="2" borderId="1" applyAlignment="1" pivotButton="0" quotePrefix="0" xfId="0">
      <alignment horizontal="center" vertical="bottom"/>
    </xf>
    <xf numFmtId="0" fontId="0" fillId="3" borderId="0" applyAlignment="1" pivotButton="0" quotePrefix="0" xfId="0">
      <alignment horizontal="general" vertical="bottom"/>
    </xf>
    <xf numFmtId="0" fontId="0" fillId="3" borderId="1" applyAlignment="1" pivotButton="0" quotePrefix="0" xfId="0">
      <alignment horizontal="general" vertical="bottom"/>
    </xf>
    <xf numFmtId="0" fontId="5" fillId="3" borderId="1" applyAlignment="1" pivotButton="0" quotePrefix="0" xfId="0">
      <alignment horizontal="general" vertical="bottom" wrapText="1"/>
    </xf>
    <xf numFmtId="0" fontId="5" fillId="3" borderId="0" applyAlignment="1" pivotButton="0" quotePrefix="0" xfId="0">
      <alignment horizontal="general" vertical="bottom" wrapText="1"/>
    </xf>
    <xf numFmtId="0" fontId="6" fillId="2" borderId="2" applyAlignment="1" pivotButton="0" quotePrefix="0" xfId="0">
      <alignment horizontal="center" vertical="bottom"/>
    </xf>
    <xf numFmtId="0" fontId="7" fillId="3" borderId="3" applyAlignment="1" pivotButton="0" quotePrefix="0" xfId="0">
      <alignment horizontal="general" vertical="bottom" wrapText="1"/>
    </xf>
    <xf numFmtId="0" fontId="5" fillId="0" borderId="3" applyAlignment="1" pivotButton="0" quotePrefix="0" xfId="0">
      <alignment horizontal="general" vertical="bottom" wrapText="1"/>
    </xf>
    <xf numFmtId="0" fontId="5" fillId="0" borderId="3" applyAlignment="1" pivotButton="0" quotePrefix="0" xfId="0">
      <alignment horizontal="general" vertical="bottom"/>
    </xf>
    <xf numFmtId="0" fontId="9" fillId="0" borderId="0" applyAlignment="1" pivotButton="0" quotePrefix="0" xfId="0">
      <alignment horizontal="right" vertical="bottom"/>
    </xf>
    <xf numFmtId="0" fontId="10" fillId="0" borderId="0" applyAlignment="1" pivotButton="0" quotePrefix="0" xfId="0">
      <alignment horizontal="general" vertical="bottom"/>
    </xf>
    <xf numFmtId="0" fontId="5" fillId="0" borderId="0" applyAlignment="1" pivotButton="0" quotePrefix="0" xfId="0">
      <alignment horizontal="general" vertical="bottom"/>
    </xf>
    <xf numFmtId="0" fontId="7" fillId="3" borderId="0" applyAlignment="1" pivotButton="0" quotePrefix="0" xfId="0">
      <alignment horizontal="general" vertical="bottom"/>
    </xf>
    <xf numFmtId="0" fontId="11" fillId="0" borderId="0" applyAlignment="1" pivotButton="0" quotePrefix="0" xfId="0">
      <alignment horizontal="general" vertical="bottom"/>
    </xf>
    <xf numFmtId="0" fontId="4" fillId="2" borderId="0" applyAlignment="1" pivotButton="0" quotePrefix="0" xfId="0">
      <alignment horizontal="center" vertical="bottom"/>
    </xf>
    <xf numFmtId="0" fontId="7" fillId="3" borderId="3" applyAlignment="1" pivotButton="0" quotePrefix="0" xfId="0">
      <alignment horizontal="general" vertical="bottom"/>
    </xf>
    <xf numFmtId="0" fontId="5" fillId="3" borderId="3" applyAlignment="1" pivotButton="0" quotePrefix="0" xfId="0">
      <alignment horizontal="general" vertical="bottom"/>
    </xf>
    <xf numFmtId="0" fontId="5" fillId="3" borderId="3" applyAlignment="1" pivotButton="0" quotePrefix="0" xfId="0">
      <alignment horizontal="general" vertical="bottom"/>
    </xf>
    <xf numFmtId="0" fontId="7" fillId="3" borderId="3" applyAlignment="1" pivotButton="0" quotePrefix="0" xfId="0">
      <alignment horizontal="general" vertical="top"/>
    </xf>
    <xf numFmtId="0" fontId="5" fillId="0" borderId="2" applyAlignment="1" pivotButton="0" quotePrefix="0" xfId="0">
      <alignment horizontal="general" vertical="bottom" wrapText="1"/>
    </xf>
    <xf numFmtId="0" fontId="7" fillId="3" borderId="3" applyAlignment="1" pivotButton="0" quotePrefix="0" xfId="0">
      <alignment horizontal="general" vertical="top" wrapText="1"/>
    </xf>
    <xf numFmtId="0" fontId="12" fillId="0" borderId="3" applyAlignment="1" pivotButton="0" quotePrefix="0" xfId="0">
      <alignment horizontal="general" vertical="bottom"/>
    </xf>
    <xf numFmtId="0" fontId="12" fillId="0" borderId="3" applyAlignment="1" pivotButton="0" quotePrefix="0" xfId="0">
      <alignment horizontal="general" vertical="bottom" wrapText="1"/>
    </xf>
    <xf numFmtId="0" fontId="7" fillId="3" borderId="3" applyAlignment="1" pivotButton="0" quotePrefix="0" xfId="0">
      <alignment horizontal="right" vertical="bottom"/>
    </xf>
    <xf numFmtId="0" fontId="5" fillId="0" borderId="3" applyAlignment="1" pivotButton="0" quotePrefix="0" xfId="0">
      <alignment horizontal="general" vertical="bottom"/>
    </xf>
    <xf numFmtId="0" fontId="7" fillId="3" borderId="3" applyAlignment="1" pivotButton="0" quotePrefix="0" xfId="0">
      <alignment horizontal="center" vertical="bottom"/>
    </xf>
    <xf numFmtId="0" fontId="7" fillId="0" borderId="3" applyAlignment="1" pivotButton="0" quotePrefix="0" xfId="0">
      <alignment horizontal="right" vertical="bottom"/>
    </xf>
    <xf numFmtId="0" fontId="0" fillId="0" borderId="3" applyAlignment="1" pivotButton="0" quotePrefix="0" xfId="0">
      <alignment horizontal="general" vertical="bottom"/>
    </xf>
    <xf numFmtId="0" fontId="5" fillId="0" borderId="3" applyAlignment="1" pivotButton="0" quotePrefix="0" xfId="0">
      <alignment horizontal="left" vertical="bottom"/>
    </xf>
    <xf numFmtId="0" fontId="7" fillId="3" borderId="4" applyAlignment="1" pivotButton="0" quotePrefix="0" xfId="0">
      <alignment horizontal="general" vertical="bottom"/>
    </xf>
    <xf numFmtId="0" fontId="7" fillId="3" borderId="5" applyAlignment="1" pivotButton="0" quotePrefix="0" xfId="0">
      <alignment horizontal="right" vertical="top"/>
    </xf>
    <xf numFmtId="0" fontId="5" fillId="0" borderId="3" applyAlignment="1" pivotButton="0" quotePrefix="0" xfId="0">
      <alignment horizontal="left" vertical="bottom"/>
    </xf>
    <xf numFmtId="0" fontId="7" fillId="3" borderId="3" applyAlignment="1" pivotButton="0" quotePrefix="0" xfId="0">
      <alignment horizontal="right" vertical="top" wrapText="1"/>
    </xf>
    <xf numFmtId="0" fontId="7" fillId="0" borderId="6" applyAlignment="1" pivotButton="0" quotePrefix="0" xfId="0">
      <alignment horizontal="general" vertical="bottom"/>
    </xf>
    <xf numFmtId="0" fontId="0" fillId="0" borderId="0" applyAlignment="1" pivotButton="0" quotePrefix="0" xfId="0">
      <alignment horizontal="general" vertical="bottom"/>
    </xf>
    <xf numFmtId="164" fontId="5" fillId="4" borderId="3" applyAlignment="1" pivotButton="0" quotePrefix="0" xfId="0">
      <alignment horizontal="general" vertical="bottom" wrapText="1"/>
    </xf>
    <xf numFmtId="164" fontId="5" fillId="0" borderId="3" applyAlignment="1" pivotButton="0" quotePrefix="0" xfId="0">
      <alignment horizontal="general" vertical="bottom" wrapText="1"/>
    </xf>
    <xf numFmtId="164" fontId="5" fillId="0" borderId="3" applyAlignment="1" pivotButton="0" quotePrefix="0" xfId="0">
      <alignment horizontal="general" vertical="bottom" wrapText="1"/>
    </xf>
    <xf numFmtId="164" fontId="5" fillId="5" borderId="3" applyAlignment="1" pivotButton="0" quotePrefix="0" xfId="0">
      <alignment horizontal="general" vertical="bottom" wrapText="1"/>
    </xf>
    <xf numFmtId="164" fontId="5" fillId="6" borderId="3" applyAlignment="1" pivotButton="0" quotePrefix="0" xfId="0">
      <alignment horizontal="general" vertical="bottom" wrapText="1"/>
    </xf>
    <xf numFmtId="164" fontId="0" fillId="0" borderId="3" applyAlignment="1" pivotButton="0" quotePrefix="0" xfId="0">
      <alignment horizontal="general" vertical="bottom"/>
    </xf>
    <xf numFmtId="0" fontId="11" fillId="0" borderId="6" applyAlignment="1" pivotButton="0" quotePrefix="0" xfId="0">
      <alignment horizontal="general" vertical="bottom"/>
    </xf>
    <xf numFmtId="0" fontId="6" fillId="6" borderId="3" applyAlignment="1" pivotButton="0" quotePrefix="0" xfId="0">
      <alignment horizontal="center" vertical="bottom"/>
    </xf>
    <xf numFmtId="0" fontId="16" fillId="6" borderId="3" applyAlignment="1" pivotButton="0" quotePrefix="0" xfId="0">
      <alignment horizontal="center" vertical="top" wrapText="1"/>
    </xf>
    <xf numFmtId="0" fontId="5" fillId="0" borderId="3" applyAlignment="1" pivotButton="0" quotePrefix="0" xfId="0">
      <alignment horizontal="general" vertical="top" wrapText="1"/>
    </xf>
    <xf numFmtId="0" fontId="11" fillId="0" borderId="7" applyAlignment="1" pivotButton="0" quotePrefix="0" xfId="0">
      <alignment horizontal="general" vertical="bottom"/>
    </xf>
    <xf numFmtId="0" fontId="6" fillId="2" borderId="3" applyAlignment="1" pivotButton="0" quotePrefix="0" xfId="0">
      <alignment horizontal="center" vertical="bottom"/>
    </xf>
    <xf numFmtId="0" fontId="16" fillId="2" borderId="3" applyAlignment="1" pivotButton="0" quotePrefix="0" xfId="0">
      <alignment horizontal="center" vertical="bottom" wrapText="1"/>
    </xf>
    <xf numFmtId="0" fontId="7" fillId="3" borderId="3" applyAlignment="1" pivotButton="0" quotePrefix="0" xfId="0">
      <alignment horizontal="general" vertical="bottom"/>
    </xf>
    <xf numFmtId="0" fontId="9" fillId="0" borderId="0" applyAlignment="1" pivotButton="0" quotePrefix="0" xfId="0">
      <alignment horizontal="right" vertical="bottom"/>
    </xf>
    <xf numFmtId="0" fontId="4" fillId="2" borderId="3" applyAlignment="1" pivotButton="0" quotePrefix="0" xfId="0">
      <alignment horizontal="center" vertical="bottom"/>
    </xf>
    <xf numFmtId="0" fontId="0" fillId="0" borderId="8" applyAlignment="1" pivotButton="0" quotePrefix="0" xfId="0">
      <alignment horizontal="general" vertical="bottom"/>
    </xf>
    <xf numFmtId="0" fontId="6" fillId="2" borderId="9" applyAlignment="1" pivotButton="0" quotePrefix="0" xfId="0">
      <alignment horizontal="center" vertical="bottom"/>
    </xf>
    <xf numFmtId="0" fontId="7" fillId="3" borderId="3" applyAlignment="1" pivotButton="0" quotePrefix="0" xfId="0">
      <alignment horizontal="center" vertical="top" wrapText="1"/>
    </xf>
    <xf numFmtId="165" fontId="5" fillId="0" borderId="3" applyAlignment="1" pivotButton="0" quotePrefix="0" xfId="0">
      <alignment horizontal="center" vertical="bottom"/>
    </xf>
    <xf numFmtId="165" fontId="5" fillId="0" borderId="3" applyAlignment="1" pivotButton="0" quotePrefix="0" xfId="0">
      <alignment horizontal="center" vertical="bottom"/>
    </xf>
    <xf numFmtId="165" fontId="5" fillId="0" borderId="3" applyAlignment="1" pivotButton="0" quotePrefix="0" xfId="0">
      <alignment horizontal="center" vertical="bottom" wrapText="1"/>
    </xf>
    <xf numFmtId="0" fontId="11" fillId="3" borderId="10" applyAlignment="1" pivotButton="0" quotePrefix="0" xfId="0">
      <alignment horizontal="general" vertical="bottom"/>
    </xf>
    <xf numFmtId="0" fontId="16" fillId="6" borderId="2" applyAlignment="1" pivotButton="0" quotePrefix="0" xfId="0">
      <alignment horizontal="general" vertical="top" wrapText="1"/>
    </xf>
    <xf numFmtId="165" fontId="12" fillId="0" borderId="3" applyAlignment="1" pivotButton="0" quotePrefix="0" xfId="0">
      <alignment horizontal="left" vertical="bottom"/>
    </xf>
    <xf numFmtId="0" fontId="6" fillId="2" borderId="9" applyAlignment="1" pivotButton="0" quotePrefix="0" xfId="0">
      <alignment horizontal="center" vertical="top" wrapText="1"/>
    </xf>
    <xf numFmtId="0" fontId="16" fillId="2" borderId="11" applyAlignment="1" pivotButton="0" quotePrefix="0" xfId="0">
      <alignment horizontal="general" vertical="bottom"/>
    </xf>
    <xf numFmtId="0" fontId="7" fillId="3" borderId="3" applyAlignment="1" pivotButton="0" quotePrefix="0" xfId="0">
      <alignment horizontal="left" vertical="bottom" indent="2"/>
    </xf>
    <xf numFmtId="0" fontId="0" fillId="3" borderId="3" applyAlignment="1" pivotButton="0" quotePrefix="0" xfId="0">
      <alignment horizontal="general" vertical="bottom"/>
    </xf>
    <xf numFmtId="0" fontId="8" fillId="0" borderId="3" applyAlignment="1" pivotButton="0" quotePrefix="0" xfId="0">
      <alignment horizontal="left" vertical="bottom" indent="4"/>
    </xf>
    <xf numFmtId="2" fontId="5" fillId="0" borderId="3" applyAlignment="1" pivotButton="0" quotePrefix="0" xfId="0">
      <alignment horizontal="center" vertical="bottom"/>
    </xf>
    <xf numFmtId="0" fontId="5" fillId="0" borderId="3" applyAlignment="1" pivotButton="0" quotePrefix="0" xfId="0">
      <alignment horizontal="left" vertical="bottom" indent="4"/>
    </xf>
    <xf numFmtId="0" fontId="7" fillId="3" borderId="3" applyAlignment="1" pivotButton="0" quotePrefix="0" xfId="0">
      <alignment horizontal="left" vertical="bottom" indent="1"/>
    </xf>
    <xf numFmtId="165" fontId="12" fillId="3" borderId="3" applyAlignment="1" pivotButton="0" quotePrefix="0" xfId="0">
      <alignment horizontal="center" vertical="bottom"/>
    </xf>
    <xf numFmtId="0" fontId="16" fillId="2" borderId="12" applyAlignment="1" pivotButton="0" quotePrefix="0" xfId="0">
      <alignment horizontal="general" vertical="bottom"/>
    </xf>
    <xf numFmtId="0" fontId="0" fillId="2" borderId="6" applyAlignment="1" pivotButton="0" quotePrefix="0" xfId="0">
      <alignment horizontal="general" vertical="bottom"/>
    </xf>
    <xf numFmtId="0" fontId="5" fillId="0" borderId="3" applyAlignment="1" pivotButton="0" quotePrefix="0" xfId="0">
      <alignment horizontal="left" vertical="bottom" indent="5"/>
    </xf>
    <xf numFmtId="0" fontId="6" fillId="2" borderId="7" applyAlignment="1" pivotButton="0" quotePrefix="0" xfId="0">
      <alignment horizontal="general" vertical="bottom"/>
    </xf>
    <xf numFmtId="165" fontId="17" fillId="2" borderId="3" applyAlignment="1" pivotButton="0" quotePrefix="0" xfId="0">
      <alignment horizontal="center" vertical="bottom"/>
    </xf>
    <xf numFmtId="0" fontId="0" fillId="0" borderId="0" applyAlignment="1" pivotButton="0" quotePrefix="0" xfId="0">
      <alignment horizontal="general" vertical="bottom"/>
    </xf>
    <xf numFmtId="0" fontId="7" fillId="3" borderId="3" applyAlignment="1" pivotButton="0" quotePrefix="0" xfId="0">
      <alignment horizontal="left" vertical="bottom"/>
    </xf>
    <xf numFmtId="165" fontId="5" fillId="3" borderId="3" applyAlignment="1" pivotButton="0" quotePrefix="0" xfId="0">
      <alignment horizontal="center" vertical="bottom"/>
    </xf>
    <xf numFmtId="0" fontId="7" fillId="0" borderId="0" applyAlignment="1" pivotButton="0" quotePrefix="0" xfId="0">
      <alignment horizontal="left" vertical="bottom"/>
    </xf>
    <xf numFmtId="165" fontId="5" fillId="0" borderId="0" applyAlignment="1" pivotButton="0" quotePrefix="0" xfId="0">
      <alignment horizontal="center" vertical="bottom"/>
    </xf>
    <xf numFmtId="0" fontId="7" fillId="3" borderId="12" applyAlignment="1" pivotButton="0" quotePrefix="0" xfId="0">
      <alignment horizontal="center" vertical="bottom"/>
    </xf>
    <xf numFmtId="165" fontId="5" fillId="0" borderId="10" applyAlignment="1" pivotButton="0" quotePrefix="0" xfId="0">
      <alignment horizontal="center" vertical="bottom"/>
    </xf>
    <xf numFmtId="0" fontId="5" fillId="0" borderId="3" applyAlignment="1" pivotButton="0" quotePrefix="0" xfId="0">
      <alignment horizontal="center" vertical="bottom"/>
    </xf>
    <xf numFmtId="4" fontId="5" fillId="0" borderId="3" applyAlignment="1" pivotButton="0" quotePrefix="0" xfId="0">
      <alignment horizontal="center" vertical="bottom"/>
    </xf>
    <xf numFmtId="3" fontId="5" fillId="0" borderId="3" applyAlignment="1" pivotButton="0" quotePrefix="0" xfId="0">
      <alignment horizontal="center" vertical="bottom"/>
    </xf>
    <xf numFmtId="3" fontId="5" fillId="0" borderId="3" applyAlignment="1" pivotButton="0" quotePrefix="0" xfId="0">
      <alignment horizontal="center" vertical="bottom"/>
    </xf>
    <xf numFmtId="4" fontId="5" fillId="0" borderId="3" applyAlignment="1" pivotButton="0" quotePrefix="0" xfId="0">
      <alignment horizontal="center" vertical="bottom"/>
    </xf>
    <xf numFmtId="3" fontId="7" fillId="3" borderId="3" applyAlignment="1" pivotButton="0" quotePrefix="0" xfId="0">
      <alignment horizontal="center" vertical="bottom"/>
    </xf>
    <xf numFmtId="3" fontId="7" fillId="3" borderId="12" applyAlignment="1" pivotButton="0" quotePrefix="0" xfId="0">
      <alignment horizontal="left" vertical="bottom"/>
    </xf>
    <xf numFmtId="165" fontId="5" fillId="3" borderId="10" applyAlignment="1" pivotButton="0" quotePrefix="0" xfId="0">
      <alignment horizontal="center" vertical="bottom"/>
    </xf>
    <xf numFmtId="4" fontId="5" fillId="3" borderId="10" applyAlignment="1" pivotButton="0" quotePrefix="0" xfId="0">
      <alignment horizontal="center" vertical="bottom"/>
    </xf>
    <xf numFmtId="0" fontId="5" fillId="3" borderId="3" applyAlignment="1" pivotButton="0" quotePrefix="0" xfId="0">
      <alignment horizontal="general" vertical="bottom"/>
    </xf>
    <xf numFmtId="166" fontId="5" fillId="3" borderId="3" applyAlignment="1" pivotButton="0" quotePrefix="0" xfId="0">
      <alignment horizontal="general" vertical="bottom"/>
    </xf>
    <xf numFmtId="0" fontId="11" fillId="0" borderId="3" applyAlignment="1" pivotButton="0" quotePrefix="0" xfId="0">
      <alignment horizontal="general" vertical="bottom"/>
    </xf>
    <xf numFmtId="0" fontId="7" fillId="3" borderId="3" applyAlignment="1" pivotButton="0" quotePrefix="0" xfId="0">
      <alignment horizontal="center" vertical="bottom" wrapText="1"/>
    </xf>
    <xf numFmtId="0" fontId="7" fillId="3" borderId="3" applyAlignment="1" pivotButton="0" quotePrefix="0" xfId="0">
      <alignment horizontal="center" vertical="bottom" textRotation="90" wrapText="1"/>
    </xf>
    <xf numFmtId="0" fontId="7" fillId="0" borderId="3" applyAlignment="1" pivotButton="0" quotePrefix="0" xfId="0">
      <alignment horizontal="center" vertical="bottom" wrapText="1"/>
    </xf>
    <xf numFmtId="0" fontId="5" fillId="0" borderId="3" applyAlignment="1" pivotButton="0" quotePrefix="0" xfId="0">
      <alignment horizontal="left" vertical="bottom" wrapText="1"/>
    </xf>
    <xf numFmtId="0" fontId="5" fillId="0" borderId="3" applyAlignment="1" pivotButton="0" quotePrefix="0" xfId="0">
      <alignment horizontal="center" vertical="bottom" wrapText="1"/>
    </xf>
    <xf numFmtId="0" fontId="5" fillId="3" borderId="3" applyAlignment="1" pivotButton="0" quotePrefix="0" xfId="0">
      <alignment horizontal="center" vertical="bottom" wrapText="1"/>
    </xf>
    <xf numFmtId="0" fontId="5" fillId="0" borderId="3" applyAlignment="1" pivotButton="0" quotePrefix="0" xfId="0">
      <alignment horizontal="center" vertical="bottom" wrapText="1"/>
    </xf>
    <xf numFmtId="0" fontId="11" fillId="0" borderId="0" applyAlignment="1" pivotButton="0" quotePrefix="0" xfId="0">
      <alignment horizontal="center" vertical="bottom"/>
    </xf>
    <xf numFmtId="0" fontId="7" fillId="0" borderId="3" applyAlignment="1" pivotButton="0" quotePrefix="0" xfId="0">
      <alignment horizontal="general" vertical="bottom"/>
    </xf>
    <xf numFmtId="0" fontId="5" fillId="0" borderId="3" applyAlignment="1" pivotButton="0" quotePrefix="0" xfId="0">
      <alignment horizontal="center" vertical="bottom"/>
    </xf>
    <xf numFmtId="0" fontId="5" fillId="0" borderId="0" applyAlignment="1" pivotButton="0" quotePrefix="0" xfId="0">
      <alignment horizontal="center" vertical="bottom"/>
    </xf>
    <xf numFmtId="0" fontId="5" fillId="0" borderId="0" applyAlignment="1" pivotButton="0" quotePrefix="0" xfId="0">
      <alignment horizontal="general" vertical="bottom" wrapText="1"/>
    </xf>
    <xf numFmtId="0" fontId="5" fillId="0" borderId="0" applyAlignment="1" pivotButton="0" quotePrefix="0" xfId="0">
      <alignment horizontal="center" vertical="bottom" wrapText="1"/>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5" fillId="3" borderId="3" applyAlignment="1" pivotButton="0" quotePrefix="0" xfId="0">
      <alignment horizontal="left" vertical="bottom"/>
    </xf>
    <xf numFmtId="0" fontId="8" fillId="0" borderId="3" applyAlignment="1" pivotButton="0" quotePrefix="0" xfId="0">
      <alignment horizontal="general" vertical="bottom" wrapText="1"/>
    </xf>
    <xf numFmtId="0" fontId="8" fillId="0" borderId="3" applyAlignment="1" pivotButton="0" quotePrefix="0" xfId="0">
      <alignment horizontal="center" vertical="bottom"/>
    </xf>
    <xf numFmtId="0" fontId="0" fillId="0" borderId="3" applyAlignment="1" pivotButton="0" quotePrefix="0" xfId="0">
      <alignment horizontal="general" vertical="bottom"/>
    </xf>
    <xf numFmtId="0" fontId="0" fillId="0" borderId="3" applyAlignment="1" pivotButton="0" quotePrefix="0" xfId="0">
      <alignment horizontal="general" vertical="bottom"/>
    </xf>
    <xf numFmtId="0" fontId="5" fillId="0" borderId="0" applyAlignment="1" pivotButton="0" quotePrefix="0" xfId="0">
      <alignment horizontal="left" vertical="bottom" wrapText="1"/>
    </xf>
    <xf numFmtId="0" fontId="5" fillId="0" borderId="0" applyAlignment="1" pivotButton="0" quotePrefix="0" xfId="0">
      <alignment horizontal="left" vertical="bottom"/>
    </xf>
    <xf numFmtId="0" fontId="7" fillId="3" borderId="3" applyAlignment="1" pivotButton="0" quotePrefix="0" xfId="0">
      <alignment horizontal="center" vertical="bottom" textRotation="90"/>
    </xf>
    <xf numFmtId="0" fontId="0" fillId="3" borderId="12" applyAlignment="1" pivotButton="0" quotePrefix="0" xfId="0">
      <alignment horizontal="general" vertical="bottom"/>
    </xf>
    <xf numFmtId="0" fontId="7" fillId="3" borderId="10" applyAlignment="1" pivotButton="0" quotePrefix="0" xfId="0">
      <alignment horizontal="left" vertical="bottom"/>
    </xf>
    <xf numFmtId="0" fontId="5" fillId="0" borderId="6" applyAlignment="1" pivotButton="0" quotePrefix="0" xfId="0">
      <alignment horizontal="center" vertical="bottom"/>
    </xf>
    <xf numFmtId="0" fontId="0" fillId="7" borderId="12" applyAlignment="1" pivotButton="0" quotePrefix="0" xfId="0">
      <alignment horizontal="general" vertical="bottom"/>
    </xf>
    <xf numFmtId="0" fontId="0" fillId="7" borderId="6" applyAlignment="1" pivotButton="0" quotePrefix="0" xfId="0">
      <alignment horizontal="general" vertical="bottom"/>
    </xf>
    <xf numFmtId="0" fontId="18" fillId="7" borderId="10" applyAlignment="1" pivotButton="0" quotePrefix="0" xfId="0">
      <alignment horizontal="center" vertical="bottom"/>
    </xf>
    <xf numFmtId="0" fontId="5" fillId="0" borderId="3" applyAlignment="1" pivotButton="0" quotePrefix="0" xfId="0">
      <alignment horizontal="right" vertical="bottom"/>
    </xf>
    <xf numFmtId="0" fontId="5" fillId="0" borderId="3" applyAlignment="1" pivotButton="0" quotePrefix="0" xfId="0">
      <alignment horizontal="right" vertical="bottom"/>
    </xf>
    <xf numFmtId="0" fontId="5" fillId="0" borderId="12" applyAlignment="1" pivotButton="0" quotePrefix="0" xfId="0">
      <alignment horizontal="right" vertical="bottom"/>
    </xf>
    <xf numFmtId="0" fontId="5" fillId="0" borderId="12" applyAlignment="1" pivotButton="0" quotePrefix="0" xfId="0">
      <alignment horizontal="right" vertical="bottom"/>
    </xf>
    <xf numFmtId="0" fontId="5" fillId="0" borderId="3" applyAlignment="1" pivotButton="0" quotePrefix="0" xfId="0">
      <alignment horizontal="general" vertical="bottom"/>
    </xf>
    <xf numFmtId="0" fontId="0" fillId="0" borderId="6" applyAlignment="1" pivotButton="0" quotePrefix="0" xfId="0">
      <alignment horizontal="general" vertical="bottom"/>
    </xf>
    <xf numFmtId="0" fontId="0" fillId="7" borderId="12" applyAlignment="1" pivotButton="0" quotePrefix="0" xfId="0">
      <alignment horizontal="general" vertical="bottom"/>
    </xf>
    <xf numFmtId="0" fontId="5" fillId="0" borderId="13" applyAlignment="1" pivotButton="0" quotePrefix="0" xfId="0">
      <alignment horizontal="general" vertical="bottom"/>
    </xf>
    <xf numFmtId="0" fontId="5" fillId="0" borderId="4" applyAlignment="1" pivotButton="0" quotePrefix="0" xfId="0">
      <alignment horizontal="right" vertical="bottom"/>
    </xf>
    <xf numFmtId="0" fontId="0" fillId="0" borderId="0" applyAlignment="1" pivotButton="0" quotePrefix="0" xfId="0">
      <alignment horizontal="general" vertical="bottom"/>
    </xf>
    <xf numFmtId="0" fontId="19" fillId="0" borderId="0" applyAlignment="1" pivotButton="0" quotePrefix="0" xfId="0">
      <alignment horizontal="left" vertical="bottom" indent="5"/>
    </xf>
    <xf numFmtId="0" fontId="19" fillId="0" borderId="0" applyAlignment="1" pivotButton="0" quotePrefix="0" xfId="0">
      <alignment horizontal="general" vertical="bottom"/>
    </xf>
    <xf numFmtId="0" fontId="7" fillId="3" borderId="13" applyAlignment="1" pivotButton="0" quotePrefix="0" xfId="0">
      <alignment horizontal="center" vertical="bottom"/>
    </xf>
    <xf numFmtId="0" fontId="5" fillId="3" borderId="3" applyAlignment="1" pivotButton="0" quotePrefix="0" xfId="0">
      <alignment horizontal="center" vertical="bottom"/>
    </xf>
    <xf numFmtId="0" fontId="4" fillId="0" borderId="9" applyAlignment="1" pivotButton="0" quotePrefix="0" xfId="0">
      <alignment horizontal="center" vertical="bottom"/>
    </xf>
    <xf numFmtId="0" fontId="0" fillId="0" borderId="0" applyAlignment="1" pivotButton="0" quotePrefix="0" xfId="0">
      <alignment horizontal="general" vertical="bottom"/>
    </xf>
    <xf numFmtId="0" fontId="8" fillId="0" borderId="3" applyAlignment="1" pivotButton="0" quotePrefix="0" xfId="0">
      <alignment horizontal="center" vertical="bottom" wrapText="1"/>
    </xf>
    <xf numFmtId="0" fontId="7" fillId="3" borderId="3" applyAlignment="1" pivotButton="0" quotePrefix="0" xfId="0">
      <alignment horizontal="general" vertical="bottom" textRotation="90" wrapText="1"/>
    </xf>
    <xf numFmtId="0" fontId="0" fillId="0" borderId="3" applyAlignment="1" pivotButton="0" quotePrefix="0" xfId="0">
      <alignment horizontal="center" vertical="bottom"/>
    </xf>
    <xf numFmtId="0" fontId="11" fillId="0" borderId="3" applyAlignment="1" pivotButton="0" quotePrefix="0" xfId="0">
      <alignment horizontal="center" vertical="bottom"/>
    </xf>
    <xf numFmtId="0" fontId="8" fillId="0" borderId="3" applyAlignment="1" pivotButton="0" quotePrefix="0" xfId="0">
      <alignment horizontal="general" vertical="bottom"/>
    </xf>
    <xf numFmtId="2" fontId="0" fillId="0" borderId="3" applyAlignment="1" pivotButton="0" quotePrefix="0" xfId="0">
      <alignment horizontal="center" vertical="bottom"/>
    </xf>
    <xf numFmtId="2" fontId="0" fillId="3" borderId="3" applyAlignment="1" pivotButton="0" quotePrefix="0" xfId="0">
      <alignment horizontal="center" vertical="bottom"/>
    </xf>
    <xf numFmtId="2" fontId="0" fillId="0" borderId="0" applyAlignment="1" pivotButton="0" quotePrefix="0" xfId="0">
      <alignment horizontal="center" vertical="bottom"/>
    </xf>
    <xf numFmtId="0" fontId="0" fillId="0" borderId="3" applyAlignment="1" pivotButton="0" quotePrefix="0" xfId="0">
      <alignment horizontal="general" vertical="bottom"/>
    </xf>
    <xf numFmtId="0" fontId="0" fillId="0" borderId="6" applyAlignment="1" pivotButton="0" quotePrefix="0" xfId="0">
      <alignment horizontal="general" vertical="bottom"/>
    </xf>
    <xf numFmtId="0" fontId="5" fillId="0" borderId="3" applyAlignment="1" pivotButton="0" quotePrefix="0" xfId="0">
      <alignment horizontal="left" vertical="bottom" wrapText="1"/>
    </xf>
    <xf numFmtId="0" fontId="4" fillId="2" borderId="8" applyAlignment="1" pivotButton="0" quotePrefix="0" xfId="0">
      <alignment horizontal="center" vertical="bottom"/>
    </xf>
    <xf numFmtId="0" fontId="7" fillId="3" borderId="12" applyAlignment="1" pivotButton="0" quotePrefix="0" xfId="0">
      <alignment horizontal="general" vertical="bottom" wrapText="1"/>
    </xf>
    <xf numFmtId="0" fontId="7" fillId="3" borderId="6" applyAlignment="1" pivotButton="0" quotePrefix="0" xfId="0">
      <alignment horizontal="center" vertical="bottom" wrapText="1"/>
    </xf>
    <xf numFmtId="0" fontId="7" fillId="3" borderId="10" applyAlignment="1" pivotButton="0" quotePrefix="0" xfId="0">
      <alignment horizontal="center" vertical="bottom" wrapText="1"/>
    </xf>
    <xf numFmtId="167" fontId="7" fillId="3" borderId="10" applyAlignment="1" pivotButton="0" quotePrefix="0" xfId="0">
      <alignment horizontal="center" vertical="bottom" wrapText="1"/>
    </xf>
    <xf numFmtId="0" fontId="7" fillId="3" borderId="3" applyAlignment="1" pivotButton="0" quotePrefix="0" xfId="0">
      <alignment horizontal="center" vertical="center" wrapText="1"/>
    </xf>
    <xf numFmtId="168" fontId="7" fillId="3" borderId="3" applyAlignment="1" pivotButton="0" quotePrefix="0" xfId="0">
      <alignment horizontal="center" vertical="bottom" wrapText="1"/>
    </xf>
    <xf numFmtId="0" fontId="0" fillId="0" borderId="0" applyAlignment="1" pivotButton="0" quotePrefix="0" xfId="0">
      <alignment horizontal="center" vertical="bottom"/>
    </xf>
    <xf numFmtId="0" fontId="7" fillId="3" borderId="5" applyAlignment="1" pivotButton="0" quotePrefix="0" xfId="0">
      <alignment horizontal="left" vertical="bottom"/>
    </xf>
    <xf numFmtId="0" fontId="5" fillId="3" borderId="5" applyAlignment="1" pivotButton="0" quotePrefix="0" xfId="0">
      <alignment horizontal="general" vertical="bottom"/>
    </xf>
    <xf numFmtId="0" fontId="0" fillId="0" borderId="0" applyAlignment="1" pivotButton="0" quotePrefix="0" xfId="0">
      <alignment horizontal="general" vertical="bottom"/>
    </xf>
    <xf numFmtId="0" fontId="7" fillId="3" borderId="4" applyAlignment="1" pivotButton="0" quotePrefix="0" xfId="0">
      <alignment horizontal="left" vertical="bottom"/>
    </xf>
    <xf numFmtId="0" fontId="5" fillId="3" borderId="4" applyAlignment="1" pivotButton="0" quotePrefix="0" xfId="0">
      <alignment horizontal="general" vertical="bottom"/>
    </xf>
    <xf numFmtId="0" fontId="21" fillId="0" borderId="3" applyAlignment="1" pivotButton="0" quotePrefix="0" xfId="0">
      <alignment horizontal="general" vertical="bottom"/>
    </xf>
    <xf numFmtId="0" fontId="7" fillId="0" borderId="0" applyAlignment="1" pivotButton="0" quotePrefix="0" xfId="0">
      <alignment horizontal="center" vertical="bottom"/>
    </xf>
    <xf numFmtId="0" fontId="21" fillId="3" borderId="5" applyAlignment="1" pivotButton="0" quotePrefix="0" xfId="0">
      <alignment horizontal="general" vertical="bottom"/>
    </xf>
    <xf numFmtId="0" fontId="7" fillId="3" borderId="5" applyAlignment="1" pivotButton="0" quotePrefix="0" xfId="0">
      <alignment horizontal="center" vertical="bottom"/>
    </xf>
    <xf numFmtId="0" fontId="5" fillId="3" borderId="0" applyAlignment="1" pivotButton="0" quotePrefix="0" xfId="0">
      <alignment horizontal="general" vertical="bottom"/>
    </xf>
    <xf numFmtId="169" fontId="5" fillId="3" borderId="3" applyAlignment="1" pivotButton="0" quotePrefix="0" xfId="0">
      <alignment horizontal="center" vertical="bottom"/>
    </xf>
    <xf numFmtId="0" fontId="12" fillId="3" borderId="3" applyAlignment="1" pivotButton="0" quotePrefix="0" xfId="0">
      <alignment horizontal="left" vertical="bottom"/>
    </xf>
    <xf numFmtId="0" fontId="5" fillId="0" borderId="0" applyAlignment="1" pivotButton="0" quotePrefix="0" xfId="0">
      <alignment horizontal="general" vertical="bottom" wrapText="1"/>
    </xf>
    <xf numFmtId="0" fontId="5" fillId="0" borderId="0" applyAlignment="1" pivotButton="0" quotePrefix="0" xfId="0">
      <alignment horizontal="center" vertical="bottom" wrapText="1"/>
    </xf>
    <xf numFmtId="0" fontId="9" fillId="0" borderId="0" applyAlignment="1" pivotButton="0" quotePrefix="0" xfId="0">
      <alignment horizontal="right" vertical="bottom" wrapText="1"/>
    </xf>
    <xf numFmtId="0" fontId="0" fillId="0" borderId="3" applyAlignment="1" pivotButton="0" quotePrefix="0" xfId="0">
      <alignment horizontal="general" vertical="bottom"/>
    </xf>
    <xf numFmtId="0" fontId="21" fillId="3" borderId="3" applyAlignment="1" pivotButton="0" quotePrefix="0" xfId="0">
      <alignment horizontal="center" vertical="bottom"/>
    </xf>
    <xf numFmtId="0" fontId="0" fillId="0" borderId="3" applyAlignment="1" pivotButton="0" quotePrefix="0" xfId="0">
      <alignment horizontal="center" vertical="bottom"/>
    </xf>
    <xf numFmtId="0" fontId="5" fillId="0" borderId="3" applyAlignment="1" pivotButton="0" quotePrefix="0" xfId="0">
      <alignment horizontal="center" vertical="top"/>
    </xf>
    <xf numFmtId="0" fontId="5" fillId="0" borderId="3" applyAlignment="1" pivotButton="0" quotePrefix="0" xfId="0">
      <alignment horizontal="left" vertical="top" wrapText="1"/>
    </xf>
    <xf numFmtId="0" fontId="5" fillId="0" borderId="3" applyAlignment="1" pivotButton="0" quotePrefix="0" xfId="0">
      <alignment horizontal="center" vertical="top" wrapText="1"/>
    </xf>
    <xf numFmtId="0" fontId="5" fillId="0" borderId="3" applyAlignment="1" pivotButton="0" quotePrefix="0" xfId="0">
      <alignment horizontal="center" vertical="top" wrapText="1"/>
    </xf>
    <xf numFmtId="0" fontId="0" fillId="2" borderId="10" applyAlignment="1" pivotButton="0" quotePrefix="0" xfId="0">
      <alignment horizontal="general" vertical="bottom"/>
    </xf>
    <xf numFmtId="0" fontId="0" fillId="0" borderId="10" applyAlignment="1" pivotButton="0" quotePrefix="0" xfId="0">
      <alignment horizontal="general" vertical="bottom"/>
    </xf>
    <xf numFmtId="0" fontId="0" fillId="0" borderId="6" applyAlignment="1" pivotButton="0" quotePrefix="0" xfId="0">
      <alignment horizontal="general" vertical="bottom"/>
    </xf>
    <xf numFmtId="0" fontId="0" fillId="0" borderId="9" applyAlignment="1" pivotButton="0" quotePrefix="0" xfId="0">
      <alignment horizontal="general" vertical="bottom"/>
    </xf>
    <xf numFmtId="0" fontId="0" fillId="0" borderId="4" applyAlignment="1" pivotButton="0" quotePrefix="0" xfId="0">
      <alignment horizontal="center" vertical="bottom"/>
    </xf>
    <xf numFmtId="0" fontId="11" fillId="0" borderId="9" applyAlignment="1" pivotButton="0" quotePrefix="0" xfId="0">
      <alignment horizontal="general" vertical="bottom"/>
    </xf>
    <xf numFmtId="0" fontId="5" fillId="0" borderId="9" applyAlignment="1" pivotButton="0" quotePrefix="0" xfId="0">
      <alignment horizontal="general" vertical="bottom"/>
    </xf>
    <xf numFmtId="0" fontId="12" fillId="0" borderId="3"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bottom"/>
    </xf>
    <xf numFmtId="0" fontId="0" fillId="0" borderId="1" pivotButton="0" quotePrefix="0" xfId="0"/>
    <xf numFmtId="0" fontId="0" fillId="3" borderId="0" applyAlignment="1" pivotButton="0" quotePrefix="0" xfId="0">
      <alignment horizontal="general" vertical="bottom"/>
    </xf>
    <xf numFmtId="0" fontId="0" fillId="3" borderId="1" applyAlignment="1" pivotButton="0" quotePrefix="0" xfId="0">
      <alignment horizontal="general" vertical="bottom"/>
    </xf>
    <xf numFmtId="0" fontId="5" fillId="3" borderId="1" applyAlignment="1" pivotButton="0" quotePrefix="0" xfId="0">
      <alignment horizontal="general" vertical="bottom" wrapText="1"/>
    </xf>
    <xf numFmtId="0" fontId="5" fillId="3" borderId="0" applyAlignment="1" pivotButton="0" quotePrefix="0" xfId="0">
      <alignment horizontal="general" vertical="bottom" wrapText="1"/>
    </xf>
    <xf numFmtId="0" fontId="6" fillId="2" borderId="2" applyAlignment="1" pivotButton="0" quotePrefix="0" xfId="0">
      <alignment horizontal="center" vertical="bottom"/>
    </xf>
    <xf numFmtId="0" fontId="0" fillId="0" borderId="2" pivotButton="0" quotePrefix="0" xfId="0"/>
    <xf numFmtId="0" fontId="7" fillId="3" borderId="3" applyAlignment="1" pivotButton="0" quotePrefix="0" xfId="0">
      <alignment horizontal="general" vertical="bottom" wrapText="1"/>
    </xf>
    <xf numFmtId="0" fontId="5" fillId="0" borderId="3" applyAlignment="1" pivotButton="0" quotePrefix="0" xfId="0">
      <alignment horizontal="general" vertical="bottom" wrapText="1"/>
    </xf>
    <xf numFmtId="0" fontId="5" fillId="0" borderId="3" applyAlignment="1" pivotButton="0" quotePrefix="0" xfId="0">
      <alignment horizontal="general" vertical="bottom"/>
    </xf>
    <xf numFmtId="0" fontId="9" fillId="0" borderId="0" applyAlignment="1" pivotButton="0" quotePrefix="0" xfId="0">
      <alignment horizontal="right" vertical="bottom"/>
    </xf>
    <xf numFmtId="0" fontId="10" fillId="0" borderId="0" applyAlignment="1" pivotButton="0" quotePrefix="0" xfId="0">
      <alignment horizontal="general" vertical="bottom"/>
    </xf>
    <xf numFmtId="0" fontId="5" fillId="0" borderId="0" applyAlignment="1" pivotButton="0" quotePrefix="0" xfId="0">
      <alignment horizontal="general" vertical="bottom"/>
    </xf>
    <xf numFmtId="0" fontId="7" fillId="3" borderId="0" applyAlignment="1" pivotButton="0" quotePrefix="0" xfId="0">
      <alignment horizontal="general" vertical="bottom"/>
    </xf>
    <xf numFmtId="0" fontId="11" fillId="0" borderId="0" applyAlignment="1" pivotButton="0" quotePrefix="0" xfId="0">
      <alignment horizontal="general" vertical="bottom"/>
    </xf>
    <xf numFmtId="0" fontId="4" fillId="2" borderId="0" applyAlignment="1" pivotButton="0" quotePrefix="0" xfId="0">
      <alignment horizontal="center" vertical="bottom"/>
    </xf>
    <xf numFmtId="0" fontId="7" fillId="3" borderId="3" applyAlignment="1" pivotButton="0" quotePrefix="0" xfId="0">
      <alignment horizontal="general" vertical="bottom"/>
    </xf>
    <xf numFmtId="0" fontId="5" fillId="3" borderId="3" applyAlignment="1" pivotButton="0" quotePrefix="0" xfId="0">
      <alignment horizontal="general" vertical="bottom"/>
    </xf>
    <xf numFmtId="0" fontId="7" fillId="3" borderId="3" applyAlignment="1" pivotButton="0" quotePrefix="0" xfId="0">
      <alignment horizontal="general" vertical="top"/>
    </xf>
    <xf numFmtId="0" fontId="5" fillId="0" borderId="2" applyAlignment="1" pivotButton="0" quotePrefix="0" xfId="0">
      <alignment horizontal="general" vertical="bottom" wrapText="1"/>
    </xf>
    <xf numFmtId="0" fontId="0" fillId="0" borderId="8" pivotButton="0" quotePrefix="0" xfId="0"/>
    <xf numFmtId="0" fontId="7" fillId="3" borderId="3" applyAlignment="1" pivotButton="0" quotePrefix="0" xfId="0">
      <alignment horizontal="general" vertical="top" wrapText="1"/>
    </xf>
    <xf numFmtId="0" fontId="0" fillId="0" borderId="6" pivotButton="0" quotePrefix="0" xfId="0"/>
    <xf numFmtId="0" fontId="0" fillId="0" borderId="10" pivotButton="0" quotePrefix="0" xfId="0"/>
    <xf numFmtId="0" fontId="0" fillId="0" borderId="13" pivotButton="0" quotePrefix="0" xfId="0"/>
    <xf numFmtId="0" fontId="12" fillId="0" borderId="3" applyAlignment="1" pivotButton="0" quotePrefix="0" xfId="0">
      <alignment horizontal="general" vertical="bottom"/>
    </xf>
    <xf numFmtId="0" fontId="12" fillId="0" borderId="3" applyAlignment="1" pivotButton="0" quotePrefix="0" xfId="0">
      <alignment horizontal="general" vertical="bottom" wrapText="1"/>
    </xf>
    <xf numFmtId="0" fontId="0" fillId="0" borderId="5" pivotButton="0" quotePrefix="0" xfId="0"/>
    <xf numFmtId="0" fontId="7" fillId="3" borderId="3" applyAlignment="1" pivotButton="0" quotePrefix="0" xfId="0">
      <alignment horizontal="right" vertical="bottom"/>
    </xf>
    <xf numFmtId="0" fontId="7" fillId="3" borderId="3" applyAlignment="1" pivotButton="0" quotePrefix="0" xfId="0">
      <alignment horizontal="center" vertical="bottom"/>
    </xf>
    <xf numFmtId="0" fontId="7" fillId="0" borderId="3" applyAlignment="1" pivotButton="0" quotePrefix="0" xfId="0">
      <alignment horizontal="right" vertical="bottom"/>
    </xf>
    <xf numFmtId="0" fontId="0" fillId="0" borderId="3" applyAlignment="1" pivotButton="0" quotePrefix="0" xfId="0">
      <alignment horizontal="general" vertical="bottom"/>
    </xf>
    <xf numFmtId="0" fontId="5" fillId="0" borderId="3" applyAlignment="1" pivotButton="0" quotePrefix="0" xfId="0">
      <alignment horizontal="left" vertical="bottom"/>
    </xf>
    <xf numFmtId="0" fontId="7" fillId="3" borderId="4" applyAlignment="1" pivotButton="0" quotePrefix="0" xfId="0">
      <alignment horizontal="general" vertical="bottom"/>
    </xf>
    <xf numFmtId="0" fontId="0" fillId="0" borderId="7" pivotButton="0" quotePrefix="0" xfId="0"/>
    <xf numFmtId="0" fontId="0" fillId="0" borderId="14" pivotButton="0" quotePrefix="0" xfId="0"/>
    <xf numFmtId="0" fontId="7" fillId="3" borderId="5" applyAlignment="1" pivotButton="0" quotePrefix="0" xfId="0">
      <alignment horizontal="right" vertical="top"/>
    </xf>
    <xf numFmtId="0" fontId="0" fillId="0" borderId="11" pivotButton="0" quotePrefix="0" xfId="0"/>
    <xf numFmtId="0" fontId="7" fillId="3" borderId="3" applyAlignment="1" pivotButton="0" quotePrefix="0" xfId="0">
      <alignment horizontal="right" vertical="top" wrapText="1"/>
    </xf>
    <xf numFmtId="0" fontId="7" fillId="0" borderId="6" applyAlignment="1" pivotButton="0" quotePrefix="0" xfId="0">
      <alignment horizontal="general" vertical="bottom"/>
    </xf>
    <xf numFmtId="164" fontId="5" fillId="4" borderId="3" applyAlignment="1" pivotButton="0" quotePrefix="0" xfId="0">
      <alignment horizontal="general" vertical="bottom" wrapText="1"/>
    </xf>
    <xf numFmtId="164" fontId="5" fillId="0" borderId="3" applyAlignment="1" pivotButton="0" quotePrefix="0" xfId="0">
      <alignment horizontal="general" vertical="bottom" wrapText="1"/>
    </xf>
    <xf numFmtId="164" fontId="5" fillId="5" borderId="3" applyAlignment="1" pivotButton="0" quotePrefix="0" xfId="0">
      <alignment horizontal="general" vertical="bottom" wrapText="1"/>
    </xf>
    <xf numFmtId="164" fontId="5" fillId="6" borderId="3" applyAlignment="1" pivotButton="0" quotePrefix="0" xfId="0">
      <alignment horizontal="general" vertical="bottom" wrapText="1"/>
    </xf>
    <xf numFmtId="164" fontId="0" fillId="0" borderId="3" applyAlignment="1" pivotButton="0" quotePrefix="0" xfId="0">
      <alignment horizontal="general" vertical="bottom"/>
    </xf>
    <xf numFmtId="0" fontId="11" fillId="0" borderId="6" applyAlignment="1" pivotButton="0" quotePrefix="0" xfId="0">
      <alignment horizontal="general" vertical="bottom"/>
    </xf>
    <xf numFmtId="0" fontId="6" fillId="6" borderId="3" applyAlignment="1" pivotButton="0" quotePrefix="0" xfId="0">
      <alignment horizontal="center" vertical="bottom"/>
    </xf>
    <xf numFmtId="0" fontId="16" fillId="6" borderId="3" applyAlignment="1" pivotButton="0" quotePrefix="0" xfId="0">
      <alignment horizontal="center" vertical="top" wrapText="1"/>
    </xf>
    <xf numFmtId="0" fontId="5" fillId="0" borderId="3" applyAlignment="1" pivotButton="0" quotePrefix="0" xfId="0">
      <alignment horizontal="general" vertical="top" wrapText="1"/>
    </xf>
    <xf numFmtId="0" fontId="11" fillId="0" borderId="7" applyAlignment="1" pivotButton="0" quotePrefix="0" xfId="0">
      <alignment horizontal="general" vertical="bottom"/>
    </xf>
    <xf numFmtId="0" fontId="6" fillId="2" borderId="3" applyAlignment="1" pivotButton="0" quotePrefix="0" xfId="0">
      <alignment horizontal="center" vertical="bottom"/>
    </xf>
    <xf numFmtId="0" fontId="16" fillId="2" borderId="3" applyAlignment="1" pivotButton="0" quotePrefix="0" xfId="0">
      <alignment horizontal="center" vertical="bottom" wrapText="1"/>
    </xf>
    <xf numFmtId="0" fontId="4" fillId="2" borderId="3" applyAlignment="1" pivotButton="0" quotePrefix="0" xfId="0">
      <alignment horizontal="center" vertical="bottom"/>
    </xf>
    <xf numFmtId="0" fontId="0" fillId="0" borderId="8" applyAlignment="1" pivotButton="0" quotePrefix="0" xfId="0">
      <alignment horizontal="general" vertical="bottom"/>
    </xf>
    <xf numFmtId="0" fontId="6" fillId="2" borderId="9" applyAlignment="1" pivotButton="0" quotePrefix="0" xfId="0">
      <alignment horizontal="center" vertical="bottom"/>
    </xf>
    <xf numFmtId="0" fontId="7" fillId="3" borderId="3" applyAlignment="1" pivotButton="0" quotePrefix="0" xfId="0">
      <alignment horizontal="center" vertical="top" wrapText="1"/>
    </xf>
    <xf numFmtId="165" fontId="5" fillId="0" borderId="3" applyAlignment="1" pivotButton="0" quotePrefix="0" xfId="0">
      <alignment horizontal="center" vertical="bottom"/>
    </xf>
    <xf numFmtId="165" fontId="5" fillId="0" borderId="3" applyAlignment="1" pivotButton="0" quotePrefix="0" xfId="0">
      <alignment horizontal="center" vertical="bottom" wrapText="1"/>
    </xf>
    <xf numFmtId="0" fontId="11" fillId="3" borderId="10" applyAlignment="1" pivotButton="0" quotePrefix="0" xfId="0">
      <alignment horizontal="general" vertical="bottom"/>
    </xf>
    <xf numFmtId="0" fontId="16" fillId="6" borderId="2" applyAlignment="1" pivotButton="0" quotePrefix="0" xfId="0">
      <alignment horizontal="general" vertical="top" wrapText="1"/>
    </xf>
    <xf numFmtId="165" fontId="12" fillId="0" borderId="3" applyAlignment="1" pivotButton="0" quotePrefix="0" xfId="0">
      <alignment horizontal="left" vertical="bottom"/>
    </xf>
    <xf numFmtId="0" fontId="6" fillId="2" borderId="9" applyAlignment="1" pivotButton="0" quotePrefix="0" xfId="0">
      <alignment horizontal="center" vertical="top" wrapText="1"/>
    </xf>
    <xf numFmtId="0" fontId="16" fillId="2" borderId="11" applyAlignment="1" pivotButton="0" quotePrefix="0" xfId="0">
      <alignment horizontal="general" vertical="bottom"/>
    </xf>
    <xf numFmtId="0" fontId="7" fillId="3" borderId="3" applyAlignment="1" pivotButton="0" quotePrefix="0" xfId="0">
      <alignment horizontal="left" vertical="bottom" indent="2"/>
    </xf>
    <xf numFmtId="0" fontId="0" fillId="3" borderId="3" applyAlignment="1" pivotButton="0" quotePrefix="0" xfId="0">
      <alignment horizontal="general" vertical="bottom"/>
    </xf>
    <xf numFmtId="0" fontId="8" fillId="0" borderId="3" applyAlignment="1" pivotButton="0" quotePrefix="0" xfId="0">
      <alignment horizontal="left" vertical="bottom" indent="4"/>
    </xf>
    <xf numFmtId="2" fontId="5" fillId="0" borderId="3" applyAlignment="1" pivotButton="0" quotePrefix="0" xfId="0">
      <alignment horizontal="center" vertical="bottom"/>
    </xf>
    <xf numFmtId="0" fontId="5" fillId="0" borderId="3" applyAlignment="1" pivotButton="0" quotePrefix="0" xfId="0">
      <alignment horizontal="left" vertical="bottom" indent="4"/>
    </xf>
    <xf numFmtId="0" fontId="7" fillId="3" borderId="3" applyAlignment="1" pivotButton="0" quotePrefix="0" xfId="0">
      <alignment horizontal="left" vertical="bottom" indent="1"/>
    </xf>
    <xf numFmtId="165" fontId="12" fillId="3" borderId="3" applyAlignment="1" pivotButton="0" quotePrefix="0" xfId="0">
      <alignment horizontal="center" vertical="bottom"/>
    </xf>
    <xf numFmtId="0" fontId="16" fillId="2" borderId="12" applyAlignment="1" pivotButton="0" quotePrefix="0" xfId="0">
      <alignment horizontal="general" vertical="bottom"/>
    </xf>
    <xf numFmtId="0" fontId="0" fillId="2" borderId="6" applyAlignment="1" pivotButton="0" quotePrefix="0" xfId="0">
      <alignment horizontal="general" vertical="bottom"/>
    </xf>
    <xf numFmtId="0" fontId="5" fillId="0" borderId="3" applyAlignment="1" pivotButton="0" quotePrefix="0" xfId="0">
      <alignment horizontal="left" vertical="bottom" indent="5"/>
    </xf>
    <xf numFmtId="0" fontId="6" fillId="2" borderId="7" applyAlignment="1" pivotButton="0" quotePrefix="0" xfId="0">
      <alignment horizontal="general" vertical="bottom"/>
    </xf>
    <xf numFmtId="165" fontId="17" fillId="2" borderId="3" applyAlignment="1" pivotButton="0" quotePrefix="0" xfId="0">
      <alignment horizontal="center" vertical="bottom"/>
    </xf>
    <xf numFmtId="0" fontId="7" fillId="3" borderId="3" applyAlignment="1" pivotButton="0" quotePrefix="0" xfId="0">
      <alignment horizontal="left" vertical="bottom"/>
    </xf>
    <xf numFmtId="165" fontId="5" fillId="3" borderId="3" applyAlignment="1" pivotButton="0" quotePrefix="0" xfId="0">
      <alignment horizontal="center" vertical="bottom"/>
    </xf>
    <xf numFmtId="0" fontId="7" fillId="0" borderId="0" applyAlignment="1" pivotButton="0" quotePrefix="0" xfId="0">
      <alignment horizontal="left" vertical="bottom"/>
    </xf>
    <xf numFmtId="165" fontId="5" fillId="0" borderId="0" applyAlignment="1" pivotButton="0" quotePrefix="0" xfId="0">
      <alignment horizontal="center" vertical="bottom"/>
    </xf>
    <xf numFmtId="0" fontId="7" fillId="3" borderId="12" applyAlignment="1" pivotButton="0" quotePrefix="0" xfId="0">
      <alignment horizontal="center" vertical="bottom"/>
    </xf>
    <xf numFmtId="165" fontId="5" fillId="0" borderId="10" applyAlignment="1" pivotButton="0" quotePrefix="0" xfId="0">
      <alignment horizontal="center" vertical="bottom"/>
    </xf>
    <xf numFmtId="0" fontId="5" fillId="0" borderId="3" applyAlignment="1" pivotButton="0" quotePrefix="0" xfId="0">
      <alignment horizontal="center" vertical="bottom"/>
    </xf>
    <xf numFmtId="4" fontId="5" fillId="0" borderId="3" applyAlignment="1" pivotButton="0" quotePrefix="0" xfId="0">
      <alignment horizontal="center" vertical="bottom"/>
    </xf>
    <xf numFmtId="3" fontId="5" fillId="0" borderId="3" applyAlignment="1" pivotButton="0" quotePrefix="0" xfId="0">
      <alignment horizontal="center" vertical="bottom"/>
    </xf>
    <xf numFmtId="3" fontId="7" fillId="3" borderId="3" applyAlignment="1" pivotButton="0" quotePrefix="0" xfId="0">
      <alignment horizontal="center" vertical="bottom"/>
    </xf>
    <xf numFmtId="3" fontId="7" fillId="3" borderId="12" applyAlignment="1" pivotButton="0" quotePrefix="0" xfId="0">
      <alignment horizontal="left" vertical="bottom"/>
    </xf>
    <xf numFmtId="165" fontId="5" fillId="3" borderId="10" applyAlignment="1" pivotButton="0" quotePrefix="0" xfId="0">
      <alignment horizontal="center" vertical="bottom"/>
    </xf>
    <xf numFmtId="4" fontId="5" fillId="3" borderId="10" applyAlignment="1" pivotButton="0" quotePrefix="0" xfId="0">
      <alignment horizontal="center" vertical="bottom"/>
    </xf>
    <xf numFmtId="166" fontId="5" fillId="3" borderId="3" applyAlignment="1" pivotButton="0" quotePrefix="0" xfId="0">
      <alignment horizontal="general" vertical="bottom"/>
    </xf>
    <xf numFmtId="0" fontId="11" fillId="0" borderId="3" applyAlignment="1" pivotButton="0" quotePrefix="0" xfId="0">
      <alignment horizontal="general" vertical="bottom"/>
    </xf>
    <xf numFmtId="0" fontId="7" fillId="3" borderId="3" applyAlignment="1" pivotButton="0" quotePrefix="0" xfId="0">
      <alignment horizontal="center" vertical="bottom" wrapText="1"/>
    </xf>
    <xf numFmtId="0" fontId="7" fillId="3" borderId="3" applyAlignment="1" pivotButton="0" quotePrefix="0" xfId="0">
      <alignment horizontal="center" vertical="bottom" textRotation="90" wrapText="1"/>
    </xf>
    <xf numFmtId="0" fontId="7" fillId="0" borderId="3" applyAlignment="1" pivotButton="0" quotePrefix="0" xfId="0">
      <alignment horizontal="center" vertical="bottom" wrapText="1"/>
    </xf>
    <xf numFmtId="0" fontId="5" fillId="0" borderId="3" applyAlignment="1" pivotButton="0" quotePrefix="0" xfId="0">
      <alignment horizontal="left" vertical="bottom" wrapText="1"/>
    </xf>
    <xf numFmtId="0" fontId="5" fillId="0" borderId="3" applyAlignment="1" pivotButton="0" quotePrefix="0" xfId="0">
      <alignment horizontal="center" vertical="bottom" wrapText="1"/>
    </xf>
    <xf numFmtId="0" fontId="5" fillId="3" borderId="3" applyAlignment="1" pivotButton="0" quotePrefix="0" xfId="0">
      <alignment horizontal="center" vertical="bottom" wrapText="1"/>
    </xf>
    <xf numFmtId="0" fontId="11" fillId="0" borderId="0" applyAlignment="1" pivotButton="0" quotePrefix="0" xfId="0">
      <alignment horizontal="center" vertical="bottom"/>
    </xf>
    <xf numFmtId="0" fontId="7" fillId="0" borderId="3" applyAlignment="1" pivotButton="0" quotePrefix="0" xfId="0">
      <alignment horizontal="general" vertical="bottom"/>
    </xf>
    <xf numFmtId="0" fontId="5" fillId="0" borderId="0" applyAlignment="1" pivotButton="0" quotePrefix="0" xfId="0">
      <alignment horizontal="center" vertical="bottom"/>
    </xf>
    <xf numFmtId="0" fontId="5" fillId="0" borderId="0" applyAlignment="1" pivotButton="0" quotePrefix="0" xfId="0">
      <alignment horizontal="general" vertical="bottom" wrapText="1"/>
    </xf>
    <xf numFmtId="0" fontId="5" fillId="0" borderId="0" applyAlignment="1" pivotButton="0" quotePrefix="0" xfId="0">
      <alignment horizontal="center" vertical="bottom" wrapText="1"/>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5" fillId="3" borderId="3" applyAlignment="1" pivotButton="0" quotePrefix="0" xfId="0">
      <alignment horizontal="left" vertical="bottom"/>
    </xf>
    <xf numFmtId="0" fontId="8" fillId="0" borderId="3" applyAlignment="1" pivotButton="0" quotePrefix="0" xfId="0">
      <alignment horizontal="general" vertical="bottom" wrapText="1"/>
    </xf>
    <xf numFmtId="0" fontId="8" fillId="0" borderId="3" applyAlignment="1" pivotButton="0" quotePrefix="0" xfId="0">
      <alignment horizontal="center" vertical="bottom"/>
    </xf>
    <xf numFmtId="0" fontId="5" fillId="0" borderId="0" applyAlignment="1" pivotButton="0" quotePrefix="0" xfId="0">
      <alignment horizontal="left" vertical="bottom" wrapText="1"/>
    </xf>
    <xf numFmtId="0" fontId="5" fillId="0" borderId="0" applyAlignment="1" pivotButton="0" quotePrefix="0" xfId="0">
      <alignment horizontal="left" vertical="bottom"/>
    </xf>
    <xf numFmtId="0" fontId="7" fillId="3" borderId="3" applyAlignment="1" pivotButton="0" quotePrefix="0" xfId="0">
      <alignment horizontal="center" vertical="bottom" textRotation="90"/>
    </xf>
    <xf numFmtId="0" fontId="0" fillId="3" borderId="12" applyAlignment="1" pivotButton="0" quotePrefix="0" xfId="0">
      <alignment horizontal="general" vertical="bottom"/>
    </xf>
    <xf numFmtId="0" fontId="7" fillId="3" borderId="10" applyAlignment="1" pivotButton="0" quotePrefix="0" xfId="0">
      <alignment horizontal="left" vertical="bottom"/>
    </xf>
    <xf numFmtId="0" fontId="5" fillId="0" borderId="6" applyAlignment="1" pivotButton="0" quotePrefix="0" xfId="0">
      <alignment horizontal="center" vertical="bottom"/>
    </xf>
    <xf numFmtId="0" fontId="0" fillId="7" borderId="12" applyAlignment="1" pivotButton="0" quotePrefix="0" xfId="0">
      <alignment horizontal="general" vertical="bottom"/>
    </xf>
    <xf numFmtId="0" fontId="0" fillId="7" borderId="6" applyAlignment="1" pivotButton="0" quotePrefix="0" xfId="0">
      <alignment horizontal="general" vertical="bottom"/>
    </xf>
    <xf numFmtId="0" fontId="18" fillId="7" borderId="10" applyAlignment="1" pivotButton="0" quotePrefix="0" xfId="0">
      <alignment horizontal="center" vertical="bottom"/>
    </xf>
    <xf numFmtId="0" fontId="5" fillId="0" borderId="3" applyAlignment="1" pivotButton="0" quotePrefix="0" xfId="0">
      <alignment horizontal="right" vertical="bottom"/>
    </xf>
    <xf numFmtId="0" fontId="5" fillId="0" borderId="12" applyAlignment="1" pivotButton="0" quotePrefix="0" xfId="0">
      <alignment horizontal="right" vertical="bottom"/>
    </xf>
    <xf numFmtId="0" fontId="0" fillId="0" borderId="6" applyAlignment="1" pivotButton="0" quotePrefix="0" xfId="0">
      <alignment horizontal="general" vertical="bottom"/>
    </xf>
    <xf numFmtId="0" fontId="5" fillId="0" borderId="13" applyAlignment="1" pivotButton="0" quotePrefix="0" xfId="0">
      <alignment horizontal="general" vertical="bottom"/>
    </xf>
    <xf numFmtId="0" fontId="5" fillId="0" borderId="4" applyAlignment="1" pivotButton="0" quotePrefix="0" xfId="0">
      <alignment horizontal="right" vertical="bottom"/>
    </xf>
    <xf numFmtId="0" fontId="19" fillId="0" borderId="0" applyAlignment="1" pivotButton="0" quotePrefix="0" xfId="0">
      <alignment horizontal="left" vertical="bottom" indent="5"/>
    </xf>
    <xf numFmtId="0" fontId="19" fillId="0" borderId="0" applyAlignment="1" pivotButton="0" quotePrefix="0" xfId="0">
      <alignment horizontal="general" vertical="bottom"/>
    </xf>
    <xf numFmtId="0" fontId="7" fillId="3" borderId="13" applyAlignment="1" pivotButton="0" quotePrefix="0" xfId="0">
      <alignment horizontal="center" vertical="bottom"/>
    </xf>
    <xf numFmtId="0" fontId="5" fillId="3" borderId="3" applyAlignment="1" pivotButton="0" quotePrefix="0" xfId="0">
      <alignment horizontal="center" vertical="bottom"/>
    </xf>
    <xf numFmtId="0" fontId="4" fillId="0" borderId="9" applyAlignment="1" pivotButton="0" quotePrefix="0" xfId="0">
      <alignment horizontal="center" vertical="bottom"/>
    </xf>
    <xf numFmtId="0" fontId="8" fillId="0" borderId="3" applyAlignment="1" pivotButton="0" quotePrefix="0" xfId="0">
      <alignment horizontal="center" vertical="bottom" wrapText="1"/>
    </xf>
    <xf numFmtId="0" fontId="7" fillId="3" borderId="3" applyAlignment="1" pivotButton="0" quotePrefix="0" xfId="0">
      <alignment horizontal="general" vertical="bottom" textRotation="90" wrapText="1"/>
    </xf>
    <xf numFmtId="0" fontId="0" fillId="0" borderId="3" applyAlignment="1" pivotButton="0" quotePrefix="0" xfId="0">
      <alignment horizontal="center" vertical="bottom"/>
    </xf>
    <xf numFmtId="0" fontId="11" fillId="0" borderId="3" applyAlignment="1" pivotButton="0" quotePrefix="0" xfId="0">
      <alignment horizontal="center" vertical="bottom"/>
    </xf>
    <xf numFmtId="0" fontId="8" fillId="0" borderId="3" applyAlignment="1" pivotButton="0" quotePrefix="0" xfId="0">
      <alignment horizontal="general" vertical="bottom"/>
    </xf>
    <xf numFmtId="2" fontId="0" fillId="0" borderId="3" applyAlignment="1" pivotButton="0" quotePrefix="0" xfId="0">
      <alignment horizontal="center" vertical="bottom"/>
    </xf>
    <xf numFmtId="2" fontId="0" fillId="3" borderId="3" applyAlignment="1" pivotButton="0" quotePrefix="0" xfId="0">
      <alignment horizontal="center" vertical="bottom"/>
    </xf>
    <xf numFmtId="2" fontId="0" fillId="0" borderId="0" applyAlignment="1" pivotButton="0" quotePrefix="0" xfId="0">
      <alignment horizontal="center" vertical="bottom"/>
    </xf>
    <xf numFmtId="0" fontId="4" fillId="2" borderId="8" applyAlignment="1" pivotButton="0" quotePrefix="0" xfId="0">
      <alignment horizontal="center" vertical="bottom"/>
    </xf>
    <xf numFmtId="0" fontId="7" fillId="3" borderId="12" applyAlignment="1" pivotButton="0" quotePrefix="0" xfId="0">
      <alignment horizontal="general" vertical="bottom" wrapText="1"/>
    </xf>
    <xf numFmtId="0" fontId="7" fillId="3" borderId="6" applyAlignment="1" pivotButton="0" quotePrefix="0" xfId="0">
      <alignment horizontal="center" vertical="bottom" wrapText="1"/>
    </xf>
    <xf numFmtId="0" fontId="7" fillId="3" borderId="10" applyAlignment="1" pivotButton="0" quotePrefix="0" xfId="0">
      <alignment horizontal="center" vertical="bottom" wrapText="1"/>
    </xf>
    <xf numFmtId="167" fontId="7" fillId="3" borderId="10" applyAlignment="1" pivotButton="0" quotePrefix="0" xfId="0">
      <alignment horizontal="center" vertical="bottom" wrapText="1"/>
    </xf>
    <xf numFmtId="0" fontId="7" fillId="3" borderId="3" applyAlignment="1" pivotButton="0" quotePrefix="0" xfId="0">
      <alignment horizontal="center" vertical="center" wrapText="1"/>
    </xf>
    <xf numFmtId="168" fontId="7" fillId="3" borderId="3" applyAlignment="1" pivotButton="0" quotePrefix="0" xfId="0">
      <alignment horizontal="center" vertical="bottom" wrapText="1"/>
    </xf>
    <xf numFmtId="0" fontId="7" fillId="3" borderId="5" applyAlignment="1" pivotButton="0" quotePrefix="0" xfId="0">
      <alignment horizontal="left" vertical="bottom"/>
    </xf>
    <xf numFmtId="0" fontId="5" fillId="3" borderId="5" applyAlignment="1" pivotButton="0" quotePrefix="0" xfId="0">
      <alignment horizontal="general" vertical="bottom"/>
    </xf>
    <xf numFmtId="0" fontId="7" fillId="3" borderId="4" applyAlignment="1" pivotButton="0" quotePrefix="0" xfId="0">
      <alignment horizontal="left" vertical="bottom"/>
    </xf>
    <xf numFmtId="0" fontId="5" fillId="3" borderId="4" applyAlignment="1" pivotButton="0" quotePrefix="0" xfId="0">
      <alignment horizontal="general" vertical="bottom"/>
    </xf>
    <xf numFmtId="0" fontId="21" fillId="0" borderId="3" applyAlignment="1" pivotButton="0" quotePrefix="0" xfId="0">
      <alignment horizontal="general" vertical="bottom"/>
    </xf>
    <xf numFmtId="0" fontId="7" fillId="0" borderId="0" applyAlignment="1" pivotButton="0" quotePrefix="0" xfId="0">
      <alignment horizontal="center" vertical="bottom"/>
    </xf>
    <xf numFmtId="0" fontId="21" fillId="3" borderId="5" applyAlignment="1" pivotButton="0" quotePrefix="0" xfId="0">
      <alignment horizontal="general" vertical="bottom"/>
    </xf>
    <xf numFmtId="0" fontId="7" fillId="3" borderId="5" applyAlignment="1" pivotButton="0" quotePrefix="0" xfId="0">
      <alignment horizontal="center" vertical="bottom"/>
    </xf>
    <xf numFmtId="0" fontId="5" fillId="3" borderId="0" applyAlignment="1" pivotButton="0" quotePrefix="0" xfId="0">
      <alignment horizontal="general" vertical="bottom"/>
    </xf>
    <xf numFmtId="169" fontId="5" fillId="3" borderId="3" applyAlignment="1" pivotButton="0" quotePrefix="0" xfId="0">
      <alignment horizontal="center" vertical="bottom"/>
    </xf>
    <xf numFmtId="0" fontId="12" fillId="3" borderId="3" applyAlignment="1" pivotButton="0" quotePrefix="0" xfId="0">
      <alignment horizontal="left" vertical="bottom"/>
    </xf>
    <xf numFmtId="0" fontId="9" fillId="0" borderId="0" applyAlignment="1" pivotButton="0" quotePrefix="0" xfId="0">
      <alignment horizontal="right" vertical="bottom" wrapText="1"/>
    </xf>
    <xf numFmtId="0" fontId="21" fillId="3" borderId="3" applyAlignment="1" pivotButton="0" quotePrefix="0" xfId="0">
      <alignment horizontal="center" vertical="bottom"/>
    </xf>
    <xf numFmtId="0" fontId="5" fillId="0" borderId="3" applyAlignment="1" pivotButton="0" quotePrefix="0" xfId="0">
      <alignment horizontal="center" vertical="top"/>
    </xf>
    <xf numFmtId="0" fontId="5" fillId="0" borderId="3" applyAlignment="1" pivotButton="0" quotePrefix="0" xfId="0">
      <alignment horizontal="left" vertical="top" wrapText="1"/>
    </xf>
    <xf numFmtId="0" fontId="5" fillId="0" borderId="3" applyAlignment="1" pivotButton="0" quotePrefix="0" xfId="0">
      <alignment horizontal="center" vertical="top" wrapText="1"/>
    </xf>
    <xf numFmtId="0" fontId="0" fillId="2" borderId="10" applyAlignment="1" pivotButton="0" quotePrefix="0" xfId="0">
      <alignment horizontal="general" vertical="bottom"/>
    </xf>
    <xf numFmtId="0" fontId="0" fillId="0" borderId="10" applyAlignment="1" pivotButton="0" quotePrefix="0" xfId="0">
      <alignment horizontal="general" vertical="bottom"/>
    </xf>
    <xf numFmtId="0" fontId="0" fillId="0" borderId="9" applyAlignment="1" pivotButton="0" quotePrefix="0" xfId="0">
      <alignment horizontal="general" vertical="bottom"/>
    </xf>
    <xf numFmtId="0" fontId="0" fillId="0" borderId="4" applyAlignment="1" pivotButton="0" quotePrefix="0" xfId="0">
      <alignment horizontal="center" vertical="bottom"/>
    </xf>
    <xf numFmtId="0" fontId="11" fillId="0" borderId="9" applyAlignment="1" pivotButton="0" quotePrefix="0" xfId="0">
      <alignment horizontal="general" vertical="bottom"/>
    </xf>
    <xf numFmtId="0" fontId="5" fillId="0" borderId="9" applyAlignment="1" pivotButton="0" quotePrefix="0" xfId="0">
      <alignment horizontal="general" vertical="bottom"/>
    </xf>
    <xf numFmtId="0" fontId="12" fillId="0" borderId="3"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comments/comment1.xml><?xml version="1.0" encoding="utf-8"?>
<comments xmlns="http://schemas.openxmlformats.org/spreadsheetml/2006/main">
  <authors>
    <author>Unknown Author</author>
  </authors>
  <commentList>
    <comment ref="C16" authorId="0" shapeId="0">
      <text>
        <t>Options are:
 Most flexible
 Moderately flexible
 Least flexible</t>
      </text>
    </comment>
    <comment ref="C17" authorId="0" shapeId="0">
      <text>
        <t>Options are:
 Most flexible
 Moderately flexible
 Least flexible</t>
      </text>
    </comment>
    <comment ref="C18" authorId="0" shapeId="0">
      <text>
        <t>Options are:
 Most flexible
 Moderately flexible
 Least flexible</t>
      </text>
    </comment>
    <comment ref="B19" authorId="0" shapeId="0">
      <text>
        <t xml:space="preserve">Note A for assumptions, C for constraints
</t>
      </text>
    </comment>
    <comment ref="C20" authorId="0" shapeId="0">
      <text>
        <t>This is a field you can use to identify risks by categories such as technological, personnel, etc.</t>
      </text>
    </comment>
  </commentList>
</comments>
</file>

<file path=xl/comments/comment2.xml><?xml version="1.0" encoding="utf-8"?>
<comments xmlns="http://schemas.openxmlformats.org/spreadsheetml/2006/main">
  <authors>
    <author>Unknown Author</author>
  </authors>
  <commentList>
    <comment ref="B8" authorId="0" shapeId="0">
      <text>
        <t xml:space="preserve">Options are:
 Green: On schedule/on budget
 Yellow: Somewhat behind schedule/somewhat over budget
 Red: Behind schedule/over budget
</t>
      </text>
    </comment>
    <comment ref="A28" authorId="0" shapeId="0">
      <text>
        <t xml:space="preserve">In Row 7 there are 10 deliverables listed. This section allows you to explain each deliverable.
</t>
      </text>
    </comment>
  </commentList>
</comments>
</file>

<file path=xl/comments/comment3.xml><?xml version="1.0" encoding="utf-8"?>
<comments xmlns="http://schemas.openxmlformats.org/spreadsheetml/2006/main">
  <authors>
    <author>Unknown Author</author>
  </authors>
  <commentList>
    <comment ref="A32" authorId="0" shapeId="0">
      <text>
        <t xml:space="preserve">How much is the money worth today?
</t>
      </text>
    </comment>
    <comment ref="D32" authorId="0" shapeId="0">
      <text>
        <t xml:space="preserve">How many years will the project last?
</t>
      </text>
    </comment>
    <comment ref="F32" authorId="0" shapeId="0">
      <text>
        <t>This is how much money  you expect the project to be worth.</t>
      </text>
    </comment>
    <comment ref="A36" authorId="0" shapeId="0">
      <text>
        <t xml:space="preserve">This is how much money  you expect the project to be worth.
</t>
      </text>
    </comment>
    <comment ref="D36" authorId="0" shapeId="0">
      <text>
        <t xml:space="preserve">How many years will it take until the company starts seeing this profit?
</t>
      </text>
    </comment>
    <comment ref="F36" authorId="0" shapeId="0">
      <text>
        <t xml:space="preserve">This is how much the money you project making would be worth in today's market.
</t>
      </text>
    </comment>
    <comment ref="B40" authorId="0" shapeId="0">
      <text>
        <t>FV for the period's return. Note: Change the PV # Periods to match the Period here.</t>
      </text>
    </comment>
    <comment ref="F40" authorId="0" shapeId="0">
      <text>
        <t xml:space="preserve">This is how much the money you project making would be worth in today's market.
</t>
      </text>
    </comment>
  </commentList>
</comments>
</file>

<file path=xl/comments/comment4.xml><?xml version="1.0" encoding="utf-8"?>
<comments xmlns="http://schemas.openxmlformats.org/spreadsheetml/2006/main">
  <authors>
    <author>Unknown Author</author>
  </authors>
  <commentList>
    <comment ref="C6" authorId="0" shapeId="0">
      <text>
        <t>Probability:
 4: Highly likely/probable (76%-100%)
 3: Likely (51%-75%)
 2: Somewhat likely (26%-50%)
 1: Unlikely/improbable (0%-25%)</t>
      </text>
    </comment>
    <comment ref="D6" authorId="0" shapeId="0">
      <text>
        <t>Impact:
 4: Critical: Threatens the viability of the business or represents failure of the project
 3: Severe: Threatens the achievement of business vision or severely reduces project benefits
 2: Moderate: May delay achievement of the vision or reduce project benefits
 1: Minimal/minor: No impact on business vision but may increase project costs and timescales</t>
      </text>
    </comment>
    <comment ref="E6" authorId="0" shapeId="0">
      <text>
        <t>Detectability:
 4: Determined after impact has been realized
 3: Realized upon trigger event
 2: Immediately prior to trigger event; can be   mitigated prior to trigger if monitored
 1: Determined well in advance of occurrence or trigger event</t>
      </text>
    </comment>
    <comment ref="G6" authorId="0" shapeId="0">
      <text>
        <t>This is a field you can use to identify risks by categories such as technological, personnel, etc.</t>
      </text>
    </comment>
    <comment ref="I6" authorId="0" shapeId="0">
      <text>
        <t>Options are:
  Avoidance
  Transference
  Mitigation
  Acceptance
Include a description of what actions are taken to implement the response.</t>
      </text>
    </comment>
    <comment ref="L6" authorId="0" shapeId="0">
      <text>
        <t xml:space="preserve">Options are:
 Open
 Closed
</t>
      </text>
    </comment>
  </commentList>
</comments>
</file>

<file path=xl/comments/comment5.xml><?xml version="1.0" encoding="utf-8"?>
<comments xmlns="http://schemas.openxmlformats.org/spreadsheetml/2006/main">
  <authors>
    <author>Unknown Author</author>
  </authors>
  <commentList>
    <comment ref="F6" authorId="0" shapeId="0">
      <text>
        <t>Options are:
 5: High
 4: Medium-high
 3: Medium
 2: Low-medium
 1: Low</t>
      </text>
    </comment>
  </commentList>
</comments>
</file>

<file path=xl/comments/comment6.xml><?xml version="1.0" encoding="utf-8"?>
<comments xmlns="http://schemas.openxmlformats.org/spreadsheetml/2006/main">
  <authors>
    <author>Unknown Author</author>
  </authors>
  <commentList>
    <comment ref="D6" authorId="0" shapeId="0">
      <text>
        <t>Options are:
 Open 
 Closed</t>
      </text>
    </comment>
  </commentList>
</comments>
</file>

<file path=xl/comments/comment7.xml><?xml version="1.0" encoding="utf-8"?>
<comments xmlns="http://schemas.openxmlformats.org/spreadsheetml/2006/main">
  <authors>
    <author>Unknown Author</author>
  </authors>
  <commentList>
    <comment ref="D6" authorId="0" shapeId="0">
      <text>
        <t xml:space="preserve">Options are:
 Open
 Closed
</t>
      </text>
    </comment>
  </commentList>
</comments>
</file>

<file path=xl/comments/comment8.xml><?xml version="1.0" encoding="utf-8"?>
<comments xmlns="http://schemas.openxmlformats.org/spreadsheetml/2006/main">
  <authors>
    <author>Unknown Author</author>
  </authors>
  <commentList>
    <comment ref="E6" authorId="0" shapeId="0">
      <text>
        <t xml:space="preserve">Insert team member roles in this row.
</t>
      </text>
    </comment>
    <comment ref="D10" authorId="0" shapeId="0">
      <text>
        <t xml:space="preserve">Insert project tasks for this phase in this column.
</t>
      </text>
    </comment>
    <comment ref="D17" authorId="0" shapeId="0">
      <text>
        <t xml:space="preserve">Insert project tasks for this phase in this column.
</t>
      </text>
    </comment>
    <comment ref="D42" authorId="0" shapeId="0">
      <text>
        <t xml:space="preserve">Insert project tasks for this phase in this column.
</t>
      </text>
    </comment>
    <comment ref="D50" authorId="0" shapeId="0">
      <text>
        <t xml:space="preserve">Insert project tasks for this phase in this column.
</t>
      </text>
    </comment>
  </commentList>
</comments>
</file>

<file path=xl/comments/comment9.xml><?xml version="1.0" encoding="utf-8"?>
<comments xmlns="http://schemas.openxmlformats.org/spreadsheetml/2006/main">
  <authors>
    <author>Unknown Author</author>
  </authors>
  <commentList>
    <comment ref="D6" authorId="0" shapeId="0">
      <text>
        <t xml:space="preserve">Options are:
 A: assumption
 C: constraint
</t>
      </text>
    </comment>
    <comment ref="E6" authorId="0" shapeId="0">
      <text>
        <t>Options are:
 Open 
 Closed</t>
      </text>
    </comment>
  </commentList>
</comments>
</file>

<file path=xl/comments/comment10.xml><?xml version="1.0" encoding="utf-8"?>
<comments xmlns="http://schemas.openxmlformats.org/spreadsheetml/2006/main">
  <authors>
    <author>Unknown Author</author>
  </authors>
  <commentList>
    <comment ref="D6" authorId="0" shapeId="0">
      <text>
        <t>Who made the decision?</t>
      </text>
    </comment>
    <comment ref="E6" authorId="0" shapeId="0">
      <text>
        <t>Options are:
 Open
 Closed</t>
      </text>
    </comment>
  </commentList>
</comments>
</file>

<file path=xl/comments/comment11.xml><?xml version="1.0" encoding="utf-8"?>
<comments xmlns="http://schemas.openxmlformats.org/spreadsheetml/2006/main">
  <authors>
    <author>Unknown Author</author>
  </authors>
  <commentList>
    <comment ref="E6" authorId="0" shapeId="0">
      <text>
        <t>Examples:
 E-mail
 Meeting</t>
      </text>
    </comment>
    <comment ref="B7" authorId="0" shapeId="0">
      <text>
        <t>Examples:
 Executive status report
 Team status report</t>
      </text>
    </comment>
  </commentList>
</comments>
</file>

<file path=xl/comments/comment12.xml><?xml version="1.0" encoding="utf-8"?>
<comments xmlns="http://schemas.openxmlformats.org/spreadsheetml/2006/main">
  <authors>
    <author>Unknown Author</author>
  </authors>
  <commentList>
    <comment ref="D6" authorId="0" shapeId="0">
      <text>
        <t>Options are:
 5: High
 4: Medium-high
 3: Medium
 2: Low-medium
 1: Low</t>
      </text>
    </comment>
    <comment ref="E6" authorId="0" shapeId="0">
      <text>
        <t>Options are:
 5: High
 4: Medium-high
 3: Medium
 2: Low-medium
 1: Low</t>
      </text>
    </comment>
  </commentList>
</comments>
</file>

<file path=xl/comments/comment13.xml><?xml version="1.0" encoding="utf-8"?>
<comments xmlns="http://schemas.openxmlformats.org/spreadsheetml/2006/main">
  <authors>
    <author>Unknown Author</author>
  </authors>
  <commentList>
    <comment ref="C6" authorId="0" shapeId="0">
      <text>
        <t>Options are:
 5: High
 4: Medium-high
 3: Medium
 2: Low-medium
 1: Low</t>
      </text>
    </comment>
    <comment ref="D6" authorId="0" shapeId="0">
      <text>
        <t xml:space="preserve">Who identified the change needed?
</t>
      </text>
    </comment>
    <comment ref="G6" authorId="0" shapeId="0">
      <text>
        <t xml:space="preserve">Who will decide what action is taken on the change?
</t>
      </text>
    </comment>
    <comment ref="H6" authorId="0" shapeId="0">
      <text>
        <t xml:space="preserve">Options are:
 In review
 Rejected
 Deferred
 Approved
</t>
      </text>
    </comment>
    <comment ref="J6" authorId="0" shapeId="0">
      <text>
        <t>Options are:
 No
 Rev. #</t>
      </text>
    </comment>
  </commentList>
</comments>
</file>

<file path=xl/comments/comment14.xml><?xml version="1.0" encoding="utf-8"?>
<comments xmlns="http://schemas.openxmlformats.org/spreadsheetml/2006/main">
  <authors>
    <author>Unknown Author</author>
  </authors>
  <commentList>
    <comment ref="E6" authorId="0" shapeId="0">
      <text>
        <t>Options are:
 In review
 Rejected
 Accepted</t>
      </text>
    </comment>
  </commentList>
</comments>
</file>

<file path=xl/comments/comment15.xml><?xml version="1.0" encoding="utf-8"?>
<comments xmlns="http://schemas.openxmlformats.org/spreadsheetml/2006/main">
  <authors>
    <author>Unknown Author</author>
  </authors>
  <commentList>
    <comment ref="C7" authorId="0" shapeId="0">
      <text>
        <t>Estimate of total hours needed for this task</t>
      </text>
    </comment>
    <comment ref="E7" authorId="0" shapeId="0">
      <text>
        <t>Number of hours that member has available</t>
      </text>
    </comment>
    <comment ref="F7" authorId="0" shapeId="0">
      <text>
        <t xml:space="preserve">Available Hours divided by Duration (Weeks). However, if Effort Hours  is less than Available Hours, then Effort Hours divided by Duration (Weeks).
</t>
      </text>
    </comment>
  </commentList>
</comments>
</file>

<file path=xl/comments/comment16.xml><?xml version="1.0" encoding="utf-8"?>
<comments xmlns="http://schemas.openxmlformats.org/spreadsheetml/2006/main">
  <authors>
    <author>Unknown Author</author>
  </authors>
  <commentList>
    <comment ref="C7" authorId="0" shapeId="0">
      <text>
        <t>Brief description of proposed project</t>
      </text>
    </comment>
    <comment ref="D7" authorId="0" shapeId="0">
      <text>
        <t>Type of project (e.g., product development, market expansion, legal requirement, regulatory mandate, strategic)</t>
      </text>
    </comment>
    <comment ref="E7" authorId="0" shapeId="0">
      <text>
        <t>Executive team member serving as primary champion or "cheerleader" for the project</t>
      </text>
    </comment>
    <comment ref="F7" authorId="0" shapeId="0">
      <text>
        <t>Organizational goals and/or strategic objectives that align with project</t>
      </text>
    </comment>
    <comment ref="G7" authorId="0" shapeId="0">
      <text>
        <t xml:space="preserve">Options are:
4: &gt; 2 years
3: &gt; 1 year
2: 6 - 12 months
1: 0 - 6 months
</t>
      </text>
    </comment>
    <comment ref="H7" authorId="0" shapeId="0">
      <text>
        <t>Options are:
4: &gt; $1 million
3: &gt; $500,000
2: $100,000 - $500,000
1: Up to $100,000</t>
      </text>
    </comment>
    <comment ref="I7" authorId="0" shapeId="0">
      <text>
        <t>Options are:
4: 1 - 6 months
3: 6 - 24 months
2: 2 years+
1: never</t>
      </text>
    </comment>
    <comment ref="J7" authorId="0" shapeId="0">
      <text>
        <t>Options are:
Active
Approved
Rejected
Under review
Postponed</t>
      </text>
    </comment>
    <comment ref="K7" authorId="0" shapeId="0">
      <text>
        <t>Priority of this project compared to the other projects in the portfolio</t>
      </text>
    </comment>
  </commentList>
</comments>
</file>

<file path=xl/comments/comment17.xml><?xml version="1.0" encoding="utf-8"?>
<comments xmlns="http://schemas.openxmlformats.org/spreadsheetml/2006/main">
  <authors>
    <author>Unknown Author</author>
  </authors>
  <commentList>
    <comment ref="G6" authorId="0" shapeId="0">
      <text>
        <t xml:space="preserve">Options:
Red: Significantly off target
Yellow: Off target or trending outside of acceptable limits
Green: On target
Blue: Requires executive attention or awaiting critical decision(s)
</t>
      </text>
    </comment>
    <comment ref="K7" authorId="0" shapeId="0">
      <text>
        <t xml:space="preserve">Options:
Proceed
Cancel
Suspend
Re-Prioritize
</t>
      </text>
    </comment>
    <comment ref="G21" authorId="0" shapeId="0">
      <text>
        <t xml:space="preserve">Options:
Red: Significantly off target
Yellow: Off target or trending outside of acceptable limits
Green: On target
Blue: Requires executive attention or awaiting critical decision(s)
</t>
      </text>
    </comment>
    <comment ref="K22" authorId="0" shapeId="0">
      <text>
        <t xml:space="preserve">Options:
Proceed
Cancel
Suspend
Re-Prioritize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1.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4.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6.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7.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8.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9.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21.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22.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28.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30.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31.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filterMode="0">
    <outlinePr summaryBelow="1" summaryRight="1"/>
    <pageSetUpPr fitToPage="0"/>
  </sheetPr>
  <dimension ref="A1:B3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0546875" defaultRowHeight="12.5" zeroHeight="0" outlineLevelRow="0"/>
  <cols>
    <col width="15.72" customWidth="1" style="188" min="1" max="1"/>
    <col width="100.72" customWidth="1" style="188" min="2" max="2"/>
  </cols>
  <sheetData>
    <row r="1" ht="15.5" customHeight="1" s="189">
      <c r="A1" s="190" t="inlineStr">
        <is>
          <t>Project Workbook Information</t>
        </is>
      </c>
      <c r="B1" s="191" t="n"/>
    </row>
    <row r="2" ht="12.5" customHeight="1" s="189">
      <c r="A2" s="192" t="n"/>
      <c r="B2" s="193" t="n"/>
    </row>
    <row r="3" ht="25.5" customHeight="1" s="189">
      <c r="A3" s="194" t="inlineStr">
        <is>
          <t>The project workbook allows project managers, team members, sponsors, and stakeholders to easily track and monitor project activities. Any of these worksheets can easily be broken out into separate documents.</t>
        </is>
      </c>
      <c r="B3" s="191" t="n"/>
    </row>
    <row r="4" ht="13" customHeight="1" s="189">
      <c r="A4" s="195" t="n"/>
      <c r="B4" s="194" t="n"/>
    </row>
    <row r="5" ht="13" customHeight="1" s="189">
      <c r="A5" s="196" t="inlineStr">
        <is>
          <t>Suggested Sheets for All Projects</t>
        </is>
      </c>
      <c r="B5" s="197" t="n"/>
    </row>
    <row r="6" ht="24" customHeight="1" s="189">
      <c r="A6" s="198" t="inlineStr">
        <is>
          <t>Data</t>
        </is>
      </c>
      <c r="B6" s="199" t="inlineStr">
        <is>
          <t>Filling out the Data sheet completes the header portion of all remaining sheets in the project workbook.</t>
        </is>
      </c>
    </row>
    <row r="7" ht="24" customHeight="1" s="189">
      <c r="A7" s="198" t="inlineStr">
        <is>
          <t>Minicharter</t>
        </is>
      </c>
      <c r="B7" s="199" t="inlineStr">
        <is>
          <t>The Project Minicharter sheet can be used as a charter for small projects or a summarization of a full charter for larger projects.</t>
        </is>
      </c>
    </row>
    <row r="8" ht="24" customHeight="1" s="189">
      <c r="A8" s="198" t="inlineStr">
        <is>
          <t>Stoplight</t>
        </is>
      </c>
      <c r="B8" s="199" t="inlineStr">
        <is>
          <t>The Stoplight Report sheet contains a status report that can be used to keep sponsors, team members, and stakeholders informed of project progress.</t>
        </is>
      </c>
    </row>
    <row r="9" ht="24" customHeight="1" s="189">
      <c r="A9" s="198" t="inlineStr">
        <is>
          <t>Budget</t>
        </is>
      </c>
      <c r="B9" s="199" t="inlineStr">
        <is>
          <t>The Budget sheet allows you to track original budget, expenditures to date, and any cost variance.</t>
        </is>
      </c>
    </row>
    <row r="10" ht="24" customHeight="1" s="189">
      <c r="A10" s="198" t="inlineStr">
        <is>
          <t>CBA</t>
        </is>
      </c>
      <c r="B10" s="199" t="inlineStr">
        <is>
          <t>The Cost/Benefit Analysis sheet allows you to review the proposed project and potential alternatives and make a project selection based on a greater ROI (return on investment).</t>
        </is>
      </c>
    </row>
    <row r="11" ht="24" customHeight="1" s="189">
      <c r="A11" s="198" t="inlineStr">
        <is>
          <t>Risks</t>
        </is>
      </c>
      <c r="B11" s="199" t="inlineStr">
        <is>
          <t>The Risk Management Matrix sheet allows you to identify, qualify, quantify, and prioritize risks (events that might happen; the uncertainty of a project), create mitigation and contingency plans, and assign risks owners.</t>
        </is>
      </c>
    </row>
    <row r="12" ht="24" customHeight="1" s="189">
      <c r="A12" s="198" t="inlineStr">
        <is>
          <t>Issues</t>
        </is>
      </c>
      <c r="B12" s="199" t="inlineStr">
        <is>
          <t>The Issues Log sheet allows you to identify and monitor project issues (unplanned events that have happened).</t>
        </is>
      </c>
    </row>
    <row r="13" ht="24" customHeight="1" s="189">
      <c r="A13" s="198" t="inlineStr">
        <is>
          <t>Action</t>
        </is>
      </c>
      <c r="B13" s="199" t="inlineStr">
        <is>
          <t>The Action Items sheet allows you to track and monitor action items assigned to team members. Action items are tasks that must be done but are too insignificant from a time perspective to track in your project schedule.</t>
        </is>
      </c>
    </row>
    <row r="14" ht="24" customHeight="1" s="189">
      <c r="A14" s="198" t="inlineStr">
        <is>
          <t>Miles</t>
        </is>
      </c>
      <c r="B14" s="199" t="inlineStr">
        <is>
          <t>The Deliverable Milestones sheet allows you to identify major deliverable milestones and the due dates, objectives, assumptions, and constraints relevant to that deliverable milestone.</t>
        </is>
      </c>
    </row>
    <row r="15" ht="24" customHeight="1" s="189">
      <c r="A15" s="198" t="inlineStr">
        <is>
          <t>WBS</t>
        </is>
      </c>
      <c r="B15" s="199" t="inlineStr">
        <is>
          <t>The Work Breakdown Structure sheet includes the activities that must be completed during a project, the effort required, all relevant dates, and the resources assigned to do the work.</t>
        </is>
      </c>
    </row>
    <row r="16" ht="24" customHeight="1" s="189">
      <c r="A16" s="198" t="inlineStr">
        <is>
          <t>Roster</t>
        </is>
      </c>
      <c r="B16" s="199" t="inlineStr">
        <is>
          <t>The Roster sheet provides contact information for all those involved on the project.</t>
        </is>
      </c>
    </row>
    <row r="17" ht="24" customHeight="1" s="189">
      <c r="A17" s="198" t="inlineStr">
        <is>
          <t>R&amp;R</t>
        </is>
      </c>
      <c r="B17" s="199" t="inlineStr">
        <is>
          <t>The Roles and Responsibilities sheet shows the primary role of team members, any deliverables in which they are involved, and the percentage of time they are expected to work on the project.</t>
        </is>
      </c>
    </row>
    <row r="18" ht="24" customHeight="1" s="189">
      <c r="A18" s="198" t="inlineStr">
        <is>
          <t>RAM</t>
        </is>
      </c>
      <c r="B18" s="199" t="inlineStr">
        <is>
          <t>The Resource Assignment Matrix sheet shows you what type of resource is responsible for, or somehow involved with, each deliverable. The tasks listed are samples; you should update the RAM with tasks appropriate for your project.</t>
        </is>
      </c>
    </row>
    <row r="19" ht="24" customHeight="1" s="189">
      <c r="A19" s="198" t="inlineStr">
        <is>
          <t>RCM</t>
        </is>
      </c>
      <c r="B19" s="199" t="inlineStr">
        <is>
          <t>The Resource Commitment Matrix sheet shows how many effort hours each person on the project has been allocated by month.</t>
        </is>
      </c>
    </row>
    <row r="20" ht="24" customHeight="1" s="189">
      <c r="A20" s="198" t="inlineStr">
        <is>
          <t>A&amp;C</t>
        </is>
      </c>
      <c r="B20" s="199" t="inlineStr">
        <is>
          <t>The Assumptions and Constraints sheet allows you to track project assumptions and constraints.</t>
        </is>
      </c>
    </row>
    <row r="21" ht="24" customHeight="1" s="189">
      <c r="A21" s="198" t="inlineStr">
        <is>
          <t>Decision</t>
        </is>
      </c>
      <c r="B21" s="199" t="inlineStr">
        <is>
          <t>The Decision Log sheet allows you to track all major decisions made during the course of the project.</t>
        </is>
      </c>
    </row>
    <row r="22" ht="24" customHeight="1" s="189">
      <c r="A22" s="198" t="inlineStr">
        <is>
          <t>Comm</t>
        </is>
      </c>
      <c r="B22" s="199" t="inlineStr">
        <is>
          <t>The Communication Plan sheet allows you to detail your communication plan: how you are going to communicate, whom you will be communicating with, how often, in what format, etc.</t>
        </is>
      </c>
    </row>
    <row r="23" ht="24" customHeight="1" s="189">
      <c r="A23" s="198" t="inlineStr">
        <is>
          <t>Stake</t>
        </is>
      </c>
      <c r="B23" s="199" t="inlineStr">
        <is>
          <t>The Stakeholder Analysis sheet allows you to identify stakeholders, their role, and their requirements.</t>
        </is>
      </c>
    </row>
    <row r="24" ht="24" customHeight="1" s="189">
      <c r="A24" s="198" t="inlineStr">
        <is>
          <t>Expectations</t>
        </is>
      </c>
      <c r="B24" s="200" t="inlineStr">
        <is>
          <t>The Expectations sheet allows you to identify and track the expectations of various stakeholders.</t>
        </is>
      </c>
    </row>
    <row r="25" ht="24" customHeight="1" s="189">
      <c r="A25" s="198" t="inlineStr">
        <is>
          <t>Chg Log</t>
        </is>
      </c>
      <c r="B25" s="199" t="inlineStr">
        <is>
          <t>The Change Control Log sheet allows you to track all change requests that are in process or finalized.</t>
        </is>
      </c>
    </row>
    <row r="26" ht="13" customHeight="1" s="189">
      <c r="A26" s="198" t="inlineStr">
        <is>
          <t>Deliver</t>
        </is>
      </c>
      <c r="B26" s="199" t="inlineStr">
        <is>
          <t>The Deliverable Acceptance Log sheet allows you to track the status of deliverable acceptances.</t>
        </is>
      </c>
    </row>
    <row r="27" ht="13" customHeight="1" s="189">
      <c r="A27" s="198" t="inlineStr">
        <is>
          <t>PERT</t>
        </is>
      </c>
      <c r="B27" s="199" t="inlineStr">
        <is>
          <t>The PERT Analysis sheet allows you to perform PERT analysis on WBS tasks.</t>
        </is>
      </c>
    </row>
    <row r="28" ht="13" customHeight="1" s="189">
      <c r="A28" s="198" t="inlineStr">
        <is>
          <t>Delphi</t>
        </is>
      </c>
      <c r="B28" s="199" t="inlineStr">
        <is>
          <t>The Delphi Exercise sheet allows you to develop estimates for WBS tasks through the Delphi technique.</t>
        </is>
      </c>
    </row>
    <row r="29" ht="13" customHeight="1" s="189">
      <c r="A29" s="198" t="inlineStr">
        <is>
          <t>TimeSum</t>
        </is>
      </c>
      <c r="B29" s="199" t="inlineStr">
        <is>
          <t>The Timesheet Totals sheet allows you to track effort hours of your entire team by individual and by month.</t>
        </is>
      </c>
    </row>
    <row r="30" ht="13" customHeight="1" s="189">
      <c r="A30" s="198" t="inlineStr">
        <is>
          <t>Timesheet</t>
        </is>
      </c>
      <c r="B30" s="199" t="inlineStr">
        <is>
          <t>The Timesheet can be used by each team member to submit effort hours by activity, by month.</t>
        </is>
      </c>
    </row>
    <row r="31" ht="26" customHeight="1" s="189">
      <c r="A31" s="198" t="inlineStr">
        <is>
          <t>Size Est</t>
        </is>
      </c>
      <c r="B31" s="199" t="inlineStr">
        <is>
          <t>The Initial Project Size Estimate sheet allows you to estimate, at high-levels (40,000 ft. view), the size of a project. This estimate should not be considered final as requirements and technical specifications typically have not been fully developed yet.</t>
        </is>
      </c>
    </row>
    <row r="32" ht="26" customHeight="1" s="189">
      <c r="A32" s="198" t="inlineStr">
        <is>
          <t>Res Load</t>
        </is>
      </c>
      <c r="B32" s="199" t="inlineStr">
        <is>
          <t xml:space="preserve">The Resource Loading sheet allows you to identify the work effort required, the duration, and the allowed commitment level of each person assigned to the project. </t>
        </is>
      </c>
    </row>
    <row r="33" ht="13" customHeight="1" s="189">
      <c r="A33" s="198" t="inlineStr">
        <is>
          <t>Qual Metrics</t>
        </is>
      </c>
      <c r="B33" s="200" t="inlineStr">
        <is>
          <t xml:space="preserve">The Project Quality Metrics sheet allows you to identify critical success criteria, related quality metrics, and their priority. </t>
        </is>
      </c>
    </row>
    <row r="34" ht="13" customHeight="1" s="189">
      <c r="A34" s="198" t="inlineStr">
        <is>
          <t>Project Register</t>
        </is>
      </c>
      <c r="B34" s="200" t="inlineStr">
        <is>
          <t>The Project Register sheet allows you to identfy executive champions, goal/strategy alignment, and order of magnitude.</t>
        </is>
      </c>
    </row>
    <row r="35" ht="13" customHeight="1" s="189">
      <c r="A35" s="198" t="inlineStr">
        <is>
          <t>Portfolio Review</t>
        </is>
      </c>
      <c r="B35" s="200" t="inlineStr">
        <is>
          <t>The Portfolio Review sheet identifies the CPI and SPI, status, and recommendations for each project in the portfolio.</t>
        </is>
      </c>
    </row>
    <row r="37" ht="12.5" customHeight="1" s="189">
      <c r="B37" s="201" t="inlineStr">
        <is>
          <t>© Global Knowledge Training LLC</t>
        </is>
      </c>
    </row>
  </sheetData>
  <mergeCells count="3">
    <mergeCell ref="A3:B3"/>
    <mergeCell ref="A1:B1"/>
    <mergeCell ref="A5:B5"/>
  </mergeCells>
  <printOptions horizontalCentered="0" verticalCentered="0" headings="0" gridLines="1"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8" activeCellId="0" sqref="B8"/>
    </sheetView>
  </sheetViews>
  <sheetFormatPr baseColWidth="8" defaultColWidth="9.171875" defaultRowHeight="13" zeroHeight="0" outlineLevelRow="0"/>
  <cols>
    <col width="16.53" customWidth="1" style="202" min="1" max="1"/>
    <col width="28.53" customWidth="1" style="203" min="2" max="2"/>
    <col width="9.17" customWidth="1" style="203" min="3" max="257"/>
  </cols>
  <sheetData>
    <row r="1" ht="13" customHeight="1" s="189">
      <c r="A1" s="204" t="inlineStr">
        <is>
          <t>Project</t>
        </is>
      </c>
      <c r="B1" s="203" t="inlineStr">
        <is>
          <t>Personal Cybersecurity Risk Scanner</t>
        </is>
      </c>
    </row>
    <row r="2" ht="13" customHeight="1" s="189">
      <c r="A2" s="204" t="inlineStr">
        <is>
          <t>Project #</t>
        </is>
      </c>
      <c r="B2" s="203" t="inlineStr">
        <is>
          <t>#12</t>
        </is>
      </c>
    </row>
    <row r="3" ht="13" customHeight="1" s="189">
      <c r="A3" s="204" t="inlineStr">
        <is>
          <t>Project manager</t>
        </is>
      </c>
      <c r="B3" s="203" t="inlineStr">
        <is>
          <t>Mohammedreda El aroui</t>
        </is>
      </c>
    </row>
    <row r="4" ht="13" customHeight="1" s="189">
      <c r="A4" s="204" t="inlineStr">
        <is>
          <t>Sponsor</t>
        </is>
      </c>
      <c r="B4" s="203" t="inlineStr">
        <is>
          <t>Mohamed AAZI</t>
        </is>
      </c>
    </row>
    <row r="5" ht="13" customHeight="1" s="189">
      <c r="A5" s="204" t="inlineStr">
        <is>
          <t>Project artifacts</t>
        </is>
      </c>
      <c r="B5" s="203" t="inlineStr">
        <is>
          <t>https://github.com/project12/personal-cybersecurity-risk-scanner</t>
        </is>
      </c>
    </row>
    <row r="6" ht="13" customHeight="1" s="189">
      <c r="A6" s="204" t="inlineStr">
        <is>
          <t>Last updated</t>
        </is>
      </c>
      <c r="B6" s="203" t="inlineStr">
        <is>
          <t>2/4/2026</t>
        </is>
      </c>
    </row>
    <row r="8" ht="13" customHeight="1" s="189">
      <c r="B8" s="201" t="inlineStr">
        <is>
          <t>© Global Knowledge Training LLC</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49"/>
  <sheetViews>
    <sheetView showFormulas="0" showGridLines="1" showRowColHeaders="1" showZeros="1" rightToLeft="0" tabSelected="0" showOutlineSymbols="1" defaultGridColor="1" view="normal" topLeftCell="A19" colorId="64" zoomScale="100" zoomScaleNormal="100" zoomScalePageLayoutView="100" workbookViewId="0">
      <selection pane="topLeft" activeCell="D49" activeCellId="0" sqref="D49"/>
    </sheetView>
  </sheetViews>
  <sheetFormatPr baseColWidth="8" defaultColWidth="9.0546875" defaultRowHeight="12.5" zeroHeight="0" outlineLevelRow="0"/>
  <cols>
    <col width="17.72" customWidth="1" style="205" min="1" max="1"/>
    <col width="49.72" customWidth="1" style="188" min="2" max="2"/>
    <col width="10.72" customWidth="1" style="188" min="3" max="3"/>
    <col width="57.53" customWidth="1" style="188" min="4" max="4"/>
  </cols>
  <sheetData>
    <row r="1" ht="15.5" customHeight="1" s="189">
      <c r="A1" s="206" t="inlineStr">
        <is>
          <t>Project Minicharter</t>
        </is>
      </c>
    </row>
    <row r="2" ht="13" customHeight="1" s="189">
      <c r="A2" s="207" t="inlineStr">
        <is>
          <t>Project</t>
        </is>
      </c>
      <c r="B2" s="208">
        <f>Data!B1</f>
        <v/>
      </c>
      <c r="C2" s="207" t="inlineStr">
        <is>
          <t>Project #</t>
        </is>
      </c>
      <c r="D2" s="208">
        <f>Data!B2</f>
        <v/>
      </c>
    </row>
    <row r="3" ht="13" customHeight="1" s="189">
      <c r="A3" s="207" t="inlineStr">
        <is>
          <t>Project manager</t>
        </is>
      </c>
      <c r="B3" s="208">
        <f>Data!B3</f>
        <v/>
      </c>
      <c r="C3" s="207" t="inlineStr">
        <is>
          <t>Sponsor</t>
        </is>
      </c>
      <c r="D3" s="208">
        <f>Data!B4</f>
        <v/>
      </c>
    </row>
    <row r="4" ht="13" customHeight="1" s="189">
      <c r="A4" s="207" t="inlineStr">
        <is>
          <t>Project artifacts</t>
        </is>
      </c>
      <c r="B4" s="208">
        <f>Data!B5</f>
        <v/>
      </c>
      <c r="C4" s="207" t="inlineStr">
        <is>
          <t>Updated</t>
        </is>
      </c>
      <c r="D4" s="208">
        <f>Data!B6</f>
        <v/>
      </c>
    </row>
    <row r="5" ht="72" customHeight="1" s="189">
      <c r="A5" s="209" t="inlineStr">
        <is>
          <t>Background</t>
        </is>
      </c>
      <c r="B5" s="210" t="inlineStr">
        <is>
          <t>Individuals and small organizations lack visibility into their cybersecurity posture. Many users unknowingly expose themselves through weak passwords, open ports, outdated software, or insecure configurations.</t>
        </is>
      </c>
      <c r="C5" s="211" t="n"/>
      <c r="D5" s="197" t="n"/>
    </row>
    <row r="6" ht="72" customHeight="1" s="189">
      <c r="A6" s="212" t="inlineStr">
        <is>
          <t>Business need and business benefits</t>
        </is>
      </c>
      <c r="B6" s="199" t="inlineStr">
        <is>
          <t>Increase cybersecurity awareness for non-experts; Provide accessible and affordable risk assessment; Reduce exposure to common attacks; Enable proactive security practices; Potential SaaS tool for individuals or SMEs.</t>
        </is>
      </c>
      <c r="C6" s="213" t="n"/>
      <c r="D6" s="214" t="n"/>
    </row>
    <row r="7" ht="72" customHeight="1" s="189">
      <c r="A7" s="209" t="inlineStr">
        <is>
          <t>Objectives</t>
        </is>
      </c>
      <c r="B7" s="199" t="inlineStr">
        <is>
          <t>1. Develop a personal cybersecurity risk scanner tool. 2. Implement automated scanning of user environment. 3. Generate actionable risk scores and recommendations. 4. Deliver a simple dashboard/report for end-users.</t>
        </is>
      </c>
      <c r="C7" s="213" t="n"/>
      <c r="D7" s="214" t="n"/>
    </row>
    <row r="8" ht="12.5" customHeight="1" s="189">
      <c r="A8" s="212" t="inlineStr">
        <is>
          <t>Scope</t>
        </is>
      </c>
      <c r="B8" s="207" t="inlineStr">
        <is>
          <t>In Scope</t>
        </is>
      </c>
      <c r="C8" s="198" t="inlineStr">
        <is>
          <t>Out of Scope</t>
        </is>
      </c>
      <c r="D8" s="214" t="n"/>
    </row>
    <row r="9" ht="13" customHeight="1" s="189">
      <c r="A9" s="215" t="n"/>
      <c r="B9" s="216" t="inlineStr">
        <is>
          <t>Port scanning, password strength evaluation, vulnerability/config checking, risk scoring, dashboard</t>
        </is>
      </c>
      <c r="C9" s="217" t="n"/>
      <c r="D9" s="214" t="n"/>
    </row>
    <row r="10" ht="13" customHeight="1" s="189">
      <c r="A10" s="215" t="n"/>
      <c r="B10" s="216" t="inlineStr">
        <is>
          <t>Enterprise security auditing, penetration testing, hardware security assessments, cloud deployment (v1)</t>
        </is>
      </c>
      <c r="C10" s="217" t="n"/>
      <c r="D10" s="214" t="n"/>
    </row>
    <row r="11" ht="13" customHeight="1" s="189">
      <c r="A11" s="218" t="n"/>
      <c r="B11" s="200" t="n"/>
      <c r="C11" s="199" t="n"/>
      <c r="D11" s="214" t="n"/>
    </row>
    <row r="12" ht="12.5" customHeight="1" s="189">
      <c r="A12" s="212" t="inlineStr">
        <is>
          <t>Deliverables</t>
        </is>
      </c>
      <c r="B12" s="207" t="inlineStr">
        <is>
          <t>Cybersecurity Risk Scanner (CLI/Desktop app)</t>
        </is>
      </c>
      <c r="C12" s="198" t="inlineStr">
        <is>
          <t>Due Date</t>
        </is>
      </c>
      <c r="D12" s="214" t="n"/>
    </row>
    <row r="13" ht="13" customHeight="1" s="189">
      <c r="A13" s="215" t="n"/>
      <c r="B13" s="216" t="inlineStr">
        <is>
          <t>Risk Score Dashboard and Report Generator</t>
        </is>
      </c>
      <c r="C13" s="217" t="n"/>
      <c r="D13" s="214" t="n"/>
    </row>
    <row r="14" ht="13" customHeight="1" s="189">
      <c r="A14" s="215" t="n"/>
      <c r="B14" s="216" t="inlineStr">
        <is>
          <t>User Documentation and Deployment Guide</t>
        </is>
      </c>
      <c r="C14" s="217" t="n"/>
      <c r="D14" s="214" t="n"/>
    </row>
    <row r="15" ht="13" customHeight="1" s="189">
      <c r="A15" s="218" t="n"/>
      <c r="B15" s="200" t="n"/>
      <c r="C15" s="199" t="n"/>
      <c r="D15" s="214" t="n"/>
    </row>
    <row r="16" ht="13" customHeight="1" s="189">
      <c r="A16" s="209" t="inlineStr">
        <is>
          <t>Flexibility matrix</t>
        </is>
      </c>
      <c r="B16" s="219" t="inlineStr">
        <is>
          <t>Scope</t>
        </is>
      </c>
      <c r="C16" s="200" t="n"/>
      <c r="D16" s="214" t="n"/>
    </row>
    <row r="17" ht="13" customHeight="1" s="189">
      <c r="A17" s="215" t="n"/>
      <c r="B17" s="219" t="inlineStr">
        <is>
          <t>Schedule</t>
        </is>
      </c>
      <c r="C17" s="200" t="n"/>
      <c r="D17" s="214" t="n"/>
    </row>
    <row r="18" ht="13" customHeight="1" s="189">
      <c r="A18" s="218" t="n"/>
      <c r="B18" s="219" t="inlineStr">
        <is>
          <t>Cost</t>
        </is>
      </c>
      <c r="C18" s="200" t="n"/>
      <c r="D18" s="214" t="n"/>
    </row>
    <row r="19" ht="12.5" customHeight="1" s="189">
      <c r="A19" s="209" t="inlineStr">
        <is>
          <t>Key considerations</t>
        </is>
      </c>
      <c r="B19" s="220" t="inlineStr">
        <is>
          <t>Assumptions &amp; Constraints</t>
        </is>
      </c>
      <c r="C19" s="220" t="inlineStr">
        <is>
          <t>Risks</t>
        </is>
      </c>
      <c r="D19" s="214" t="n"/>
    </row>
    <row r="20" ht="12.5" customHeight="1" s="189">
      <c r="A20" s="215" t="n"/>
      <c r="B20" s="218" t="n"/>
      <c r="C20" s="220" t="inlineStr">
        <is>
          <t>Technical</t>
        </is>
      </c>
      <c r="D20" s="220" t="inlineStr">
        <is>
          <t>Inaccurate vulnerability detection due to platform differences</t>
        </is>
      </c>
    </row>
    <row r="21" ht="13" customHeight="1" s="189">
      <c r="A21" s="215" t="n"/>
      <c r="B21" s="221" t="n"/>
      <c r="C21" s="200" t="inlineStr">
        <is>
          <t>Scope</t>
        </is>
      </c>
      <c r="D21" s="222" t="inlineStr">
        <is>
          <t>Scope creep from expanding feature requests</t>
        </is>
      </c>
    </row>
    <row r="22" ht="13" customHeight="1" s="189">
      <c r="A22" s="215" t="n"/>
      <c r="B22" s="221" t="n"/>
      <c r="C22" s="200" t="inlineStr">
        <is>
          <t>Legal</t>
        </is>
      </c>
      <c r="D22" s="222" t="inlineStr">
        <is>
          <t>Data privacy non-compliance (GDPR)</t>
        </is>
      </c>
    </row>
    <row r="23" ht="13" customHeight="1" s="189">
      <c r="A23" s="215" t="n"/>
      <c r="B23" s="221" t="n"/>
      <c r="C23" s="200" t="inlineStr">
        <is>
          <t>Resource</t>
        </is>
      </c>
      <c r="D23" s="222" t="inlineStr">
        <is>
          <t>Team member unavailability</t>
        </is>
      </c>
    </row>
    <row r="24" ht="13" customHeight="1" s="189">
      <c r="A24" s="215" t="n"/>
      <c r="B24" s="221" t="n"/>
      <c r="C24" s="200" t="inlineStr">
        <is>
          <t>Financial</t>
        </is>
      </c>
      <c r="D24" s="222" t="inlineStr">
        <is>
          <t>Budget overrun</t>
        </is>
      </c>
    </row>
    <row r="25" ht="13" customHeight="1" s="189">
      <c r="A25" s="215" t="n"/>
      <c r="B25" s="221" t="n"/>
      <c r="C25" s="200" t="n"/>
      <c r="D25" s="222" t="n"/>
    </row>
    <row r="26" ht="13" customHeight="1" s="189">
      <c r="A26" s="215" t="n"/>
      <c r="B26" s="221" t="n"/>
      <c r="C26" s="200" t="n"/>
      <c r="D26" s="222" t="n"/>
    </row>
    <row r="27" ht="13" customHeight="1" s="189">
      <c r="A27" s="218" t="n"/>
      <c r="B27" s="221" t="n"/>
      <c r="C27" s="200" t="n"/>
      <c r="D27" s="222" t="n"/>
    </row>
    <row r="28" ht="13" customHeight="1" s="189">
      <c r="A28" s="209" t="inlineStr">
        <is>
          <t>Success criteria</t>
        </is>
      </c>
      <c r="B28" s="223" t="inlineStr">
        <is>
          <t>Scanner accurately detects at least 90% of common vulnerabilities in test environment</t>
        </is>
      </c>
      <c r="C28" s="213" t="n"/>
      <c r="D28" s="214" t="n"/>
    </row>
    <row r="29" ht="13" customHeight="1" s="189">
      <c r="A29" s="215" t="n"/>
      <c r="B29" s="223" t="inlineStr">
        <is>
          <t>Risk score is generated within 2 minutes of scan completion</t>
        </is>
      </c>
      <c r="C29" s="213" t="n"/>
      <c r="D29" s="214" t="n"/>
    </row>
    <row r="30" ht="13" customHeight="1" s="189">
      <c r="A30" s="215" t="n"/>
      <c r="B30" s="223" t="inlineStr">
        <is>
          <t>Dashboard is rated as easy to use by at least 80% of beta testers</t>
        </is>
      </c>
      <c r="C30" s="213" t="n"/>
      <c r="D30" s="214" t="n"/>
    </row>
    <row r="31" ht="13" customHeight="1" s="189">
      <c r="A31" s="215" t="n"/>
      <c r="B31" s="223" t="inlineStr">
        <is>
          <t>Zero data privacy breaches during testing and deployment phases</t>
        </is>
      </c>
      <c r="C31" s="213" t="n"/>
      <c r="D31" s="214" t="n"/>
    </row>
    <row r="32" ht="13" customHeight="1" s="189">
      <c r="A32" s="218" t="n"/>
      <c r="B32" s="223" t="inlineStr">
        <is>
          <t>Project delivered on time and within the approved budget</t>
        </is>
      </c>
      <c r="C32" s="213" t="n"/>
      <c r="D32" s="214" t="n"/>
    </row>
    <row r="33" ht="12.5" customHeight="1" s="189">
      <c r="A33" s="224" t="inlineStr">
        <is>
          <t>Signatures</t>
        </is>
      </c>
      <c r="B33" s="222" t="n"/>
      <c r="C33" s="225" t="n"/>
      <c r="D33" s="226" t="n"/>
    </row>
    <row r="34" ht="12.5" customHeight="1" s="189">
      <c r="A34" s="227" t="inlineStr">
        <is>
          <t>Sponsor</t>
        </is>
      </c>
      <c r="B34" s="228" t="n"/>
      <c r="C34" s="211" t="n"/>
      <c r="D34" s="197" t="n"/>
    </row>
    <row r="35" ht="13" customHeight="1" s="189">
      <c r="A35" s="215" t="n"/>
      <c r="B35" s="200" t="inlineStr">
        <is>
          <t>Signature</t>
        </is>
      </c>
      <c r="C35" s="213" t="n"/>
      <c r="D35" s="214" t="n"/>
    </row>
    <row r="36" ht="12.5" customHeight="1" s="189">
      <c r="A36" s="215" t="n"/>
      <c r="B36" s="222" t="n"/>
      <c r="C36" s="213" t="n"/>
      <c r="D36" s="214" t="n"/>
    </row>
    <row r="37" ht="13" customHeight="1" s="189">
      <c r="A37" s="215" t="n"/>
      <c r="B37" s="223" t="inlineStr">
        <is>
          <t>Printed name</t>
        </is>
      </c>
      <c r="C37" s="213" t="n"/>
      <c r="D37" s="214" t="n"/>
    </row>
    <row r="38" ht="12.5" customHeight="1" s="189">
      <c r="A38" s="215" t="n"/>
      <c r="B38" s="222" t="n"/>
      <c r="C38" s="213" t="n"/>
      <c r="D38" s="214" t="n"/>
    </row>
    <row r="39" ht="13" customHeight="1" s="189">
      <c r="A39" s="215" t="n"/>
      <c r="B39" s="200" t="inlineStr">
        <is>
          <t>Date</t>
        </is>
      </c>
      <c r="C39" s="213" t="n"/>
      <c r="D39" s="214" t="n"/>
    </row>
    <row r="40" ht="12.5" customHeight="1" s="189">
      <c r="A40" s="218" t="n"/>
      <c r="B40" s="222" t="n"/>
      <c r="C40" s="213" t="n"/>
      <c r="D40" s="214" t="n"/>
    </row>
    <row r="41" ht="12.5" customHeight="1" s="189">
      <c r="A41" s="229" t="inlineStr">
        <is>
          <t xml:space="preserve">
Project manager</t>
        </is>
      </c>
      <c r="B41" s="222" t="n"/>
      <c r="C41" s="225" t="n"/>
      <c r="D41" s="226" t="n"/>
    </row>
    <row r="42" ht="12.5" customHeight="1" s="189">
      <c r="A42" s="215" t="n"/>
      <c r="B42" s="228" t="n"/>
      <c r="C42" s="211" t="n"/>
      <c r="D42" s="197" t="n"/>
    </row>
    <row r="43" ht="13" customHeight="1" s="189">
      <c r="A43" s="215" t="n"/>
      <c r="B43" s="200" t="inlineStr">
        <is>
          <t>Signature</t>
        </is>
      </c>
      <c r="C43" s="213" t="n"/>
      <c r="D43" s="214" t="n"/>
    </row>
    <row r="44" ht="12.5" customHeight="1" s="189">
      <c r="A44" s="215" t="n"/>
      <c r="B44" s="222" t="n"/>
      <c r="C44" s="213" t="n"/>
      <c r="D44" s="214" t="n"/>
    </row>
    <row r="45" ht="13" customHeight="1" s="189">
      <c r="A45" s="215" t="n"/>
      <c r="B45" s="223" t="inlineStr">
        <is>
          <t>Printed name</t>
        </is>
      </c>
      <c r="C45" s="213" t="n"/>
      <c r="D45" s="214" t="n"/>
    </row>
    <row r="46" ht="12.5" customHeight="1" s="189">
      <c r="A46" s="215" t="n"/>
      <c r="B46" s="222" t="n"/>
      <c r="C46" s="213" t="n"/>
      <c r="D46" s="214" t="n"/>
    </row>
    <row r="47" ht="13" customHeight="1" s="189">
      <c r="A47" s="218" t="n"/>
      <c r="B47" s="200" t="inlineStr">
        <is>
          <t>Date</t>
        </is>
      </c>
      <c r="C47" s="213" t="n"/>
      <c r="D47" s="214" t="n"/>
    </row>
    <row r="49" ht="12.5" customHeight="1" s="189">
      <c r="D49" s="201" t="inlineStr">
        <is>
          <t>© Global Knowledge Training LLC</t>
        </is>
      </c>
    </row>
  </sheetData>
  <mergeCells count="42">
    <mergeCell ref="C15:D15"/>
    <mergeCell ref="C14:D14"/>
    <mergeCell ref="B44:D44"/>
    <mergeCell ref="B39:D39"/>
    <mergeCell ref="B29:D29"/>
    <mergeCell ref="C18:D18"/>
    <mergeCell ref="B38:D38"/>
    <mergeCell ref="B28:D28"/>
    <mergeCell ref="B37:D37"/>
    <mergeCell ref="C10:D10"/>
    <mergeCell ref="C16:D16"/>
    <mergeCell ref="B41:D42"/>
    <mergeCell ref="A12:A15"/>
    <mergeCell ref="B40:D40"/>
    <mergeCell ref="A28:A32"/>
    <mergeCell ref="B30:D30"/>
    <mergeCell ref="C9:D9"/>
    <mergeCell ref="A19:A27"/>
    <mergeCell ref="B6:D6"/>
    <mergeCell ref="B19:B20"/>
    <mergeCell ref="A1:D1"/>
    <mergeCell ref="C12:D12"/>
    <mergeCell ref="B5:D5"/>
    <mergeCell ref="B36:D36"/>
    <mergeCell ref="A34:A40"/>
    <mergeCell ref="B45:D45"/>
    <mergeCell ref="A8:A11"/>
    <mergeCell ref="C11:D11"/>
    <mergeCell ref="B32:D32"/>
    <mergeCell ref="B35:D35"/>
    <mergeCell ref="B7:D7"/>
    <mergeCell ref="C17:D17"/>
    <mergeCell ref="B47:D47"/>
    <mergeCell ref="C8:D8"/>
    <mergeCell ref="B31:D31"/>
    <mergeCell ref="A16:A18"/>
    <mergeCell ref="B46:D46"/>
    <mergeCell ref="C19:D19"/>
    <mergeCell ref="C13:D13"/>
    <mergeCell ref="B43:D43"/>
    <mergeCell ref="A41:A47"/>
    <mergeCell ref="B33:D34"/>
  </mergeCells>
  <printOptions horizontalCentered="1" verticalCentered="0" headings="0" gridLines="1" gridLinesSet="1"/>
  <pageMargins left="0.25" right="0.25" top="0.75" bottom="0.6"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0"/>
  </sheetPr>
  <dimension ref="A1:K35"/>
  <sheetViews>
    <sheetView showFormulas="0" showGridLines="1" showRowColHeaders="1" showZeros="1" rightToLeft="0" tabSelected="0" showOutlineSymbols="1" defaultGridColor="1" view="normal" topLeftCell="A7" colorId="64" zoomScale="100" zoomScaleNormal="100" zoomScalePageLayoutView="100" workbookViewId="0">
      <selection pane="topLeft" activeCell="K35" activeCellId="0" sqref="K35"/>
    </sheetView>
  </sheetViews>
  <sheetFormatPr baseColWidth="8" defaultColWidth="9.0546875" defaultRowHeight="12.5" zeroHeight="0" outlineLevelRow="0"/>
  <cols>
    <col width="17.72" customWidth="1" style="205" min="1" max="1"/>
    <col width="10.44" customWidth="1" style="188" min="2" max="11"/>
  </cols>
  <sheetData>
    <row r="1" ht="15.5" customHeight="1" s="189">
      <c r="A1" s="206" t="inlineStr">
        <is>
          <t>Stoplight Report</t>
        </is>
      </c>
    </row>
    <row r="2" ht="13" customHeight="1" s="189">
      <c r="A2" s="207" t="inlineStr">
        <is>
          <t>Project</t>
        </is>
      </c>
      <c r="B2" s="208">
        <f>Data!B1</f>
        <v/>
      </c>
      <c r="C2" s="213" t="n"/>
      <c r="D2" s="213" t="n"/>
      <c r="E2" s="213" t="n"/>
      <c r="F2" s="214" t="n"/>
      <c r="G2" s="207" t="inlineStr">
        <is>
          <t>Project #</t>
        </is>
      </c>
      <c r="H2" s="208">
        <f>Data!B2</f>
        <v/>
      </c>
      <c r="I2" s="213" t="n"/>
      <c r="J2" s="213" t="n"/>
      <c r="K2" s="214" t="n"/>
    </row>
    <row r="3" ht="13" customHeight="1" s="189">
      <c r="A3" s="207" t="inlineStr">
        <is>
          <t>Project manager</t>
        </is>
      </c>
      <c r="B3" s="208">
        <f>Data!B3</f>
        <v/>
      </c>
      <c r="C3" s="213" t="n"/>
      <c r="D3" s="213" t="n"/>
      <c r="E3" s="213" t="n"/>
      <c r="F3" s="214" t="n"/>
      <c r="G3" s="207" t="inlineStr">
        <is>
          <t>Sponsor</t>
        </is>
      </c>
      <c r="H3" s="208">
        <f>Data!B4</f>
        <v/>
      </c>
      <c r="I3" s="213" t="n"/>
      <c r="J3" s="213" t="n"/>
      <c r="K3" s="214" t="n"/>
    </row>
    <row r="4" ht="13" customHeight="1" s="189">
      <c r="A4" s="207" t="inlineStr">
        <is>
          <t>Project artifacts</t>
        </is>
      </c>
      <c r="B4" s="208">
        <f>Data!B5</f>
        <v/>
      </c>
      <c r="C4" s="213" t="n"/>
      <c r="D4" s="213" t="n"/>
      <c r="E4" s="213" t="n"/>
      <c r="F4" s="214" t="n"/>
      <c r="G4" s="207" t="inlineStr">
        <is>
          <t>Updated</t>
        </is>
      </c>
      <c r="H4" s="208">
        <f>Data!B6</f>
        <v/>
      </c>
      <c r="I4" s="213" t="n"/>
      <c r="J4" s="213" t="n"/>
      <c r="K4" s="214" t="n"/>
    </row>
    <row r="5" ht="12.5" customFormat="1" customHeight="1" s="188">
      <c r="A5" s="230" t="n"/>
      <c r="B5" s="213" t="n"/>
      <c r="C5" s="213" t="n"/>
      <c r="D5" s="213" t="n"/>
      <c r="E5" s="213" t="n"/>
      <c r="F5" s="213" t="n"/>
      <c r="G5" s="213" t="n"/>
      <c r="H5" s="213" t="n"/>
      <c r="I5" s="213" t="n"/>
      <c r="J5" s="213" t="n"/>
      <c r="K5" s="213" t="n"/>
    </row>
    <row r="6" ht="12.5" customHeight="1" s="189">
      <c r="A6" s="207" t="n"/>
      <c r="B6" s="220" t="inlineStr">
        <is>
          <t>Deliverables</t>
        </is>
      </c>
      <c r="C6" s="213" t="n"/>
      <c r="D6" s="213" t="n"/>
      <c r="E6" s="213" t="n"/>
      <c r="F6" s="213" t="n"/>
      <c r="G6" s="213" t="n"/>
      <c r="H6" s="213" t="n"/>
      <c r="I6" s="213" t="n"/>
      <c r="J6" s="213" t="n"/>
      <c r="K6" s="214" t="n"/>
    </row>
    <row r="7" ht="12.5" customHeight="1" s="189">
      <c r="A7" s="207" t="n"/>
      <c r="B7" s="220" t="n">
        <v>1</v>
      </c>
      <c r="C7" s="220" t="n">
        <v>2</v>
      </c>
      <c r="D7" s="220" t="n">
        <v>3</v>
      </c>
      <c r="E7" s="220" t="n">
        <v>4</v>
      </c>
      <c r="F7" s="220" t="n">
        <v>5</v>
      </c>
      <c r="G7" s="220" t="n">
        <v>6</v>
      </c>
      <c r="H7" s="220" t="n">
        <v>7</v>
      </c>
      <c r="I7" s="220" t="n">
        <v>8</v>
      </c>
      <c r="J7" s="220" t="n">
        <v>9</v>
      </c>
      <c r="K7" s="220" t="n">
        <v>10</v>
      </c>
    </row>
    <row r="8" ht="13" customHeight="1" s="189">
      <c r="A8" s="209" t="inlineStr">
        <is>
          <t>Schedule</t>
        </is>
      </c>
      <c r="B8" s="231" t="n"/>
      <c r="C8" s="232" t="n"/>
      <c r="D8" s="232" t="n"/>
      <c r="E8" s="232" t="n"/>
      <c r="F8" s="232" t="n"/>
      <c r="G8" s="232" t="n"/>
      <c r="H8" s="232" t="n"/>
      <c r="I8" s="232" t="n"/>
      <c r="J8" s="232" t="n"/>
      <c r="K8" s="232" t="n"/>
    </row>
    <row r="9" ht="13" customHeight="1" s="189">
      <c r="A9" s="212" t="inlineStr">
        <is>
          <t>Scope</t>
        </is>
      </c>
      <c r="B9" s="233" t="n"/>
      <c r="C9" s="232" t="n"/>
      <c r="D9" s="232" t="n"/>
      <c r="E9" s="232" t="n"/>
      <c r="F9" s="232" t="n"/>
      <c r="G9" s="232" t="n"/>
      <c r="H9" s="232" t="n"/>
      <c r="I9" s="232" t="n"/>
      <c r="J9" s="232" t="n"/>
      <c r="K9" s="232" t="n"/>
    </row>
    <row r="10" ht="13" customHeight="1" s="189">
      <c r="A10" s="209" t="inlineStr">
        <is>
          <t>Cost</t>
        </is>
      </c>
      <c r="B10" s="234" t="n"/>
      <c r="C10" s="232" t="n"/>
      <c r="D10" s="232" t="n"/>
      <c r="E10" s="232" t="n"/>
      <c r="F10" s="232" t="n"/>
      <c r="G10" s="232" t="n"/>
      <c r="H10" s="232" t="n"/>
      <c r="I10" s="232" t="n"/>
      <c r="J10" s="232" t="n"/>
      <c r="K10" s="232" t="n"/>
    </row>
    <row r="11" ht="12.5" customHeight="1" s="189">
      <c r="A11" s="209" t="inlineStr">
        <is>
          <t>Risk</t>
        </is>
      </c>
      <c r="B11" s="235" t="n"/>
      <c r="C11" s="235" t="n"/>
      <c r="D11" s="235" t="n"/>
      <c r="E11" s="235" t="n"/>
      <c r="F11" s="235" t="n"/>
      <c r="G11" s="235" t="n"/>
      <c r="H11" s="235" t="n"/>
      <c r="I11" s="235" t="n"/>
      <c r="J11" s="235" t="n"/>
      <c r="K11" s="235" t="n"/>
    </row>
    <row r="12" ht="12.5" customHeight="1" s="189">
      <c r="A12" s="209" t="inlineStr">
        <is>
          <t>Issues</t>
        </is>
      </c>
      <c r="B12" s="235" t="n"/>
      <c r="C12" s="235" t="n"/>
      <c r="D12" s="235" t="n"/>
      <c r="E12" s="235" t="n"/>
      <c r="F12" s="235" t="n"/>
      <c r="G12" s="235" t="n"/>
      <c r="H12" s="235" t="n"/>
      <c r="I12" s="235" t="n"/>
      <c r="J12" s="235" t="n"/>
      <c r="K12" s="235" t="n"/>
    </row>
    <row r="13" ht="12.5" customHeight="1" s="189">
      <c r="A13" s="209" t="inlineStr">
        <is>
          <t>Planned completion</t>
        </is>
      </c>
      <c r="B13" s="235" t="n"/>
      <c r="C13" s="235" t="n"/>
      <c r="D13" s="235" t="n"/>
      <c r="E13" s="235" t="n"/>
      <c r="F13" s="235" t="n"/>
      <c r="G13" s="235" t="n"/>
      <c r="H13" s="235" t="n"/>
      <c r="I13" s="235" t="n"/>
      <c r="J13" s="235" t="n"/>
      <c r="K13" s="235" t="n"/>
    </row>
    <row r="14" ht="12.5" customHeight="1" s="189">
      <c r="A14" s="209" t="inlineStr">
        <is>
          <t>Est. completion</t>
        </is>
      </c>
      <c r="B14" s="235" t="n"/>
      <c r="C14" s="235" t="n"/>
      <c r="D14" s="235" t="n"/>
      <c r="E14" s="235" t="n"/>
      <c r="F14" s="235" t="n"/>
      <c r="G14" s="235" t="n"/>
      <c r="H14" s="235" t="n"/>
      <c r="I14" s="235" t="n"/>
      <c r="J14" s="235" t="n"/>
      <c r="K14" s="235" t="n"/>
    </row>
    <row r="15" ht="12.5" customHeight="1" s="189">
      <c r="A15" s="236" t="n"/>
      <c r="B15" s="213" t="n"/>
      <c r="C15" s="213" t="n"/>
      <c r="D15" s="213" t="n"/>
      <c r="E15" s="213" t="n"/>
      <c r="F15" s="213" t="n"/>
      <c r="G15" s="213" t="n"/>
      <c r="H15" s="213" t="n"/>
      <c r="I15" s="213" t="n"/>
      <c r="J15" s="213" t="n"/>
      <c r="K15" s="213" t="n"/>
    </row>
    <row r="16" ht="13" customHeight="1" s="189">
      <c r="A16" s="237" t="inlineStr">
        <is>
          <t>Management Alert</t>
        </is>
      </c>
      <c r="B16" s="213" t="n"/>
      <c r="C16" s="213" t="n"/>
      <c r="D16" s="213" t="n"/>
      <c r="E16" s="213" t="n"/>
      <c r="F16" s="213" t="n"/>
      <c r="G16" s="213" t="n"/>
      <c r="H16" s="213" t="n"/>
      <c r="I16" s="213" t="n"/>
      <c r="J16" s="213" t="n"/>
      <c r="K16" s="214" t="n"/>
    </row>
    <row r="17" ht="12.5" customHeight="1" s="189">
      <c r="A17" s="238" t="inlineStr">
        <is>
          <t>ID</t>
        </is>
      </c>
      <c r="B17" s="238" t="inlineStr">
        <is>
          <t>Situation Requiring Management Attention</t>
        </is>
      </c>
      <c r="C17" s="213" t="n"/>
      <c r="D17" s="213" t="n"/>
      <c r="E17" s="214" t="n"/>
      <c r="F17" s="238" t="inlineStr">
        <is>
          <t>Action Plan</t>
        </is>
      </c>
      <c r="G17" s="213" t="n"/>
      <c r="H17" s="213" t="n"/>
      <c r="I17" s="214" t="n"/>
      <c r="J17" s="238" t="inlineStr">
        <is>
          <t>Owner</t>
        </is>
      </c>
      <c r="K17" s="214" t="n"/>
    </row>
    <row r="18" ht="12.75" customHeight="1" s="189">
      <c r="A18" s="239" t="n"/>
      <c r="B18" s="239" t="n"/>
      <c r="C18" s="213" t="n"/>
      <c r="D18" s="213" t="n"/>
      <c r="E18" s="214" t="n"/>
      <c r="F18" s="239" t="n"/>
      <c r="G18" s="213" t="n"/>
      <c r="H18" s="213" t="n"/>
      <c r="I18" s="214" t="n"/>
      <c r="J18" s="239" t="n"/>
      <c r="K18" s="214" t="n"/>
    </row>
    <row r="19" ht="12.75" customHeight="1" s="189">
      <c r="A19" s="239" t="n"/>
      <c r="B19" s="239" t="n"/>
      <c r="C19" s="213" t="n"/>
      <c r="D19" s="213" t="n"/>
      <c r="E19" s="214" t="n"/>
      <c r="F19" s="239" t="n"/>
      <c r="G19" s="213" t="n"/>
      <c r="H19" s="213" t="n"/>
      <c r="I19" s="214" t="n"/>
      <c r="J19" s="239" t="n"/>
      <c r="K19" s="214" t="n"/>
    </row>
    <row r="20" ht="12.75" customHeight="1" s="189">
      <c r="A20" s="239" t="n"/>
      <c r="B20" s="239" t="n"/>
      <c r="C20" s="213" t="n"/>
      <c r="D20" s="213" t="n"/>
      <c r="E20" s="214" t="n"/>
      <c r="F20" s="239" t="n"/>
      <c r="G20" s="213" t="n"/>
      <c r="H20" s="213" t="n"/>
      <c r="I20" s="214" t="n"/>
      <c r="J20" s="239" t="n"/>
      <c r="K20" s="214" t="n"/>
    </row>
    <row r="21" ht="12.5" customHeight="1" s="189">
      <c r="A21" s="240" t="n"/>
      <c r="B21" s="225" t="n"/>
      <c r="C21" s="225" t="n"/>
      <c r="D21" s="225" t="n"/>
      <c r="E21" s="225" t="n"/>
      <c r="F21" s="225" t="n"/>
      <c r="G21" s="225" t="n"/>
      <c r="H21" s="225" t="n"/>
      <c r="I21" s="225" t="n"/>
      <c r="J21" s="225" t="n"/>
      <c r="K21" s="225" t="n"/>
    </row>
    <row r="22" ht="13" customHeight="1" s="189">
      <c r="A22" s="241" t="inlineStr">
        <is>
          <t>Accomplishments During Reporting Period</t>
        </is>
      </c>
      <c r="B22" s="213" t="n"/>
      <c r="C22" s="213" t="n"/>
      <c r="D22" s="213" t="n"/>
      <c r="E22" s="213" t="n"/>
      <c r="F22" s="213" t="n"/>
      <c r="G22" s="213" t="n"/>
      <c r="H22" s="213" t="n"/>
      <c r="I22" s="213" t="n"/>
      <c r="J22" s="213" t="n"/>
      <c r="K22" s="214" t="n"/>
    </row>
    <row r="23" ht="23" customHeight="1" s="189">
      <c r="A23" s="242" t="inlineStr">
        <is>
          <t>ID</t>
        </is>
      </c>
      <c r="B23" s="242" t="inlineStr">
        <is>
          <t>Description of Accomplishment</t>
        </is>
      </c>
      <c r="C23" s="213" t="n"/>
      <c r="D23" s="214" t="n"/>
      <c r="E23" s="242" t="inlineStr">
        <is>
          <t>Planned Completion</t>
        </is>
      </c>
      <c r="F23" s="242" t="inlineStr">
        <is>
          <t>Date Completed</t>
        </is>
      </c>
      <c r="G23" s="242" t="inlineStr">
        <is>
          <t>Owner</t>
        </is>
      </c>
      <c r="H23" s="214" t="n"/>
      <c r="I23" s="242" t="inlineStr">
        <is>
          <t>Comments</t>
        </is>
      </c>
      <c r="J23" s="213" t="n"/>
      <c r="K23" s="214" t="n"/>
    </row>
    <row r="24" ht="12.75" customHeight="1" s="189">
      <c r="A24" s="239" t="n"/>
      <c r="B24" s="199" t="n"/>
      <c r="C24" s="213" t="n"/>
      <c r="D24" s="214" t="n"/>
      <c r="E24" s="239" t="n"/>
      <c r="F24" s="239" t="n"/>
      <c r="G24" s="199" t="n"/>
      <c r="H24" s="214" t="n"/>
      <c r="I24" s="199" t="n"/>
      <c r="J24" s="213" t="n"/>
      <c r="K24" s="214" t="n"/>
    </row>
    <row r="25" ht="12.75" customHeight="1" s="189">
      <c r="A25" s="239" t="n"/>
      <c r="B25" s="199" t="n"/>
      <c r="C25" s="213" t="n"/>
      <c r="D25" s="214" t="n"/>
      <c r="E25" s="239" t="n"/>
      <c r="F25" s="239" t="n"/>
      <c r="G25" s="199" t="n"/>
      <c r="H25" s="214" t="n"/>
      <c r="I25" s="199" t="n"/>
      <c r="J25" s="213" t="n"/>
      <c r="K25" s="214" t="n"/>
    </row>
    <row r="26" ht="12.75" customHeight="1" s="189">
      <c r="A26" s="239" t="n"/>
      <c r="B26" s="199" t="n"/>
      <c r="C26" s="213" t="n"/>
      <c r="D26" s="214" t="n"/>
      <c r="E26" s="239" t="n"/>
      <c r="F26" s="239" t="n"/>
      <c r="G26" s="199" t="n"/>
      <c r="H26" s="214" t="n"/>
      <c r="I26" s="199" t="n"/>
      <c r="J26" s="213" t="n"/>
      <c r="K26" s="214" t="n"/>
    </row>
    <row r="27" ht="12.5" customHeight="1" s="189">
      <c r="A27" s="240" t="n"/>
      <c r="B27" s="225" t="n"/>
      <c r="C27" s="225" t="n"/>
      <c r="D27" s="225" t="n"/>
      <c r="E27" s="225" t="n"/>
      <c r="F27" s="225" t="n"/>
      <c r="G27" s="225" t="n"/>
      <c r="H27" s="225" t="n"/>
      <c r="I27" s="225" t="n"/>
      <c r="J27" s="225" t="n"/>
      <c r="K27" s="225" t="n"/>
    </row>
    <row r="28" ht="12.5" customHeight="1" s="189">
      <c r="A28" s="220" t="inlineStr">
        <is>
          <t>Deliverables</t>
        </is>
      </c>
      <c r="B28" s="220" t="inlineStr">
        <is>
          <t>Title/Description</t>
        </is>
      </c>
      <c r="C28" s="213" t="n"/>
      <c r="D28" s="213" t="n"/>
      <c r="E28" s="214" t="n"/>
      <c r="F28" s="207" t="n"/>
      <c r="G28" s="220" t="inlineStr">
        <is>
          <t>Title/Description</t>
        </is>
      </c>
      <c r="H28" s="213" t="n"/>
      <c r="I28" s="213" t="n"/>
      <c r="J28" s="213" t="n"/>
      <c r="K28" s="214" t="n"/>
    </row>
    <row r="29" ht="13" customHeight="1" s="189">
      <c r="A29" s="207" t="n">
        <v>1</v>
      </c>
      <c r="B29" s="200" t="n"/>
      <c r="C29" s="213" t="n"/>
      <c r="D29" s="213" t="n"/>
      <c r="E29" s="214" t="n"/>
      <c r="F29" s="207" t="n">
        <v>6</v>
      </c>
      <c r="G29" s="200" t="n"/>
      <c r="H29" s="213" t="n"/>
      <c r="I29" s="213" t="n"/>
      <c r="J29" s="213" t="n"/>
      <c r="K29" s="214" t="n"/>
    </row>
    <row r="30" ht="13" customHeight="1" s="189">
      <c r="A30" s="207" t="n">
        <v>2</v>
      </c>
      <c r="B30" s="200" t="n"/>
      <c r="C30" s="213" t="n"/>
      <c r="D30" s="213" t="n"/>
      <c r="E30" s="214" t="n"/>
      <c r="F30" s="207" t="n">
        <v>7</v>
      </c>
      <c r="G30" s="200" t="n"/>
      <c r="H30" s="213" t="n"/>
      <c r="I30" s="213" t="n"/>
      <c r="J30" s="213" t="n"/>
      <c r="K30" s="214" t="n"/>
    </row>
    <row r="31" ht="13" customHeight="1" s="189">
      <c r="A31" s="207" t="n">
        <v>3</v>
      </c>
      <c r="B31" s="200" t="n"/>
      <c r="C31" s="213" t="n"/>
      <c r="D31" s="213" t="n"/>
      <c r="E31" s="214" t="n"/>
      <c r="F31" s="207" t="n">
        <v>8</v>
      </c>
      <c r="G31" s="200" t="n"/>
      <c r="H31" s="213" t="n"/>
      <c r="I31" s="213" t="n"/>
      <c r="J31" s="213" t="n"/>
      <c r="K31" s="214" t="n"/>
    </row>
    <row r="32" ht="13" customHeight="1" s="189">
      <c r="A32" s="207" t="n">
        <v>4</v>
      </c>
      <c r="B32" s="200" t="n"/>
      <c r="C32" s="213" t="n"/>
      <c r="D32" s="213" t="n"/>
      <c r="E32" s="214" t="n"/>
      <c r="F32" s="207" t="n">
        <v>9</v>
      </c>
      <c r="G32" s="200" t="n"/>
      <c r="H32" s="213" t="n"/>
      <c r="I32" s="213" t="n"/>
      <c r="J32" s="213" t="n"/>
      <c r="K32" s="214" t="n"/>
    </row>
    <row r="33" ht="13" customHeight="1" s="189">
      <c r="A33" s="207" t="n">
        <v>5</v>
      </c>
      <c r="B33" s="200" t="n"/>
      <c r="C33" s="213" t="n"/>
      <c r="D33" s="213" t="n"/>
      <c r="E33" s="214" t="n"/>
      <c r="F33" s="207" t="n">
        <v>10</v>
      </c>
      <c r="G33" s="200" t="n"/>
      <c r="H33" s="213" t="n"/>
      <c r="I33" s="213" t="n"/>
      <c r="J33" s="213" t="n"/>
      <c r="K33" s="214" t="n"/>
    </row>
    <row r="34" ht="12.5" customHeight="1" s="189">
      <c r="A34" s="240" t="n"/>
      <c r="B34" s="225" t="n"/>
      <c r="C34" s="225" t="n"/>
      <c r="D34" s="225" t="n"/>
      <c r="E34" s="225" t="n"/>
      <c r="F34" s="225" t="n"/>
      <c r="G34" s="225" t="n"/>
      <c r="H34" s="225" t="n"/>
      <c r="I34" s="225" t="n"/>
      <c r="J34" s="225" t="n"/>
      <c r="K34" s="225" t="n"/>
    </row>
    <row r="35" ht="12.5" customHeight="1" s="189">
      <c r="K35" s="201" t="inlineStr">
        <is>
          <t>© Global Knowledge Training LLC</t>
        </is>
      </c>
    </row>
  </sheetData>
  <mergeCells count="51">
    <mergeCell ref="B4:F4"/>
    <mergeCell ref="A34:K34"/>
    <mergeCell ref="B23:D23"/>
    <mergeCell ref="H3:K3"/>
    <mergeCell ref="A15:K15"/>
    <mergeCell ref="B3:F3"/>
    <mergeCell ref="B30:E30"/>
    <mergeCell ref="J19:K19"/>
    <mergeCell ref="B33:E33"/>
    <mergeCell ref="B6:K6"/>
    <mergeCell ref="G23:H23"/>
    <mergeCell ref="B20:E20"/>
    <mergeCell ref="A1:K1"/>
    <mergeCell ref="B32:E32"/>
    <mergeCell ref="I24:K24"/>
    <mergeCell ref="J17:K17"/>
    <mergeCell ref="B2:F2"/>
    <mergeCell ref="I23:K23"/>
    <mergeCell ref="A16:K16"/>
    <mergeCell ref="G28:K28"/>
    <mergeCell ref="F19:I19"/>
    <mergeCell ref="B24:D24"/>
    <mergeCell ref="A27:K27"/>
    <mergeCell ref="H4:K4"/>
    <mergeCell ref="B31:E31"/>
    <mergeCell ref="B18:E18"/>
    <mergeCell ref="J20:K20"/>
    <mergeCell ref="G30:K30"/>
    <mergeCell ref="A21:K21"/>
    <mergeCell ref="G24:H24"/>
    <mergeCell ref="B26:D26"/>
    <mergeCell ref="G33:K33"/>
    <mergeCell ref="F20:I20"/>
    <mergeCell ref="B25:D25"/>
    <mergeCell ref="A5:K5"/>
    <mergeCell ref="G26:H26"/>
    <mergeCell ref="F18:I18"/>
    <mergeCell ref="B17:E17"/>
    <mergeCell ref="A22:K22"/>
    <mergeCell ref="G29:K29"/>
    <mergeCell ref="F17:I17"/>
    <mergeCell ref="G25:H25"/>
    <mergeCell ref="G32:K32"/>
    <mergeCell ref="H2:K2"/>
    <mergeCell ref="J18:K18"/>
    <mergeCell ref="B29:E29"/>
    <mergeCell ref="I26:K26"/>
    <mergeCell ref="B19:E19"/>
    <mergeCell ref="G31:K31"/>
    <mergeCell ref="B28:E28"/>
    <mergeCell ref="I25:K25"/>
  </mergeCells>
  <printOptions horizontalCentered="0" verticalCentered="0" headings="0" gridLines="1" gridLinesSet="1"/>
  <pageMargins left="0.75" right="0.75" top="1" bottom="1"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0"/>
  </sheetPr>
  <dimension ref="A1:E39"/>
  <sheetViews>
    <sheetView showFormulas="0" showGridLines="1" showRowColHeaders="1" showZeros="1" rightToLeft="0" tabSelected="0" showOutlineSymbols="1" defaultGridColor="1" view="normal" topLeftCell="A10" colorId="64" zoomScale="100" zoomScaleNormal="100" zoomScalePageLayoutView="100" workbookViewId="0">
      <selection pane="topLeft" activeCell="E39" activeCellId="0" sqref="E39"/>
    </sheetView>
  </sheetViews>
  <sheetFormatPr baseColWidth="8" defaultColWidth="9.0546875" defaultRowHeight="12.5" zeroHeight="0" outlineLevelRow="0"/>
  <cols>
    <col width="30.72" customWidth="1" style="205" min="1" max="1"/>
    <col width="25.72" customWidth="1" style="188" min="2" max="4"/>
    <col width="10.72" customWidth="1" style="188" min="5" max="5"/>
  </cols>
  <sheetData>
    <row r="1" ht="15.5" customHeight="1" s="189">
      <c r="A1" s="243" t="inlineStr">
        <is>
          <t>Budget</t>
        </is>
      </c>
      <c r="B1" s="213" t="n"/>
      <c r="C1" s="213" t="n"/>
      <c r="D1" s="213" t="n"/>
      <c r="E1" s="214" t="n"/>
    </row>
    <row r="2" ht="13" customHeight="1" s="189">
      <c r="A2" s="207" t="inlineStr">
        <is>
          <t>Project</t>
        </is>
      </c>
      <c r="B2" s="208">
        <f>Data!B1</f>
        <v/>
      </c>
      <c r="C2" s="207" t="inlineStr">
        <is>
          <t>Project #</t>
        </is>
      </c>
      <c r="D2" s="208">
        <f>Data!B2</f>
        <v/>
      </c>
      <c r="E2" s="214" t="n"/>
    </row>
    <row r="3" ht="13" customHeight="1" s="189">
      <c r="A3" s="207" t="inlineStr">
        <is>
          <t>Project manager</t>
        </is>
      </c>
      <c r="B3" s="208">
        <f>Data!B3</f>
        <v/>
      </c>
      <c r="C3" s="207" t="inlineStr">
        <is>
          <t>Sponsor</t>
        </is>
      </c>
      <c r="D3" s="208">
        <f>Data!B4</f>
        <v/>
      </c>
      <c r="E3" s="214" t="n"/>
    </row>
    <row r="4" ht="13" customHeight="1" s="189">
      <c r="A4" s="207" t="inlineStr">
        <is>
          <t>Project artifacts</t>
        </is>
      </c>
      <c r="B4" s="208">
        <f>Data!B5</f>
        <v/>
      </c>
      <c r="C4" s="207" t="inlineStr">
        <is>
          <t>Updated</t>
        </is>
      </c>
      <c r="D4" s="208">
        <f>Data!B6</f>
        <v/>
      </c>
      <c r="E4" s="214" t="n"/>
    </row>
    <row r="5" ht="12.5" customHeight="1" s="189">
      <c r="A5" s="244" t="n"/>
      <c r="B5" s="211" t="n"/>
      <c r="C5" s="211" t="n"/>
      <c r="D5" s="211" t="n"/>
    </row>
    <row r="6" ht="13" customHeight="1" s="189">
      <c r="A6" s="245" t="inlineStr">
        <is>
          <t>Budget Status</t>
        </is>
      </c>
    </row>
    <row r="7" ht="12.5" customHeight="1" s="189">
      <c r="A7" s="246" t="inlineStr">
        <is>
          <t>Approved Budget</t>
        </is>
      </c>
      <c r="B7" s="246" t="inlineStr">
        <is>
          <t>Planned Expenditures to Date</t>
        </is>
      </c>
      <c r="C7" s="246" t="inlineStr">
        <is>
          <t>Actual Expenditures to Date</t>
        </is>
      </c>
      <c r="D7" s="220" t="inlineStr">
        <is>
          <t>Variance</t>
        </is>
      </c>
      <c r="E7" s="214" t="n"/>
    </row>
    <row r="8" ht="13" customHeight="1" s="189">
      <c r="A8" s="247" t="n">
        <v>0</v>
      </c>
      <c r="B8" s="247" t="n">
        <v>0</v>
      </c>
      <c r="C8" s="248" t="n">
        <v>0</v>
      </c>
      <c r="D8" s="247">
        <f>SUM(B8-C8)</f>
        <v/>
      </c>
      <c r="E8" s="214" t="n"/>
    </row>
    <row r="9" ht="12.5" customHeight="1" s="189">
      <c r="A9" s="249" t="n"/>
      <c r="B9" s="246" t="inlineStr">
        <is>
          <t>Planned Remaining Budget</t>
        </is>
      </c>
      <c r="C9" s="246" t="inlineStr">
        <is>
          <t>Actual Remaining Budget</t>
        </is>
      </c>
      <c r="D9" s="220" t="inlineStr">
        <is>
          <t>Variance</t>
        </is>
      </c>
      <c r="E9" s="214" t="n"/>
    </row>
    <row r="10" ht="13" customHeight="1" s="189">
      <c r="A10" s="197" t="n"/>
      <c r="B10" s="247">
        <f>SUM(A8-B8)</f>
        <v/>
      </c>
      <c r="C10" s="248">
        <f>SUM(A8-C8)</f>
        <v/>
      </c>
      <c r="D10" s="247">
        <f>SUM(B10-C10)</f>
        <v/>
      </c>
      <c r="E10" s="214" t="n"/>
    </row>
    <row r="11" ht="13" customHeight="1" s="189">
      <c r="A11" s="250" t="inlineStr">
        <is>
          <t>Additional $ needed</t>
        </is>
      </c>
      <c r="B11" s="251" t="n"/>
      <c r="C11" s="213" t="n"/>
      <c r="D11" s="213" t="n"/>
      <c r="E11" s="214" t="n"/>
    </row>
    <row r="13" ht="13" customHeight="1" s="189">
      <c r="A13" s="252" t="inlineStr">
        <is>
          <t>Budget Details</t>
        </is>
      </c>
    </row>
    <row r="14" ht="12.5" customHeight="1" s="189">
      <c r="A14" s="253" t="inlineStr">
        <is>
          <t>Internal Expenses</t>
        </is>
      </c>
      <c r="B14" s="211" t="n"/>
      <c r="C14" s="211" t="n"/>
      <c r="D14" s="211" t="n"/>
      <c r="E14" s="211" t="n"/>
    </row>
    <row r="15" ht="12.5" customHeight="1" s="189">
      <c r="A15" s="254" t="inlineStr">
        <is>
          <t>Salaries</t>
        </is>
      </c>
      <c r="B15" s="220" t="inlineStr">
        <is>
          <t>Hourly Rate</t>
        </is>
      </c>
      <c r="C15" s="220" t="inlineStr">
        <is>
          <t># Hours</t>
        </is>
      </c>
      <c r="D15" s="220" t="inlineStr">
        <is>
          <t>Total Cost</t>
        </is>
      </c>
      <c r="E15" s="255" t="n"/>
    </row>
    <row r="16" ht="13" customHeight="1" s="189">
      <c r="A16" s="256" t="inlineStr">
        <is>
          <t>Type of resource</t>
        </is>
      </c>
      <c r="B16" s="247" t="n">
        <v>0</v>
      </c>
      <c r="C16" s="257" t="n">
        <v>0</v>
      </c>
      <c r="D16" s="247">
        <f>SUM(B16*C16)</f>
        <v/>
      </c>
      <c r="E16" s="215" t="n"/>
    </row>
    <row r="17" ht="13" customHeight="1" s="189">
      <c r="A17" s="258" t="inlineStr">
        <is>
          <t>Type of resource</t>
        </is>
      </c>
      <c r="B17" s="247" t="n">
        <v>0</v>
      </c>
      <c r="C17" s="257" t="n">
        <v>0</v>
      </c>
      <c r="D17" s="247">
        <f>SUM(B17*C17)</f>
        <v/>
      </c>
      <c r="E17" s="215" t="n"/>
    </row>
    <row r="18" ht="13" customHeight="1" s="189">
      <c r="A18" s="258" t="inlineStr">
        <is>
          <t>Type of resource</t>
        </is>
      </c>
      <c r="B18" s="247" t="n">
        <v>0</v>
      </c>
      <c r="C18" s="257" t="n">
        <v>0</v>
      </c>
      <c r="D18" s="247">
        <f>SUM(B18*C18)</f>
        <v/>
      </c>
      <c r="E18" s="215" t="n"/>
    </row>
    <row r="19" ht="13" customHeight="1" s="189">
      <c r="A19" s="258" t="inlineStr">
        <is>
          <t>Type of resource</t>
        </is>
      </c>
      <c r="B19" s="247" t="n">
        <v>0</v>
      </c>
      <c r="C19" s="257" t="n">
        <v>0</v>
      </c>
      <c r="D19" s="247">
        <f>SUM(B19*C19)</f>
        <v/>
      </c>
      <c r="E19" s="215" t="n"/>
    </row>
    <row r="20" ht="13" customHeight="1" s="189">
      <c r="A20" s="258" t="inlineStr">
        <is>
          <t>Type of resource</t>
        </is>
      </c>
      <c r="B20" s="247" t="n">
        <v>0</v>
      </c>
      <c r="C20" s="257" t="n">
        <v>0</v>
      </c>
      <c r="D20" s="247">
        <f>SUM(B20*C20)</f>
        <v/>
      </c>
      <c r="E20" s="215" t="n"/>
    </row>
    <row r="21" ht="13" customHeight="1" s="189">
      <c r="A21" s="258" t="inlineStr">
        <is>
          <t>Type of resource</t>
        </is>
      </c>
      <c r="B21" s="247" t="n">
        <v>0</v>
      </c>
      <c r="C21" s="257" t="n">
        <v>0</v>
      </c>
      <c r="D21" s="247">
        <f>SUM(B21*C21)</f>
        <v/>
      </c>
      <c r="E21" s="215" t="n"/>
    </row>
    <row r="22" ht="12.5" customHeight="1" s="189">
      <c r="A22" s="254" t="inlineStr">
        <is>
          <t>Other Internal Expenses</t>
        </is>
      </c>
      <c r="B22" s="213" t="n"/>
      <c r="C22" s="214" t="n"/>
      <c r="D22" s="220" t="inlineStr">
        <is>
          <t>Total Cost</t>
        </is>
      </c>
      <c r="E22" s="215" t="n"/>
    </row>
    <row r="23" ht="13" customHeight="1" s="189">
      <c r="A23" s="258" t="inlineStr">
        <is>
          <t>Type of expense</t>
        </is>
      </c>
      <c r="B23" s="213" t="n"/>
      <c r="C23" s="214" t="n"/>
      <c r="D23" s="247" t="n">
        <v>0</v>
      </c>
      <c r="E23" s="215" t="n"/>
    </row>
    <row r="24" ht="13" customHeight="1" s="189">
      <c r="A24" s="258" t="inlineStr">
        <is>
          <t>Type of expense</t>
        </is>
      </c>
      <c r="B24" s="213" t="n"/>
      <c r="C24" s="214" t="n"/>
      <c r="D24" s="247" t="n">
        <v>0</v>
      </c>
      <c r="E24" s="215" t="n"/>
    </row>
    <row r="25" ht="13" customHeight="1" s="189">
      <c r="A25" s="258" t="inlineStr">
        <is>
          <t>Type of expense</t>
        </is>
      </c>
      <c r="B25" s="213" t="n"/>
      <c r="C25" s="214" t="n"/>
      <c r="D25" s="247" t="n">
        <v>0</v>
      </c>
      <c r="E25" s="218" t="n"/>
    </row>
    <row r="26" ht="13" customHeight="1" s="189">
      <c r="A26" s="259" t="inlineStr">
        <is>
          <t>Total Internal Expenses</t>
        </is>
      </c>
      <c r="B26" s="213" t="n"/>
      <c r="C26" s="213" t="n"/>
      <c r="D26" s="214" t="n"/>
      <c r="E26" s="260">
        <f>SUM(D15:D25)</f>
        <v/>
      </c>
    </row>
    <row r="27" ht="12.5" customHeight="1" s="189">
      <c r="A27" s="261" t="inlineStr">
        <is>
          <t>External Expenses</t>
        </is>
      </c>
      <c r="B27" s="213" t="n"/>
      <c r="C27" s="213" t="n"/>
      <c r="D27" s="213" t="n"/>
      <c r="E27" s="262" t="n"/>
    </row>
    <row r="28" ht="12.5" customHeight="1" s="189">
      <c r="A28" s="254" t="inlineStr">
        <is>
          <t>Consulting Costs</t>
        </is>
      </c>
      <c r="B28" s="213" t="n"/>
      <c r="C28" s="214" t="n"/>
      <c r="D28" s="220" t="inlineStr">
        <is>
          <t>Total Cost</t>
        </is>
      </c>
      <c r="E28" s="255" t="n"/>
    </row>
    <row r="29" ht="13" customHeight="1" s="189">
      <c r="A29" s="263" t="inlineStr">
        <is>
          <t>Type of consulting</t>
        </is>
      </c>
      <c r="B29" s="213" t="n"/>
      <c r="C29" s="214" t="n"/>
      <c r="D29" s="247" t="n">
        <v>0</v>
      </c>
      <c r="E29" s="215" t="n"/>
    </row>
    <row r="30" ht="13" customHeight="1" s="189">
      <c r="A30" s="263" t="inlineStr">
        <is>
          <t>Type of consulting</t>
        </is>
      </c>
      <c r="B30" s="213" t="n"/>
      <c r="C30" s="214" t="n"/>
      <c r="D30" s="247" t="n">
        <v>0</v>
      </c>
      <c r="E30" s="215" t="n"/>
    </row>
    <row r="31" ht="13" customHeight="1" s="189">
      <c r="A31" s="263" t="inlineStr">
        <is>
          <t>Type of consulting</t>
        </is>
      </c>
      <c r="B31" s="213" t="n"/>
      <c r="C31" s="214" t="n"/>
      <c r="D31" s="247" t="n">
        <v>0</v>
      </c>
      <c r="E31" s="215" t="n"/>
    </row>
    <row r="32" ht="12.5" customHeight="1" s="189">
      <c r="A32" s="254" t="inlineStr">
        <is>
          <t>Capital Expenditures</t>
        </is>
      </c>
      <c r="B32" s="213" t="n"/>
      <c r="C32" s="214" t="n"/>
      <c r="D32" s="220" t="inlineStr">
        <is>
          <t>Total Cost</t>
        </is>
      </c>
      <c r="E32" s="215" t="n"/>
    </row>
    <row r="33" ht="13" customHeight="1" s="189">
      <c r="A33" s="263" t="inlineStr">
        <is>
          <t>Type of expense</t>
        </is>
      </c>
      <c r="B33" s="213" t="n"/>
      <c r="C33" s="214" t="n"/>
      <c r="D33" s="247" t="n">
        <v>0</v>
      </c>
      <c r="E33" s="215" t="n"/>
    </row>
    <row r="34" ht="13" customHeight="1" s="189">
      <c r="A34" s="263" t="inlineStr">
        <is>
          <t>Type of expense</t>
        </is>
      </c>
      <c r="B34" s="213" t="n"/>
      <c r="C34" s="214" t="n"/>
      <c r="D34" s="247" t="n">
        <v>0</v>
      </c>
      <c r="E34" s="215" t="n"/>
    </row>
    <row r="35" ht="13" customHeight="1" s="189">
      <c r="A35" s="263" t="inlineStr">
        <is>
          <t>Type of expense</t>
        </is>
      </c>
      <c r="B35" s="213" t="n"/>
      <c r="C35" s="214" t="n"/>
      <c r="D35" s="247" t="n">
        <v>0</v>
      </c>
      <c r="E35" s="218" t="n"/>
    </row>
    <row r="36" ht="13" customHeight="1" s="189">
      <c r="A36" s="259" t="inlineStr">
        <is>
          <t>Total External Expenses</t>
        </is>
      </c>
      <c r="B36" s="213" t="n"/>
      <c r="C36" s="213" t="n"/>
      <c r="D36" s="214" t="n"/>
      <c r="E36" s="260">
        <f>SUM(D28:D35)</f>
        <v/>
      </c>
    </row>
    <row r="37" ht="13" customHeight="1" s="189">
      <c r="A37" s="264" t="inlineStr">
        <is>
          <t>Total Budget</t>
        </is>
      </c>
      <c r="B37" s="225" t="n"/>
      <c r="C37" s="225" t="n"/>
      <c r="D37" s="225" t="n"/>
      <c r="E37" s="265">
        <f>SUM(E15:E36)</f>
        <v/>
      </c>
    </row>
    <row r="39" ht="12.5" customHeight="1" s="189">
      <c r="E39" s="201" t="inlineStr">
        <is>
          <t>© Global Knowledge Training LLC</t>
        </is>
      </c>
    </row>
  </sheetData>
  <mergeCells count="32">
    <mergeCell ref="A5:D5"/>
    <mergeCell ref="A25:C25"/>
    <mergeCell ref="D10:E10"/>
    <mergeCell ref="A1:E1"/>
    <mergeCell ref="A6:E6"/>
    <mergeCell ref="E15:E25"/>
    <mergeCell ref="A33:C33"/>
    <mergeCell ref="D2:E2"/>
    <mergeCell ref="A23:C23"/>
    <mergeCell ref="A32:C32"/>
    <mergeCell ref="A22:C22"/>
    <mergeCell ref="A35:C35"/>
    <mergeCell ref="A29:C29"/>
    <mergeCell ref="E28:E35"/>
    <mergeCell ref="A36:D36"/>
    <mergeCell ref="A28:C28"/>
    <mergeCell ref="D7:E7"/>
    <mergeCell ref="A31:C31"/>
    <mergeCell ref="B11:E11"/>
    <mergeCell ref="D4:E4"/>
    <mergeCell ref="A30:C30"/>
    <mergeCell ref="A14:E14"/>
    <mergeCell ref="A34:C34"/>
    <mergeCell ref="D9:E9"/>
    <mergeCell ref="D3:E3"/>
    <mergeCell ref="A24:C24"/>
    <mergeCell ref="D8:E8"/>
    <mergeCell ref="A37:D37"/>
    <mergeCell ref="A27:D27"/>
    <mergeCell ref="A9:A10"/>
    <mergeCell ref="A26:D26"/>
    <mergeCell ref="A13:E13"/>
  </mergeCells>
  <printOptions horizontalCentered="0" verticalCentered="0" headings="0" gridLines="1"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49"/>
  <sheetViews>
    <sheetView showFormulas="0" showGridLines="1" showRowColHeaders="1" showZeros="1" rightToLeft="0" tabSelected="0" showOutlineSymbols="1" defaultGridColor="1" view="normal" topLeftCell="A19" colorId="64" zoomScale="100" zoomScaleNormal="100" zoomScalePageLayoutView="100" workbookViewId="0">
      <selection pane="topLeft" activeCell="G49" activeCellId="0" sqref="G49"/>
    </sheetView>
  </sheetViews>
  <sheetFormatPr baseColWidth="8" defaultColWidth="9.0546875" defaultRowHeight="12.5" zeroHeight="0" outlineLevelRow="0"/>
  <cols>
    <col width="30.72" customWidth="1" style="205" min="1" max="1"/>
    <col width="10.72" customWidth="1" style="188" min="2" max="6"/>
  </cols>
  <sheetData>
    <row r="1" ht="15.5" customHeight="1" s="189">
      <c r="A1" s="243" t="inlineStr">
        <is>
          <t>Cost/Benefit Analysis</t>
        </is>
      </c>
      <c r="B1" s="213" t="n"/>
      <c r="C1" s="213" t="n"/>
      <c r="D1" s="213" t="n"/>
      <c r="E1" s="213" t="n"/>
      <c r="F1" s="213" t="n"/>
      <c r="G1" s="214" t="n"/>
    </row>
    <row r="2" ht="13" customHeight="1" s="189">
      <c r="A2" s="207" t="inlineStr">
        <is>
          <t>Project</t>
        </is>
      </c>
      <c r="B2" s="208">
        <f>Data!B1</f>
        <v/>
      </c>
      <c r="C2" s="213" t="n"/>
      <c r="D2" s="214" t="n"/>
      <c r="E2" s="207" t="inlineStr">
        <is>
          <t>Project #</t>
        </is>
      </c>
      <c r="F2" s="208">
        <f>Data!B2</f>
        <v/>
      </c>
      <c r="G2" s="214" t="n"/>
    </row>
    <row r="3" ht="13" customHeight="1" s="189">
      <c r="A3" s="207" t="inlineStr">
        <is>
          <t>Project manager</t>
        </is>
      </c>
      <c r="B3" s="208">
        <f>Data!B3</f>
        <v/>
      </c>
      <c r="C3" s="213" t="n"/>
      <c r="D3" s="214" t="n"/>
      <c r="E3" s="207" t="inlineStr">
        <is>
          <t>Sponsor</t>
        </is>
      </c>
      <c r="F3" s="208">
        <f>Data!B4</f>
        <v/>
      </c>
      <c r="G3" s="214" t="n"/>
    </row>
    <row r="4" ht="13" customHeight="1" s="189">
      <c r="A4" s="207" t="inlineStr">
        <is>
          <t>Project artifacts</t>
        </is>
      </c>
      <c r="B4" s="208">
        <f>Data!B5</f>
        <v/>
      </c>
      <c r="C4" s="213" t="n"/>
      <c r="D4" s="214" t="n"/>
      <c r="E4" s="207" t="inlineStr">
        <is>
          <t>Updated</t>
        </is>
      </c>
      <c r="F4" s="208">
        <f>Data!B6</f>
        <v/>
      </c>
      <c r="G4" s="214" t="n"/>
    </row>
    <row r="5" ht="12.5" customHeight="1" s="189">
      <c r="A5" s="188" t="n"/>
    </row>
    <row r="6" ht="13" customHeight="1" s="189">
      <c r="A6" s="241" t="inlineStr">
        <is>
          <t>Project Development and Maintenance Costs</t>
        </is>
      </c>
      <c r="B6" s="213" t="n"/>
      <c r="C6" s="213" t="n"/>
      <c r="D6" s="213" t="n"/>
      <c r="E6" s="213" t="n"/>
      <c r="F6" s="213" t="n"/>
      <c r="G6" s="214" t="n"/>
    </row>
    <row r="7" ht="12.5" customHeight="1" s="189">
      <c r="A7" s="220" t="inlineStr">
        <is>
          <t>Description</t>
        </is>
      </c>
      <c r="B7" s="220" t="inlineStr">
        <is>
          <t>FY01</t>
        </is>
      </c>
      <c r="C7" s="220" t="inlineStr">
        <is>
          <t>FY02</t>
        </is>
      </c>
      <c r="D7" s="220" t="inlineStr">
        <is>
          <t>FY03</t>
        </is>
      </c>
      <c r="E7" s="220" t="inlineStr">
        <is>
          <t>FY04</t>
        </is>
      </c>
      <c r="F7" s="220" t="inlineStr">
        <is>
          <t>FY05</t>
        </is>
      </c>
      <c r="G7" s="220" t="inlineStr">
        <is>
          <t>Total</t>
        </is>
      </c>
    </row>
    <row r="8" ht="13" customHeight="1" s="189">
      <c r="A8" s="220" t="inlineStr">
        <is>
          <t>Cost of Project Development</t>
        </is>
      </c>
      <c r="B8" s="247" t="n"/>
      <c r="C8" s="247" t="n"/>
      <c r="D8" s="247" t="n"/>
      <c r="E8" s="247" t="n"/>
      <c r="F8" s="247" t="n"/>
      <c r="G8" s="247" t="n"/>
    </row>
    <row r="9" ht="13" customHeight="1" s="189">
      <c r="A9" s="207" t="inlineStr">
        <is>
          <t>Salaries</t>
        </is>
      </c>
      <c r="B9" s="247" t="n"/>
      <c r="C9" s="247" t="n"/>
      <c r="D9" s="247" t="n"/>
      <c r="E9" s="247" t="n"/>
      <c r="F9" s="247" t="n"/>
      <c r="G9" s="247" t="n"/>
    </row>
    <row r="10" ht="13" customHeight="1" s="189">
      <c r="A10" s="207" t="inlineStr">
        <is>
          <t>Other internal expenses</t>
        </is>
      </c>
      <c r="B10" s="247" t="n"/>
      <c r="C10" s="247" t="n"/>
      <c r="D10" s="247" t="n"/>
      <c r="E10" s="247" t="n"/>
      <c r="F10" s="247" t="n"/>
      <c r="G10" s="247" t="n"/>
    </row>
    <row r="11" ht="13" customHeight="1" s="189">
      <c r="A11" s="207" t="inlineStr">
        <is>
          <t>Consulting costs</t>
        </is>
      </c>
      <c r="B11" s="247" t="n"/>
      <c r="C11" s="247" t="n"/>
      <c r="D11" s="247" t="n"/>
      <c r="E11" s="247" t="n"/>
      <c r="F11" s="247" t="n"/>
      <c r="G11" s="247" t="n"/>
    </row>
    <row r="12" ht="13" customHeight="1" s="189">
      <c r="A12" s="207" t="inlineStr">
        <is>
          <t>Capital expenditures</t>
        </is>
      </c>
      <c r="B12" s="247" t="n"/>
      <c r="C12" s="247" t="n"/>
      <c r="D12" s="247" t="n"/>
      <c r="E12" s="247" t="n"/>
      <c r="F12" s="247" t="n"/>
      <c r="G12" s="247" t="n"/>
    </row>
    <row r="13" ht="13" customHeight="1" s="189">
      <c r="A13" s="266" t="inlineStr">
        <is>
          <t>Total project costs</t>
        </is>
      </c>
      <c r="B13" s="267">
        <f>SUM(B8:B12)</f>
        <v/>
      </c>
      <c r="C13" s="267">
        <f>SUM(C8:C12)</f>
        <v/>
      </c>
      <c r="D13" s="267">
        <f>SUM(D8:D12)</f>
        <v/>
      </c>
      <c r="E13" s="267">
        <f>SUM(E8:E12)</f>
        <v/>
      </c>
      <c r="F13" s="267">
        <f>SUM(F8:F12)</f>
        <v/>
      </c>
      <c r="G13" s="267">
        <f>SUM(G8:G12)</f>
        <v/>
      </c>
    </row>
    <row r="14" ht="13" customHeight="1" s="189">
      <c r="A14" s="220" t="inlineStr">
        <is>
          <t>Cost of Support</t>
        </is>
      </c>
      <c r="B14" s="247" t="n"/>
      <c r="C14" s="247" t="n"/>
      <c r="D14" s="247" t="n"/>
      <c r="E14" s="247" t="n"/>
      <c r="F14" s="247" t="n"/>
      <c r="G14" s="247" t="n"/>
    </row>
    <row r="15" ht="13" customHeight="1" s="189">
      <c r="A15" s="207" t="inlineStr">
        <is>
          <t>Operational costs</t>
        </is>
      </c>
      <c r="B15" s="247" t="n"/>
      <c r="C15" s="247" t="n"/>
      <c r="D15" s="247" t="n"/>
      <c r="E15" s="247" t="n"/>
      <c r="F15" s="247" t="n"/>
      <c r="G15" s="247" t="n"/>
    </row>
    <row r="16" ht="13" customHeight="1" s="189">
      <c r="A16" s="207" t="inlineStr">
        <is>
          <t>Nonrecurring costs</t>
        </is>
      </c>
      <c r="B16" s="247" t="n"/>
      <c r="C16" s="247" t="n"/>
      <c r="D16" s="247" t="n"/>
      <c r="E16" s="247" t="n"/>
      <c r="F16" s="247" t="n"/>
      <c r="G16" s="247" t="n"/>
    </row>
    <row r="17" ht="13" customHeight="1" s="189">
      <c r="A17" s="207" t="inlineStr">
        <is>
          <t>Recurring costs</t>
        </is>
      </c>
      <c r="B17" s="247" t="n"/>
      <c r="C17" s="247" t="n"/>
      <c r="D17" s="247" t="n"/>
      <c r="E17" s="247" t="n"/>
      <c r="F17" s="247" t="n"/>
      <c r="G17" s="247" t="n"/>
    </row>
    <row r="18" ht="13" customHeight="1" s="189">
      <c r="A18" s="266" t="inlineStr">
        <is>
          <t>Total ongoing support costs</t>
        </is>
      </c>
      <c r="B18" s="267">
        <f>SUM(B15:B17)</f>
        <v/>
      </c>
      <c r="C18" s="267">
        <f>SUM(C15:C17)</f>
        <v/>
      </c>
      <c r="D18" s="267">
        <f>SUM(D15:D17)</f>
        <v/>
      </c>
      <c r="E18" s="267">
        <f>SUM(E15:E17)</f>
        <v/>
      </c>
      <c r="F18" s="267">
        <f>SUM(F15:F17)</f>
        <v/>
      </c>
      <c r="G18" s="267">
        <f>SUM(G15:G17)</f>
        <v/>
      </c>
    </row>
    <row r="19" ht="13" customFormat="1" customHeight="1" s="188">
      <c r="A19" s="268" t="n"/>
      <c r="B19" s="269" t="n"/>
      <c r="C19" s="269" t="n"/>
      <c r="D19" s="269" t="n"/>
      <c r="E19" s="269" t="n"/>
      <c r="F19" s="269" t="n"/>
      <c r="G19" s="269" t="n"/>
    </row>
    <row r="20" ht="13" customHeight="1" s="189">
      <c r="A20" s="241" t="inlineStr">
        <is>
          <t>Benefits/Savings</t>
        </is>
      </c>
      <c r="B20" s="213" t="n"/>
      <c r="C20" s="213" t="n"/>
      <c r="D20" s="213" t="n"/>
      <c r="E20" s="213" t="n"/>
      <c r="F20" s="213" t="n"/>
      <c r="G20" s="214" t="n"/>
    </row>
    <row r="21" ht="12.5" customFormat="1" customHeight="1" s="188">
      <c r="A21" s="270" t="inlineStr">
        <is>
          <t xml:space="preserve">Current Process </t>
        </is>
      </c>
      <c r="B21" s="220" t="inlineStr">
        <is>
          <t>FY01</t>
        </is>
      </c>
      <c r="C21" s="220" t="inlineStr">
        <is>
          <t>FY02</t>
        </is>
      </c>
      <c r="D21" s="220" t="inlineStr">
        <is>
          <t>FY03</t>
        </is>
      </c>
      <c r="E21" s="220" t="inlineStr">
        <is>
          <t>FY04</t>
        </is>
      </c>
      <c r="F21" s="220" t="inlineStr">
        <is>
          <t>FY05</t>
        </is>
      </c>
      <c r="G21" s="220" t="inlineStr">
        <is>
          <t>Total</t>
        </is>
      </c>
    </row>
    <row r="22" ht="13" customFormat="1" customHeight="1" s="188">
      <c r="A22" s="207" t="inlineStr">
        <is>
          <t>Total annual price</t>
        </is>
      </c>
      <c r="B22" s="271" t="n"/>
      <c r="C22" s="247" t="n"/>
      <c r="D22" s="247" t="n"/>
      <c r="E22" s="247" t="n"/>
      <c r="F22" s="247" t="n"/>
      <c r="G22" s="247" t="n"/>
    </row>
    <row r="23" ht="12.5" customFormat="1" customHeight="1" s="188">
      <c r="A23" s="266" t="inlineStr">
        <is>
          <t xml:space="preserve">                   New Process</t>
        </is>
      </c>
      <c r="B23" s="213" t="n"/>
      <c r="C23" s="213" t="n"/>
      <c r="D23" s="213" t="n"/>
      <c r="E23" s="213" t="n"/>
      <c r="F23" s="213" t="n"/>
      <c r="G23" s="214" t="n"/>
    </row>
    <row r="24" ht="13" customFormat="1" customHeight="1" s="188">
      <c r="A24" s="207" t="inlineStr">
        <is>
          <t>Total annual price</t>
        </is>
      </c>
      <c r="B24" s="271" t="n"/>
      <c r="C24" s="247" t="n"/>
      <c r="D24" s="247" t="n"/>
      <c r="E24" s="247" t="n"/>
      <c r="F24" s="247" t="n"/>
      <c r="G24" s="247" t="n"/>
    </row>
    <row r="25" ht="13" customFormat="1" customHeight="1" s="188">
      <c r="A25" s="266" t="inlineStr">
        <is>
          <t>Annual savings</t>
        </is>
      </c>
      <c r="B25" s="267">
        <f>SUM(B22-B24)</f>
        <v/>
      </c>
      <c r="C25" s="267">
        <f>SUM(C22-C24)</f>
        <v/>
      </c>
      <c r="D25" s="267">
        <f>SUM(D22-D24)</f>
        <v/>
      </c>
      <c r="E25" s="267">
        <f>SUM(E22-E24)</f>
        <v/>
      </c>
      <c r="F25" s="267">
        <f>SUM(F22-F24)</f>
        <v/>
      </c>
      <c r="G25" s="267">
        <f>SUM(G22-G24)</f>
        <v/>
      </c>
    </row>
    <row r="26" ht="13" customFormat="1" customHeight="1" s="188">
      <c r="A26" s="266" t="inlineStr">
        <is>
          <t>Cumulative savings</t>
        </is>
      </c>
      <c r="B26" s="267">
        <f>B25</f>
        <v/>
      </c>
      <c r="C26" s="267">
        <f>B26+C25</f>
        <v/>
      </c>
      <c r="D26" s="267">
        <f>C26+D25</f>
        <v/>
      </c>
      <c r="E26" s="267">
        <f>D26+E25</f>
        <v/>
      </c>
      <c r="F26" s="267">
        <f>E26+F25</f>
        <v/>
      </c>
      <c r="G26" s="267">
        <f>F26+G25</f>
        <v/>
      </c>
    </row>
    <row r="27" ht="13" customFormat="1" customHeight="1" s="188">
      <c r="A27" s="266" t="inlineStr">
        <is>
          <t>Cumulative costs</t>
        </is>
      </c>
      <c r="B27" s="267">
        <f>B18</f>
        <v/>
      </c>
      <c r="C27" s="267">
        <f>C18</f>
        <v/>
      </c>
      <c r="D27" s="267">
        <f>D18</f>
        <v/>
      </c>
      <c r="E27" s="267">
        <f>E18</f>
        <v/>
      </c>
      <c r="F27" s="267">
        <f>F18</f>
        <v/>
      </c>
      <c r="G27" s="267">
        <f>G18</f>
        <v/>
      </c>
    </row>
    <row r="28" ht="13" customHeight="1" s="189">
      <c r="A28" s="207" t="inlineStr">
        <is>
          <t>Cumulative total net savings</t>
        </is>
      </c>
      <c r="B28" s="267">
        <f>B26-B27</f>
        <v/>
      </c>
      <c r="C28" s="267">
        <f>C26-C27</f>
        <v/>
      </c>
      <c r="D28" s="267">
        <f>D26-D27</f>
        <v/>
      </c>
      <c r="E28" s="267">
        <f>E26-E27</f>
        <v/>
      </c>
      <c r="F28" s="267">
        <f>F26-F27</f>
        <v/>
      </c>
      <c r="G28" s="267">
        <f>G26-G27</f>
        <v/>
      </c>
    </row>
    <row r="30" ht="13" customHeight="1" s="189">
      <c r="A30" s="241" t="inlineStr">
        <is>
          <t>Future Value</t>
        </is>
      </c>
      <c r="B30" s="213" t="n"/>
      <c r="C30" s="213" t="n"/>
      <c r="D30" s="213" t="n"/>
      <c r="E30" s="213" t="n"/>
      <c r="F30" s="213" t="n"/>
      <c r="G30" s="214" t="n"/>
    </row>
    <row r="31" ht="12.5" customFormat="1" customHeight="1" s="188">
      <c r="A31" s="220" t="inlineStr">
        <is>
          <t>Present Value</t>
        </is>
      </c>
      <c r="B31" s="220" t="inlineStr">
        <is>
          <t>Interest Rate</t>
        </is>
      </c>
      <c r="C31" s="214" t="n"/>
      <c r="D31" s="220" t="inlineStr">
        <is>
          <t># Periods</t>
        </is>
      </c>
      <c r="E31" s="214" t="n"/>
      <c r="F31" s="220" t="inlineStr">
        <is>
          <t>Future Value</t>
        </is>
      </c>
      <c r="G31" s="214" t="n"/>
    </row>
    <row r="32" ht="13" customFormat="1" customHeight="1" s="188">
      <c r="A32" s="272" t="n"/>
      <c r="B32" s="273" t="n"/>
      <c r="C32" s="214" t="n"/>
      <c r="D32" s="274" t="n"/>
      <c r="E32" s="214" t="n"/>
      <c r="F32" s="267">
        <f>SUM((A32)*((1+B32)^D32))</f>
        <v/>
      </c>
      <c r="G32" s="214" t="n"/>
    </row>
    <row r="34" ht="13" customHeight="1" s="189">
      <c r="A34" s="241" t="inlineStr">
        <is>
          <t>Present Value</t>
        </is>
      </c>
      <c r="B34" s="213" t="n"/>
      <c r="C34" s="213" t="n"/>
      <c r="D34" s="213" t="n"/>
      <c r="E34" s="213" t="n"/>
      <c r="F34" s="213" t="n"/>
      <c r="G34" s="214" t="n"/>
    </row>
    <row r="35" ht="12.5" customFormat="1" customHeight="1" s="188">
      <c r="A35" s="220" t="inlineStr">
        <is>
          <t>Future Value</t>
        </is>
      </c>
      <c r="B35" s="220" t="inlineStr">
        <is>
          <t>Interest Rate</t>
        </is>
      </c>
      <c r="C35" s="214" t="n"/>
      <c r="D35" s="220" t="inlineStr">
        <is>
          <t># Periods</t>
        </is>
      </c>
      <c r="E35" s="214" t="n"/>
      <c r="F35" s="220" t="inlineStr">
        <is>
          <t>Present Value</t>
        </is>
      </c>
      <c r="G35" s="214" t="n"/>
    </row>
    <row r="36" ht="13" customFormat="1" customHeight="1" s="188">
      <c r="A36" s="267">
        <f>F32</f>
        <v/>
      </c>
      <c r="B36" s="273" t="n"/>
      <c r="C36" s="214" t="n"/>
      <c r="D36" s="274" t="n"/>
      <c r="E36" s="214" t="n"/>
      <c r="F36" s="267">
        <f>SUM((A36)/((1+B36)^D36))</f>
        <v/>
      </c>
      <c r="G36" s="214" t="n"/>
    </row>
    <row r="38" ht="13" customHeight="1" s="189">
      <c r="A38" s="241" t="inlineStr">
        <is>
          <t>Net Present Value</t>
        </is>
      </c>
      <c r="B38" s="213" t="n"/>
      <c r="C38" s="213" t="n"/>
      <c r="D38" s="213" t="n"/>
      <c r="E38" s="213" t="n"/>
      <c r="F38" s="213" t="n"/>
      <c r="G38" s="214" t="n"/>
    </row>
    <row r="39" ht="12.5" customFormat="1" customHeight="1" s="188">
      <c r="A39" s="220" t="inlineStr">
        <is>
          <t>Period</t>
        </is>
      </c>
      <c r="B39" s="220" t="inlineStr">
        <is>
          <t>Cash Flow</t>
        </is>
      </c>
      <c r="C39" s="213" t="n"/>
      <c r="D39" s="213" t="n"/>
      <c r="E39" s="214" t="n"/>
      <c r="F39" s="220" t="inlineStr">
        <is>
          <t>Present Value</t>
        </is>
      </c>
      <c r="G39" s="214" t="n"/>
    </row>
    <row r="40" ht="13" customFormat="1" customHeight="1" s="188">
      <c r="A40" s="274" t="n">
        <v>1</v>
      </c>
      <c r="B40" s="274" t="n"/>
      <c r="C40" s="213" t="n"/>
      <c r="D40" s="213" t="n"/>
      <c r="E40" s="214" t="n"/>
      <c r="F40" s="247" t="n"/>
      <c r="G40" s="214" t="n"/>
    </row>
    <row r="41" ht="13" customFormat="1" customHeight="1" s="188">
      <c r="A41" s="274" t="n">
        <v>2</v>
      </c>
      <c r="B41" s="273" t="n"/>
      <c r="C41" s="213" t="n"/>
      <c r="D41" s="213" t="n"/>
      <c r="E41" s="214" t="n"/>
      <c r="F41" s="247" t="n"/>
      <c r="G41" s="214" t="n"/>
    </row>
    <row r="42" ht="13" customFormat="1" customHeight="1" s="188">
      <c r="A42" s="274" t="n">
        <v>3</v>
      </c>
      <c r="B42" s="273" t="n"/>
      <c r="C42" s="213" t="n"/>
      <c r="D42" s="213" t="n"/>
      <c r="E42" s="214" t="n"/>
      <c r="F42" s="247" t="n"/>
      <c r="G42" s="214" t="n"/>
    </row>
    <row r="43" ht="13" customFormat="1" customHeight="1" s="188">
      <c r="A43" s="274" t="n">
        <v>4</v>
      </c>
      <c r="B43" s="273" t="n"/>
      <c r="C43" s="213" t="n"/>
      <c r="D43" s="213" t="n"/>
      <c r="E43" s="214" t="n"/>
      <c r="F43" s="247" t="n"/>
      <c r="G43" s="214" t="n"/>
    </row>
    <row r="44" ht="13" customFormat="1" customHeight="1" s="188">
      <c r="A44" s="274" t="n">
        <v>5</v>
      </c>
      <c r="B44" s="273" t="n"/>
      <c r="C44" s="213" t="n"/>
      <c r="D44" s="213" t="n"/>
      <c r="E44" s="214" t="n"/>
      <c r="F44" s="247" t="n"/>
      <c r="G44" s="214" t="n"/>
    </row>
    <row r="45" ht="13" customFormat="1" customHeight="1" s="188">
      <c r="A45" s="275" t="inlineStr">
        <is>
          <t>Totals</t>
        </is>
      </c>
      <c r="B45" s="267">
        <f>SUM(B40:E44)</f>
        <v/>
      </c>
      <c r="C45" s="213" t="n"/>
      <c r="D45" s="213" t="n"/>
      <c r="E45" s="214" t="n"/>
      <c r="F45" s="267" t="n">
        <v>0</v>
      </c>
      <c r="G45" s="214" t="n"/>
    </row>
    <row r="46" ht="13" customFormat="1" customHeight="1" s="188">
      <c r="A46" s="276" t="inlineStr">
        <is>
          <t>Project development cost</t>
        </is>
      </c>
      <c r="B46" s="277" t="n"/>
      <c r="C46" s="213" t="n"/>
      <c r="D46" s="213" t="n"/>
      <c r="E46" s="214" t="n"/>
      <c r="F46" s="247" t="n">
        <v>0</v>
      </c>
      <c r="G46" s="214" t="n"/>
    </row>
    <row r="47" ht="13" customFormat="1" customHeight="1" s="188">
      <c r="A47" s="276" t="inlineStr">
        <is>
          <t>Net present value</t>
        </is>
      </c>
      <c r="B47" s="278" t="n"/>
      <c r="C47" s="213" t="n"/>
      <c r="D47" s="213" t="n"/>
      <c r="E47" s="214" t="n"/>
      <c r="F47" s="267">
        <f>SUM(F45-F46)</f>
        <v/>
      </c>
      <c r="G47" s="214" t="n"/>
    </row>
    <row r="49" ht="12.5" customHeight="1" s="189">
      <c r="G49" s="201" t="inlineStr">
        <is>
          <t>© Global Knowledge Training LLC</t>
        </is>
      </c>
    </row>
  </sheetData>
  <mergeCells count="44">
    <mergeCell ref="F4:G4"/>
    <mergeCell ref="B40:E40"/>
    <mergeCell ref="A5:D5"/>
    <mergeCell ref="A20:G20"/>
    <mergeCell ref="A38:G38"/>
    <mergeCell ref="B31:C31"/>
    <mergeCell ref="D36:E36"/>
    <mergeCell ref="D31:E31"/>
    <mergeCell ref="F40:G40"/>
    <mergeCell ref="F3:G3"/>
    <mergeCell ref="B45:E45"/>
    <mergeCell ref="B41:E41"/>
    <mergeCell ref="D35:E35"/>
    <mergeCell ref="A34:G34"/>
    <mergeCell ref="F45:G45"/>
    <mergeCell ref="A30:G30"/>
    <mergeCell ref="D32:E32"/>
    <mergeCell ref="F36:G36"/>
    <mergeCell ref="F42:G42"/>
    <mergeCell ref="F32:G32"/>
    <mergeCell ref="B47:E47"/>
    <mergeCell ref="F41:G41"/>
    <mergeCell ref="B46:E46"/>
    <mergeCell ref="F35:G35"/>
    <mergeCell ref="F2:G2"/>
    <mergeCell ref="A1:G1"/>
    <mergeCell ref="F47:G47"/>
    <mergeCell ref="B43:E43"/>
    <mergeCell ref="A6:G6"/>
    <mergeCell ref="B4:D4"/>
    <mergeCell ref="F31:G31"/>
    <mergeCell ref="B39:E39"/>
    <mergeCell ref="F46:G46"/>
    <mergeCell ref="B42:E42"/>
    <mergeCell ref="F43:G43"/>
    <mergeCell ref="F39:G39"/>
    <mergeCell ref="B3:D3"/>
    <mergeCell ref="B44:E44"/>
    <mergeCell ref="B36:C36"/>
    <mergeCell ref="B32:C32"/>
    <mergeCell ref="B35:C35"/>
    <mergeCell ref="B2:D2"/>
    <mergeCell ref="F44:G44"/>
    <mergeCell ref="A23:G23"/>
  </mergeCells>
  <printOptions horizontalCentered="0" verticalCentered="0" headings="0" gridLines="1" gridLinesSet="1"/>
  <pageMargins left="0.75" right="0.75" top="1" bottom="1"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0"/>
  </sheetPr>
  <dimension ref="A1:N23"/>
  <sheetViews>
    <sheetView showFormulas="0" showGridLines="1" showRowColHeaders="1" showZeros="1" rightToLeft="0" tabSelected="1" showOutlineSymbols="1" defaultGridColor="1" view="normal" topLeftCell="A1" colorId="64" zoomScale="101" zoomScaleNormal="101" zoomScalePageLayoutView="100" workbookViewId="0">
      <selection pane="topLeft" activeCell="O6" activeCellId="0" sqref="O6"/>
    </sheetView>
  </sheetViews>
  <sheetFormatPr baseColWidth="8" defaultColWidth="9.0546875" defaultRowHeight="12.5" zeroHeight="0" outlineLevelRow="0"/>
  <cols>
    <col width="2.99" customWidth="1" style="205" min="1" max="1"/>
    <col width="19.53" customWidth="1" style="188" min="2" max="2"/>
    <col width="3.17" customWidth="1" style="188" min="3" max="6"/>
    <col width="8.26" customWidth="1" style="188" min="7" max="7"/>
    <col width="20.53" customWidth="1" style="188" min="8" max="10"/>
    <col width="7.72" customWidth="1" style="188" min="12" max="14"/>
  </cols>
  <sheetData>
    <row r="1" ht="15.5" customHeight="1" s="189">
      <c r="A1" s="243" t="inlineStr">
        <is>
          <t>Risk Management Matrix (Risk Register)</t>
        </is>
      </c>
      <c r="B1" s="213" t="n"/>
      <c r="C1" s="213" t="n"/>
      <c r="D1" s="213" t="n"/>
      <c r="E1" s="213" t="n"/>
      <c r="F1" s="213" t="n"/>
      <c r="G1" s="213" t="n"/>
      <c r="H1" s="213" t="n"/>
      <c r="I1" s="213" t="n"/>
      <c r="J1" s="213" t="n"/>
      <c r="K1" s="213" t="n"/>
      <c r="L1" s="213" t="n"/>
      <c r="M1" s="213" t="n"/>
      <c r="N1" s="214" t="n"/>
    </row>
    <row r="2" ht="13" customHeight="1" s="189">
      <c r="A2" s="207" t="inlineStr">
        <is>
          <t>Project</t>
        </is>
      </c>
      <c r="B2" s="213" t="n"/>
      <c r="C2" s="214" t="n"/>
      <c r="D2" s="208" t="inlineStr">
        <is>
          <t>Personal Cybersecurity Risk Scanner</t>
        </is>
      </c>
      <c r="E2" s="213" t="n"/>
      <c r="F2" s="213" t="n"/>
      <c r="G2" s="213" t="n"/>
      <c r="H2" s="213" t="n"/>
      <c r="I2" s="214" t="n"/>
      <c r="J2" s="207" t="inlineStr">
        <is>
          <t>Project #</t>
        </is>
      </c>
      <c r="K2" s="208" t="inlineStr">
        <is>
          <t>#12</t>
        </is>
      </c>
      <c r="L2" s="213" t="n"/>
      <c r="M2" s="213" t="n"/>
      <c r="N2" s="214" t="n"/>
    </row>
    <row r="3" ht="13" customHeight="1" s="189">
      <c r="A3" s="207" t="inlineStr">
        <is>
          <t>Project manager</t>
        </is>
      </c>
      <c r="B3" s="213" t="n"/>
      <c r="C3" s="214" t="n"/>
      <c r="D3" s="208" t="inlineStr">
        <is>
          <t>Mohammedreda El aroui</t>
        </is>
      </c>
      <c r="E3" s="213" t="n"/>
      <c r="F3" s="213" t="n"/>
      <c r="G3" s="213" t="n"/>
      <c r="H3" s="213" t="n"/>
      <c r="I3" s="214" t="n"/>
      <c r="J3" s="207" t="inlineStr">
        <is>
          <t>Sponsor</t>
        </is>
      </c>
      <c r="K3" s="208" t="inlineStr">
        <is>
          <t>Mohamed AAZI</t>
        </is>
      </c>
      <c r="L3" s="213" t="n"/>
      <c r="M3" s="213" t="n"/>
      <c r="N3" s="214" t="n"/>
    </row>
    <row r="4" ht="13" customHeight="1" s="189">
      <c r="A4" s="207" t="inlineStr">
        <is>
          <t>Project artifacts</t>
        </is>
      </c>
      <c r="B4" s="213" t="n"/>
      <c r="C4" s="214" t="n"/>
      <c r="D4" s="208">
        <f>Data!B5</f>
        <v/>
      </c>
      <c r="E4" s="213" t="n"/>
      <c r="F4" s="213" t="n"/>
      <c r="G4" s="213" t="n"/>
      <c r="H4" s="213" t="n"/>
      <c r="I4" s="214" t="n"/>
      <c r="J4" s="207" t="inlineStr">
        <is>
          <t>Updated</t>
        </is>
      </c>
      <c r="K4" s="279" t="inlineStr">
        <is>
          <t>2/4/2026</t>
        </is>
      </c>
      <c r="L4" s="213" t="n"/>
      <c r="M4" s="213" t="n"/>
      <c r="N4" s="214" t="n"/>
    </row>
    <row r="5" ht="12.5" customHeight="1" s="189">
      <c r="A5" s="280" t="n"/>
      <c r="B5" s="213" t="n"/>
      <c r="C5" s="213" t="n"/>
      <c r="D5" s="213" t="n"/>
      <c r="E5" s="213" t="n"/>
      <c r="F5" s="213" t="n"/>
      <c r="G5" s="213" t="n"/>
      <c r="H5" s="213" t="n"/>
      <c r="I5" s="213" t="n"/>
      <c r="J5" s="213" t="n"/>
      <c r="K5" s="213" t="n"/>
      <c r="L5" s="213" t="n"/>
      <c r="M5" s="213" t="n"/>
      <c r="N5" s="214" t="n"/>
    </row>
    <row r="6" ht="58.5" customFormat="1" customHeight="1" s="205">
      <c r="A6" s="198" t="inlineStr">
        <is>
          <t>ID</t>
        </is>
      </c>
      <c r="B6" s="281" t="inlineStr">
        <is>
          <t>Risk Description</t>
        </is>
      </c>
      <c r="C6" s="282" t="inlineStr">
        <is>
          <t>Probability</t>
        </is>
      </c>
      <c r="D6" s="282" t="inlineStr">
        <is>
          <t>Impact</t>
        </is>
      </c>
      <c r="E6" s="282" t="inlineStr">
        <is>
          <t>Detectability</t>
        </is>
      </c>
      <c r="F6" s="282" t="inlineStr">
        <is>
          <t>Importance</t>
        </is>
      </c>
      <c r="G6" s="283" t="inlineStr">
        <is>
          <t>Category</t>
        </is>
      </c>
      <c r="H6" s="281" t="inlineStr">
        <is>
          <t>Trigger Event/Indicator</t>
        </is>
      </c>
      <c r="I6" s="281" t="inlineStr">
        <is>
          <t>Risk Response and Description</t>
        </is>
      </c>
      <c r="J6" s="281" t="inlineStr">
        <is>
          <t>Contingency Plan</t>
        </is>
      </c>
      <c r="K6" s="281" t="inlineStr">
        <is>
          <t>Owner</t>
        </is>
      </c>
      <c r="L6" s="281" t="inlineStr">
        <is>
          <t>Status</t>
        </is>
      </c>
      <c r="M6" s="281" t="inlineStr">
        <is>
          <t>Date Entered</t>
        </is>
      </c>
      <c r="N6" s="281" t="inlineStr">
        <is>
          <t>Date to Review</t>
        </is>
      </c>
    </row>
    <row r="7" ht="63.75" customFormat="1" customHeight="1" s="203">
      <c r="A7" s="200" t="n">
        <v>1</v>
      </c>
      <c r="B7" s="284" t="inlineStr">
        <is>
          <t>Scope creep due to expanding feature requests</t>
        </is>
      </c>
      <c r="C7" s="285" t="n">
        <v>3</v>
      </c>
      <c r="D7" s="285" t="n">
        <v>4</v>
      </c>
      <c r="E7" s="285" t="n">
        <v>2</v>
      </c>
      <c r="F7" s="286" t="n">
        <v>12</v>
      </c>
      <c r="G7" s="285" t="inlineStr">
        <is>
          <t>Scope</t>
        </is>
      </c>
      <c r="H7" s="284" t="inlineStr">
        <is>
          <t>Stakeholder requests additional scan modules mid-project</t>
        </is>
      </c>
      <c r="I7" s="284" t="inlineStr">
        <is>
          <t>Mitigate: Apply formal change control process; evaluate all new requests before approval</t>
        </is>
      </c>
      <c r="J7" s="284" t="inlineStr">
        <is>
          <t>Freeze scope; defer new features to next release</t>
        </is>
      </c>
      <c r="K7" s="284" t="inlineStr">
        <is>
          <t>Project Manager</t>
        </is>
      </c>
      <c r="L7" s="285" t="inlineStr">
        <is>
          <t>Open</t>
        </is>
      </c>
      <c r="M7" s="285" t="inlineStr">
        <is>
          <t>2/4/2026</t>
        </is>
      </c>
      <c r="N7" s="200" t="inlineStr">
        <is>
          <t>2026-05-01</t>
        </is>
      </c>
    </row>
    <row r="8" ht="21.75" customFormat="1" customHeight="1" s="203">
      <c r="A8" s="200" t="n">
        <v>2</v>
      </c>
      <c r="B8" s="284" t="inlineStr">
        <is>
          <t>Data privacy breach during system scanning</t>
        </is>
      </c>
      <c r="C8" s="285" t="n">
        <v>2</v>
      </c>
      <c r="D8" s="285" t="n">
        <v>5</v>
      </c>
      <c r="E8" s="285" t="n">
        <v>3</v>
      </c>
      <c r="F8" s="286" t="n">
        <v>10</v>
      </c>
      <c r="G8" s="285" t="inlineStr">
        <is>
          <t>Technical/Legal</t>
        </is>
      </c>
      <c r="H8" s="284" t="inlineStr">
        <is>
          <t>Scanner accesses sensitive user data and logs are exposed</t>
        </is>
      </c>
      <c r="I8" s="284" t="inlineStr">
        <is>
          <t>Mitigate: Encrypt all scan data; implement strict data handling policies</t>
        </is>
      </c>
      <c r="J8" s="284" t="inlineStr">
        <is>
          <t>Halt scanning; notify affected users; apply data breach response plan</t>
        </is>
      </c>
      <c r="K8" s="285" t="inlineStr">
        <is>
          <t>Security Lead</t>
        </is>
      </c>
      <c r="L8" s="285" t="inlineStr">
        <is>
          <t>Open</t>
        </is>
      </c>
      <c r="M8" s="285" t="inlineStr">
        <is>
          <t>2/4/2026</t>
        </is>
      </c>
      <c r="N8" s="200" t="inlineStr">
        <is>
          <t>2026-05-01</t>
        </is>
      </c>
    </row>
    <row r="9" ht="21.75" customFormat="1" customHeight="1" s="203">
      <c r="A9" s="200" t="n">
        <v>3</v>
      </c>
      <c r="B9" s="284" t="inlineStr">
        <is>
          <t>Inaccurate vulnerability detection (false positives/negatives)</t>
        </is>
      </c>
      <c r="C9" s="285" t="n">
        <v>3</v>
      </c>
      <c r="D9" s="285" t="n">
        <v>4</v>
      </c>
      <c r="E9" s="285" t="n">
        <v>3</v>
      </c>
      <c r="F9" s="286" t="n">
        <v>12</v>
      </c>
      <c r="G9" s="285" t="inlineStr">
        <is>
          <t>Technical/Quality</t>
        </is>
      </c>
      <c r="H9" s="284" t="inlineStr">
        <is>
          <t>QA testing reveals scan results don't match real vulnerabilities</t>
        </is>
      </c>
      <c r="I9" s="284" t="inlineStr">
        <is>
          <t>Mitigate: Extensive testing against known vulnerability datasets</t>
        </is>
      </c>
      <c r="J9" s="284" t="inlineStr">
        <is>
          <t>Use third-party validation tools; recalibrate detection thresholds</t>
        </is>
      </c>
      <c r="K9" s="285" t="inlineStr">
        <is>
          <t>Dev Lead</t>
        </is>
      </c>
      <c r="L9" s="285" t="inlineStr">
        <is>
          <t>Open</t>
        </is>
      </c>
      <c r="M9" s="285" t="inlineStr">
        <is>
          <t>2/4/2026</t>
        </is>
      </c>
      <c r="N9" s="200" t="inlineStr">
        <is>
          <t>2026-05-01</t>
        </is>
      </c>
    </row>
    <row r="10" ht="21.75" customFormat="1" customHeight="1" s="203">
      <c r="A10" s="200" t="n">
        <v>4</v>
      </c>
      <c r="B10" s="284" t="inlineStr">
        <is>
          <t>Team member unavailability</t>
        </is>
      </c>
      <c r="C10" s="285" t="n">
        <v>3</v>
      </c>
      <c r="D10" s="285" t="n">
        <v>3</v>
      </c>
      <c r="E10" s="285" t="n">
        <v>2</v>
      </c>
      <c r="F10" s="286" t="n">
        <v>9</v>
      </c>
      <c r="G10" s="285" t="inlineStr">
        <is>
          <t>Resource</t>
        </is>
      </c>
      <c r="H10" s="284" t="inlineStr">
        <is>
          <t>Key developer leaves or is unavailable for an extended period</t>
        </is>
      </c>
      <c r="I10" s="284" t="inlineStr">
        <is>
          <t>Mitigate: Cross-train team members; maintain up-to-date documentation</t>
        </is>
      </c>
      <c r="J10" s="284" t="inlineStr">
        <is>
          <t>Redistribute tasks; bring in external consultant if needed</t>
        </is>
      </c>
      <c r="K10" s="285" t="inlineStr">
        <is>
          <t>Project Manager</t>
        </is>
      </c>
      <c r="L10" s="285" t="inlineStr">
        <is>
          <t>Open</t>
        </is>
      </c>
      <c r="M10" s="285" t="inlineStr">
        <is>
          <t>2/4/2026</t>
        </is>
      </c>
      <c r="N10" s="200" t="inlineStr">
        <is>
          <t>2026-05-01</t>
        </is>
      </c>
    </row>
    <row r="11" ht="21.75" customFormat="1" customHeight="1" s="203">
      <c r="A11" s="200" t="n">
        <v>5</v>
      </c>
      <c r="B11" s="284" t="inlineStr">
        <is>
          <t>Technology compatibility issues across OS platforms</t>
        </is>
      </c>
      <c r="C11" s="285" t="n">
        <v>3</v>
      </c>
      <c r="D11" s="285" t="n">
        <v>3</v>
      </c>
      <c r="E11" s="285" t="n">
        <v>2</v>
      </c>
      <c r="F11" s="286" t="n">
        <v>9</v>
      </c>
      <c r="G11" s="285" t="inlineStr">
        <is>
          <t>Technical</t>
        </is>
      </c>
      <c r="H11" s="284" t="inlineStr">
        <is>
          <t>Scanner fails on certain OS versions (Windows, Linux, macOS)</t>
        </is>
      </c>
      <c r="I11" s="284" t="inlineStr">
        <is>
          <t>Mitigate: Early cross-platform testing in development phase</t>
        </is>
      </c>
      <c r="J11" s="284" t="inlineStr">
        <is>
          <t>Limit scope to supported platforms; publish compatibility requirements</t>
        </is>
      </c>
      <c r="K11" s="285" t="inlineStr">
        <is>
          <t>Dev Lead</t>
        </is>
      </c>
      <c r="L11" s="285" t="inlineStr">
        <is>
          <t>Open</t>
        </is>
      </c>
      <c r="M11" s="285" t="inlineStr">
        <is>
          <t>2/4/2026</t>
        </is>
      </c>
      <c r="N11" s="200" t="inlineStr">
        <is>
          <t>2026-05-01</t>
        </is>
      </c>
    </row>
    <row r="12" ht="21.75" customFormat="1" customHeight="1" s="203">
      <c r="A12" s="200" t="n">
        <v>6</v>
      </c>
      <c r="B12" s="284" t="inlineStr">
        <is>
          <t>Budget overrun</t>
        </is>
      </c>
      <c r="C12" s="285" t="n">
        <v>2</v>
      </c>
      <c r="D12" s="285" t="n">
        <v>4</v>
      </c>
      <c r="E12" s="285" t="n">
        <v>2</v>
      </c>
      <c r="F12" s="286" t="n">
        <v>8</v>
      </c>
      <c r="G12" s="285" t="inlineStr">
        <is>
          <t>Financial</t>
        </is>
      </c>
      <c r="H12" s="284" t="inlineStr">
        <is>
          <t>Actual development costs exceed approved budget</t>
        </is>
      </c>
      <c r="I12" s="284" t="inlineStr">
        <is>
          <t>Mitigate: Track expenditures weekly; use open-source tools</t>
        </is>
      </c>
      <c r="J12" s="284" t="inlineStr">
        <is>
          <t>Request additional funding from sponsor; reduce non-critical features</t>
        </is>
      </c>
      <c r="K12" s="285" t="inlineStr">
        <is>
          <t>Project Manager</t>
        </is>
      </c>
      <c r="L12" s="285" t="inlineStr">
        <is>
          <t>Open</t>
        </is>
      </c>
      <c r="M12" s="285" t="inlineStr">
        <is>
          <t>2/4/2026</t>
        </is>
      </c>
      <c r="N12" s="200" t="inlineStr">
        <is>
          <t>2026-05-01</t>
        </is>
      </c>
    </row>
    <row r="13" ht="21.75" customFormat="1" customHeight="1" s="203">
      <c r="A13" s="200" t="n">
        <v>7</v>
      </c>
      <c r="B13" s="284" t="inlineStr">
        <is>
          <t>Schedule delay</t>
        </is>
      </c>
      <c r="C13" s="285" t="n">
        <v>3</v>
      </c>
      <c r="D13" s="285" t="n">
        <v>3</v>
      </c>
      <c r="E13" s="285" t="n">
        <v>2</v>
      </c>
      <c r="F13" s="286" t="n">
        <v>9</v>
      </c>
      <c r="G13" s="285" t="inlineStr">
        <is>
          <t>Schedule</t>
        </is>
      </c>
      <c r="H13" s="284" t="inlineStr">
        <is>
          <t>Sprint deliverables not completed on time due to technical complexity</t>
        </is>
      </c>
      <c r="I13" s="284" t="inlineStr">
        <is>
          <t>Mitigate: Use Agile sprints with clear criteria; weekly status reviews</t>
        </is>
      </c>
      <c r="J13" s="284" t="inlineStr">
        <is>
          <t>Re-baseline schedule; reallocate resources to critical path tasks</t>
        </is>
      </c>
      <c r="K13" s="285" t="inlineStr">
        <is>
          <t>Project Manager</t>
        </is>
      </c>
      <c r="L13" s="285" t="inlineStr">
        <is>
          <t>Open</t>
        </is>
      </c>
      <c r="M13" s="285" t="inlineStr">
        <is>
          <t>2/4/2026</t>
        </is>
      </c>
      <c r="N13" s="200" t="inlineStr">
        <is>
          <t>2026-05-01</t>
        </is>
      </c>
    </row>
    <row r="14" ht="21.75" customFormat="1" customHeight="1" s="203">
      <c r="A14" s="200" t="n">
        <v>8</v>
      </c>
      <c r="B14" s="284" t="inlineStr">
        <is>
          <t>Legal/Regulatory non-compliance</t>
        </is>
      </c>
      <c r="C14" s="285" t="n">
        <v>2</v>
      </c>
      <c r="D14" s="285" t="n">
        <v>5</v>
      </c>
      <c r="E14" s="285" t="n">
        <v>3</v>
      </c>
      <c r="F14" s="286" t="n">
        <v>10</v>
      </c>
      <c r="G14" s="285" t="inlineStr">
        <is>
          <t>Legal/Compliance</t>
        </is>
      </c>
      <c r="H14" s="284" t="inlineStr">
        <is>
          <t>Tool found to violate GDPR or local privacy laws during legal review</t>
        </is>
      </c>
      <c r="I14" s="284" t="inlineStr">
        <is>
          <t>Mitigate: Conduct legal review early; consult data privacy expert</t>
        </is>
      </c>
      <c r="J14" s="284" t="inlineStr">
        <is>
          <t>Suspend distribution; engage legal counsel; adjust data handling</t>
        </is>
      </c>
      <c r="K14" s="285" t="inlineStr">
        <is>
          <t>Sponsor</t>
        </is>
      </c>
      <c r="L14" s="285" t="inlineStr">
        <is>
          <t>Open</t>
        </is>
      </c>
      <c r="M14" s="285" t="inlineStr">
        <is>
          <t>2/4/2026</t>
        </is>
      </c>
      <c r="N14" s="200" t="inlineStr">
        <is>
          <t>2026-05-01</t>
        </is>
      </c>
    </row>
    <row r="15" ht="21.75" customFormat="1" customHeight="1" s="203">
      <c r="A15" s="200" t="n">
        <v>9</v>
      </c>
      <c r="B15" s="284" t="inlineStr">
        <is>
          <t>Low user adoption due to poor UX</t>
        </is>
      </c>
      <c r="C15" s="285" t="n">
        <v>3</v>
      </c>
      <c r="D15" s="285" t="n">
        <v>3</v>
      </c>
      <c r="E15" s="285" t="n">
        <v>3</v>
      </c>
      <c r="F15" s="286" t="n">
        <v>9</v>
      </c>
      <c r="G15" s="285" t="inlineStr">
        <is>
          <t>Business</t>
        </is>
      </c>
      <c r="H15" s="284" t="inlineStr">
        <is>
          <t>Beta testers find the dashboard confusing or not user-friendly</t>
        </is>
      </c>
      <c r="I15" s="284" t="inlineStr">
        <is>
          <t>Mitigate: Conduct UX testing with non-technical users during development</t>
        </is>
      </c>
      <c r="J15" s="284" t="inlineStr">
        <is>
          <t>Redesign UI based on feedback; provide user guides</t>
        </is>
      </c>
      <c r="K15" s="285" t="inlineStr">
        <is>
          <t>Product Owner</t>
        </is>
      </c>
      <c r="L15" s="285" t="inlineStr">
        <is>
          <t>Open</t>
        </is>
      </c>
      <c r="M15" s="285" t="inlineStr">
        <is>
          <t>2/4/2026</t>
        </is>
      </c>
      <c r="N15" s="200" t="inlineStr">
        <is>
          <t>2026-05-01</t>
        </is>
      </c>
    </row>
    <row r="16" ht="21.75" customFormat="1" customHeight="1" s="203">
      <c r="A16" s="200" t="n">
        <v>10</v>
      </c>
      <c r="B16" s="284" t="inlineStr">
        <is>
          <t>Third-party library vulnerabilities</t>
        </is>
      </c>
      <c r="C16" s="285" t="n">
        <v>2</v>
      </c>
      <c r="D16" s="285" t="n">
        <v>4</v>
      </c>
      <c r="E16" s="285" t="n">
        <v>3</v>
      </c>
      <c r="F16" s="286" t="n">
        <v>8</v>
      </c>
      <c r="G16" s="285" t="inlineStr">
        <is>
          <t>Technical/Security</t>
        </is>
      </c>
      <c r="H16" s="284" t="inlineStr">
        <is>
          <t>A dependency used in scanner has a known CVE</t>
        </is>
      </c>
      <c r="I16" s="284" t="inlineStr">
        <is>
          <t>Mitigate: Use dependency scanning tools (e.g., Dependabot) in CI/CD</t>
        </is>
      </c>
      <c r="J16" s="284" t="inlineStr">
        <is>
          <t>Patch or replace affected library immediately; re-test all modules</t>
        </is>
      </c>
      <c r="K16" s="285" t="inlineStr">
        <is>
          <t>Dev Lead</t>
        </is>
      </c>
      <c r="L16" s="285" t="inlineStr">
        <is>
          <t>Open</t>
        </is>
      </c>
      <c r="M16" s="285" t="inlineStr">
        <is>
          <t>2/4/2026</t>
        </is>
      </c>
      <c r="N16" s="200" t="inlineStr">
        <is>
          <t>2026-05-01</t>
        </is>
      </c>
    </row>
    <row r="17" ht="21.75" customFormat="1" customHeight="1" s="203">
      <c r="A17" s="200" t="n">
        <v>11</v>
      </c>
      <c r="B17" s="284" t="n"/>
      <c r="C17" s="285" t="n"/>
      <c r="D17" s="285" t="n"/>
      <c r="E17" s="285" t="n"/>
      <c r="F17" s="286">
        <f>C17*(D17)*E17</f>
        <v/>
      </c>
      <c r="G17" s="285" t="n"/>
      <c r="H17" s="284" t="n"/>
      <c r="I17" s="284" t="n"/>
      <c r="J17" s="284" t="n"/>
      <c r="K17" s="285" t="n"/>
      <c r="L17" s="285" t="n"/>
      <c r="M17" s="285" t="n"/>
      <c r="N17" s="200" t="n"/>
    </row>
    <row r="18" ht="21.75" customFormat="1" customHeight="1" s="203">
      <c r="A18" s="200" t="n">
        <v>12</v>
      </c>
      <c r="B18" s="284" t="n"/>
      <c r="C18" s="285" t="n"/>
      <c r="D18" s="285" t="n"/>
      <c r="E18" s="285" t="n"/>
      <c r="F18" s="286">
        <f>C18*(D18)*E18</f>
        <v/>
      </c>
      <c r="G18" s="285" t="n"/>
      <c r="H18" s="284" t="n"/>
      <c r="I18" s="284" t="n"/>
      <c r="J18" s="284" t="n"/>
      <c r="K18" s="285" t="n"/>
      <c r="L18" s="285" t="n"/>
      <c r="M18" s="285" t="n"/>
      <c r="N18" s="200" t="n"/>
    </row>
    <row r="19" ht="21.75" customFormat="1" customHeight="1" s="203">
      <c r="A19" s="200" t="n">
        <v>13</v>
      </c>
      <c r="B19" s="284" t="n"/>
      <c r="C19" s="285" t="n"/>
      <c r="D19" s="285" t="n"/>
      <c r="E19" s="285" t="n"/>
      <c r="F19" s="286">
        <f>C19*(D19)*E19</f>
        <v/>
      </c>
      <c r="G19" s="285" t="n"/>
      <c r="H19" s="284" t="n"/>
      <c r="I19" s="284" t="n"/>
      <c r="J19" s="284" t="n"/>
      <c r="K19" s="285" t="n"/>
      <c r="L19" s="285" t="n"/>
      <c r="M19" s="285" t="n"/>
      <c r="N19" s="200" t="n"/>
    </row>
    <row r="20" ht="21.75" customFormat="1" customHeight="1" s="203">
      <c r="A20" s="200" t="n">
        <v>14</v>
      </c>
      <c r="B20" s="284" t="n"/>
      <c r="C20" s="285" t="n"/>
      <c r="D20" s="285" t="n"/>
      <c r="E20" s="285" t="n"/>
      <c r="F20" s="286">
        <f>C20*(D20)*E20</f>
        <v/>
      </c>
      <c r="G20" s="285" t="n"/>
      <c r="H20" s="284" t="n"/>
      <c r="I20" s="284" t="n"/>
      <c r="J20" s="284" t="n"/>
      <c r="K20" s="285" t="n"/>
      <c r="L20" s="285" t="n"/>
      <c r="M20" s="285" t="n"/>
      <c r="N20" s="200" t="n"/>
    </row>
    <row r="21" ht="21.75" customFormat="1" customHeight="1" s="203">
      <c r="A21" s="200" t="n">
        <v>15</v>
      </c>
      <c r="B21" s="284" t="n"/>
      <c r="C21" s="285" t="n"/>
      <c r="D21" s="285" t="n"/>
      <c r="E21" s="285" t="n"/>
      <c r="F21" s="286">
        <f>C21*(D21)*E21</f>
        <v/>
      </c>
      <c r="G21" s="285" t="n"/>
      <c r="H21" s="284" t="n"/>
      <c r="I21" s="284" t="n"/>
      <c r="J21" s="284" t="n"/>
      <c r="K21" s="285" t="n"/>
      <c r="L21" s="285" t="n"/>
      <c r="M21" s="285" t="n"/>
      <c r="N21" s="200" t="n"/>
    </row>
    <row r="22" ht="13" customFormat="1" customHeight="1" s="203"/>
    <row r="23" ht="13" customFormat="1" customHeight="1" s="203">
      <c r="N23" s="201" t="inlineStr">
        <is>
          <t>© Global Knowledge Training LLC</t>
        </is>
      </c>
    </row>
    <row r="24" ht="13" customFormat="1" customHeight="1" s="203"/>
    <row r="25" ht="13" customFormat="1" customHeight="1" s="203"/>
    <row r="26" ht="13" customFormat="1" customHeight="1" s="203"/>
    <row r="27" ht="13" customFormat="1" customHeight="1" s="203"/>
    <row r="28" ht="13" customFormat="1" customHeight="1" s="203"/>
    <row r="29" ht="13" customFormat="1" customHeight="1" s="203"/>
    <row r="30" ht="13" customFormat="1" customHeight="1" s="203"/>
    <row r="31" ht="13" customFormat="1" customHeight="1" s="203"/>
    <row r="32" ht="13" customFormat="1" customHeight="1" s="203"/>
    <row r="33" ht="13" customFormat="1" customHeight="1" s="203"/>
    <row r="34" ht="13" customFormat="1" customHeight="1" s="203"/>
    <row r="35" ht="13" customFormat="1" customHeight="1" s="203"/>
    <row r="36" ht="13" customFormat="1" customHeight="1" s="203"/>
    <row r="37" ht="13" customFormat="1" customHeight="1" s="203"/>
    <row r="38" ht="13" customFormat="1" customHeight="1" s="203"/>
    <row r="39" ht="13" customFormat="1" customHeight="1" s="203"/>
    <row r="40" ht="13" customFormat="1" customHeight="1" s="203"/>
    <row r="41" ht="13" customFormat="1" customHeight="1" s="203"/>
    <row r="42" ht="13" customFormat="1" customHeight="1" s="203"/>
    <row r="43" ht="13" customFormat="1" customHeight="1" s="203"/>
    <row r="44" ht="13" customFormat="1" customHeight="1" s="203"/>
    <row r="45" ht="13" customFormat="1" customHeight="1" s="203"/>
    <row r="46" ht="13" customFormat="1" customHeight="1" s="203"/>
    <row r="47" ht="13" customFormat="1" customHeight="1" s="203"/>
    <row r="48" ht="13" customFormat="1" customHeight="1" s="203"/>
    <row r="49" ht="13" customFormat="1" customHeight="1" s="203"/>
    <row r="50" ht="13" customFormat="1" customHeight="1" s="203"/>
    <row r="51" ht="13" customFormat="1" customHeight="1" s="203"/>
    <row r="52" ht="13" customFormat="1" customHeight="1" s="203"/>
    <row r="53" ht="13" customFormat="1" customHeight="1" s="203"/>
    <row r="54" ht="13" customFormat="1" customHeight="1" s="203"/>
    <row r="55" ht="13" customFormat="1" customHeight="1" s="203"/>
    <row r="56" ht="13" customFormat="1" customHeight="1" s="203"/>
    <row r="57" ht="13" customFormat="1" customHeight="1" s="203"/>
    <row r="58" ht="13" customFormat="1" customHeight="1" s="203"/>
    <row r="59" ht="13" customFormat="1" customHeight="1" s="203"/>
    <row r="60" ht="13" customFormat="1" customHeight="1" s="203"/>
    <row r="61" ht="13" customFormat="1" customHeight="1" s="203"/>
    <row r="62" ht="13" customFormat="1" customHeight="1" s="203"/>
    <row r="63" ht="13" customFormat="1" customHeight="1" s="203"/>
    <row r="64" ht="13" customFormat="1" customHeight="1" s="203"/>
    <row r="65" ht="13" customFormat="1" customHeight="1" s="203"/>
    <row r="66" ht="13" customFormat="1" customHeight="1" s="203"/>
    <row r="67" ht="13" customFormat="1" customHeight="1" s="203"/>
    <row r="68" ht="13" customFormat="1" customHeight="1" s="203"/>
    <row r="69" ht="13" customFormat="1" customHeight="1" s="203"/>
    <row r="70" ht="13" customFormat="1" customHeight="1" s="203"/>
    <row r="71" ht="13" customFormat="1" customHeight="1" s="203"/>
    <row r="72" ht="13" customFormat="1" customHeight="1" s="203"/>
    <row r="73" ht="13" customFormat="1" customHeight="1" s="203"/>
    <row r="74" ht="13" customFormat="1" customHeight="1" s="203"/>
    <row r="75" ht="13" customFormat="1" customHeight="1" s="203"/>
    <row r="76" ht="13" customFormat="1" customHeight="1" s="203"/>
    <row r="77" ht="13" customFormat="1" customHeight="1" s="203"/>
    <row r="78" ht="13" customFormat="1" customHeight="1" s="203"/>
    <row r="79" ht="13" customFormat="1" customHeight="1" s="203"/>
    <row r="80" ht="13" customFormat="1" customHeight="1" s="203"/>
    <row r="81" ht="13" customFormat="1" customHeight="1" s="203"/>
    <row r="82" ht="13" customFormat="1" customHeight="1" s="203"/>
    <row r="83" ht="13" customFormat="1" customHeight="1" s="203"/>
    <row r="84" ht="13" customFormat="1" customHeight="1" s="203"/>
    <row r="85" ht="13" customFormat="1" customHeight="1" s="203"/>
    <row r="86" ht="13" customFormat="1" customHeight="1" s="203"/>
    <row r="87" ht="13" customFormat="1" customHeight="1" s="203"/>
    <row r="88" ht="13" customFormat="1" customHeight="1" s="203"/>
    <row r="89" ht="13" customFormat="1" customHeight="1" s="203"/>
    <row r="90" ht="13" customFormat="1" customHeight="1" s="203"/>
    <row r="91" ht="13" customFormat="1" customHeight="1" s="203"/>
    <row r="92" ht="13" customFormat="1" customHeight="1" s="203"/>
    <row r="93" ht="13" customFormat="1" customHeight="1" s="203"/>
    <row r="94" ht="13" customFormat="1" customHeight="1" s="203"/>
    <row r="95" ht="13" customFormat="1" customHeight="1" s="203"/>
    <row r="96" ht="13" customFormat="1" customHeight="1" s="203"/>
    <row r="97" ht="13" customFormat="1" customHeight="1" s="203"/>
    <row r="98" ht="13" customFormat="1" customHeight="1" s="203"/>
    <row r="99" ht="13" customFormat="1" customHeight="1" s="203"/>
    <row r="100" ht="13" customFormat="1" customHeight="1" s="203"/>
    <row r="101" ht="13" customFormat="1" customHeight="1" s="203"/>
    <row r="102" ht="13" customFormat="1" customHeight="1" s="203"/>
    <row r="103" ht="13" customFormat="1" customHeight="1" s="203"/>
    <row r="104" ht="13" customFormat="1" customHeight="1" s="203"/>
    <row r="105" ht="13" customFormat="1" customHeight="1" s="203"/>
    <row r="106" ht="13" customFormat="1" customHeight="1" s="203"/>
    <row r="107" ht="13" customFormat="1" customHeight="1" s="203"/>
    <row r="108" ht="13" customFormat="1" customHeight="1" s="203"/>
    <row r="109" ht="13" customFormat="1" customHeight="1" s="203"/>
    <row r="110" ht="13" customFormat="1" customHeight="1" s="203"/>
    <row r="111" ht="13" customFormat="1" customHeight="1" s="203"/>
    <row r="112" ht="13" customFormat="1" customHeight="1" s="203"/>
    <row r="113" ht="13" customFormat="1" customHeight="1" s="203"/>
    <row r="114" ht="13" customFormat="1" customHeight="1" s="203"/>
    <row r="115" ht="13" customFormat="1" customHeight="1" s="203"/>
    <row r="116" ht="13" customFormat="1" customHeight="1" s="203"/>
    <row r="117" ht="13" customFormat="1" customHeight="1" s="203"/>
    <row r="118" ht="13" customFormat="1" customHeight="1" s="203"/>
    <row r="119" ht="13" customFormat="1" customHeight="1" s="203"/>
    <row r="120" ht="13" customFormat="1" customHeight="1" s="203"/>
    <row r="121" ht="13" customFormat="1" customHeight="1" s="203"/>
    <row r="122" ht="13" customFormat="1" customHeight="1" s="203"/>
    <row r="123" ht="13" customFormat="1" customHeight="1" s="203"/>
    <row r="124" ht="13" customFormat="1" customHeight="1" s="203"/>
    <row r="125" ht="13" customFormat="1" customHeight="1" s="203"/>
    <row r="126" ht="13" customFormat="1" customHeight="1" s="203"/>
    <row r="127" ht="13" customFormat="1" customHeight="1" s="203"/>
    <row r="128" ht="13" customFormat="1" customHeight="1" s="203"/>
    <row r="129" ht="13" customFormat="1" customHeight="1" s="203"/>
    <row r="130" ht="13" customFormat="1" customHeight="1" s="203"/>
    <row r="131" ht="13" customFormat="1" customHeight="1" s="203"/>
    <row r="132" ht="13" customFormat="1" customHeight="1" s="203"/>
    <row r="133" ht="13" customFormat="1" customHeight="1" s="203"/>
    <row r="134" ht="13" customFormat="1" customHeight="1" s="203"/>
    <row r="135" ht="13" customFormat="1" customHeight="1" s="203"/>
    <row r="136" ht="13" customFormat="1" customHeight="1" s="203"/>
    <row r="137" ht="13" customFormat="1" customHeight="1" s="203"/>
    <row r="138" ht="13" customFormat="1" customHeight="1" s="203"/>
    <row r="139" ht="13" customFormat="1" customHeight="1" s="203"/>
    <row r="140" ht="13" customFormat="1" customHeight="1" s="203"/>
    <row r="141" ht="13" customFormat="1" customHeight="1" s="203"/>
    <row r="142" ht="13" customFormat="1" customHeight="1" s="203"/>
    <row r="143" ht="13" customFormat="1" customHeight="1" s="203"/>
    <row r="144" ht="13" customFormat="1" customHeight="1" s="203"/>
    <row r="145" ht="13" customFormat="1" customHeight="1" s="203"/>
    <row r="146" ht="13" customFormat="1" customHeight="1" s="203"/>
    <row r="147" ht="13" customFormat="1" customHeight="1" s="203"/>
    <row r="148" ht="13" customFormat="1" customHeight="1" s="203"/>
    <row r="149" ht="13" customFormat="1" customHeight="1" s="203"/>
    <row r="150" ht="13" customFormat="1" customHeight="1" s="203"/>
    <row r="151" ht="13" customFormat="1" customHeight="1" s="203"/>
    <row r="152" ht="13" customFormat="1" customHeight="1" s="203"/>
    <row r="153" ht="13" customFormat="1" customHeight="1" s="203"/>
    <row r="154" ht="13" customFormat="1" customHeight="1" s="203"/>
    <row r="155" ht="13" customFormat="1" customHeight="1" s="203"/>
    <row r="156" ht="13" customFormat="1" customHeight="1" s="203"/>
    <row r="157" ht="13" customFormat="1" customHeight="1" s="203"/>
    <row r="158" ht="13" customFormat="1" customHeight="1" s="203"/>
    <row r="159" ht="13" customFormat="1" customHeight="1" s="203"/>
    <row r="160" ht="13" customFormat="1" customHeight="1" s="203"/>
    <row r="161" ht="13" customFormat="1" customHeight="1" s="203"/>
    <row r="162" ht="13" customFormat="1" customHeight="1" s="203"/>
    <row r="163" ht="13" customFormat="1" customHeight="1" s="203"/>
    <row r="164" ht="13" customFormat="1" customHeight="1" s="203"/>
    <row r="165" ht="13" customFormat="1" customHeight="1" s="203"/>
    <row r="166" ht="13" customFormat="1" customHeight="1" s="203"/>
    <row r="167" ht="13" customFormat="1" customHeight="1" s="203"/>
    <row r="168" ht="13" customFormat="1" customHeight="1" s="203"/>
    <row r="169" ht="13" customFormat="1" customHeight="1" s="203"/>
    <row r="170" ht="13" customFormat="1" customHeight="1" s="203"/>
    <row r="171" ht="13" customFormat="1" customHeight="1" s="203"/>
    <row r="172" ht="13" customFormat="1" customHeight="1" s="203"/>
    <row r="173" ht="13" customFormat="1" customHeight="1" s="203"/>
    <row r="174" ht="13" customFormat="1" customHeight="1" s="203"/>
    <row r="175" ht="13" customFormat="1" customHeight="1" s="203"/>
    <row r="176" ht="13" customFormat="1" customHeight="1" s="203"/>
    <row r="177" ht="13" customFormat="1" customHeight="1" s="203"/>
    <row r="178" ht="13" customFormat="1" customHeight="1" s="203"/>
    <row r="179" ht="13" customFormat="1" customHeight="1" s="203"/>
    <row r="180" ht="13" customFormat="1" customHeight="1" s="203"/>
    <row r="181" ht="13" customFormat="1" customHeight="1" s="203"/>
    <row r="182" ht="13" customFormat="1" customHeight="1" s="203"/>
    <row r="183" ht="13" customFormat="1" customHeight="1" s="203"/>
    <row r="184" ht="13" customFormat="1" customHeight="1" s="203"/>
    <row r="185" ht="13" customFormat="1" customHeight="1" s="203"/>
    <row r="186" ht="13" customFormat="1" customHeight="1" s="203"/>
    <row r="187" ht="13" customFormat="1" customHeight="1" s="203"/>
    <row r="188" ht="13" customFormat="1" customHeight="1" s="203"/>
    <row r="189" ht="13" customFormat="1" customHeight="1" s="203"/>
    <row r="190" ht="13" customFormat="1" customHeight="1" s="203"/>
    <row r="191" ht="13" customFormat="1" customHeight="1" s="203"/>
    <row r="192" ht="13" customFormat="1" customHeight="1" s="203"/>
    <row r="193" ht="13" customFormat="1" customHeight="1" s="203"/>
    <row r="194" ht="13" customFormat="1" customHeight="1" s="203"/>
    <row r="195" ht="13" customFormat="1" customHeight="1" s="203"/>
    <row r="196" ht="13" customFormat="1" customHeight="1" s="203"/>
    <row r="197" ht="13" customFormat="1" customHeight="1" s="203"/>
    <row r="198" ht="13" customFormat="1" customHeight="1" s="203"/>
    <row r="199" ht="13" customFormat="1" customHeight="1" s="203"/>
    <row r="200" ht="13" customFormat="1" customHeight="1" s="203"/>
    <row r="201" ht="13" customFormat="1" customHeight="1" s="203"/>
    <row r="202" ht="13" customFormat="1" customHeight="1" s="203"/>
    <row r="203" ht="13" customFormat="1" customHeight="1" s="203"/>
    <row r="204" ht="13" customFormat="1" customHeight="1" s="203"/>
    <row r="205" ht="13" customFormat="1" customHeight="1" s="203"/>
    <row r="206" ht="13" customFormat="1" customHeight="1" s="203"/>
    <row r="207" ht="13" customFormat="1" customHeight="1" s="203"/>
    <row r="208" ht="13" customFormat="1" customHeight="1" s="203"/>
    <row r="209" ht="13" customFormat="1" customHeight="1" s="203"/>
    <row r="210" ht="13" customFormat="1" customHeight="1" s="203"/>
    <row r="211" ht="13" customFormat="1" customHeight="1" s="203"/>
    <row r="212" ht="13" customFormat="1" customHeight="1" s="203"/>
    <row r="213" ht="13" customFormat="1" customHeight="1" s="203"/>
    <row r="214" ht="13" customFormat="1" customHeight="1" s="203"/>
    <row r="215" ht="13" customFormat="1" customHeight="1" s="203"/>
    <row r="216" ht="13" customFormat="1" customHeight="1" s="203"/>
    <row r="217" ht="13" customFormat="1" customHeight="1" s="203"/>
    <row r="218" ht="13" customFormat="1" customHeight="1" s="203"/>
    <row r="219" ht="13" customFormat="1" customHeight="1" s="203"/>
    <row r="220" ht="13" customFormat="1" customHeight="1" s="203"/>
    <row r="221" ht="13" customFormat="1" customHeight="1" s="203"/>
    <row r="222" ht="13" customFormat="1" customHeight="1" s="203"/>
    <row r="223" ht="13" customFormat="1" customHeight="1" s="203"/>
    <row r="224" ht="13" customFormat="1" customHeight="1" s="203"/>
    <row r="225" ht="13" customFormat="1" customHeight="1" s="203"/>
    <row r="226" ht="13" customFormat="1" customHeight="1" s="203"/>
    <row r="227" ht="13" customFormat="1" customHeight="1" s="203"/>
    <row r="228" ht="13" customFormat="1" customHeight="1" s="203"/>
    <row r="229" ht="13" customFormat="1" customHeight="1" s="203"/>
    <row r="230" ht="13" customFormat="1" customHeight="1" s="203"/>
    <row r="231" ht="13" customFormat="1" customHeight="1" s="203"/>
    <row r="232" ht="13" customFormat="1" customHeight="1" s="203"/>
    <row r="233" ht="13" customFormat="1" customHeight="1" s="203"/>
    <row r="234" ht="13" customFormat="1" customHeight="1" s="203"/>
    <row r="235" ht="13" customFormat="1" customHeight="1" s="203"/>
    <row r="236" ht="13" customFormat="1" customHeight="1" s="203"/>
    <row r="237" ht="13" customFormat="1" customHeight="1" s="203"/>
    <row r="238" ht="13" customFormat="1" customHeight="1" s="203"/>
    <row r="239" ht="13" customFormat="1" customHeight="1" s="203"/>
    <row r="240" ht="13" customFormat="1" customHeight="1" s="203"/>
    <row r="241" ht="13" customFormat="1" customHeight="1" s="203"/>
    <row r="242" ht="13" customFormat="1" customHeight="1" s="203"/>
    <row r="243" ht="13" customFormat="1" customHeight="1" s="203"/>
    <row r="244" ht="13" customFormat="1" customHeight="1" s="203"/>
    <row r="245" ht="13" customFormat="1" customHeight="1" s="203"/>
    <row r="246" ht="13" customFormat="1" customHeight="1" s="203"/>
    <row r="247" ht="13" customFormat="1" customHeight="1" s="203"/>
    <row r="248" ht="13" customFormat="1" customHeight="1" s="203"/>
    <row r="249" ht="13" customFormat="1" customHeight="1" s="203"/>
    <row r="250" ht="13" customFormat="1" customHeight="1" s="203"/>
    <row r="251" ht="13" customFormat="1" customHeight="1" s="203"/>
    <row r="252" ht="13" customFormat="1" customHeight="1" s="203"/>
    <row r="253" ht="13" customFormat="1" customHeight="1" s="203"/>
    <row r="254" ht="13" customFormat="1" customHeight="1" s="203"/>
    <row r="255" ht="13" customFormat="1" customHeight="1" s="203"/>
    <row r="256" ht="13" customFormat="1" customHeight="1" s="203"/>
    <row r="257" ht="13" customFormat="1" customHeight="1" s="203"/>
    <row r="258" ht="13" customFormat="1" customHeight="1" s="203"/>
    <row r="259" ht="13" customFormat="1" customHeight="1" s="203"/>
    <row r="260" ht="13" customFormat="1" customHeight="1" s="203"/>
    <row r="261" ht="13" customFormat="1" customHeight="1" s="203"/>
    <row r="262" ht="13" customFormat="1" customHeight="1" s="203"/>
    <row r="263" ht="13" customFormat="1" customHeight="1" s="203"/>
    <row r="264" ht="13" customFormat="1" customHeight="1" s="203"/>
    <row r="265" ht="13" customFormat="1" customHeight="1" s="203"/>
    <row r="266" ht="13" customFormat="1" customHeight="1" s="203"/>
    <row r="267" ht="13" customFormat="1" customHeight="1" s="203"/>
    <row r="268" ht="13" customFormat="1" customHeight="1" s="203"/>
    <row r="269" ht="13" customFormat="1" customHeight="1" s="203"/>
    <row r="270" ht="13" customFormat="1" customHeight="1" s="203"/>
    <row r="271" ht="13" customFormat="1" customHeight="1" s="203"/>
    <row r="272" ht="13" customFormat="1" customHeight="1" s="203"/>
    <row r="273" ht="13" customFormat="1" customHeight="1" s="203"/>
    <row r="274" ht="13" customFormat="1" customHeight="1" s="203"/>
    <row r="275" ht="13" customFormat="1" customHeight="1" s="203"/>
    <row r="276" ht="13" customFormat="1" customHeight="1" s="203"/>
    <row r="277" ht="13" customFormat="1" customHeight="1" s="203"/>
    <row r="278" ht="13" customFormat="1" customHeight="1" s="203"/>
    <row r="279" ht="13" customFormat="1" customHeight="1" s="203"/>
    <row r="280" ht="13" customFormat="1" customHeight="1" s="203"/>
    <row r="281" ht="13" customFormat="1" customHeight="1" s="203"/>
    <row r="282" ht="13" customFormat="1" customHeight="1" s="203"/>
    <row r="283" ht="13" customFormat="1" customHeight="1" s="203"/>
    <row r="284" ht="13" customFormat="1" customHeight="1" s="203"/>
    <row r="285" ht="13" customFormat="1" customHeight="1" s="203"/>
    <row r="286" ht="13" customFormat="1" customHeight="1" s="203"/>
    <row r="287" ht="13" customFormat="1" customHeight="1" s="203"/>
    <row r="288" ht="13" customFormat="1" customHeight="1" s="203"/>
    <row r="289" ht="13" customFormat="1" customHeight="1" s="203"/>
    <row r="290" ht="13" customFormat="1" customHeight="1" s="203"/>
    <row r="291" ht="13" customFormat="1" customHeight="1" s="203"/>
    <row r="292" ht="13" customFormat="1" customHeight="1" s="203"/>
    <row r="293" ht="13" customFormat="1" customHeight="1" s="203"/>
    <row r="294" ht="13" customFormat="1" customHeight="1" s="203"/>
    <row r="295" ht="13" customFormat="1" customHeight="1" s="203"/>
    <row r="296" ht="13" customFormat="1" customHeight="1" s="203"/>
    <row r="297" ht="13" customFormat="1" customHeight="1" s="203"/>
    <row r="298" ht="13" customFormat="1" customHeight="1" s="203"/>
    <row r="299" ht="13" customFormat="1" customHeight="1" s="203"/>
    <row r="300" ht="13" customFormat="1" customHeight="1" s="203"/>
    <row r="301" ht="13" customFormat="1" customHeight="1" s="203"/>
    <row r="302" ht="13" customFormat="1" customHeight="1" s="203"/>
    <row r="303" ht="13" customFormat="1" customHeight="1" s="203"/>
    <row r="304" ht="13" customFormat="1" customHeight="1" s="203"/>
    <row r="305" ht="13" customFormat="1" customHeight="1" s="203"/>
    <row r="306" ht="13" customFormat="1" customHeight="1" s="203"/>
    <row r="307" ht="13" customFormat="1" customHeight="1" s="203"/>
    <row r="308" ht="13" customFormat="1" customHeight="1" s="203"/>
    <row r="309" ht="13" customFormat="1" customHeight="1" s="203"/>
    <row r="310" ht="13" customFormat="1" customHeight="1" s="203"/>
    <row r="311" ht="13" customFormat="1" customHeight="1" s="203"/>
    <row r="312" ht="13" customFormat="1" customHeight="1" s="203"/>
    <row r="313" ht="13" customFormat="1" customHeight="1" s="203"/>
    <row r="314" ht="13" customFormat="1" customHeight="1" s="203"/>
    <row r="315" ht="13" customFormat="1" customHeight="1" s="203"/>
    <row r="316" ht="13" customFormat="1" customHeight="1" s="203"/>
    <row r="317" ht="13" customFormat="1" customHeight="1" s="203"/>
    <row r="318" ht="13" customFormat="1" customHeight="1" s="203"/>
    <row r="319" ht="13" customFormat="1" customHeight="1" s="203"/>
    <row r="320" ht="13" customFormat="1" customHeight="1" s="203"/>
    <row r="321" ht="13" customFormat="1" customHeight="1" s="203"/>
    <row r="322" ht="13" customFormat="1" customHeight="1" s="203"/>
    <row r="323" ht="13" customFormat="1" customHeight="1" s="203"/>
    <row r="324" ht="13" customFormat="1" customHeight="1" s="203"/>
    <row r="325" ht="13" customFormat="1" customHeight="1" s="203"/>
    <row r="326" ht="13" customFormat="1" customHeight="1" s="203"/>
    <row r="327" ht="13" customFormat="1" customHeight="1" s="203"/>
    <row r="328" ht="13" customFormat="1" customHeight="1" s="203"/>
    <row r="329" ht="13" customFormat="1" customHeight="1" s="203"/>
    <row r="330" ht="13" customFormat="1" customHeight="1" s="203"/>
    <row r="331" ht="13" customFormat="1" customHeight="1" s="203"/>
    <row r="332" ht="13" customFormat="1" customHeight="1" s="203"/>
    <row r="333" ht="13" customFormat="1" customHeight="1" s="203"/>
    <row r="334" ht="13" customFormat="1" customHeight="1" s="203"/>
    <row r="335" ht="13" customFormat="1" customHeight="1" s="203"/>
    <row r="336" ht="13" customFormat="1" customHeight="1" s="203"/>
    <row r="337" ht="13" customFormat="1" customHeight="1" s="203"/>
    <row r="338" ht="13" customFormat="1" customHeight="1" s="203"/>
    <row r="339" ht="13" customFormat="1" customHeight="1" s="203"/>
    <row r="340" ht="13" customFormat="1" customHeight="1" s="203"/>
    <row r="341" ht="13" customFormat="1" customHeight="1" s="203"/>
    <row r="342" ht="13" customFormat="1" customHeight="1" s="203"/>
    <row r="343" ht="13" customFormat="1" customHeight="1" s="203"/>
    <row r="344" ht="13" customFormat="1" customHeight="1" s="203"/>
    <row r="345" ht="13" customFormat="1" customHeight="1" s="203"/>
    <row r="346" ht="13" customFormat="1" customHeight="1" s="203"/>
    <row r="347" ht="13" customFormat="1" customHeight="1" s="203"/>
    <row r="348" ht="13" customFormat="1" customHeight="1" s="203"/>
    <row r="349" ht="13" customFormat="1" customHeight="1" s="203"/>
    <row r="350" ht="13" customFormat="1" customHeight="1" s="203"/>
    <row r="351" ht="13" customFormat="1" customHeight="1" s="203"/>
    <row r="352" ht="13" customFormat="1" customHeight="1" s="203"/>
    <row r="353" ht="13" customFormat="1" customHeight="1" s="203"/>
    <row r="354" ht="13" customFormat="1" customHeight="1" s="203"/>
    <row r="355" ht="13" customFormat="1" customHeight="1" s="203"/>
    <row r="356" ht="13" customFormat="1" customHeight="1" s="203"/>
    <row r="357" ht="13" customFormat="1" customHeight="1" s="203"/>
    <row r="358" ht="13" customFormat="1" customHeight="1" s="203"/>
    <row r="359" ht="13" customFormat="1" customHeight="1" s="203"/>
    <row r="360" ht="13" customFormat="1" customHeight="1" s="203"/>
    <row r="361" ht="13" customFormat="1" customHeight="1" s="203"/>
    <row r="362" ht="13" customFormat="1" customHeight="1" s="203"/>
    <row r="363" ht="13" customFormat="1" customHeight="1" s="203"/>
    <row r="364" ht="13" customFormat="1" customHeight="1" s="203"/>
    <row r="365" ht="13" customFormat="1" customHeight="1" s="203"/>
    <row r="366" ht="13" customFormat="1" customHeight="1" s="203"/>
    <row r="367" ht="13" customFormat="1" customHeight="1" s="203"/>
    <row r="368" ht="13" customFormat="1" customHeight="1" s="203"/>
    <row r="369" ht="13" customFormat="1" customHeight="1" s="203"/>
    <row r="370" ht="13" customFormat="1" customHeight="1" s="203"/>
    <row r="371" ht="13" customFormat="1" customHeight="1" s="203"/>
    <row r="372" ht="13" customFormat="1" customHeight="1" s="203"/>
    <row r="373" ht="13" customFormat="1" customHeight="1" s="203"/>
    <row r="374" ht="13" customFormat="1" customHeight="1" s="203"/>
    <row r="375" ht="13" customFormat="1" customHeight="1" s="203"/>
    <row r="376" ht="13" customFormat="1" customHeight="1" s="203"/>
    <row r="377" ht="13" customFormat="1" customHeight="1" s="203"/>
    <row r="378" ht="13" customFormat="1" customHeight="1" s="203"/>
    <row r="379" ht="13" customFormat="1" customHeight="1" s="203"/>
    <row r="380" ht="13" customFormat="1" customHeight="1" s="203"/>
    <row r="381" ht="13" customFormat="1" customHeight="1" s="203"/>
    <row r="382" ht="13" customFormat="1" customHeight="1" s="203"/>
    <row r="383" ht="13" customFormat="1" customHeight="1" s="203"/>
    <row r="384" ht="13" customFormat="1" customHeight="1" s="203"/>
    <row r="385" ht="13" customFormat="1" customHeight="1" s="203"/>
    <row r="386" ht="13" customFormat="1" customHeight="1" s="203"/>
    <row r="387" ht="13" customFormat="1" customHeight="1" s="203"/>
    <row r="388" ht="13" customFormat="1" customHeight="1" s="203"/>
    <row r="389" ht="13" customFormat="1" customHeight="1" s="203"/>
    <row r="390" ht="13" customFormat="1" customHeight="1" s="203"/>
    <row r="391" ht="13" customFormat="1" customHeight="1" s="203"/>
    <row r="392" ht="13" customFormat="1" customHeight="1" s="203"/>
    <row r="393" ht="13" customFormat="1" customHeight="1" s="203"/>
    <row r="394" ht="13" customFormat="1" customHeight="1" s="203"/>
    <row r="395" ht="13" customFormat="1" customHeight="1" s="203"/>
    <row r="396" ht="13" customFormat="1" customHeight="1" s="203"/>
    <row r="397" ht="13" customFormat="1" customHeight="1" s="203"/>
    <row r="398" ht="13" customFormat="1" customHeight="1" s="203"/>
    <row r="399" ht="13" customFormat="1" customHeight="1" s="203"/>
    <row r="400" ht="13" customFormat="1" customHeight="1" s="203"/>
    <row r="401" ht="13" customFormat="1" customHeight="1" s="203"/>
    <row r="402" ht="13" customFormat="1" customHeight="1" s="203"/>
    <row r="403" ht="13" customFormat="1" customHeight="1" s="203"/>
    <row r="404" ht="13" customFormat="1" customHeight="1" s="203"/>
    <row r="405" ht="13" customFormat="1" customHeight="1" s="203"/>
    <row r="406" ht="13" customFormat="1" customHeight="1" s="203"/>
    <row r="407" ht="13" customFormat="1" customHeight="1" s="203"/>
    <row r="408" ht="13" customFormat="1" customHeight="1" s="203"/>
    <row r="409" ht="13" customFormat="1" customHeight="1" s="203"/>
    <row r="410" ht="13" customFormat="1" customHeight="1" s="203"/>
    <row r="411" ht="13" customFormat="1" customHeight="1" s="203"/>
    <row r="412" ht="13" customFormat="1" customHeight="1" s="203"/>
    <row r="413" ht="13" customFormat="1" customHeight="1" s="203"/>
    <row r="414" ht="13" customFormat="1" customHeight="1" s="203"/>
    <row r="415" ht="13" customFormat="1" customHeight="1" s="203"/>
    <row r="416" ht="13" customFormat="1" customHeight="1" s="203"/>
    <row r="417" ht="13" customFormat="1" customHeight="1" s="203"/>
    <row r="418" ht="13" customFormat="1" customHeight="1" s="203"/>
    <row r="419" ht="13" customFormat="1" customHeight="1" s="203"/>
    <row r="420" ht="13" customFormat="1" customHeight="1" s="203"/>
    <row r="421" ht="13" customFormat="1" customHeight="1" s="203"/>
    <row r="422" ht="13" customFormat="1" customHeight="1" s="203"/>
    <row r="423" ht="13" customFormat="1" customHeight="1" s="203"/>
    <row r="424" ht="13" customFormat="1" customHeight="1" s="203"/>
    <row r="425" ht="13" customFormat="1" customHeight="1" s="203"/>
    <row r="426" ht="13" customFormat="1" customHeight="1" s="203"/>
    <row r="427" ht="13" customFormat="1" customHeight="1" s="203"/>
    <row r="428" ht="13" customFormat="1" customHeight="1" s="203"/>
    <row r="429" ht="13" customFormat="1" customHeight="1" s="203"/>
    <row r="430" ht="13" customFormat="1" customHeight="1" s="203"/>
    <row r="431" ht="13" customFormat="1" customHeight="1" s="203"/>
    <row r="432" ht="13" customFormat="1" customHeight="1" s="203"/>
    <row r="433" ht="13" customFormat="1" customHeight="1" s="203"/>
    <row r="434" ht="13" customFormat="1" customHeight="1" s="203"/>
    <row r="435" ht="13" customFormat="1" customHeight="1" s="203"/>
    <row r="436" ht="13" customFormat="1" customHeight="1" s="203"/>
    <row r="437" ht="13" customFormat="1" customHeight="1" s="203"/>
    <row r="438" ht="13" customFormat="1" customHeight="1" s="203"/>
    <row r="439" ht="13" customFormat="1" customHeight="1" s="203"/>
    <row r="440" ht="13" customFormat="1" customHeight="1" s="203"/>
    <row r="441" ht="13" customFormat="1" customHeight="1" s="203"/>
    <row r="442" ht="13" customFormat="1" customHeight="1" s="203"/>
    <row r="443" ht="13" customFormat="1" customHeight="1" s="203"/>
    <row r="444" ht="13" customFormat="1" customHeight="1" s="203"/>
    <row r="445" ht="13" customFormat="1" customHeight="1" s="203"/>
    <row r="446" ht="13" customFormat="1" customHeight="1" s="203"/>
    <row r="447" ht="13" customFormat="1" customHeight="1" s="203"/>
    <row r="448" ht="13" customFormat="1" customHeight="1" s="203"/>
    <row r="449" ht="13" customFormat="1" customHeight="1" s="203"/>
    <row r="450" ht="13" customFormat="1" customHeight="1" s="203"/>
    <row r="451" ht="13" customFormat="1" customHeight="1" s="203"/>
    <row r="452" ht="13" customFormat="1" customHeight="1" s="203"/>
    <row r="453" ht="13" customFormat="1" customHeight="1" s="203"/>
    <row r="454" ht="13" customFormat="1" customHeight="1" s="203"/>
    <row r="455" ht="13" customFormat="1" customHeight="1" s="203"/>
    <row r="456" ht="13" customFormat="1" customHeight="1" s="203"/>
    <row r="457" ht="13" customFormat="1" customHeight="1" s="203"/>
    <row r="458" ht="13" customFormat="1" customHeight="1" s="203"/>
    <row r="459" ht="13" customFormat="1" customHeight="1" s="203"/>
    <row r="460" ht="13" customFormat="1" customHeight="1" s="203"/>
    <row r="461" ht="13" customFormat="1" customHeight="1" s="203"/>
    <row r="462" ht="13" customFormat="1" customHeight="1" s="203"/>
    <row r="463" ht="13" customFormat="1" customHeight="1" s="203"/>
    <row r="464" ht="13" customFormat="1" customHeight="1" s="203"/>
    <row r="465" ht="13" customFormat="1" customHeight="1" s="203"/>
    <row r="466" ht="13" customFormat="1" customHeight="1" s="203"/>
    <row r="467" ht="13" customFormat="1" customHeight="1" s="203"/>
    <row r="468" ht="13" customFormat="1" customHeight="1" s="203"/>
    <row r="469" ht="13" customFormat="1" customHeight="1" s="203"/>
    <row r="470" ht="13" customFormat="1" customHeight="1" s="203"/>
    <row r="471" ht="13" customFormat="1" customHeight="1" s="203"/>
    <row r="472" ht="13" customFormat="1" customHeight="1" s="203"/>
    <row r="473" ht="13" customFormat="1" customHeight="1" s="203"/>
    <row r="474" ht="13" customFormat="1" customHeight="1" s="203"/>
    <row r="475" ht="13" customFormat="1" customHeight="1" s="203"/>
    <row r="476" ht="13" customFormat="1" customHeight="1" s="203"/>
    <row r="477" ht="13" customFormat="1" customHeight="1" s="203"/>
    <row r="478" ht="13" customFormat="1" customHeight="1" s="203"/>
    <row r="479" ht="13" customFormat="1" customHeight="1" s="203"/>
    <row r="480" ht="13" customFormat="1" customHeight="1" s="203"/>
    <row r="481" ht="13" customFormat="1" customHeight="1" s="203"/>
    <row r="482" ht="13" customFormat="1" customHeight="1" s="203"/>
    <row r="483" ht="13" customFormat="1" customHeight="1" s="203"/>
    <row r="484" ht="13" customFormat="1" customHeight="1" s="203"/>
    <row r="485" ht="13" customFormat="1" customHeight="1" s="203"/>
    <row r="486" ht="13" customFormat="1" customHeight="1" s="203"/>
    <row r="487" ht="13" customFormat="1" customHeight="1" s="203"/>
    <row r="488" ht="13" customFormat="1" customHeight="1" s="203"/>
    <row r="489" ht="13" customFormat="1" customHeight="1" s="203"/>
    <row r="490" ht="13" customFormat="1" customHeight="1" s="203"/>
    <row r="491" ht="13" customFormat="1" customHeight="1" s="203"/>
    <row r="492" ht="13" customFormat="1" customHeight="1" s="203"/>
    <row r="493" ht="13" customFormat="1" customHeight="1" s="203"/>
    <row r="494" ht="13" customFormat="1" customHeight="1" s="203"/>
    <row r="495" ht="13" customFormat="1" customHeight="1" s="203"/>
    <row r="496" ht="13" customFormat="1" customHeight="1" s="203"/>
    <row r="497" ht="13" customFormat="1" customHeight="1" s="203"/>
    <row r="498" ht="13" customFormat="1" customHeight="1" s="203"/>
    <row r="499" ht="13" customFormat="1" customHeight="1" s="203"/>
    <row r="500" ht="13" customFormat="1" customHeight="1" s="203"/>
    <row r="501" ht="13" customFormat="1" customHeight="1" s="203"/>
    <row r="502" ht="13" customFormat="1" customHeight="1" s="203"/>
    <row r="503" ht="13" customFormat="1" customHeight="1" s="203"/>
    <row r="504" ht="13" customFormat="1" customHeight="1" s="203"/>
    <row r="505" ht="13" customFormat="1" customHeight="1" s="203"/>
    <row r="506" ht="13" customFormat="1" customHeight="1" s="203"/>
    <row r="507" ht="13" customFormat="1" customHeight="1" s="203"/>
    <row r="508" ht="13" customFormat="1" customHeight="1" s="203"/>
    <row r="509" ht="13" customFormat="1" customHeight="1" s="203"/>
    <row r="510" ht="13" customFormat="1" customHeight="1" s="203"/>
    <row r="511" ht="13" customFormat="1" customHeight="1" s="203"/>
    <row r="512" ht="13" customFormat="1" customHeight="1" s="203"/>
    <row r="513" ht="13" customFormat="1" customHeight="1" s="203"/>
    <row r="514" ht="13" customFormat="1" customHeight="1" s="203"/>
    <row r="515" ht="13" customFormat="1" customHeight="1" s="203"/>
    <row r="516" ht="13" customFormat="1" customHeight="1" s="203"/>
    <row r="517" ht="13" customFormat="1" customHeight="1" s="203"/>
    <row r="518" ht="13" customFormat="1" customHeight="1" s="203"/>
    <row r="519" ht="13" customFormat="1" customHeight="1" s="203"/>
    <row r="520" ht="13" customFormat="1" customHeight="1" s="203"/>
    <row r="521" ht="13" customFormat="1" customHeight="1" s="203"/>
    <row r="522" ht="13" customFormat="1" customHeight="1" s="203"/>
    <row r="523" ht="13" customFormat="1" customHeight="1" s="203"/>
    <row r="524" ht="13" customFormat="1" customHeight="1" s="203"/>
    <row r="525" ht="13" customFormat="1" customHeight="1" s="203"/>
    <row r="526" ht="13" customFormat="1" customHeight="1" s="203"/>
    <row r="527" ht="13" customFormat="1" customHeight="1" s="203"/>
    <row r="528" ht="13" customFormat="1" customHeight="1" s="203"/>
    <row r="529" ht="13" customFormat="1" customHeight="1" s="203"/>
    <row r="530" ht="13" customFormat="1" customHeight="1" s="203"/>
    <row r="531" ht="13" customFormat="1" customHeight="1" s="203"/>
    <row r="532" ht="13" customFormat="1" customHeight="1" s="203"/>
    <row r="533" ht="13" customFormat="1" customHeight="1" s="203"/>
    <row r="534" ht="13" customFormat="1" customHeight="1" s="203"/>
    <row r="535" ht="13" customFormat="1" customHeight="1" s="203"/>
    <row r="536" ht="13" customFormat="1" customHeight="1" s="203"/>
    <row r="537" ht="13" customFormat="1" customHeight="1" s="203"/>
    <row r="538" ht="13" customFormat="1" customHeight="1" s="203"/>
    <row r="539" ht="13" customFormat="1" customHeight="1" s="203"/>
    <row r="540" ht="13" customFormat="1" customHeight="1" s="203"/>
    <row r="541" ht="13" customFormat="1" customHeight="1" s="203"/>
    <row r="542" ht="13" customFormat="1" customHeight="1" s="203"/>
    <row r="543" ht="13" customFormat="1" customHeight="1" s="203"/>
    <row r="544" ht="13" customFormat="1" customHeight="1" s="203"/>
    <row r="545" ht="13" customFormat="1" customHeight="1" s="203"/>
    <row r="546" ht="13" customFormat="1" customHeight="1" s="203"/>
    <row r="547" ht="13" customFormat="1" customHeight="1" s="203"/>
    <row r="548" ht="13" customFormat="1" customHeight="1" s="203"/>
    <row r="549" ht="13" customFormat="1" customHeight="1" s="203"/>
    <row r="550" ht="13" customFormat="1" customHeight="1" s="203"/>
    <row r="551" ht="13" customFormat="1" customHeight="1" s="203"/>
    <row r="552" ht="13" customFormat="1" customHeight="1" s="203"/>
    <row r="553" ht="13" customFormat="1" customHeight="1" s="203"/>
    <row r="554" ht="13" customFormat="1" customHeight="1" s="203"/>
    <row r="555" ht="13" customFormat="1" customHeight="1" s="203"/>
    <row r="556" ht="13" customFormat="1" customHeight="1" s="203"/>
    <row r="557" ht="13" customFormat="1" customHeight="1" s="203"/>
    <row r="558" ht="13" customFormat="1" customHeight="1" s="203"/>
    <row r="559" ht="13" customFormat="1" customHeight="1" s="203"/>
    <row r="560" ht="13" customFormat="1" customHeight="1" s="203"/>
    <row r="561" ht="13" customFormat="1" customHeight="1" s="203"/>
    <row r="562" ht="13" customFormat="1" customHeight="1" s="203"/>
    <row r="563" ht="13" customFormat="1" customHeight="1" s="203"/>
    <row r="564" ht="13" customFormat="1" customHeight="1" s="203"/>
    <row r="565" ht="13" customFormat="1" customHeight="1" s="203"/>
    <row r="566" ht="13" customFormat="1" customHeight="1" s="203"/>
    <row r="567" ht="13" customFormat="1" customHeight="1" s="203"/>
    <row r="568" ht="13" customFormat="1" customHeight="1" s="203"/>
    <row r="569" ht="13" customFormat="1" customHeight="1" s="203"/>
    <row r="570" ht="13" customFormat="1" customHeight="1" s="203"/>
    <row r="571" ht="13" customFormat="1" customHeight="1" s="203"/>
    <row r="572" ht="13" customFormat="1" customHeight="1" s="203"/>
    <row r="573" ht="13" customFormat="1" customHeight="1" s="203"/>
    <row r="574" ht="13" customFormat="1" customHeight="1" s="203"/>
    <row r="575" ht="13" customFormat="1" customHeight="1" s="203"/>
    <row r="576" ht="13" customFormat="1" customHeight="1" s="203"/>
    <row r="577" ht="13" customFormat="1" customHeight="1" s="203"/>
    <row r="578" ht="13" customFormat="1" customHeight="1" s="203"/>
    <row r="579" ht="13" customFormat="1" customHeight="1" s="203"/>
    <row r="580" ht="13" customFormat="1" customHeight="1" s="203"/>
    <row r="581" ht="13" customFormat="1" customHeight="1" s="203"/>
    <row r="582" ht="13" customFormat="1" customHeight="1" s="203"/>
    <row r="583" ht="13" customFormat="1" customHeight="1" s="203"/>
    <row r="584" ht="13" customFormat="1" customHeight="1" s="203"/>
    <row r="585" ht="13" customFormat="1" customHeight="1" s="203"/>
    <row r="586" ht="13" customFormat="1" customHeight="1" s="203"/>
    <row r="587" ht="13" customFormat="1" customHeight="1" s="203"/>
    <row r="588" ht="13" customFormat="1" customHeight="1" s="203"/>
    <row r="589" ht="13" customFormat="1" customHeight="1" s="203"/>
    <row r="590" ht="13" customFormat="1" customHeight="1" s="203"/>
    <row r="591" ht="13" customFormat="1" customHeight="1" s="203"/>
    <row r="592" ht="13" customFormat="1" customHeight="1" s="203"/>
    <row r="593" ht="13" customFormat="1" customHeight="1" s="203"/>
    <row r="594" ht="13" customFormat="1" customHeight="1" s="203"/>
    <row r="595" ht="13" customFormat="1" customHeight="1" s="203"/>
    <row r="596" ht="13" customFormat="1" customHeight="1" s="203"/>
    <row r="597" ht="13" customFormat="1" customHeight="1" s="203"/>
    <row r="598" ht="13" customFormat="1" customHeight="1" s="203"/>
    <row r="599" ht="13" customFormat="1" customHeight="1" s="203"/>
    <row r="600" ht="13" customFormat="1" customHeight="1" s="203"/>
    <row r="601" ht="13" customFormat="1" customHeight="1" s="203"/>
    <row r="602" ht="13" customFormat="1" customHeight="1" s="203"/>
    <row r="603" ht="13" customFormat="1" customHeight="1" s="203"/>
    <row r="604" ht="13" customFormat="1" customHeight="1" s="203"/>
    <row r="605" ht="13" customFormat="1" customHeight="1" s="203"/>
    <row r="606" ht="13" customFormat="1" customHeight="1" s="203"/>
    <row r="607" ht="13" customFormat="1" customHeight="1" s="203"/>
    <row r="608" ht="13" customFormat="1" customHeight="1" s="203"/>
    <row r="609" ht="13" customFormat="1" customHeight="1" s="203"/>
    <row r="610" ht="13" customFormat="1" customHeight="1" s="203"/>
    <row r="611" ht="13" customFormat="1" customHeight="1" s="203"/>
    <row r="612" ht="13" customFormat="1" customHeight="1" s="203"/>
    <row r="613" ht="13" customFormat="1" customHeight="1" s="203"/>
    <row r="614" ht="13" customFormat="1" customHeight="1" s="203"/>
    <row r="615" ht="13" customFormat="1" customHeight="1" s="203"/>
    <row r="616" ht="13" customFormat="1" customHeight="1" s="203"/>
    <row r="617" ht="13" customFormat="1" customHeight="1" s="203"/>
    <row r="618" ht="13" customFormat="1" customHeight="1" s="203"/>
    <row r="619" ht="13" customFormat="1" customHeight="1" s="203"/>
    <row r="620" ht="13" customFormat="1" customHeight="1" s="203"/>
    <row r="621" ht="13" customFormat="1" customHeight="1" s="203"/>
    <row r="622" ht="13" customFormat="1" customHeight="1" s="203"/>
    <row r="623" ht="13" customFormat="1" customHeight="1" s="203"/>
    <row r="624" ht="13" customFormat="1" customHeight="1" s="203"/>
    <row r="625" ht="13" customFormat="1" customHeight="1" s="203"/>
    <row r="626" ht="13" customFormat="1" customHeight="1" s="203"/>
    <row r="627" ht="13" customFormat="1" customHeight="1" s="203"/>
    <row r="628" ht="13" customFormat="1" customHeight="1" s="203"/>
    <row r="629" ht="13" customFormat="1" customHeight="1" s="203"/>
    <row r="630" ht="13" customFormat="1" customHeight="1" s="203"/>
    <row r="631" ht="13" customFormat="1" customHeight="1" s="203"/>
    <row r="632" ht="13" customFormat="1" customHeight="1" s="203"/>
    <row r="633" ht="13" customFormat="1" customHeight="1" s="203"/>
    <row r="634" ht="13" customFormat="1" customHeight="1" s="203"/>
    <row r="635" ht="13" customFormat="1" customHeight="1" s="203"/>
    <row r="636" ht="13" customFormat="1" customHeight="1" s="203"/>
    <row r="637" ht="13" customFormat="1" customHeight="1" s="203"/>
    <row r="638" ht="13" customFormat="1" customHeight="1" s="203"/>
    <row r="639" ht="13" customFormat="1" customHeight="1" s="203"/>
    <row r="640" ht="13" customFormat="1" customHeight="1" s="203"/>
    <row r="641" ht="13" customFormat="1" customHeight="1" s="203"/>
    <row r="642" ht="13" customFormat="1" customHeight="1" s="203"/>
    <row r="643" ht="13" customFormat="1" customHeight="1" s="203"/>
    <row r="644" ht="13" customFormat="1" customHeight="1" s="203"/>
    <row r="645" ht="13" customFormat="1" customHeight="1" s="203"/>
    <row r="646" ht="13" customFormat="1" customHeight="1" s="203"/>
    <row r="647" ht="13" customFormat="1" customHeight="1" s="203"/>
    <row r="648" ht="13" customFormat="1" customHeight="1" s="203"/>
    <row r="649" ht="13" customFormat="1" customHeight="1" s="203"/>
    <row r="650" ht="13" customFormat="1" customHeight="1" s="203"/>
    <row r="651" ht="13" customFormat="1" customHeight="1" s="203"/>
    <row r="652" ht="13" customFormat="1" customHeight="1" s="203"/>
    <row r="653" ht="13" customFormat="1" customHeight="1" s="203"/>
    <row r="654" ht="13" customFormat="1" customHeight="1" s="203"/>
    <row r="655" ht="13" customFormat="1" customHeight="1" s="203"/>
    <row r="656" ht="13" customFormat="1" customHeight="1" s="203"/>
    <row r="657" ht="13" customFormat="1" customHeight="1" s="203"/>
    <row r="658" ht="13" customFormat="1" customHeight="1" s="203"/>
    <row r="659" ht="13" customFormat="1" customHeight="1" s="203"/>
    <row r="660" ht="13" customFormat="1" customHeight="1" s="203"/>
    <row r="661" ht="13" customFormat="1" customHeight="1" s="203"/>
    <row r="662" ht="13" customFormat="1" customHeight="1" s="203"/>
    <row r="663" ht="13" customFormat="1" customHeight="1" s="203"/>
    <row r="664" ht="13" customFormat="1" customHeight="1" s="203"/>
    <row r="665" ht="13" customFormat="1" customHeight="1" s="203"/>
    <row r="666" ht="13" customFormat="1" customHeight="1" s="203"/>
    <row r="667" ht="13" customFormat="1" customHeight="1" s="203"/>
    <row r="668" ht="13" customFormat="1" customHeight="1" s="203"/>
    <row r="669" ht="13" customFormat="1" customHeight="1" s="203"/>
    <row r="670" ht="13" customFormat="1" customHeight="1" s="203"/>
    <row r="671" ht="13" customFormat="1" customHeight="1" s="203"/>
    <row r="672" ht="13" customFormat="1" customHeight="1" s="203"/>
    <row r="673" ht="13" customFormat="1" customHeight="1" s="203"/>
    <row r="674" ht="13" customFormat="1" customHeight="1" s="203"/>
    <row r="675" ht="13" customFormat="1" customHeight="1" s="203"/>
    <row r="676" ht="13" customFormat="1" customHeight="1" s="203"/>
    <row r="677" ht="13" customFormat="1" customHeight="1" s="203"/>
    <row r="678" ht="13" customFormat="1" customHeight="1" s="203"/>
    <row r="679" ht="13" customFormat="1" customHeight="1" s="203"/>
    <row r="680" ht="13" customFormat="1" customHeight="1" s="203"/>
    <row r="681" ht="13" customFormat="1" customHeight="1" s="203"/>
    <row r="682" ht="13" customFormat="1" customHeight="1" s="203"/>
    <row r="683" ht="13" customFormat="1" customHeight="1" s="203"/>
    <row r="684" ht="13" customFormat="1" customHeight="1" s="203"/>
    <row r="685" ht="13" customFormat="1" customHeight="1" s="203"/>
    <row r="686" ht="13" customFormat="1" customHeight="1" s="203"/>
    <row r="687" ht="13" customFormat="1" customHeight="1" s="203"/>
    <row r="688" ht="13" customFormat="1" customHeight="1" s="203"/>
    <row r="689" ht="13" customFormat="1" customHeight="1" s="203"/>
    <row r="690" ht="13" customFormat="1" customHeight="1" s="203"/>
    <row r="691" ht="13" customFormat="1" customHeight="1" s="203"/>
    <row r="692" ht="13" customFormat="1" customHeight="1" s="203"/>
    <row r="693" ht="13" customFormat="1" customHeight="1" s="203"/>
    <row r="694" ht="13" customFormat="1" customHeight="1" s="203"/>
    <row r="695" ht="13" customFormat="1" customHeight="1" s="203"/>
    <row r="696" ht="13" customFormat="1" customHeight="1" s="203"/>
    <row r="697" ht="13" customFormat="1" customHeight="1" s="203"/>
    <row r="698" ht="13" customFormat="1" customHeight="1" s="203"/>
    <row r="699" ht="13" customFormat="1" customHeight="1" s="203"/>
    <row r="700" ht="13" customFormat="1" customHeight="1" s="203"/>
    <row r="701" ht="13" customFormat="1" customHeight="1" s="203"/>
    <row r="702" ht="13" customFormat="1" customHeight="1" s="203"/>
    <row r="703" ht="13" customFormat="1" customHeight="1" s="203"/>
    <row r="704" ht="13" customFormat="1" customHeight="1" s="203"/>
    <row r="705" ht="13" customFormat="1" customHeight="1" s="203"/>
    <row r="706" ht="13" customFormat="1" customHeight="1" s="203"/>
    <row r="707" ht="13" customFormat="1" customHeight="1" s="203"/>
    <row r="708" ht="13" customFormat="1" customHeight="1" s="203"/>
    <row r="709" ht="13" customFormat="1" customHeight="1" s="203"/>
    <row r="710" ht="13" customFormat="1" customHeight="1" s="203"/>
    <row r="711" ht="13" customFormat="1" customHeight="1" s="203"/>
    <row r="712" ht="13" customFormat="1" customHeight="1" s="203"/>
    <row r="713" ht="13" customFormat="1" customHeight="1" s="203"/>
    <row r="714" ht="13" customFormat="1" customHeight="1" s="203"/>
    <row r="715" ht="13" customFormat="1" customHeight="1" s="203"/>
    <row r="716" ht="13" customFormat="1" customHeight="1" s="203"/>
    <row r="717" ht="13" customFormat="1" customHeight="1" s="203"/>
    <row r="718" ht="13" customFormat="1" customHeight="1" s="203"/>
    <row r="719" ht="13" customFormat="1" customHeight="1" s="203"/>
    <row r="720" ht="13" customFormat="1" customHeight="1" s="203"/>
    <row r="721" ht="13" customFormat="1" customHeight="1" s="203"/>
    <row r="722" ht="13" customFormat="1" customHeight="1" s="203"/>
    <row r="723" ht="13" customFormat="1" customHeight="1" s="203"/>
    <row r="724" ht="13" customFormat="1" customHeight="1" s="203"/>
    <row r="725" ht="13" customFormat="1" customHeight="1" s="203"/>
    <row r="726" ht="13" customFormat="1" customHeight="1" s="203"/>
    <row r="727" ht="13" customFormat="1" customHeight="1" s="203"/>
    <row r="728" ht="13" customFormat="1" customHeight="1" s="203"/>
    <row r="729" ht="13" customFormat="1" customHeight="1" s="203"/>
    <row r="730" ht="13" customFormat="1" customHeight="1" s="203"/>
    <row r="731" ht="13" customFormat="1" customHeight="1" s="203"/>
    <row r="732" ht="13" customFormat="1" customHeight="1" s="203"/>
    <row r="733" ht="13" customFormat="1" customHeight="1" s="203"/>
    <row r="734" ht="13" customFormat="1" customHeight="1" s="203"/>
    <row r="735" ht="13" customFormat="1" customHeight="1" s="203"/>
    <row r="736" ht="13" customFormat="1" customHeight="1" s="203"/>
    <row r="737" ht="13" customFormat="1" customHeight="1" s="203"/>
    <row r="738" ht="13" customFormat="1" customHeight="1" s="203"/>
    <row r="739" ht="13" customFormat="1" customHeight="1" s="203"/>
    <row r="740" ht="13" customFormat="1" customHeight="1" s="203"/>
    <row r="741" ht="13" customFormat="1" customHeight="1" s="203"/>
    <row r="742" ht="13" customFormat="1" customHeight="1" s="203"/>
    <row r="743" ht="13" customFormat="1" customHeight="1" s="203"/>
    <row r="744" ht="13" customFormat="1" customHeight="1" s="203"/>
    <row r="745" ht="13" customFormat="1" customHeight="1" s="203"/>
    <row r="746" ht="13" customFormat="1" customHeight="1" s="203"/>
    <row r="747" ht="13" customFormat="1" customHeight="1" s="203"/>
    <row r="748" ht="13" customFormat="1" customHeight="1" s="203"/>
    <row r="749" ht="13" customFormat="1" customHeight="1" s="203"/>
    <row r="750" ht="13" customFormat="1" customHeight="1" s="203"/>
    <row r="751" ht="13" customFormat="1" customHeight="1" s="203"/>
    <row r="752" ht="13" customFormat="1" customHeight="1" s="203"/>
    <row r="753" ht="13" customFormat="1" customHeight="1" s="203"/>
    <row r="754" ht="13" customFormat="1" customHeight="1" s="203"/>
    <row r="755" ht="13" customFormat="1" customHeight="1" s="203"/>
    <row r="756" ht="13" customFormat="1" customHeight="1" s="203"/>
    <row r="757" ht="13" customFormat="1" customHeight="1" s="203"/>
    <row r="758" ht="13" customFormat="1" customHeight="1" s="203"/>
    <row r="759" ht="13" customFormat="1" customHeight="1" s="203"/>
    <row r="760" ht="13" customFormat="1" customHeight="1" s="203"/>
    <row r="761" ht="13" customFormat="1" customHeight="1" s="203"/>
    <row r="762" ht="13" customFormat="1" customHeight="1" s="203"/>
    <row r="763" ht="13" customFormat="1" customHeight="1" s="203"/>
    <row r="764" ht="13" customFormat="1" customHeight="1" s="203"/>
    <row r="765" ht="13" customFormat="1" customHeight="1" s="203"/>
    <row r="766" ht="13" customFormat="1" customHeight="1" s="203"/>
    <row r="767" ht="13" customFormat="1" customHeight="1" s="203"/>
    <row r="768" ht="13" customFormat="1" customHeight="1" s="203"/>
    <row r="769" ht="13" customFormat="1" customHeight="1" s="203"/>
    <row r="770" ht="13" customFormat="1" customHeight="1" s="203"/>
    <row r="771" ht="13" customFormat="1" customHeight="1" s="203"/>
    <row r="772" ht="13" customFormat="1" customHeight="1" s="203"/>
    <row r="773" ht="13" customFormat="1" customHeight="1" s="203"/>
    <row r="774" ht="13" customFormat="1" customHeight="1" s="203"/>
    <row r="775" ht="13" customFormat="1" customHeight="1" s="203"/>
    <row r="776" ht="13" customFormat="1" customHeight="1" s="203"/>
    <row r="777" ht="13" customFormat="1" customHeight="1" s="203"/>
    <row r="778" ht="13" customFormat="1" customHeight="1" s="203"/>
    <row r="779" ht="13" customFormat="1" customHeight="1" s="203"/>
    <row r="780" ht="13" customFormat="1" customHeight="1" s="203"/>
    <row r="781" ht="13" customFormat="1" customHeight="1" s="203"/>
    <row r="782" ht="13" customFormat="1" customHeight="1" s="203"/>
    <row r="783" ht="13" customFormat="1" customHeight="1" s="203"/>
    <row r="784" ht="13" customFormat="1" customHeight="1" s="203"/>
    <row r="785" ht="13" customFormat="1" customHeight="1" s="203"/>
    <row r="786" ht="13" customFormat="1" customHeight="1" s="203"/>
    <row r="787" ht="13" customFormat="1" customHeight="1" s="203"/>
    <row r="788" ht="13" customFormat="1" customHeight="1" s="203"/>
    <row r="789" ht="13" customFormat="1" customHeight="1" s="203"/>
    <row r="790" ht="13" customFormat="1" customHeight="1" s="203"/>
    <row r="791" ht="13" customFormat="1" customHeight="1" s="203"/>
    <row r="792" ht="13" customFormat="1" customHeight="1" s="203"/>
    <row r="793" ht="13" customFormat="1" customHeight="1" s="203"/>
    <row r="794" ht="13" customFormat="1" customHeight="1" s="203"/>
    <row r="795" ht="13" customFormat="1" customHeight="1" s="203"/>
    <row r="796" ht="13" customFormat="1" customHeight="1" s="203"/>
    <row r="797" ht="13" customFormat="1" customHeight="1" s="203"/>
    <row r="798" ht="13" customFormat="1" customHeight="1" s="203"/>
    <row r="799" ht="13" customFormat="1" customHeight="1" s="203"/>
    <row r="800" ht="13" customFormat="1" customHeight="1" s="203"/>
    <row r="801" ht="13" customFormat="1" customHeight="1" s="203"/>
    <row r="802" ht="13" customFormat="1" customHeight="1" s="203"/>
    <row r="803" ht="13" customFormat="1" customHeight="1" s="203"/>
    <row r="804" ht="13" customFormat="1" customHeight="1" s="203"/>
    <row r="805" ht="13" customFormat="1" customHeight="1" s="203"/>
    <row r="806" ht="13" customFormat="1" customHeight="1" s="203"/>
    <row r="807" ht="13" customFormat="1" customHeight="1" s="203"/>
    <row r="808" ht="13" customFormat="1" customHeight="1" s="203"/>
    <row r="809" ht="13" customFormat="1" customHeight="1" s="203"/>
    <row r="810" ht="13" customFormat="1" customHeight="1" s="203"/>
    <row r="811" ht="13" customFormat="1" customHeight="1" s="203"/>
    <row r="812" ht="13" customFormat="1" customHeight="1" s="203"/>
    <row r="813" ht="13" customFormat="1" customHeight="1" s="203"/>
    <row r="814" ht="13" customFormat="1" customHeight="1" s="203"/>
    <row r="815" ht="13" customFormat="1" customHeight="1" s="203"/>
    <row r="816" ht="13" customFormat="1" customHeight="1" s="203"/>
    <row r="817" ht="13" customFormat="1" customHeight="1" s="203"/>
    <row r="818" ht="13" customFormat="1" customHeight="1" s="203"/>
    <row r="819" ht="13" customFormat="1" customHeight="1" s="203"/>
    <row r="820" ht="13" customFormat="1" customHeight="1" s="203"/>
    <row r="821" ht="13" customFormat="1" customHeight="1" s="203"/>
    <row r="822" ht="13" customFormat="1" customHeight="1" s="203"/>
    <row r="823" ht="13" customFormat="1" customHeight="1" s="203"/>
    <row r="824" ht="13" customFormat="1" customHeight="1" s="203"/>
    <row r="825" ht="13" customFormat="1" customHeight="1" s="203"/>
    <row r="826" ht="13" customFormat="1" customHeight="1" s="203"/>
    <row r="827" ht="13" customFormat="1" customHeight="1" s="203"/>
    <row r="828" ht="13" customFormat="1" customHeight="1" s="203"/>
    <row r="829" ht="13" customFormat="1" customHeight="1" s="203"/>
    <row r="830" ht="13" customFormat="1" customHeight="1" s="203"/>
    <row r="831" ht="13" customFormat="1" customHeight="1" s="203"/>
    <row r="832" ht="13" customFormat="1" customHeight="1" s="203"/>
    <row r="833" ht="13" customFormat="1" customHeight="1" s="203"/>
    <row r="834" ht="13" customFormat="1" customHeight="1" s="203"/>
    <row r="835" ht="13" customFormat="1" customHeight="1" s="203"/>
    <row r="836" ht="13" customFormat="1" customHeight="1" s="203"/>
    <row r="837" ht="13" customFormat="1" customHeight="1" s="203"/>
    <row r="838" ht="13" customFormat="1" customHeight="1" s="203"/>
    <row r="839" ht="13" customFormat="1" customHeight="1" s="203"/>
    <row r="840" ht="13" customFormat="1" customHeight="1" s="203"/>
    <row r="841" ht="13" customFormat="1" customHeight="1" s="203"/>
    <row r="842" ht="13" customFormat="1" customHeight="1" s="203"/>
    <row r="843" ht="13" customFormat="1" customHeight="1" s="203"/>
    <row r="844" ht="13" customFormat="1" customHeight="1" s="203"/>
    <row r="845" ht="13" customFormat="1" customHeight="1" s="203"/>
    <row r="846" ht="13" customFormat="1" customHeight="1" s="203"/>
    <row r="847" ht="13" customFormat="1" customHeight="1" s="203"/>
    <row r="848" ht="13" customFormat="1" customHeight="1" s="203"/>
    <row r="849" ht="13" customFormat="1" customHeight="1" s="203"/>
    <row r="850" ht="13" customFormat="1" customHeight="1" s="203"/>
    <row r="851" ht="13" customFormat="1" customHeight="1" s="203"/>
    <row r="852" ht="13" customFormat="1" customHeight="1" s="203"/>
    <row r="853" ht="13" customFormat="1" customHeight="1" s="203"/>
    <row r="854" ht="13" customFormat="1" customHeight="1" s="203"/>
    <row r="855" ht="13" customFormat="1" customHeight="1" s="203"/>
    <row r="856" ht="13" customFormat="1" customHeight="1" s="203"/>
    <row r="857" ht="13" customFormat="1" customHeight="1" s="203"/>
    <row r="858" ht="13" customFormat="1" customHeight="1" s="203"/>
    <row r="859" ht="13" customFormat="1" customHeight="1" s="203"/>
    <row r="860" ht="13" customFormat="1" customHeight="1" s="203"/>
    <row r="861" ht="13" customFormat="1" customHeight="1" s="203"/>
    <row r="862" ht="13" customFormat="1" customHeight="1" s="203"/>
    <row r="863" ht="13" customFormat="1" customHeight="1" s="203"/>
    <row r="864" ht="13" customFormat="1" customHeight="1" s="203"/>
    <row r="865" ht="13" customFormat="1" customHeight="1" s="203"/>
    <row r="866" ht="13" customFormat="1" customHeight="1" s="203"/>
    <row r="867" ht="13" customFormat="1" customHeight="1" s="203"/>
    <row r="868" ht="13" customFormat="1" customHeight="1" s="203"/>
    <row r="869" ht="13" customFormat="1" customHeight="1" s="203"/>
    <row r="870" ht="13" customFormat="1" customHeight="1" s="203"/>
    <row r="871" ht="13" customFormat="1" customHeight="1" s="203"/>
    <row r="872" ht="13" customFormat="1" customHeight="1" s="203"/>
    <row r="873" ht="13" customFormat="1" customHeight="1" s="203"/>
    <row r="874" ht="13" customFormat="1" customHeight="1" s="203"/>
    <row r="875" ht="13" customFormat="1" customHeight="1" s="203"/>
    <row r="876" ht="13" customFormat="1" customHeight="1" s="203"/>
    <row r="877" ht="13" customFormat="1" customHeight="1" s="203"/>
    <row r="878" ht="13" customFormat="1" customHeight="1" s="203"/>
    <row r="879" ht="13" customFormat="1" customHeight="1" s="203"/>
    <row r="880" ht="13" customFormat="1" customHeight="1" s="203"/>
    <row r="881" ht="13" customFormat="1" customHeight="1" s="203"/>
    <row r="882" ht="13" customFormat="1" customHeight="1" s="203"/>
    <row r="883" ht="13" customFormat="1" customHeight="1" s="203"/>
    <row r="884" ht="13" customFormat="1" customHeight="1" s="203"/>
    <row r="885" ht="13" customFormat="1" customHeight="1" s="203"/>
    <row r="886" ht="13" customFormat="1" customHeight="1" s="203"/>
    <row r="887" ht="13" customFormat="1" customHeight="1" s="203"/>
    <row r="888" ht="13" customFormat="1" customHeight="1" s="203"/>
    <row r="889" ht="13" customFormat="1" customHeight="1" s="203"/>
    <row r="890" ht="13" customFormat="1" customHeight="1" s="203"/>
    <row r="891" ht="13" customFormat="1" customHeight="1" s="203"/>
    <row r="892" ht="13" customFormat="1" customHeight="1" s="203"/>
    <row r="893" ht="13" customFormat="1" customHeight="1" s="203"/>
    <row r="894" ht="13" customFormat="1" customHeight="1" s="203"/>
    <row r="895" ht="13" customFormat="1" customHeight="1" s="203"/>
    <row r="896" ht="13" customFormat="1" customHeight="1" s="203"/>
    <row r="897" ht="13" customFormat="1" customHeight="1" s="203"/>
    <row r="898" ht="13" customFormat="1" customHeight="1" s="203"/>
    <row r="899" ht="13" customFormat="1" customHeight="1" s="203"/>
    <row r="900" ht="13" customFormat="1" customHeight="1" s="203"/>
    <row r="901" ht="13" customFormat="1" customHeight="1" s="203"/>
    <row r="902" ht="13" customFormat="1" customHeight="1" s="203"/>
    <row r="903" ht="13" customFormat="1" customHeight="1" s="203"/>
    <row r="904" ht="13" customFormat="1" customHeight="1" s="203"/>
    <row r="905" ht="13" customFormat="1" customHeight="1" s="203"/>
    <row r="906" ht="13" customFormat="1" customHeight="1" s="203"/>
    <row r="907" ht="13" customFormat="1" customHeight="1" s="203"/>
    <row r="908" ht="13" customFormat="1" customHeight="1" s="203"/>
    <row r="909" ht="13" customFormat="1" customHeight="1" s="203"/>
    <row r="910" ht="13" customFormat="1" customHeight="1" s="203"/>
    <row r="911" ht="13" customFormat="1" customHeight="1" s="203"/>
    <row r="912" ht="13" customFormat="1" customHeight="1" s="203"/>
    <row r="913" ht="13" customFormat="1" customHeight="1" s="203"/>
    <row r="914" ht="13" customFormat="1" customHeight="1" s="203"/>
    <row r="915" ht="13" customFormat="1" customHeight="1" s="203"/>
    <row r="916" ht="13" customFormat="1" customHeight="1" s="203"/>
    <row r="917" ht="13" customFormat="1" customHeight="1" s="203"/>
    <row r="918" ht="13" customFormat="1" customHeight="1" s="203"/>
    <row r="919" ht="13" customFormat="1" customHeight="1" s="203"/>
    <row r="920" ht="13" customFormat="1" customHeight="1" s="203"/>
    <row r="921" ht="13" customFormat="1" customHeight="1" s="203"/>
    <row r="922" ht="13" customFormat="1" customHeight="1" s="203"/>
    <row r="923" ht="13" customFormat="1" customHeight="1" s="203"/>
    <row r="924" ht="13" customFormat="1" customHeight="1" s="203"/>
    <row r="925" ht="13" customFormat="1" customHeight="1" s="203"/>
    <row r="926" ht="13" customFormat="1" customHeight="1" s="203"/>
    <row r="927" ht="13" customFormat="1" customHeight="1" s="203"/>
    <row r="928" ht="13" customFormat="1" customHeight="1" s="203"/>
    <row r="929" ht="13" customFormat="1" customHeight="1" s="203"/>
    <row r="930" ht="13" customFormat="1" customHeight="1" s="203"/>
    <row r="931" ht="13" customFormat="1" customHeight="1" s="203"/>
    <row r="932" ht="13" customFormat="1" customHeight="1" s="203"/>
    <row r="933" ht="13" customFormat="1" customHeight="1" s="203"/>
    <row r="934" ht="13" customFormat="1" customHeight="1" s="203"/>
    <row r="935" ht="13" customFormat="1" customHeight="1" s="203"/>
    <row r="936" ht="13" customFormat="1" customHeight="1" s="203"/>
    <row r="937" ht="13" customFormat="1" customHeight="1" s="203"/>
    <row r="938" ht="13" customFormat="1" customHeight="1" s="203"/>
    <row r="939" ht="13" customFormat="1" customHeight="1" s="203"/>
    <row r="940" ht="13" customFormat="1" customHeight="1" s="203"/>
    <row r="941" ht="13" customFormat="1" customHeight="1" s="203"/>
    <row r="942" ht="13" customFormat="1" customHeight="1" s="203"/>
    <row r="943" ht="13" customFormat="1" customHeight="1" s="203"/>
    <row r="944" ht="13" customFormat="1" customHeight="1" s="203"/>
    <row r="945" ht="13" customFormat="1" customHeight="1" s="203"/>
    <row r="946" ht="13" customFormat="1" customHeight="1" s="203"/>
    <row r="947" ht="13" customFormat="1" customHeight="1" s="203"/>
    <row r="948" ht="13" customFormat="1" customHeight="1" s="203"/>
    <row r="949" ht="13" customFormat="1" customHeight="1" s="203"/>
    <row r="950" ht="13" customFormat="1" customHeight="1" s="203"/>
    <row r="951" ht="13" customFormat="1" customHeight="1" s="203"/>
    <row r="952" ht="13" customFormat="1" customHeight="1" s="203"/>
    <row r="953" ht="13" customFormat="1" customHeight="1" s="203"/>
    <row r="954" ht="13" customFormat="1" customHeight="1" s="203"/>
    <row r="955" ht="13" customFormat="1" customHeight="1" s="203"/>
    <row r="956" ht="13" customFormat="1" customHeight="1" s="203"/>
    <row r="957" ht="13" customFormat="1" customHeight="1" s="203"/>
    <row r="958" ht="13" customFormat="1" customHeight="1" s="203"/>
    <row r="959" ht="13" customFormat="1" customHeight="1" s="203"/>
    <row r="960" ht="13" customFormat="1" customHeight="1" s="203"/>
    <row r="961" ht="13" customFormat="1" customHeight="1" s="203"/>
    <row r="962" ht="13" customFormat="1" customHeight="1" s="203"/>
    <row r="963" ht="13" customFormat="1" customHeight="1" s="203"/>
    <row r="964" ht="13" customFormat="1" customHeight="1" s="203"/>
    <row r="965" ht="13" customFormat="1" customHeight="1" s="203"/>
    <row r="966" ht="13" customFormat="1" customHeight="1" s="203"/>
    <row r="967" ht="13" customFormat="1" customHeight="1" s="203"/>
    <row r="968" ht="13" customFormat="1" customHeight="1" s="203"/>
    <row r="969" ht="13" customFormat="1" customHeight="1" s="203"/>
    <row r="970" ht="13" customFormat="1" customHeight="1" s="203"/>
    <row r="971" ht="13" customFormat="1" customHeight="1" s="203"/>
    <row r="972" ht="13" customFormat="1" customHeight="1" s="203"/>
    <row r="973" ht="13" customFormat="1" customHeight="1" s="203"/>
    <row r="974" ht="13" customFormat="1" customHeight="1" s="203"/>
    <row r="975" ht="13" customFormat="1" customHeight="1" s="203"/>
    <row r="976" ht="13" customFormat="1" customHeight="1" s="203"/>
    <row r="977" ht="13" customFormat="1" customHeight="1" s="203"/>
    <row r="978" ht="13" customFormat="1" customHeight="1" s="203"/>
    <row r="979" ht="13" customFormat="1" customHeight="1" s="203"/>
    <row r="980" ht="13" customFormat="1" customHeight="1" s="203"/>
    <row r="981" ht="13" customFormat="1" customHeight="1" s="203"/>
    <row r="982" ht="13" customFormat="1" customHeight="1" s="203"/>
    <row r="983" ht="13" customFormat="1" customHeight="1" s="203"/>
    <row r="984" ht="13" customFormat="1" customHeight="1" s="203"/>
    <row r="985" ht="13" customFormat="1" customHeight="1" s="203"/>
    <row r="986" ht="13" customFormat="1" customHeight="1" s="203"/>
    <row r="987" ht="13" customFormat="1" customHeight="1" s="203"/>
    <row r="988" ht="13" customFormat="1" customHeight="1" s="203"/>
    <row r="989" ht="13" customFormat="1" customHeight="1" s="203"/>
    <row r="990" ht="13" customFormat="1" customHeight="1" s="203"/>
    <row r="991" ht="13" customFormat="1" customHeight="1" s="203"/>
    <row r="992" ht="13" customFormat="1" customHeight="1" s="203"/>
    <row r="993" ht="13" customFormat="1" customHeight="1" s="203"/>
    <row r="994" ht="13" customFormat="1" customHeight="1" s="203"/>
    <row r="995" ht="13" customFormat="1" customHeight="1" s="203"/>
    <row r="996" ht="13" customFormat="1" customHeight="1" s="203"/>
    <row r="997" ht="13" customFormat="1" customHeight="1" s="203"/>
    <row r="998" ht="13" customFormat="1" customHeight="1" s="203"/>
    <row r="999" ht="13" customFormat="1" customHeight="1" s="203"/>
    <row r="1000" ht="13" customFormat="1" customHeight="1" s="203"/>
    <row r="1001" ht="13" customFormat="1" customHeight="1" s="203"/>
    <row r="1002" ht="13" customFormat="1" customHeight="1" s="203"/>
    <row r="1003" ht="13" customFormat="1" customHeight="1" s="203"/>
    <row r="1004" ht="13" customFormat="1" customHeight="1" s="203"/>
    <row r="1005" ht="13" customFormat="1" customHeight="1" s="203"/>
    <row r="1006" ht="13" customFormat="1" customHeight="1" s="203"/>
    <row r="1007" ht="13" customFormat="1" customHeight="1" s="203"/>
    <row r="1008" ht="13" customFormat="1" customHeight="1" s="203"/>
    <row r="1009" ht="13" customFormat="1" customHeight="1" s="203"/>
    <row r="1010" ht="13" customFormat="1" customHeight="1" s="203"/>
    <row r="1011" ht="13" customFormat="1" customHeight="1" s="203"/>
    <row r="1012" ht="13" customFormat="1" customHeight="1" s="203"/>
    <row r="1013" ht="13" customFormat="1" customHeight="1" s="203"/>
    <row r="1014" ht="13" customFormat="1" customHeight="1" s="203"/>
    <row r="1015" ht="13" customFormat="1" customHeight="1" s="203"/>
    <row r="1016" ht="13" customFormat="1" customHeight="1" s="203"/>
    <row r="1017" ht="13" customFormat="1" customHeight="1" s="203"/>
    <row r="1018" ht="13" customFormat="1" customHeight="1" s="203"/>
    <row r="1019" ht="13" customFormat="1" customHeight="1" s="203"/>
    <row r="1020" ht="13" customFormat="1" customHeight="1" s="203"/>
    <row r="1021" ht="13" customFormat="1" customHeight="1" s="203"/>
    <row r="1022" ht="13" customFormat="1" customHeight="1" s="203"/>
    <row r="1023" ht="13" customFormat="1" customHeight="1" s="203"/>
    <row r="1024" ht="13" customHeight="1" s="189"/>
    <row r="1025" ht="13" customHeight="1" s="189"/>
    <row r="1026" ht="13" customHeight="1" s="189"/>
    <row r="1027" ht="13" customHeight="1" s="189"/>
    <row r="1028" ht="13" customHeight="1" s="189"/>
    <row r="1029" ht="13" customHeight="1" s="189"/>
    <row r="1030" ht="13" customHeight="1" s="189"/>
    <row r="1031" ht="13" customHeight="1" s="189"/>
    <row r="1032" ht="13" customHeight="1" s="189"/>
    <row r="1033" ht="13" customHeight="1" s="189"/>
    <row r="1034" ht="13" customHeight="1" s="189"/>
    <row r="1035" ht="13" customHeight="1" s="189"/>
    <row r="1036" ht="13" customHeight="1" s="189"/>
    <row r="1037" ht="13" customHeight="1" s="189"/>
    <row r="1038" ht="13" customHeight="1" s="189"/>
    <row r="1039" ht="13" customHeight="1" s="189"/>
    <row r="1040" ht="13" customHeight="1" s="189"/>
    <row r="1041" ht="13" customHeight="1" s="189"/>
    <row r="1042" ht="13" customHeight="1" s="189"/>
    <row r="1043" ht="13" customHeight="1" s="189"/>
    <row r="1044" ht="13" customHeight="1" s="189"/>
    <row r="1045" ht="13" customHeight="1" s="189"/>
    <row r="1046" ht="13" customHeight="1" s="189"/>
    <row r="1047" ht="13" customHeight="1" s="189"/>
    <row r="1048" ht="13" customHeight="1" s="189"/>
    <row r="1049" ht="13" customHeight="1" s="189"/>
    <row r="1050" ht="13" customHeight="1" s="189"/>
    <row r="1051" ht="13" customHeight="1" s="189"/>
    <row r="1052" ht="13" customHeight="1" s="189"/>
    <row r="1053" ht="13" customHeight="1" s="189"/>
    <row r="1054" ht="13" customHeight="1" s="189"/>
    <row r="1055" ht="13" customHeight="1" s="189"/>
    <row r="1056" ht="13" customHeight="1" s="189"/>
    <row r="1057" ht="13" customHeight="1" s="189"/>
    <row r="1058" ht="13" customHeight="1" s="189"/>
    <row r="1059" ht="13" customHeight="1" s="189"/>
    <row r="1060" ht="13" customHeight="1" s="189"/>
    <row r="1061" ht="13" customHeight="1" s="189"/>
    <row r="1062" ht="13" customHeight="1" s="189"/>
    <row r="1063" ht="13" customHeight="1" s="189"/>
    <row r="1064" ht="13" customHeight="1" s="189"/>
    <row r="1065" ht="13" customHeight="1" s="189"/>
    <row r="1066" ht="13" customHeight="1" s="189"/>
    <row r="1067" ht="13" customHeight="1" s="189"/>
    <row r="1068" ht="13" customHeight="1" s="189"/>
    <row r="1069" ht="13" customHeight="1" s="189"/>
    <row r="1070" ht="13" customHeight="1" s="189"/>
    <row r="1071" ht="13" customHeight="1" s="189"/>
    <row r="1072" ht="13" customHeight="1" s="189"/>
    <row r="1073" ht="13" customHeight="1" s="189"/>
    <row r="1074" ht="13" customHeight="1" s="189"/>
    <row r="1075" ht="13" customHeight="1" s="189"/>
    <row r="1076" ht="13" customHeight="1" s="189"/>
    <row r="1077" ht="13" customHeight="1" s="189"/>
    <row r="1078" ht="13" customHeight="1" s="189"/>
    <row r="1079" ht="13" customHeight="1" s="189"/>
    <row r="1080" ht="13" customHeight="1" s="189"/>
    <row r="1081" ht="13" customHeight="1" s="189"/>
    <row r="1082" ht="13" customHeight="1" s="189"/>
    <row r="1083" ht="13" customHeight="1" s="189"/>
    <row r="1084" ht="13" customHeight="1" s="189"/>
    <row r="1085" ht="13" customHeight="1" s="189"/>
    <row r="1086" ht="13" customHeight="1" s="189"/>
    <row r="1087" ht="13" customHeight="1" s="189"/>
    <row r="1088" ht="13" customHeight="1" s="189"/>
    <row r="1089" ht="13" customHeight="1" s="189"/>
    <row r="1090" ht="13" customHeight="1" s="189"/>
    <row r="1091" ht="13" customHeight="1" s="189"/>
    <row r="1092" ht="13" customHeight="1" s="189"/>
  </sheetData>
  <mergeCells count="11">
    <mergeCell ref="K4:N4"/>
    <mergeCell ref="D2:I2"/>
    <mergeCell ref="K3:N3"/>
    <mergeCell ref="D4:I4"/>
    <mergeCell ref="A3:C3"/>
    <mergeCell ref="K2:N2"/>
    <mergeCell ref="D3:I3"/>
    <mergeCell ref="A5:N5"/>
    <mergeCell ref="A4:C4"/>
    <mergeCell ref="A2:C2"/>
    <mergeCell ref="A1:N1"/>
  </mergeCells>
  <printOptions horizontalCentered="1" verticalCentered="0" headings="0" gridLines="1" gridLinesSet="1"/>
  <pageMargins left="0" right="0" top="1.25" bottom="1"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0"/>
  </sheetPr>
  <dimension ref="A1:I1024"/>
  <sheetViews>
    <sheetView showFormulas="0" showGridLines="1" showRowColHeaders="1" showZeros="1" rightToLeft="0" tabSelected="0" showOutlineSymbols="1" defaultGridColor="1" view="normal" topLeftCell="A16" colorId="64" zoomScale="100" zoomScaleNormal="100" zoomScalePageLayoutView="100" workbookViewId="0">
      <selection pane="topLeft" activeCell="I24" activeCellId="0" sqref="I24"/>
    </sheetView>
  </sheetViews>
  <sheetFormatPr baseColWidth="8" defaultColWidth="9.0546875" defaultRowHeight="12.5" zeroHeight="0" outlineLevelRow="0"/>
  <cols>
    <col width="3.17" customWidth="1" style="287" min="1" max="1"/>
    <col width="25.72" customWidth="1" style="188" min="2" max="4"/>
    <col width="12.17" customWidth="1" style="188" min="5" max="5"/>
    <col width="3.26" customWidth="1" style="188" min="6" max="6"/>
    <col width="8.44" customWidth="1" style="188" min="7" max="9"/>
  </cols>
  <sheetData>
    <row r="1" ht="15.5" customHeight="1" s="189">
      <c r="A1" s="243" t="inlineStr">
        <is>
          <t>Issues Log</t>
        </is>
      </c>
      <c r="B1" s="213" t="n"/>
      <c r="C1" s="213" t="n"/>
      <c r="D1" s="213" t="n"/>
      <c r="E1" s="213" t="n"/>
      <c r="F1" s="213" t="n"/>
      <c r="G1" s="213" t="n"/>
      <c r="H1" s="213" t="n"/>
      <c r="I1" s="214" t="n"/>
    </row>
    <row r="2" ht="13" customHeight="1" s="189">
      <c r="A2" s="266" t="inlineStr">
        <is>
          <t>Project</t>
        </is>
      </c>
      <c r="B2" s="214" t="n"/>
      <c r="C2" s="208">
        <f>Data!B1</f>
        <v/>
      </c>
      <c r="D2" s="214" t="n"/>
      <c r="E2" s="207" t="inlineStr">
        <is>
          <t>Project #</t>
        </is>
      </c>
      <c r="F2" s="208">
        <f>Data!B2</f>
        <v/>
      </c>
      <c r="G2" s="213" t="n"/>
      <c r="H2" s="213" t="n"/>
      <c r="I2" s="214" t="n"/>
    </row>
    <row r="3" ht="13" customHeight="1" s="189">
      <c r="A3" s="266" t="inlineStr">
        <is>
          <t>Project manager</t>
        </is>
      </c>
      <c r="B3" s="214" t="n"/>
      <c r="C3" s="208">
        <f>Data!B3</f>
        <v/>
      </c>
      <c r="D3" s="214" t="n"/>
      <c r="E3" s="207" t="inlineStr">
        <is>
          <t>Sponsor</t>
        </is>
      </c>
      <c r="F3" s="208">
        <f>Data!B4</f>
        <v/>
      </c>
      <c r="G3" s="213" t="n"/>
      <c r="H3" s="213" t="n"/>
      <c r="I3" s="214" t="n"/>
    </row>
    <row r="4" ht="13" customHeight="1" s="189">
      <c r="A4" s="266" t="inlineStr">
        <is>
          <t>Project artifacts</t>
        </is>
      </c>
      <c r="B4" s="214" t="n"/>
      <c r="C4" s="208">
        <f>Data!B5</f>
        <v/>
      </c>
      <c r="D4" s="214" t="n"/>
      <c r="E4" s="207" t="inlineStr">
        <is>
          <t>Updated</t>
        </is>
      </c>
      <c r="F4" s="208">
        <f>Data!B6</f>
        <v/>
      </c>
      <c r="G4" s="213" t="n"/>
      <c r="H4" s="213" t="n"/>
      <c r="I4" s="214" t="n"/>
    </row>
    <row r="5" ht="12.5" customHeight="1" s="189">
      <c r="A5" s="288" t="n"/>
      <c r="B5" s="213" t="n"/>
      <c r="C5" s="213" t="n"/>
      <c r="D5" s="213" t="n"/>
      <c r="E5" s="213" t="n"/>
      <c r="F5" s="213" t="n"/>
      <c r="G5" s="213" t="n"/>
      <c r="H5" s="213" t="n"/>
      <c r="I5" s="214" t="n"/>
    </row>
    <row r="6" ht="61.5" customHeight="1" s="189">
      <c r="A6" s="281" t="inlineStr">
        <is>
          <t>ID</t>
        </is>
      </c>
      <c r="B6" s="281" t="inlineStr">
        <is>
          <t>Issue Description</t>
        </is>
      </c>
      <c r="C6" s="281" t="inlineStr">
        <is>
          <t>Project Impact</t>
        </is>
      </c>
      <c r="D6" s="281" t="inlineStr">
        <is>
          <t>Action Plan/Resolution</t>
        </is>
      </c>
      <c r="E6" s="281" t="inlineStr">
        <is>
          <t>Owner</t>
        </is>
      </c>
      <c r="F6" s="282" t="inlineStr">
        <is>
          <t>Importance</t>
        </is>
      </c>
      <c r="G6" s="281" t="inlineStr">
        <is>
          <t>Date Entered</t>
        </is>
      </c>
      <c r="H6" s="281" t="inlineStr">
        <is>
          <t>Date to Review</t>
        </is>
      </c>
      <c r="I6" s="281" t="inlineStr">
        <is>
          <t>Date Resolved</t>
        </is>
      </c>
    </row>
    <row r="7" ht="30" customHeight="1" s="189">
      <c r="A7" s="272" t="n">
        <v>1</v>
      </c>
      <c r="B7" s="199" t="inlineStr">
        <is>
          <t>What is the issue?</t>
        </is>
      </c>
      <c r="C7" s="199" t="inlineStr">
        <is>
          <t>How will this impact scope, schedule &amp; cost?</t>
        </is>
      </c>
      <c r="D7" s="199" t="inlineStr">
        <is>
          <t>How do you intend to deal with this issue?</t>
        </is>
      </c>
      <c r="E7" s="284" t="inlineStr">
        <is>
          <t>Who manages this issue?</t>
        </is>
      </c>
      <c r="F7" s="199" t="n"/>
      <c r="G7" s="285" t="n"/>
      <c r="H7" s="285" t="n"/>
      <c r="I7" s="285" t="n"/>
    </row>
    <row r="8" ht="30" customHeight="1" s="189">
      <c r="A8" s="272" t="n">
        <v>2</v>
      </c>
      <c r="B8" s="199" t="n"/>
      <c r="C8" s="199" t="n"/>
      <c r="D8" s="199" t="n"/>
      <c r="E8" s="285" t="n"/>
      <c r="F8" s="199" t="n"/>
      <c r="G8" s="285" t="n"/>
      <c r="H8" s="285" t="n"/>
      <c r="I8" s="285" t="n"/>
    </row>
    <row r="9" ht="30" customHeight="1" s="189">
      <c r="A9" s="272" t="n">
        <v>3</v>
      </c>
      <c r="B9" s="199" t="n"/>
      <c r="C9" s="199" t="n"/>
      <c r="D9" s="199" t="n"/>
      <c r="E9" s="285" t="n"/>
      <c r="F9" s="199" t="n"/>
      <c r="G9" s="285" t="n"/>
      <c r="H9" s="285" t="n"/>
      <c r="I9" s="285" t="n"/>
    </row>
    <row r="10" ht="30" customHeight="1" s="189">
      <c r="A10" s="272" t="n">
        <v>4</v>
      </c>
      <c r="B10" s="199" t="n"/>
      <c r="C10" s="199" t="n"/>
      <c r="D10" s="199" t="n"/>
      <c r="E10" s="285" t="n"/>
      <c r="F10" s="199" t="n"/>
      <c r="G10" s="285" t="n"/>
      <c r="H10" s="285" t="n"/>
      <c r="I10" s="285" t="n"/>
    </row>
    <row r="11" ht="30" customHeight="1" s="189">
      <c r="A11" s="272" t="n">
        <v>5</v>
      </c>
      <c r="B11" s="199" t="n"/>
      <c r="C11" s="199" t="n"/>
      <c r="D11" s="199" t="n"/>
      <c r="E11" s="285" t="n"/>
      <c r="F11" s="199" t="n"/>
      <c r="G11" s="285" t="n"/>
      <c r="H11" s="285" t="n"/>
      <c r="I11" s="285" t="n"/>
    </row>
    <row r="12" ht="30" customHeight="1" s="189">
      <c r="A12" s="272" t="n">
        <v>6</v>
      </c>
      <c r="B12" s="199" t="n"/>
      <c r="C12" s="199" t="n"/>
      <c r="D12" s="199" t="n"/>
      <c r="E12" s="285" t="n"/>
      <c r="F12" s="199" t="n"/>
      <c r="G12" s="285" t="n"/>
      <c r="H12" s="285" t="n"/>
      <c r="I12" s="285" t="n"/>
    </row>
    <row r="13" ht="30" customHeight="1" s="189">
      <c r="A13" s="272" t="n">
        <v>7</v>
      </c>
      <c r="B13" s="199" t="n"/>
      <c r="C13" s="199" t="n"/>
      <c r="D13" s="199" t="n"/>
      <c r="E13" s="285" t="n"/>
      <c r="F13" s="199" t="n"/>
      <c r="G13" s="285" t="n"/>
      <c r="H13" s="285" t="n"/>
      <c r="I13" s="285" t="n"/>
    </row>
    <row r="14" ht="30" customHeight="1" s="189">
      <c r="A14" s="272" t="n">
        <v>8</v>
      </c>
      <c r="B14" s="199" t="n"/>
      <c r="C14" s="199" t="n"/>
      <c r="D14" s="199" t="n"/>
      <c r="E14" s="285" t="n"/>
      <c r="F14" s="199" t="n"/>
      <c r="G14" s="285" t="n"/>
      <c r="H14" s="285" t="n"/>
      <c r="I14" s="285" t="n"/>
    </row>
    <row r="15" ht="30" customHeight="1" s="189">
      <c r="A15" s="272" t="n">
        <v>9</v>
      </c>
      <c r="B15" s="199" t="n"/>
      <c r="C15" s="199" t="n"/>
      <c r="D15" s="199" t="n"/>
      <c r="E15" s="285" t="n"/>
      <c r="F15" s="199" t="n"/>
      <c r="G15" s="285" t="n"/>
      <c r="H15" s="285" t="n"/>
      <c r="I15" s="285" t="n"/>
    </row>
    <row r="16" ht="30" customHeight="1" s="189">
      <c r="A16" s="272" t="n">
        <v>10</v>
      </c>
      <c r="B16" s="199" t="n"/>
      <c r="C16" s="199" t="n"/>
      <c r="D16" s="199" t="n"/>
      <c r="E16" s="285" t="n"/>
      <c r="F16" s="199" t="n"/>
      <c r="G16" s="285" t="n"/>
      <c r="H16" s="285" t="n"/>
      <c r="I16" s="285" t="n"/>
    </row>
    <row r="17" ht="30" customHeight="1" s="189">
      <c r="A17" s="272" t="n">
        <v>11</v>
      </c>
      <c r="B17" s="199" t="n"/>
      <c r="C17" s="199" t="n"/>
      <c r="D17" s="199" t="n"/>
      <c r="E17" s="285" t="n"/>
      <c r="F17" s="199" t="n"/>
      <c r="G17" s="285" t="n"/>
      <c r="H17" s="285" t="n"/>
      <c r="I17" s="285" t="n"/>
    </row>
    <row r="18" ht="30" customHeight="1" s="189">
      <c r="A18" s="272" t="n">
        <v>12</v>
      </c>
      <c r="B18" s="199" t="n"/>
      <c r="C18" s="199" t="n"/>
      <c r="D18" s="199" t="n"/>
      <c r="E18" s="285" t="n"/>
      <c r="F18" s="199" t="n"/>
      <c r="G18" s="285" t="n"/>
      <c r="H18" s="285" t="n"/>
      <c r="I18" s="285" t="n"/>
    </row>
    <row r="19" ht="30" customHeight="1" s="189">
      <c r="A19" s="272" t="n">
        <v>13</v>
      </c>
      <c r="B19" s="199" t="n"/>
      <c r="C19" s="199" t="n"/>
      <c r="D19" s="199" t="n"/>
      <c r="E19" s="285" t="n"/>
      <c r="F19" s="199" t="n"/>
      <c r="G19" s="285" t="n"/>
      <c r="H19" s="285" t="n"/>
      <c r="I19" s="285" t="n"/>
    </row>
    <row r="20" ht="30" customHeight="1" s="189">
      <c r="A20" s="272" t="n">
        <v>14</v>
      </c>
      <c r="B20" s="199" t="n"/>
      <c r="C20" s="199" t="n"/>
      <c r="D20" s="199" t="n"/>
      <c r="E20" s="285" t="n"/>
      <c r="F20" s="199" t="n"/>
      <c r="G20" s="285" t="n"/>
      <c r="H20" s="285" t="n"/>
      <c r="I20" s="285" t="n"/>
    </row>
    <row r="21" ht="30" customHeight="1" s="189">
      <c r="A21" s="272" t="n">
        <v>15</v>
      </c>
      <c r="B21" s="199" t="n"/>
      <c r="C21" s="199" t="n"/>
      <c r="D21" s="199" t="n"/>
      <c r="E21" s="285" t="n"/>
      <c r="F21" s="199" t="n"/>
      <c r="G21" s="285" t="n"/>
      <c r="H21" s="285" t="n"/>
      <c r="I21" s="285" t="n"/>
    </row>
    <row r="22" ht="30" customHeight="1" s="189">
      <c r="A22" s="272" t="n"/>
      <c r="B22" s="199" t="n"/>
      <c r="C22" s="199" t="n"/>
      <c r="D22" s="199" t="n"/>
      <c r="E22" s="285" t="n"/>
      <c r="F22" s="199" t="n"/>
      <c r="G22" s="285" t="n"/>
      <c r="H22" s="285" t="n"/>
      <c r="I22" s="285" t="n"/>
    </row>
    <row r="23" ht="21.75" customHeight="1" s="189">
      <c r="A23" s="289" t="n"/>
      <c r="B23" s="290" t="n"/>
      <c r="C23" s="290" t="n"/>
      <c r="D23" s="290" t="n"/>
      <c r="E23" s="291" t="n"/>
      <c r="F23" s="290" t="n"/>
      <c r="G23" s="291" t="n"/>
      <c r="H23" s="291" t="n"/>
      <c r="I23" s="291" t="n"/>
    </row>
    <row r="24" ht="13" customHeight="1" s="189">
      <c r="A24" s="289" t="n"/>
      <c r="B24" s="290" t="n"/>
      <c r="C24" s="290" t="n"/>
      <c r="D24" s="290" t="n"/>
      <c r="E24" s="291" t="n"/>
      <c r="F24" s="290" t="n"/>
      <c r="G24" s="291" t="n"/>
      <c r="H24" s="291" t="n"/>
      <c r="I24" s="201" t="inlineStr">
        <is>
          <t>© Global Knowledge Training LLC</t>
        </is>
      </c>
    </row>
    <row r="25" ht="21.75" customHeight="1" s="189">
      <c r="A25" s="289" t="n"/>
      <c r="B25" s="290" t="n"/>
      <c r="C25" s="290" t="n"/>
      <c r="D25" s="290" t="n"/>
      <c r="E25" s="291" t="n"/>
      <c r="F25" s="290" t="n"/>
      <c r="G25" s="291" t="n"/>
      <c r="H25" s="291" t="n"/>
      <c r="I25" s="291" t="n"/>
    </row>
    <row r="26" ht="21.75" customHeight="1" s="189">
      <c r="A26" s="289" t="n"/>
      <c r="B26" s="290" t="n"/>
      <c r="C26" s="290" t="n"/>
      <c r="D26" s="290" t="n"/>
      <c r="E26" s="291" t="n"/>
      <c r="F26" s="290" t="n"/>
      <c r="G26" s="291" t="n"/>
      <c r="H26" s="291" t="n"/>
      <c r="I26" s="291" t="n"/>
    </row>
    <row r="27" ht="13" customHeight="1" s="189">
      <c r="A27" s="289" t="n"/>
      <c r="B27" s="290" t="n"/>
      <c r="C27" s="290" t="n"/>
      <c r="D27" s="290" t="n"/>
      <c r="E27" s="290" t="n"/>
      <c r="F27" s="290" t="n"/>
      <c r="G27" s="291" t="n"/>
      <c r="H27" s="291" t="n"/>
      <c r="I27" s="291" t="n"/>
    </row>
    <row r="28" ht="13" customHeight="1" s="189">
      <c r="A28" s="289" t="n"/>
      <c r="B28" s="290" t="n"/>
      <c r="C28" s="290" t="n"/>
      <c r="D28" s="290" t="n"/>
      <c r="E28" s="290" t="n"/>
      <c r="F28" s="290" t="n"/>
      <c r="G28" s="291" t="n"/>
      <c r="H28" s="291" t="n"/>
      <c r="I28" s="291" t="n"/>
    </row>
    <row r="29" ht="13" customHeight="1" s="189">
      <c r="A29" s="289" t="n"/>
      <c r="B29" s="290" t="n"/>
      <c r="C29" s="290" t="n"/>
      <c r="D29" s="290" t="n"/>
      <c r="E29" s="290" t="n"/>
      <c r="F29" s="290" t="n"/>
      <c r="G29" s="291" t="n"/>
      <c r="H29" s="291" t="n"/>
      <c r="I29" s="291" t="n"/>
    </row>
    <row r="30" ht="13" customHeight="1" s="189">
      <c r="A30" s="289" t="n"/>
      <c r="B30" s="290" t="n"/>
      <c r="C30" s="290" t="n"/>
      <c r="D30" s="290" t="n"/>
      <c r="E30" s="290" t="n"/>
      <c r="F30" s="290" t="n"/>
      <c r="G30" s="291" t="n"/>
      <c r="H30" s="291" t="n"/>
      <c r="I30" s="291" t="n"/>
    </row>
    <row r="31" ht="13" customHeight="1" s="189">
      <c r="A31" s="289" t="n"/>
      <c r="B31" s="290" t="n"/>
      <c r="C31" s="290" t="n"/>
      <c r="D31" s="290" t="n"/>
      <c r="E31" s="290" t="n"/>
      <c r="F31" s="290" t="n"/>
      <c r="G31" s="291" t="n"/>
      <c r="H31" s="291" t="n"/>
      <c r="I31" s="291" t="n"/>
    </row>
    <row r="32" ht="13" customHeight="1" s="189">
      <c r="A32" s="289" t="n"/>
      <c r="B32" s="290" t="n"/>
      <c r="C32" s="290" t="n"/>
      <c r="D32" s="290" t="n"/>
      <c r="E32" s="290" t="n"/>
      <c r="F32" s="290" t="n"/>
      <c r="G32" s="291" t="n"/>
      <c r="H32" s="291" t="n"/>
      <c r="I32" s="291" t="n"/>
    </row>
    <row r="33" ht="13" customHeight="1" s="189">
      <c r="A33" s="289" t="n"/>
      <c r="B33" s="290" t="n"/>
      <c r="C33" s="290" t="n"/>
      <c r="D33" s="290" t="n"/>
      <c r="E33" s="290" t="n"/>
      <c r="F33" s="290" t="n"/>
      <c r="G33" s="291" t="n"/>
      <c r="H33" s="291" t="n"/>
      <c r="I33" s="291" t="n"/>
    </row>
    <row r="34" ht="13" customHeight="1" s="189">
      <c r="A34" s="289" t="n"/>
      <c r="B34" s="290" t="n"/>
      <c r="C34" s="290" t="n"/>
      <c r="D34" s="290" t="n"/>
      <c r="E34" s="290" t="n"/>
      <c r="F34" s="290" t="n"/>
      <c r="G34" s="291" t="n"/>
      <c r="H34" s="291" t="n"/>
      <c r="I34" s="291" t="n"/>
    </row>
    <row r="35" ht="13" customHeight="1" s="189">
      <c r="A35" s="289" t="n"/>
      <c r="B35" s="290" t="n"/>
      <c r="C35" s="290" t="n"/>
      <c r="D35" s="290" t="n"/>
      <c r="E35" s="290" t="n"/>
      <c r="F35" s="290" t="n"/>
      <c r="G35" s="291" t="n"/>
      <c r="H35" s="291" t="n"/>
      <c r="I35" s="291" t="n"/>
    </row>
    <row r="36" ht="13" customHeight="1" s="189">
      <c r="A36" s="289" t="n"/>
      <c r="B36" s="290" t="n"/>
      <c r="C36" s="290" t="n"/>
      <c r="D36" s="290" t="n"/>
      <c r="E36" s="290" t="n"/>
      <c r="F36" s="290" t="n"/>
      <c r="G36" s="291" t="n"/>
      <c r="H36" s="291" t="n"/>
      <c r="I36" s="291" t="n"/>
    </row>
    <row r="37" ht="13" customHeight="1" s="189">
      <c r="A37" s="289" t="n"/>
      <c r="B37" s="290" t="n"/>
      <c r="C37" s="290" t="n"/>
      <c r="D37" s="290" t="n"/>
      <c r="E37" s="290" t="n"/>
      <c r="F37" s="290" t="n"/>
      <c r="G37" s="291" t="n"/>
      <c r="H37" s="291" t="n"/>
      <c r="I37" s="291" t="n"/>
    </row>
    <row r="38" ht="13" customHeight="1" s="189">
      <c r="A38" s="289" t="n"/>
      <c r="B38" s="290" t="n"/>
      <c r="C38" s="290" t="n"/>
      <c r="D38" s="290" t="n"/>
      <c r="E38" s="290" t="n"/>
      <c r="F38" s="290" t="n"/>
      <c r="G38" s="291" t="n"/>
      <c r="H38" s="291" t="n"/>
      <c r="I38" s="291" t="n"/>
    </row>
    <row r="39" ht="13" customHeight="1" s="189">
      <c r="A39" s="289" t="n"/>
      <c r="B39" s="290" t="n"/>
      <c r="C39" s="290" t="n"/>
      <c r="D39" s="290" t="n"/>
      <c r="E39" s="290" t="n"/>
      <c r="F39" s="290" t="n"/>
      <c r="G39" s="291" t="n"/>
      <c r="H39" s="291" t="n"/>
      <c r="I39" s="291" t="n"/>
    </row>
    <row r="40" ht="13" customHeight="1" s="189">
      <c r="A40" s="289" t="n"/>
      <c r="B40" s="290" t="n"/>
      <c r="C40" s="290" t="n"/>
      <c r="D40" s="290" t="n"/>
      <c r="E40" s="290" t="n"/>
      <c r="F40" s="290" t="n"/>
      <c r="G40" s="291" t="n"/>
      <c r="H40" s="291" t="n"/>
      <c r="I40" s="291" t="n"/>
    </row>
    <row r="41" ht="13" customHeight="1" s="189">
      <c r="A41" s="289" t="n"/>
      <c r="B41" s="290" t="n"/>
      <c r="C41" s="290" t="n"/>
      <c r="D41" s="290" t="n"/>
      <c r="E41" s="290" t="n"/>
      <c r="F41" s="290" t="n"/>
      <c r="G41" s="291" t="n"/>
      <c r="H41" s="291" t="n"/>
      <c r="I41" s="291" t="n"/>
    </row>
    <row r="42" ht="13" customHeight="1" s="189">
      <c r="A42" s="289" t="n"/>
      <c r="B42" s="290" t="n"/>
      <c r="C42" s="290" t="n"/>
      <c r="D42" s="290" t="n"/>
      <c r="E42" s="290" t="n"/>
      <c r="F42" s="290" t="n"/>
      <c r="G42" s="291" t="n"/>
      <c r="H42" s="291" t="n"/>
      <c r="I42" s="291" t="n"/>
    </row>
    <row r="43" ht="13" customHeight="1" s="189">
      <c r="A43" s="289" t="n"/>
      <c r="B43" s="290" t="n"/>
      <c r="C43" s="290" t="n"/>
      <c r="D43" s="290" t="n"/>
      <c r="E43" s="290" t="n"/>
      <c r="F43" s="290" t="n"/>
      <c r="G43" s="291" t="n"/>
      <c r="H43" s="291" t="n"/>
      <c r="I43" s="291" t="n"/>
    </row>
    <row r="44" ht="13" customHeight="1" s="189">
      <c r="A44" s="289" t="n"/>
      <c r="B44" s="290" t="n"/>
      <c r="C44" s="290" t="n"/>
      <c r="D44" s="290" t="n"/>
      <c r="E44" s="290" t="n"/>
      <c r="F44" s="290" t="n"/>
      <c r="G44" s="291" t="n"/>
      <c r="H44" s="291" t="n"/>
      <c r="I44" s="291" t="n"/>
    </row>
    <row r="45" ht="13" customHeight="1" s="189">
      <c r="A45" s="289" t="n"/>
      <c r="B45" s="290" t="n"/>
      <c r="C45" s="290" t="n"/>
      <c r="D45" s="290" t="n"/>
      <c r="E45" s="290" t="n"/>
      <c r="F45" s="290" t="n"/>
      <c r="G45" s="291" t="n"/>
      <c r="H45" s="291" t="n"/>
      <c r="I45" s="291" t="n"/>
    </row>
    <row r="46" ht="13" customHeight="1" s="189">
      <c r="A46" s="289" t="n"/>
      <c r="B46" s="290" t="n"/>
      <c r="C46" s="290" t="n"/>
      <c r="D46" s="290" t="n"/>
      <c r="E46" s="290" t="n"/>
      <c r="F46" s="290" t="n"/>
      <c r="G46" s="291" t="n"/>
      <c r="H46" s="291" t="n"/>
      <c r="I46" s="291" t="n"/>
    </row>
    <row r="47" ht="13" customHeight="1" s="189">
      <c r="A47" s="289" t="n"/>
      <c r="B47" s="290" t="n"/>
      <c r="C47" s="290" t="n"/>
      <c r="D47" s="290" t="n"/>
      <c r="E47" s="290" t="n"/>
      <c r="F47" s="290" t="n"/>
      <c r="G47" s="291" t="n"/>
      <c r="H47" s="291" t="n"/>
      <c r="I47" s="291" t="n"/>
    </row>
    <row r="48" ht="13" customHeight="1" s="189">
      <c r="A48" s="289" t="n"/>
      <c r="B48" s="290" t="n"/>
      <c r="C48" s="290" t="n"/>
      <c r="D48" s="290" t="n"/>
      <c r="E48" s="290" t="n"/>
      <c r="F48" s="290" t="n"/>
      <c r="G48" s="291" t="n"/>
      <c r="H48" s="291" t="n"/>
      <c r="I48" s="291" t="n"/>
    </row>
    <row r="49" ht="13" customHeight="1" s="189">
      <c r="A49" s="289" t="n"/>
      <c r="B49" s="290" t="n"/>
      <c r="C49" s="290" t="n"/>
      <c r="D49" s="290" t="n"/>
      <c r="E49" s="290" t="n"/>
      <c r="F49" s="290" t="n"/>
      <c r="G49" s="291" t="n"/>
      <c r="H49" s="291" t="n"/>
      <c r="I49" s="291" t="n"/>
    </row>
    <row r="50" ht="13" customHeight="1" s="189">
      <c r="A50" s="289" t="n"/>
      <c r="B50" s="290" t="n"/>
      <c r="C50" s="290" t="n"/>
      <c r="D50" s="290" t="n"/>
      <c r="E50" s="290" t="n"/>
      <c r="F50" s="290" t="n"/>
      <c r="G50" s="291" t="n"/>
      <c r="H50" s="291" t="n"/>
      <c r="I50" s="291" t="n"/>
    </row>
    <row r="51" ht="13" customHeight="1" s="189">
      <c r="A51" s="289" t="n"/>
      <c r="B51" s="290" t="n"/>
      <c r="C51" s="290" t="n"/>
      <c r="D51" s="290" t="n"/>
      <c r="E51" s="290" t="n"/>
      <c r="F51" s="290" t="n"/>
      <c r="G51" s="291" t="n"/>
      <c r="H51" s="291" t="n"/>
      <c r="I51" s="291" t="n"/>
    </row>
    <row r="52" ht="13" customHeight="1" s="189">
      <c r="A52" s="289" t="n"/>
      <c r="B52" s="290" t="n"/>
      <c r="C52" s="290" t="n"/>
      <c r="D52" s="290" t="n"/>
      <c r="E52" s="290" t="n"/>
      <c r="F52" s="290" t="n"/>
      <c r="G52" s="291" t="n"/>
      <c r="H52" s="291" t="n"/>
      <c r="I52" s="291" t="n"/>
    </row>
    <row r="53" ht="13" customHeight="1" s="189">
      <c r="A53" s="289" t="n"/>
      <c r="B53" s="290" t="n"/>
      <c r="C53" s="290" t="n"/>
      <c r="D53" s="290" t="n"/>
      <c r="E53" s="290" t="n"/>
      <c r="F53" s="290" t="n"/>
      <c r="G53" s="291" t="n"/>
      <c r="H53" s="291" t="n"/>
      <c r="I53" s="291" t="n"/>
    </row>
    <row r="54" ht="13" customHeight="1" s="189">
      <c r="A54" s="289" t="n"/>
      <c r="B54" s="290" t="n"/>
      <c r="C54" s="290" t="n"/>
      <c r="D54" s="290" t="n"/>
      <c r="E54" s="290" t="n"/>
      <c r="F54" s="290" t="n"/>
      <c r="G54" s="291" t="n"/>
      <c r="H54" s="291" t="n"/>
      <c r="I54" s="291" t="n"/>
    </row>
    <row r="55" ht="13" customHeight="1" s="189">
      <c r="A55" s="289" t="n"/>
      <c r="B55" s="290" t="n"/>
      <c r="C55" s="290" t="n"/>
      <c r="D55" s="290" t="n"/>
      <c r="E55" s="290" t="n"/>
      <c r="F55" s="290" t="n"/>
      <c r="G55" s="291" t="n"/>
      <c r="H55" s="291" t="n"/>
      <c r="I55" s="291" t="n"/>
    </row>
    <row r="56" ht="13" customHeight="1" s="189">
      <c r="A56" s="289" t="n"/>
      <c r="B56" s="290" t="n"/>
      <c r="C56" s="290" t="n"/>
      <c r="D56" s="290" t="n"/>
      <c r="E56" s="290" t="n"/>
      <c r="F56" s="290" t="n"/>
      <c r="G56" s="291" t="n"/>
      <c r="H56" s="291" t="n"/>
      <c r="I56" s="291" t="n"/>
    </row>
    <row r="57" ht="13" customHeight="1" s="189">
      <c r="A57" s="289" t="n"/>
      <c r="B57" s="290" t="n"/>
      <c r="C57" s="290" t="n"/>
      <c r="D57" s="290" t="n"/>
      <c r="E57" s="290" t="n"/>
      <c r="F57" s="290" t="n"/>
      <c r="G57" s="291" t="n"/>
      <c r="H57" s="291" t="n"/>
      <c r="I57" s="291" t="n"/>
    </row>
    <row r="58" ht="13" customHeight="1" s="189">
      <c r="A58" s="289" t="n"/>
      <c r="B58" s="290" t="n"/>
      <c r="C58" s="290" t="n"/>
      <c r="D58" s="290" t="n"/>
      <c r="E58" s="290" t="n"/>
      <c r="F58" s="290" t="n"/>
      <c r="G58" s="291" t="n"/>
      <c r="H58" s="291" t="n"/>
      <c r="I58" s="291" t="n"/>
    </row>
    <row r="59" ht="13" customHeight="1" s="189">
      <c r="A59" s="289" t="n"/>
      <c r="B59" s="290" t="n"/>
      <c r="C59" s="290" t="n"/>
      <c r="D59" s="290" t="n"/>
      <c r="E59" s="290" t="n"/>
      <c r="F59" s="290" t="n"/>
      <c r="G59" s="291" t="n"/>
      <c r="H59" s="291" t="n"/>
      <c r="I59" s="291" t="n"/>
    </row>
    <row r="60" ht="13" customHeight="1" s="189">
      <c r="A60" s="289" t="n"/>
      <c r="B60" s="290" t="n"/>
      <c r="C60" s="290" t="n"/>
      <c r="D60" s="290" t="n"/>
      <c r="E60" s="290" t="n"/>
      <c r="F60" s="290" t="n"/>
      <c r="G60" s="291" t="n"/>
      <c r="H60" s="291" t="n"/>
      <c r="I60" s="291" t="n"/>
    </row>
    <row r="61" ht="13" customHeight="1" s="189">
      <c r="A61" s="289" t="n"/>
      <c r="B61" s="290" t="n"/>
      <c r="C61" s="290" t="n"/>
      <c r="D61" s="290" t="n"/>
      <c r="E61" s="290" t="n"/>
      <c r="F61" s="290" t="n"/>
      <c r="G61" s="291" t="n"/>
      <c r="H61" s="291" t="n"/>
      <c r="I61" s="291" t="n"/>
    </row>
    <row r="62" ht="13" customHeight="1" s="189">
      <c r="A62" s="289" t="n"/>
      <c r="B62" s="290" t="n"/>
      <c r="C62" s="290" t="n"/>
      <c r="D62" s="290" t="n"/>
      <c r="E62" s="290" t="n"/>
      <c r="F62" s="290" t="n"/>
      <c r="G62" s="291" t="n"/>
      <c r="H62" s="291" t="n"/>
      <c r="I62" s="291" t="n"/>
    </row>
    <row r="63" ht="13" customHeight="1" s="189">
      <c r="A63" s="289" t="n"/>
      <c r="B63" s="290" t="n"/>
      <c r="C63" s="290" t="n"/>
      <c r="D63" s="290" t="n"/>
      <c r="E63" s="290" t="n"/>
      <c r="F63" s="290" t="n"/>
      <c r="G63" s="291" t="n"/>
      <c r="H63" s="291" t="n"/>
      <c r="I63" s="291" t="n"/>
    </row>
    <row r="64" ht="13" customHeight="1" s="189">
      <c r="A64" s="289" t="n"/>
      <c r="B64" s="290" t="n"/>
      <c r="C64" s="290" t="n"/>
      <c r="D64" s="290" t="n"/>
      <c r="E64" s="290" t="n"/>
      <c r="F64" s="290" t="n"/>
      <c r="G64" s="291" t="n"/>
      <c r="H64" s="291" t="n"/>
      <c r="I64" s="291" t="n"/>
    </row>
    <row r="65" ht="13" customHeight="1" s="189">
      <c r="A65" s="289" t="n"/>
      <c r="B65" s="290" t="n"/>
      <c r="C65" s="290" t="n"/>
      <c r="D65" s="290" t="n"/>
      <c r="E65" s="290" t="n"/>
      <c r="F65" s="290" t="n"/>
      <c r="G65" s="291" t="n"/>
      <c r="H65" s="291" t="n"/>
      <c r="I65" s="291" t="n"/>
    </row>
    <row r="66" ht="13" customHeight="1" s="189">
      <c r="A66" s="289" t="n"/>
      <c r="B66" s="290" t="n"/>
      <c r="C66" s="290" t="n"/>
      <c r="D66" s="290" t="n"/>
      <c r="E66" s="290" t="n"/>
      <c r="F66" s="290" t="n"/>
      <c r="G66" s="291" t="n"/>
      <c r="H66" s="291" t="n"/>
      <c r="I66" s="291" t="n"/>
    </row>
    <row r="67" ht="13" customHeight="1" s="189">
      <c r="A67" s="289" t="n"/>
      <c r="B67" s="290" t="n"/>
      <c r="C67" s="290" t="n"/>
      <c r="D67" s="290" t="n"/>
      <c r="E67" s="290" t="n"/>
      <c r="F67" s="290" t="n"/>
      <c r="G67" s="291" t="n"/>
      <c r="H67" s="291" t="n"/>
      <c r="I67" s="291" t="n"/>
    </row>
    <row r="68" ht="13" customHeight="1" s="189">
      <c r="A68" s="289" t="n"/>
      <c r="B68" s="290" t="n"/>
      <c r="C68" s="290" t="n"/>
      <c r="D68" s="290" t="n"/>
      <c r="E68" s="290" t="n"/>
      <c r="F68" s="290" t="n"/>
      <c r="G68" s="291" t="n"/>
      <c r="H68" s="291" t="n"/>
      <c r="I68" s="291" t="n"/>
    </row>
    <row r="69" ht="13" customHeight="1" s="189">
      <c r="A69" s="289" t="n"/>
      <c r="B69" s="290" t="n"/>
      <c r="C69" s="290" t="n"/>
      <c r="D69" s="290" t="n"/>
      <c r="E69" s="290" t="n"/>
      <c r="F69" s="290" t="n"/>
      <c r="G69" s="291" t="n"/>
      <c r="H69" s="291" t="n"/>
      <c r="I69" s="291" t="n"/>
    </row>
    <row r="70" ht="13" customHeight="1" s="189">
      <c r="A70" s="289" t="n"/>
      <c r="B70" s="290" t="n"/>
      <c r="C70" s="290" t="n"/>
      <c r="D70" s="290" t="n"/>
      <c r="E70" s="290" t="n"/>
      <c r="F70" s="290" t="n"/>
      <c r="G70" s="291" t="n"/>
      <c r="H70" s="291" t="n"/>
      <c r="I70" s="291" t="n"/>
    </row>
    <row r="71" ht="13" customHeight="1" s="189">
      <c r="A71" s="289" t="n"/>
      <c r="B71" s="290" t="n"/>
      <c r="C71" s="290" t="n"/>
      <c r="D71" s="290" t="n"/>
      <c r="E71" s="290" t="n"/>
      <c r="F71" s="290" t="n"/>
      <c r="G71" s="291" t="n"/>
      <c r="H71" s="291" t="n"/>
      <c r="I71" s="291" t="n"/>
    </row>
    <row r="72" ht="13" customHeight="1" s="189">
      <c r="A72" s="289" t="n"/>
      <c r="B72" s="290" t="n"/>
      <c r="C72" s="290" t="n"/>
      <c r="D72" s="290" t="n"/>
      <c r="E72" s="290" t="n"/>
      <c r="F72" s="290" t="n"/>
      <c r="G72" s="291" t="n"/>
      <c r="H72" s="291" t="n"/>
      <c r="I72" s="291" t="n"/>
    </row>
    <row r="73" ht="13" customHeight="1" s="189">
      <c r="A73" s="289" t="n"/>
      <c r="B73" s="290" t="n"/>
      <c r="C73" s="290" t="n"/>
      <c r="D73" s="290" t="n"/>
      <c r="E73" s="290" t="n"/>
      <c r="F73" s="290" t="n"/>
      <c r="G73" s="291" t="n"/>
      <c r="H73" s="291" t="n"/>
      <c r="I73" s="291" t="n"/>
    </row>
    <row r="74" ht="13" customHeight="1" s="189">
      <c r="A74" s="289" t="n"/>
      <c r="B74" s="290" t="n"/>
      <c r="C74" s="290" t="n"/>
      <c r="D74" s="290" t="n"/>
      <c r="E74" s="290" t="n"/>
      <c r="F74" s="290" t="n"/>
      <c r="G74" s="291" t="n"/>
      <c r="H74" s="291" t="n"/>
      <c r="I74" s="291" t="n"/>
    </row>
    <row r="75" ht="13" customHeight="1" s="189">
      <c r="A75" s="289" t="n"/>
      <c r="B75" s="290" t="n"/>
      <c r="C75" s="290" t="n"/>
      <c r="D75" s="290" t="n"/>
      <c r="E75" s="290" t="n"/>
      <c r="F75" s="290" t="n"/>
      <c r="G75" s="291" t="n"/>
      <c r="H75" s="291" t="n"/>
      <c r="I75" s="291" t="n"/>
    </row>
    <row r="76" ht="13" customHeight="1" s="189">
      <c r="A76" s="289" t="n"/>
      <c r="B76" s="290" t="n"/>
      <c r="C76" s="290" t="n"/>
      <c r="D76" s="290" t="n"/>
      <c r="E76" s="290" t="n"/>
      <c r="F76" s="290" t="n"/>
      <c r="G76" s="291" t="n"/>
      <c r="H76" s="291" t="n"/>
      <c r="I76" s="291" t="n"/>
    </row>
    <row r="77" ht="13" customHeight="1" s="189">
      <c r="A77" s="289" t="n"/>
      <c r="B77" s="290" t="n"/>
      <c r="C77" s="290" t="n"/>
      <c r="D77" s="290" t="n"/>
      <c r="E77" s="290" t="n"/>
      <c r="F77" s="290" t="n"/>
      <c r="G77" s="291" t="n"/>
      <c r="H77" s="291" t="n"/>
      <c r="I77" s="291" t="n"/>
    </row>
    <row r="78" ht="13" customHeight="1" s="189">
      <c r="A78" s="289" t="n"/>
      <c r="B78" s="290" t="n"/>
      <c r="C78" s="290" t="n"/>
      <c r="D78" s="290" t="n"/>
      <c r="E78" s="290" t="n"/>
      <c r="F78" s="290" t="n"/>
      <c r="G78" s="291" t="n"/>
      <c r="H78" s="291" t="n"/>
      <c r="I78" s="291" t="n"/>
    </row>
    <row r="79" ht="13" customHeight="1" s="189">
      <c r="A79" s="289" t="n"/>
      <c r="B79" s="290" t="n"/>
      <c r="C79" s="290" t="n"/>
      <c r="D79" s="290" t="n"/>
      <c r="E79" s="290" t="n"/>
      <c r="F79" s="290" t="n"/>
      <c r="G79" s="291" t="n"/>
      <c r="H79" s="291" t="n"/>
      <c r="I79" s="291" t="n"/>
    </row>
    <row r="80" ht="13" customHeight="1" s="189">
      <c r="A80" s="289" t="n"/>
      <c r="B80" s="290" t="n"/>
      <c r="C80" s="290" t="n"/>
      <c r="D80" s="290" t="n"/>
      <c r="E80" s="290" t="n"/>
      <c r="F80" s="290" t="n"/>
      <c r="G80" s="291" t="n"/>
      <c r="H80" s="291" t="n"/>
      <c r="I80" s="291" t="n"/>
    </row>
    <row r="81" ht="13" customHeight="1" s="189">
      <c r="A81" s="289" t="n"/>
      <c r="B81" s="290" t="n"/>
      <c r="C81" s="290" t="n"/>
      <c r="D81" s="290" t="n"/>
      <c r="E81" s="290" t="n"/>
      <c r="F81" s="290" t="n"/>
      <c r="G81" s="291" t="n"/>
      <c r="H81" s="291" t="n"/>
      <c r="I81" s="291" t="n"/>
    </row>
    <row r="82" ht="13" customHeight="1" s="189">
      <c r="A82" s="289" t="n"/>
      <c r="B82" s="290" t="n"/>
      <c r="C82" s="290" t="n"/>
      <c r="D82" s="290" t="n"/>
      <c r="E82" s="290" t="n"/>
      <c r="F82" s="290" t="n"/>
      <c r="G82" s="291" t="n"/>
      <c r="H82" s="291" t="n"/>
      <c r="I82" s="291" t="n"/>
    </row>
    <row r="83" ht="13" customHeight="1" s="189">
      <c r="A83" s="289" t="n"/>
      <c r="B83" s="290" t="n"/>
      <c r="C83" s="290" t="n"/>
      <c r="D83" s="290" t="n"/>
      <c r="E83" s="290" t="n"/>
      <c r="F83" s="290" t="n"/>
      <c r="G83" s="291" t="n"/>
      <c r="H83" s="291" t="n"/>
      <c r="I83" s="291" t="n"/>
    </row>
    <row r="84" ht="13" customHeight="1" s="189">
      <c r="A84" s="289" t="n"/>
      <c r="B84" s="290" t="n"/>
      <c r="C84" s="290" t="n"/>
      <c r="D84" s="290" t="n"/>
      <c r="E84" s="290" t="n"/>
      <c r="F84" s="290" t="n"/>
      <c r="G84" s="291" t="n"/>
      <c r="H84" s="291" t="n"/>
      <c r="I84" s="291" t="n"/>
    </row>
    <row r="85" ht="13" customHeight="1" s="189">
      <c r="A85" s="289" t="n"/>
      <c r="B85" s="290" t="n"/>
      <c r="C85" s="290" t="n"/>
      <c r="D85" s="290" t="n"/>
      <c r="E85" s="290" t="n"/>
      <c r="F85" s="290" t="n"/>
      <c r="G85" s="291" t="n"/>
      <c r="H85" s="291" t="n"/>
      <c r="I85" s="291" t="n"/>
    </row>
    <row r="86" ht="13" customHeight="1" s="189">
      <c r="A86" s="289" t="n"/>
      <c r="B86" s="290" t="n"/>
      <c r="C86" s="290" t="n"/>
      <c r="D86" s="290" t="n"/>
      <c r="E86" s="290" t="n"/>
      <c r="F86" s="290" t="n"/>
      <c r="G86" s="291" t="n"/>
      <c r="H86" s="291" t="n"/>
      <c r="I86" s="291" t="n"/>
    </row>
    <row r="87" ht="13" customHeight="1" s="189">
      <c r="A87" s="289" t="n"/>
      <c r="B87" s="290" t="n"/>
      <c r="C87" s="290" t="n"/>
      <c r="D87" s="290" t="n"/>
      <c r="E87" s="290" t="n"/>
      <c r="F87" s="290" t="n"/>
      <c r="G87" s="291" t="n"/>
      <c r="H87" s="291" t="n"/>
      <c r="I87" s="291" t="n"/>
    </row>
    <row r="88" ht="13" customHeight="1" s="189">
      <c r="A88" s="289" t="n"/>
      <c r="B88" s="290" t="n"/>
      <c r="C88" s="290" t="n"/>
      <c r="D88" s="290" t="n"/>
      <c r="E88" s="290" t="n"/>
      <c r="F88" s="290" t="n"/>
      <c r="G88" s="291" t="n"/>
      <c r="H88" s="291" t="n"/>
      <c r="I88" s="291" t="n"/>
    </row>
    <row r="89" ht="13" customHeight="1" s="189">
      <c r="A89" s="289" t="n"/>
      <c r="B89" s="290" t="n"/>
      <c r="C89" s="290" t="n"/>
      <c r="D89" s="290" t="n"/>
      <c r="E89" s="290" t="n"/>
      <c r="F89" s="290" t="n"/>
      <c r="G89" s="291" t="n"/>
      <c r="H89" s="291" t="n"/>
      <c r="I89" s="291" t="n"/>
    </row>
    <row r="90" ht="13" customHeight="1" s="189">
      <c r="A90" s="289" t="n"/>
      <c r="B90" s="290" t="n"/>
      <c r="C90" s="290" t="n"/>
      <c r="D90" s="290" t="n"/>
      <c r="E90" s="290" t="n"/>
      <c r="F90" s="290" t="n"/>
      <c r="G90" s="291" t="n"/>
      <c r="H90" s="291" t="n"/>
      <c r="I90" s="291" t="n"/>
    </row>
    <row r="91" ht="13" customHeight="1" s="189">
      <c r="A91" s="289" t="n"/>
      <c r="B91" s="290" t="n"/>
      <c r="C91" s="290" t="n"/>
      <c r="D91" s="290" t="n"/>
      <c r="E91" s="290" t="n"/>
      <c r="F91" s="290" t="n"/>
      <c r="G91" s="291" t="n"/>
      <c r="H91" s="291" t="n"/>
      <c r="I91" s="291" t="n"/>
    </row>
    <row r="92" ht="13" customHeight="1" s="189">
      <c r="A92" s="289" t="n"/>
      <c r="B92" s="290" t="n"/>
      <c r="C92" s="290" t="n"/>
      <c r="D92" s="290" t="n"/>
      <c r="E92" s="290" t="n"/>
      <c r="F92" s="290" t="n"/>
      <c r="G92" s="291" t="n"/>
      <c r="H92" s="291" t="n"/>
      <c r="I92" s="291" t="n"/>
    </row>
    <row r="93" ht="13" customHeight="1" s="189">
      <c r="A93" s="289" t="n"/>
      <c r="B93" s="290" t="n"/>
      <c r="C93" s="290" t="n"/>
      <c r="D93" s="290" t="n"/>
      <c r="E93" s="290" t="n"/>
      <c r="F93" s="290" t="n"/>
      <c r="G93" s="291" t="n"/>
      <c r="H93" s="291" t="n"/>
      <c r="I93" s="291" t="n"/>
    </row>
    <row r="94" ht="13" customHeight="1" s="189">
      <c r="A94" s="289" t="n"/>
      <c r="B94" s="290" t="n"/>
      <c r="C94" s="290" t="n"/>
      <c r="D94" s="290" t="n"/>
      <c r="E94" s="290" t="n"/>
      <c r="F94" s="290" t="n"/>
      <c r="G94" s="291" t="n"/>
      <c r="H94" s="291" t="n"/>
      <c r="I94" s="291" t="n"/>
    </row>
    <row r="95" ht="13" customHeight="1" s="189">
      <c r="A95" s="289" t="n"/>
      <c r="B95" s="290" t="n"/>
      <c r="C95" s="290" t="n"/>
      <c r="D95" s="290" t="n"/>
      <c r="E95" s="290" t="n"/>
      <c r="F95" s="290" t="n"/>
      <c r="G95" s="291" t="n"/>
      <c r="H95" s="291" t="n"/>
      <c r="I95" s="291" t="n"/>
    </row>
    <row r="96" ht="13" customHeight="1" s="189">
      <c r="A96" s="289" t="n"/>
      <c r="B96" s="290" t="n"/>
      <c r="C96" s="290" t="n"/>
      <c r="D96" s="290" t="n"/>
      <c r="E96" s="290" t="n"/>
      <c r="F96" s="290" t="n"/>
      <c r="G96" s="291" t="n"/>
      <c r="H96" s="291" t="n"/>
      <c r="I96" s="291" t="n"/>
    </row>
    <row r="97" ht="13" customHeight="1" s="189">
      <c r="A97" s="289" t="n"/>
      <c r="B97" s="290" t="n"/>
      <c r="C97" s="290" t="n"/>
      <c r="D97" s="290" t="n"/>
      <c r="E97" s="290" t="n"/>
      <c r="F97" s="290" t="n"/>
      <c r="G97" s="291" t="n"/>
      <c r="H97" s="291" t="n"/>
      <c r="I97" s="291" t="n"/>
    </row>
    <row r="98" ht="13" customHeight="1" s="189">
      <c r="A98" s="289" t="n"/>
      <c r="B98" s="290" t="n"/>
      <c r="C98" s="290" t="n"/>
      <c r="D98" s="290" t="n"/>
      <c r="E98" s="290" t="n"/>
      <c r="F98" s="290" t="n"/>
      <c r="G98" s="291" t="n"/>
      <c r="H98" s="291" t="n"/>
      <c r="I98" s="291" t="n"/>
    </row>
    <row r="99" ht="13" customHeight="1" s="189">
      <c r="A99" s="289" t="n"/>
      <c r="B99" s="290" t="n"/>
      <c r="C99" s="290" t="n"/>
      <c r="D99" s="290" t="n"/>
      <c r="E99" s="290" t="n"/>
      <c r="F99" s="290" t="n"/>
      <c r="G99" s="291" t="n"/>
      <c r="H99" s="291" t="n"/>
      <c r="I99" s="291" t="n"/>
    </row>
    <row r="100" ht="13" customHeight="1" s="189">
      <c r="A100" s="289" t="n"/>
      <c r="B100" s="290" t="n"/>
      <c r="C100" s="290" t="n"/>
      <c r="D100" s="290" t="n"/>
      <c r="E100" s="290" t="n"/>
      <c r="F100" s="290" t="n"/>
      <c r="G100" s="291" t="n"/>
      <c r="H100" s="291" t="n"/>
      <c r="I100" s="291" t="n"/>
    </row>
    <row r="101" ht="13" customHeight="1" s="189">
      <c r="A101" s="289" t="n"/>
      <c r="B101" s="290" t="n"/>
      <c r="C101" s="290" t="n"/>
      <c r="D101" s="290" t="n"/>
      <c r="E101" s="290" t="n"/>
      <c r="F101" s="290" t="n"/>
      <c r="G101" s="291" t="n"/>
      <c r="H101" s="291" t="n"/>
      <c r="I101" s="291" t="n"/>
    </row>
    <row r="102" ht="13" customHeight="1" s="189">
      <c r="A102" s="289" t="n"/>
      <c r="B102" s="290" t="n"/>
      <c r="C102" s="290" t="n"/>
      <c r="D102" s="290" t="n"/>
      <c r="E102" s="290" t="n"/>
      <c r="F102" s="290" t="n"/>
      <c r="G102" s="291" t="n"/>
      <c r="H102" s="291" t="n"/>
      <c r="I102" s="291" t="n"/>
    </row>
    <row r="103" ht="13" customHeight="1" s="189">
      <c r="A103" s="289" t="n"/>
      <c r="B103" s="290" t="n"/>
      <c r="C103" s="290" t="n"/>
      <c r="D103" s="290" t="n"/>
      <c r="E103" s="290" t="n"/>
      <c r="F103" s="290" t="n"/>
      <c r="G103" s="291" t="n"/>
      <c r="H103" s="291" t="n"/>
      <c r="I103" s="291" t="n"/>
    </row>
    <row r="104" ht="13" customHeight="1" s="189">
      <c r="A104" s="289" t="n"/>
      <c r="B104" s="290" t="n"/>
      <c r="C104" s="290" t="n"/>
      <c r="D104" s="290" t="n"/>
      <c r="E104" s="290" t="n"/>
      <c r="F104" s="290" t="n"/>
      <c r="G104" s="291" t="n"/>
      <c r="H104" s="291" t="n"/>
      <c r="I104" s="291" t="n"/>
    </row>
    <row r="105" ht="13" customHeight="1" s="189">
      <c r="A105" s="289" t="n"/>
      <c r="B105" s="290" t="n"/>
      <c r="C105" s="290" t="n"/>
      <c r="D105" s="290" t="n"/>
      <c r="E105" s="290" t="n"/>
      <c r="F105" s="290" t="n"/>
      <c r="G105" s="291" t="n"/>
      <c r="H105" s="291" t="n"/>
      <c r="I105" s="291" t="n"/>
    </row>
    <row r="106" ht="13" customHeight="1" s="189">
      <c r="A106" s="289" t="n"/>
      <c r="B106" s="290" t="n"/>
      <c r="C106" s="290" t="n"/>
      <c r="D106" s="290" t="n"/>
      <c r="E106" s="290" t="n"/>
      <c r="F106" s="290" t="n"/>
      <c r="G106" s="291" t="n"/>
      <c r="H106" s="291" t="n"/>
      <c r="I106" s="291" t="n"/>
    </row>
    <row r="107" ht="13" customHeight="1" s="189">
      <c r="A107" s="289" t="n"/>
      <c r="B107" s="290" t="n"/>
      <c r="C107" s="290" t="n"/>
      <c r="D107" s="290" t="n"/>
      <c r="E107" s="290" t="n"/>
      <c r="F107" s="290" t="n"/>
      <c r="G107" s="291" t="n"/>
      <c r="H107" s="291" t="n"/>
      <c r="I107" s="291" t="n"/>
    </row>
    <row r="108" ht="13" customHeight="1" s="189">
      <c r="A108" s="289" t="n"/>
      <c r="B108" s="290" t="n"/>
      <c r="C108" s="290" t="n"/>
      <c r="D108" s="290" t="n"/>
      <c r="E108" s="290" t="n"/>
      <c r="F108" s="290" t="n"/>
      <c r="G108" s="291" t="n"/>
      <c r="H108" s="291" t="n"/>
      <c r="I108" s="291" t="n"/>
    </row>
    <row r="109" ht="13" customHeight="1" s="189">
      <c r="A109" s="289" t="n"/>
      <c r="B109" s="290" t="n"/>
      <c r="C109" s="290" t="n"/>
      <c r="D109" s="290" t="n"/>
      <c r="E109" s="290" t="n"/>
      <c r="F109" s="290" t="n"/>
      <c r="G109" s="291" t="n"/>
      <c r="H109" s="291" t="n"/>
      <c r="I109" s="291" t="n"/>
    </row>
    <row r="110" ht="13" customHeight="1" s="189">
      <c r="A110" s="289" t="n"/>
      <c r="B110" s="290" t="n"/>
      <c r="C110" s="290" t="n"/>
      <c r="D110" s="290" t="n"/>
      <c r="E110" s="290" t="n"/>
      <c r="F110" s="290" t="n"/>
      <c r="G110" s="291" t="n"/>
      <c r="H110" s="291" t="n"/>
      <c r="I110" s="291" t="n"/>
    </row>
    <row r="111" ht="13" customHeight="1" s="189">
      <c r="A111" s="289" t="n"/>
      <c r="B111" s="290" t="n"/>
      <c r="C111" s="290" t="n"/>
      <c r="D111" s="290" t="n"/>
      <c r="E111" s="290" t="n"/>
      <c r="F111" s="290" t="n"/>
      <c r="G111" s="291" t="n"/>
      <c r="H111" s="291" t="n"/>
      <c r="I111" s="291" t="n"/>
    </row>
    <row r="112" ht="13" customHeight="1" s="189">
      <c r="A112" s="289" t="n"/>
      <c r="B112" s="290" t="n"/>
      <c r="C112" s="290" t="n"/>
      <c r="D112" s="290" t="n"/>
      <c r="E112" s="290" t="n"/>
      <c r="F112" s="290" t="n"/>
      <c r="G112" s="291" t="n"/>
      <c r="H112" s="291" t="n"/>
      <c r="I112" s="291" t="n"/>
    </row>
    <row r="113" ht="13" customHeight="1" s="189">
      <c r="A113" s="289" t="n"/>
      <c r="B113" s="290" t="n"/>
      <c r="C113" s="290" t="n"/>
      <c r="D113" s="290" t="n"/>
      <c r="E113" s="290" t="n"/>
      <c r="F113" s="290" t="n"/>
      <c r="G113" s="291" t="n"/>
      <c r="H113" s="291" t="n"/>
      <c r="I113" s="291" t="n"/>
    </row>
    <row r="114" ht="13" customHeight="1" s="189">
      <c r="A114" s="289" t="n"/>
      <c r="B114" s="290" t="n"/>
      <c r="C114" s="290" t="n"/>
      <c r="D114" s="290" t="n"/>
      <c r="E114" s="290" t="n"/>
      <c r="F114" s="290" t="n"/>
      <c r="G114" s="291" t="n"/>
      <c r="H114" s="291" t="n"/>
      <c r="I114" s="291" t="n"/>
    </row>
    <row r="115" ht="13" customHeight="1" s="189">
      <c r="A115" s="289" t="n"/>
      <c r="B115" s="290" t="n"/>
      <c r="C115" s="290" t="n"/>
      <c r="D115" s="290" t="n"/>
      <c r="E115" s="290" t="n"/>
      <c r="F115" s="290" t="n"/>
      <c r="G115" s="291" t="n"/>
      <c r="H115" s="291" t="n"/>
      <c r="I115" s="291" t="n"/>
    </row>
    <row r="116" ht="13" customHeight="1" s="189">
      <c r="A116" s="289" t="n"/>
      <c r="B116" s="290" t="n"/>
      <c r="C116" s="290" t="n"/>
      <c r="D116" s="290" t="n"/>
      <c r="E116" s="290" t="n"/>
      <c r="F116" s="290" t="n"/>
      <c r="G116" s="291" t="n"/>
      <c r="H116" s="291" t="n"/>
      <c r="I116" s="291" t="n"/>
    </row>
    <row r="117" ht="13" customHeight="1" s="189">
      <c r="A117" s="289" t="n"/>
      <c r="B117" s="290" t="n"/>
      <c r="C117" s="290" t="n"/>
      <c r="D117" s="290" t="n"/>
      <c r="E117" s="290" t="n"/>
      <c r="F117" s="290" t="n"/>
      <c r="G117" s="291" t="n"/>
      <c r="H117" s="291" t="n"/>
      <c r="I117" s="291" t="n"/>
    </row>
    <row r="118" ht="13" customHeight="1" s="189">
      <c r="A118" s="289" t="n"/>
      <c r="B118" s="290" t="n"/>
      <c r="C118" s="290" t="n"/>
      <c r="D118" s="290" t="n"/>
      <c r="E118" s="290" t="n"/>
      <c r="F118" s="290" t="n"/>
      <c r="G118" s="291" t="n"/>
      <c r="H118" s="291" t="n"/>
      <c r="I118" s="291" t="n"/>
    </row>
    <row r="119" ht="13" customHeight="1" s="189">
      <c r="A119" s="289" t="n"/>
      <c r="B119" s="290" t="n"/>
      <c r="C119" s="290" t="n"/>
      <c r="D119" s="290" t="n"/>
      <c r="E119" s="290" t="n"/>
      <c r="F119" s="290" t="n"/>
      <c r="G119" s="291" t="n"/>
      <c r="H119" s="291" t="n"/>
      <c r="I119" s="291" t="n"/>
    </row>
    <row r="120" ht="13" customHeight="1" s="189">
      <c r="A120" s="289" t="n"/>
      <c r="B120" s="290" t="n"/>
      <c r="C120" s="290" t="n"/>
      <c r="D120" s="290" t="n"/>
      <c r="E120" s="290" t="n"/>
      <c r="F120" s="290" t="n"/>
      <c r="G120" s="291" t="n"/>
      <c r="H120" s="291" t="n"/>
      <c r="I120" s="291" t="n"/>
    </row>
    <row r="121" ht="13" customHeight="1" s="189">
      <c r="A121" s="289" t="n"/>
      <c r="B121" s="290" t="n"/>
      <c r="C121" s="290" t="n"/>
      <c r="D121" s="290" t="n"/>
      <c r="E121" s="290" t="n"/>
      <c r="F121" s="290" t="n"/>
      <c r="G121" s="291" t="n"/>
      <c r="H121" s="291" t="n"/>
      <c r="I121" s="291" t="n"/>
    </row>
    <row r="122" ht="13" customHeight="1" s="189">
      <c r="A122" s="289" t="n"/>
      <c r="B122" s="290" t="n"/>
      <c r="C122" s="290" t="n"/>
      <c r="D122" s="290" t="n"/>
      <c r="E122" s="290" t="n"/>
      <c r="F122" s="290" t="n"/>
      <c r="G122" s="291" t="n"/>
      <c r="H122" s="291" t="n"/>
      <c r="I122" s="291" t="n"/>
    </row>
    <row r="123" ht="13" customHeight="1" s="189">
      <c r="A123" s="289" t="n"/>
      <c r="B123" s="290" t="n"/>
      <c r="C123" s="290" t="n"/>
      <c r="D123" s="290" t="n"/>
      <c r="E123" s="290" t="n"/>
      <c r="F123" s="290" t="n"/>
      <c r="G123" s="291" t="n"/>
      <c r="H123" s="291" t="n"/>
      <c r="I123" s="291" t="n"/>
    </row>
    <row r="124" ht="13" customHeight="1" s="189">
      <c r="A124" s="289" t="n"/>
      <c r="B124" s="290" t="n"/>
      <c r="C124" s="290" t="n"/>
      <c r="D124" s="290" t="n"/>
      <c r="E124" s="290" t="n"/>
      <c r="F124" s="290" t="n"/>
      <c r="G124" s="291" t="n"/>
      <c r="H124" s="291" t="n"/>
      <c r="I124" s="291" t="n"/>
    </row>
    <row r="125" ht="13" customHeight="1" s="189">
      <c r="A125" s="289" t="n"/>
      <c r="B125" s="290" t="n"/>
      <c r="C125" s="290" t="n"/>
      <c r="D125" s="290" t="n"/>
      <c r="E125" s="290" t="n"/>
      <c r="F125" s="290" t="n"/>
      <c r="G125" s="291" t="n"/>
      <c r="H125" s="291" t="n"/>
      <c r="I125" s="291" t="n"/>
    </row>
    <row r="126" ht="13" customHeight="1" s="189">
      <c r="A126" s="289" t="n"/>
      <c r="B126" s="290" t="n"/>
      <c r="C126" s="290" t="n"/>
      <c r="D126" s="290" t="n"/>
      <c r="E126" s="290" t="n"/>
      <c r="F126" s="290" t="n"/>
      <c r="G126" s="291" t="n"/>
      <c r="H126" s="291" t="n"/>
      <c r="I126" s="291" t="n"/>
    </row>
    <row r="127" ht="13" customHeight="1" s="189">
      <c r="A127" s="289" t="n"/>
      <c r="B127" s="290" t="n"/>
      <c r="C127" s="290" t="n"/>
      <c r="D127" s="290" t="n"/>
      <c r="E127" s="290" t="n"/>
      <c r="F127" s="290" t="n"/>
      <c r="G127" s="291" t="n"/>
      <c r="H127" s="291" t="n"/>
      <c r="I127" s="291" t="n"/>
    </row>
    <row r="128" ht="13" customHeight="1" s="189">
      <c r="A128" s="289" t="n"/>
      <c r="B128" s="290" t="n"/>
      <c r="C128" s="290" t="n"/>
      <c r="D128" s="290" t="n"/>
      <c r="E128" s="290" t="n"/>
      <c r="F128" s="290" t="n"/>
      <c r="G128" s="291" t="n"/>
      <c r="H128" s="291" t="n"/>
      <c r="I128" s="291" t="n"/>
    </row>
    <row r="129" ht="13" customHeight="1" s="189">
      <c r="A129" s="289" t="n"/>
      <c r="B129" s="290" t="n"/>
      <c r="C129" s="290" t="n"/>
      <c r="D129" s="290" t="n"/>
      <c r="E129" s="290" t="n"/>
      <c r="F129" s="290" t="n"/>
      <c r="G129" s="291" t="n"/>
      <c r="H129" s="291" t="n"/>
      <c r="I129" s="291" t="n"/>
    </row>
    <row r="130" ht="13" customHeight="1" s="189">
      <c r="A130" s="289" t="n"/>
      <c r="B130" s="290" t="n"/>
      <c r="C130" s="290" t="n"/>
      <c r="D130" s="290" t="n"/>
      <c r="E130" s="290" t="n"/>
      <c r="F130" s="290" t="n"/>
      <c r="G130" s="291" t="n"/>
      <c r="H130" s="291" t="n"/>
      <c r="I130" s="291" t="n"/>
    </row>
    <row r="131" ht="13" customHeight="1" s="189">
      <c r="A131" s="289" t="n"/>
      <c r="B131" s="290" t="n"/>
      <c r="C131" s="290" t="n"/>
      <c r="D131" s="290" t="n"/>
      <c r="E131" s="290" t="n"/>
      <c r="F131" s="290" t="n"/>
      <c r="G131" s="291" t="n"/>
      <c r="H131" s="291" t="n"/>
      <c r="I131" s="291" t="n"/>
    </row>
    <row r="132" ht="13" customHeight="1" s="189">
      <c r="A132" s="289" t="n"/>
      <c r="B132" s="290" t="n"/>
      <c r="C132" s="290" t="n"/>
      <c r="D132" s="290" t="n"/>
      <c r="E132" s="290" t="n"/>
      <c r="F132" s="290" t="n"/>
      <c r="G132" s="291" t="n"/>
      <c r="H132" s="291" t="n"/>
      <c r="I132" s="291" t="n"/>
    </row>
    <row r="133" ht="13" customHeight="1" s="189">
      <c r="A133" s="289" t="n"/>
      <c r="B133" s="290" t="n"/>
      <c r="C133" s="290" t="n"/>
      <c r="D133" s="290" t="n"/>
      <c r="E133" s="290" t="n"/>
      <c r="F133" s="290" t="n"/>
      <c r="G133" s="291" t="n"/>
      <c r="H133" s="291" t="n"/>
      <c r="I133" s="291" t="n"/>
    </row>
    <row r="134" ht="13" customHeight="1" s="189">
      <c r="A134" s="289" t="n"/>
      <c r="B134" s="290" t="n"/>
      <c r="C134" s="290" t="n"/>
      <c r="D134" s="290" t="n"/>
      <c r="E134" s="290" t="n"/>
      <c r="F134" s="290" t="n"/>
      <c r="G134" s="291" t="n"/>
      <c r="H134" s="291" t="n"/>
      <c r="I134" s="291" t="n"/>
    </row>
    <row r="135" ht="13" customHeight="1" s="189">
      <c r="A135" s="289" t="n"/>
      <c r="B135" s="290" t="n"/>
      <c r="C135" s="290" t="n"/>
      <c r="D135" s="290" t="n"/>
      <c r="E135" s="290" t="n"/>
      <c r="F135" s="290" t="n"/>
      <c r="G135" s="291" t="n"/>
      <c r="H135" s="291" t="n"/>
      <c r="I135" s="291" t="n"/>
    </row>
    <row r="136" ht="13" customHeight="1" s="189">
      <c r="A136" s="289" t="n"/>
      <c r="B136" s="290" t="n"/>
      <c r="C136" s="290" t="n"/>
      <c r="D136" s="290" t="n"/>
      <c r="E136" s="290" t="n"/>
      <c r="F136" s="290" t="n"/>
      <c r="G136" s="291" t="n"/>
      <c r="H136" s="291" t="n"/>
      <c r="I136" s="291" t="n"/>
    </row>
    <row r="137" ht="13" customHeight="1" s="189">
      <c r="A137" s="289" t="n"/>
      <c r="B137" s="290" t="n"/>
      <c r="C137" s="290" t="n"/>
      <c r="D137" s="290" t="n"/>
      <c r="E137" s="290" t="n"/>
      <c r="F137" s="290" t="n"/>
      <c r="G137" s="291" t="n"/>
      <c r="H137" s="291" t="n"/>
      <c r="I137" s="291" t="n"/>
    </row>
    <row r="138" ht="13" customHeight="1" s="189">
      <c r="A138" s="289" t="n"/>
      <c r="B138" s="290" t="n"/>
      <c r="C138" s="290" t="n"/>
      <c r="D138" s="290" t="n"/>
      <c r="E138" s="290" t="n"/>
      <c r="F138" s="290" t="n"/>
      <c r="G138" s="291" t="n"/>
      <c r="H138" s="291" t="n"/>
      <c r="I138" s="291" t="n"/>
    </row>
    <row r="139" ht="13" customHeight="1" s="189">
      <c r="A139" s="289" t="n"/>
      <c r="B139" s="290" t="n"/>
      <c r="C139" s="290" t="n"/>
      <c r="D139" s="290" t="n"/>
      <c r="E139" s="290" t="n"/>
      <c r="F139" s="290" t="n"/>
      <c r="G139" s="291" t="n"/>
      <c r="H139" s="291" t="n"/>
      <c r="I139" s="291" t="n"/>
    </row>
    <row r="140" ht="13" customHeight="1" s="189">
      <c r="A140" s="289" t="n"/>
      <c r="B140" s="290" t="n"/>
      <c r="C140" s="290" t="n"/>
      <c r="D140" s="290" t="n"/>
      <c r="E140" s="290" t="n"/>
      <c r="F140" s="290" t="n"/>
      <c r="G140" s="291" t="n"/>
      <c r="H140" s="291" t="n"/>
      <c r="I140" s="291" t="n"/>
    </row>
    <row r="141" ht="13" customHeight="1" s="189">
      <c r="A141" s="289" t="n"/>
      <c r="B141" s="290" t="n"/>
      <c r="C141" s="290" t="n"/>
      <c r="D141" s="290" t="n"/>
      <c r="E141" s="290" t="n"/>
      <c r="F141" s="290" t="n"/>
      <c r="G141" s="291" t="n"/>
      <c r="H141" s="291" t="n"/>
      <c r="I141" s="291" t="n"/>
    </row>
    <row r="142" ht="13" customHeight="1" s="189">
      <c r="A142" s="289" t="n"/>
      <c r="B142" s="290" t="n"/>
      <c r="C142" s="290" t="n"/>
      <c r="D142" s="290" t="n"/>
      <c r="E142" s="290" t="n"/>
      <c r="F142" s="290" t="n"/>
      <c r="G142" s="291" t="n"/>
      <c r="H142" s="291" t="n"/>
      <c r="I142" s="291" t="n"/>
    </row>
    <row r="143" ht="13" customHeight="1" s="189">
      <c r="A143" s="289" t="n"/>
      <c r="B143" s="290" t="n"/>
      <c r="C143" s="290" t="n"/>
      <c r="D143" s="290" t="n"/>
      <c r="E143" s="290" t="n"/>
      <c r="F143" s="290" t="n"/>
      <c r="G143" s="291" t="n"/>
      <c r="H143" s="291" t="n"/>
      <c r="I143" s="291" t="n"/>
    </row>
    <row r="144" ht="13" customHeight="1" s="189">
      <c r="A144" s="289" t="n"/>
      <c r="B144" s="290" t="n"/>
      <c r="C144" s="290" t="n"/>
      <c r="D144" s="290" t="n"/>
      <c r="E144" s="290" t="n"/>
      <c r="F144" s="290" t="n"/>
      <c r="G144" s="291" t="n"/>
      <c r="H144" s="291" t="n"/>
      <c r="I144" s="291" t="n"/>
    </row>
    <row r="145" ht="13" customHeight="1" s="189">
      <c r="A145" s="289" t="n"/>
      <c r="B145" s="290" t="n"/>
      <c r="C145" s="290" t="n"/>
      <c r="D145" s="290" t="n"/>
      <c r="E145" s="290" t="n"/>
      <c r="F145" s="290" t="n"/>
      <c r="G145" s="291" t="n"/>
      <c r="H145" s="291" t="n"/>
      <c r="I145" s="291" t="n"/>
    </row>
    <row r="146" ht="13" customHeight="1" s="189">
      <c r="A146" s="289" t="n"/>
      <c r="B146" s="290" t="n"/>
      <c r="C146" s="290" t="n"/>
      <c r="D146" s="290" t="n"/>
      <c r="E146" s="290" t="n"/>
      <c r="F146" s="290" t="n"/>
      <c r="G146" s="291" t="n"/>
      <c r="H146" s="291" t="n"/>
      <c r="I146" s="291" t="n"/>
    </row>
    <row r="147" ht="13" customHeight="1" s="189">
      <c r="A147" s="289" t="n"/>
      <c r="B147" s="290" t="n"/>
      <c r="C147" s="290" t="n"/>
      <c r="D147" s="290" t="n"/>
      <c r="E147" s="290" t="n"/>
      <c r="F147" s="290" t="n"/>
      <c r="G147" s="291" t="n"/>
      <c r="H147" s="291" t="n"/>
      <c r="I147" s="291" t="n"/>
    </row>
    <row r="148" ht="13" customHeight="1" s="189">
      <c r="A148" s="289" t="n"/>
      <c r="B148" s="290" t="n"/>
      <c r="C148" s="290" t="n"/>
      <c r="D148" s="290" t="n"/>
      <c r="E148" s="290" t="n"/>
      <c r="F148" s="290" t="n"/>
      <c r="G148" s="291" t="n"/>
      <c r="H148" s="291" t="n"/>
      <c r="I148" s="291" t="n"/>
    </row>
    <row r="149" ht="13" customHeight="1" s="189">
      <c r="A149" s="289" t="n"/>
      <c r="B149" s="290" t="n"/>
      <c r="C149" s="290" t="n"/>
      <c r="D149" s="290" t="n"/>
      <c r="E149" s="290" t="n"/>
      <c r="F149" s="290" t="n"/>
      <c r="G149" s="291" t="n"/>
      <c r="H149" s="291" t="n"/>
      <c r="I149" s="291" t="n"/>
    </row>
    <row r="150" ht="13" customHeight="1" s="189">
      <c r="A150" s="289" t="n"/>
      <c r="B150" s="290" t="n"/>
      <c r="C150" s="290" t="n"/>
      <c r="D150" s="290" t="n"/>
      <c r="E150" s="290" t="n"/>
      <c r="F150" s="290" t="n"/>
      <c r="G150" s="291" t="n"/>
      <c r="H150" s="291" t="n"/>
      <c r="I150" s="291" t="n"/>
    </row>
    <row r="151" ht="13" customHeight="1" s="189">
      <c r="A151" s="289" t="n"/>
      <c r="B151" s="290" t="n"/>
      <c r="C151" s="290" t="n"/>
      <c r="D151" s="290" t="n"/>
      <c r="E151" s="290" t="n"/>
      <c r="F151" s="290" t="n"/>
      <c r="G151" s="291" t="n"/>
      <c r="H151" s="291" t="n"/>
      <c r="I151" s="291" t="n"/>
    </row>
    <row r="152" ht="13" customHeight="1" s="189">
      <c r="A152" s="289" t="n"/>
      <c r="B152" s="290" t="n"/>
      <c r="C152" s="290" t="n"/>
      <c r="D152" s="290" t="n"/>
      <c r="E152" s="290" t="n"/>
      <c r="F152" s="290" t="n"/>
      <c r="G152" s="291" t="n"/>
      <c r="H152" s="291" t="n"/>
      <c r="I152" s="291" t="n"/>
    </row>
    <row r="153" ht="13" customHeight="1" s="189">
      <c r="A153" s="289" t="n"/>
      <c r="B153" s="290" t="n"/>
      <c r="C153" s="290" t="n"/>
      <c r="D153" s="290" t="n"/>
      <c r="E153" s="290" t="n"/>
      <c r="F153" s="290" t="n"/>
      <c r="G153" s="291" t="n"/>
      <c r="H153" s="291" t="n"/>
      <c r="I153" s="291" t="n"/>
    </row>
    <row r="154" ht="13" customHeight="1" s="189">
      <c r="A154" s="289" t="n"/>
      <c r="B154" s="290" t="n"/>
      <c r="C154" s="290" t="n"/>
      <c r="D154" s="290" t="n"/>
      <c r="E154" s="290" t="n"/>
      <c r="F154" s="290" t="n"/>
      <c r="G154" s="291" t="n"/>
      <c r="H154" s="291" t="n"/>
      <c r="I154" s="291" t="n"/>
    </row>
    <row r="155" ht="13" customHeight="1" s="189">
      <c r="A155" s="289" t="n"/>
      <c r="B155" s="290" t="n"/>
      <c r="C155" s="290" t="n"/>
      <c r="D155" s="290" t="n"/>
      <c r="E155" s="290" t="n"/>
      <c r="F155" s="290" t="n"/>
      <c r="G155" s="291" t="n"/>
      <c r="H155" s="291" t="n"/>
      <c r="I155" s="291" t="n"/>
    </row>
    <row r="156" ht="13" customHeight="1" s="189">
      <c r="A156" s="289" t="n"/>
      <c r="B156" s="290" t="n"/>
      <c r="C156" s="290" t="n"/>
      <c r="D156" s="290" t="n"/>
      <c r="E156" s="290" t="n"/>
      <c r="F156" s="290" t="n"/>
      <c r="G156" s="291" t="n"/>
      <c r="H156" s="291" t="n"/>
      <c r="I156" s="291" t="n"/>
    </row>
    <row r="157" ht="13" customHeight="1" s="189">
      <c r="A157" s="289" t="n"/>
      <c r="B157" s="290" t="n"/>
      <c r="C157" s="290" t="n"/>
      <c r="D157" s="290" t="n"/>
      <c r="E157" s="290" t="n"/>
      <c r="F157" s="290" t="n"/>
      <c r="G157" s="291" t="n"/>
      <c r="H157" s="291" t="n"/>
      <c r="I157" s="291" t="n"/>
    </row>
    <row r="158" ht="13" customHeight="1" s="189">
      <c r="A158" s="289" t="n"/>
      <c r="B158" s="290" t="n"/>
      <c r="C158" s="290" t="n"/>
      <c r="D158" s="290" t="n"/>
      <c r="E158" s="290" t="n"/>
      <c r="F158" s="290" t="n"/>
      <c r="G158" s="291" t="n"/>
      <c r="H158" s="291" t="n"/>
      <c r="I158" s="291" t="n"/>
    </row>
    <row r="159" ht="13" customHeight="1" s="189">
      <c r="A159" s="289" t="n"/>
      <c r="B159" s="290" t="n"/>
      <c r="C159" s="290" t="n"/>
      <c r="D159" s="290" t="n"/>
      <c r="E159" s="290" t="n"/>
      <c r="F159" s="290" t="n"/>
      <c r="G159" s="291" t="n"/>
      <c r="H159" s="291" t="n"/>
      <c r="I159" s="291" t="n"/>
    </row>
    <row r="160" ht="13" customHeight="1" s="189">
      <c r="A160" s="289" t="n"/>
      <c r="B160" s="290" t="n"/>
      <c r="C160" s="290" t="n"/>
      <c r="D160" s="290" t="n"/>
      <c r="E160" s="290" t="n"/>
      <c r="F160" s="290" t="n"/>
      <c r="G160" s="291" t="n"/>
      <c r="H160" s="291" t="n"/>
      <c r="I160" s="291" t="n"/>
    </row>
    <row r="161" ht="13" customHeight="1" s="189">
      <c r="A161" s="289" t="n"/>
      <c r="B161" s="290" t="n"/>
      <c r="C161" s="290" t="n"/>
      <c r="D161" s="290" t="n"/>
      <c r="E161" s="290" t="n"/>
      <c r="F161" s="290" t="n"/>
      <c r="G161" s="291" t="n"/>
      <c r="H161" s="291" t="n"/>
      <c r="I161" s="291" t="n"/>
    </row>
    <row r="162" ht="13" customHeight="1" s="189">
      <c r="A162" s="289" t="n"/>
      <c r="B162" s="290" t="n"/>
      <c r="C162" s="290" t="n"/>
      <c r="D162" s="290" t="n"/>
      <c r="E162" s="290" t="n"/>
      <c r="F162" s="290" t="n"/>
      <c r="G162" s="291" t="n"/>
      <c r="H162" s="291" t="n"/>
      <c r="I162" s="291" t="n"/>
    </row>
    <row r="163" ht="13" customHeight="1" s="189">
      <c r="A163" s="289" t="n"/>
      <c r="B163" s="290" t="n"/>
      <c r="C163" s="290" t="n"/>
      <c r="D163" s="290" t="n"/>
      <c r="E163" s="290" t="n"/>
      <c r="F163" s="290" t="n"/>
      <c r="G163" s="291" t="n"/>
      <c r="H163" s="291" t="n"/>
      <c r="I163" s="291" t="n"/>
    </row>
    <row r="164" ht="13" customHeight="1" s="189">
      <c r="A164" s="289" t="n"/>
      <c r="B164" s="290" t="n"/>
      <c r="C164" s="290" t="n"/>
      <c r="D164" s="290" t="n"/>
      <c r="E164" s="290" t="n"/>
      <c r="F164" s="290" t="n"/>
      <c r="G164" s="291" t="n"/>
      <c r="H164" s="291" t="n"/>
      <c r="I164" s="291" t="n"/>
    </row>
    <row r="165" ht="13" customHeight="1" s="189">
      <c r="A165" s="289" t="n"/>
      <c r="B165" s="290" t="n"/>
      <c r="C165" s="290" t="n"/>
      <c r="D165" s="290" t="n"/>
      <c r="E165" s="290" t="n"/>
      <c r="F165" s="290" t="n"/>
      <c r="G165" s="291" t="n"/>
      <c r="H165" s="291" t="n"/>
      <c r="I165" s="291" t="n"/>
    </row>
    <row r="166" ht="13" customHeight="1" s="189">
      <c r="A166" s="289" t="n"/>
      <c r="B166" s="290" t="n"/>
      <c r="C166" s="290" t="n"/>
      <c r="D166" s="290" t="n"/>
      <c r="E166" s="290" t="n"/>
      <c r="F166" s="290" t="n"/>
      <c r="G166" s="291" t="n"/>
      <c r="H166" s="291" t="n"/>
      <c r="I166" s="291" t="n"/>
    </row>
    <row r="167" ht="13" customHeight="1" s="189">
      <c r="A167" s="289" t="n"/>
      <c r="B167" s="290" t="n"/>
      <c r="C167" s="290" t="n"/>
      <c r="D167" s="290" t="n"/>
      <c r="E167" s="290" t="n"/>
      <c r="F167" s="290" t="n"/>
      <c r="G167" s="291" t="n"/>
      <c r="H167" s="291" t="n"/>
      <c r="I167" s="291" t="n"/>
    </row>
    <row r="168" ht="13" customHeight="1" s="189">
      <c r="A168" s="289" t="n"/>
      <c r="B168" s="290" t="n"/>
      <c r="C168" s="290" t="n"/>
      <c r="D168" s="290" t="n"/>
      <c r="E168" s="290" t="n"/>
      <c r="F168" s="290" t="n"/>
      <c r="G168" s="291" t="n"/>
      <c r="H168" s="291" t="n"/>
      <c r="I168" s="291" t="n"/>
    </row>
    <row r="169" ht="13" customHeight="1" s="189">
      <c r="A169" s="289" t="n"/>
      <c r="B169" s="290" t="n"/>
      <c r="C169" s="290" t="n"/>
      <c r="D169" s="290" t="n"/>
      <c r="E169" s="290" t="n"/>
      <c r="F169" s="290" t="n"/>
      <c r="G169" s="291" t="n"/>
      <c r="H169" s="291" t="n"/>
      <c r="I169" s="291" t="n"/>
    </row>
    <row r="170" ht="13" customHeight="1" s="189">
      <c r="A170" s="289" t="n"/>
      <c r="B170" s="290" t="n"/>
      <c r="C170" s="290" t="n"/>
      <c r="D170" s="290" t="n"/>
      <c r="E170" s="290" t="n"/>
      <c r="F170" s="290" t="n"/>
      <c r="G170" s="291" t="n"/>
      <c r="H170" s="291" t="n"/>
      <c r="I170" s="291" t="n"/>
    </row>
    <row r="171" ht="13" customHeight="1" s="189">
      <c r="A171" s="289" t="n"/>
      <c r="B171" s="290" t="n"/>
      <c r="C171" s="290" t="n"/>
      <c r="D171" s="290" t="n"/>
      <c r="E171" s="290" t="n"/>
      <c r="F171" s="290" t="n"/>
      <c r="G171" s="291" t="n"/>
      <c r="H171" s="291" t="n"/>
      <c r="I171" s="291" t="n"/>
    </row>
    <row r="172" ht="13" customHeight="1" s="189">
      <c r="A172" s="289" t="n"/>
      <c r="B172" s="290" t="n"/>
      <c r="C172" s="290" t="n"/>
      <c r="D172" s="290" t="n"/>
      <c r="E172" s="290" t="n"/>
      <c r="F172" s="290" t="n"/>
      <c r="G172" s="291" t="n"/>
      <c r="H172" s="291" t="n"/>
      <c r="I172" s="291" t="n"/>
    </row>
    <row r="173" ht="13" customHeight="1" s="189">
      <c r="A173" s="289" t="n"/>
      <c r="B173" s="290" t="n"/>
      <c r="C173" s="290" t="n"/>
      <c r="D173" s="290" t="n"/>
      <c r="E173" s="290" t="n"/>
      <c r="F173" s="290" t="n"/>
      <c r="G173" s="291" t="n"/>
      <c r="H173" s="291" t="n"/>
      <c r="I173" s="291" t="n"/>
    </row>
    <row r="174" ht="13" customHeight="1" s="189">
      <c r="A174" s="289" t="n"/>
      <c r="B174" s="290" t="n"/>
      <c r="C174" s="290" t="n"/>
      <c r="D174" s="290" t="n"/>
      <c r="E174" s="290" t="n"/>
      <c r="F174" s="290" t="n"/>
      <c r="G174" s="291" t="n"/>
      <c r="H174" s="291" t="n"/>
      <c r="I174" s="291" t="n"/>
    </row>
    <row r="175" ht="13" customHeight="1" s="189">
      <c r="A175" s="289" t="n"/>
      <c r="B175" s="290" t="n"/>
      <c r="C175" s="290" t="n"/>
      <c r="D175" s="290" t="n"/>
      <c r="E175" s="290" t="n"/>
      <c r="F175" s="290" t="n"/>
      <c r="G175" s="291" t="n"/>
      <c r="H175" s="291" t="n"/>
      <c r="I175" s="291" t="n"/>
    </row>
    <row r="176" ht="13" customHeight="1" s="189">
      <c r="A176" s="289" t="n"/>
      <c r="B176" s="290" t="n"/>
      <c r="C176" s="290" t="n"/>
      <c r="D176" s="290" t="n"/>
      <c r="E176" s="290" t="n"/>
      <c r="F176" s="290" t="n"/>
      <c r="G176" s="291" t="n"/>
      <c r="H176" s="291" t="n"/>
      <c r="I176" s="291" t="n"/>
    </row>
    <row r="177" ht="13" customHeight="1" s="189">
      <c r="A177" s="289" t="n"/>
      <c r="B177" s="290" t="n"/>
      <c r="C177" s="290" t="n"/>
      <c r="D177" s="290" t="n"/>
      <c r="E177" s="290" t="n"/>
      <c r="F177" s="290" t="n"/>
      <c r="G177" s="291" t="n"/>
      <c r="H177" s="291" t="n"/>
      <c r="I177" s="291" t="n"/>
    </row>
    <row r="178" ht="13" customHeight="1" s="189">
      <c r="A178" s="289" t="n"/>
      <c r="B178" s="290" t="n"/>
      <c r="C178" s="290" t="n"/>
      <c r="D178" s="290" t="n"/>
      <c r="E178" s="290" t="n"/>
      <c r="F178" s="290" t="n"/>
      <c r="G178" s="291" t="n"/>
      <c r="H178" s="291" t="n"/>
      <c r="I178" s="291" t="n"/>
    </row>
    <row r="179" ht="13" customHeight="1" s="189">
      <c r="A179" s="289" t="n"/>
      <c r="B179" s="290" t="n"/>
      <c r="C179" s="290" t="n"/>
      <c r="D179" s="290" t="n"/>
      <c r="E179" s="290" t="n"/>
      <c r="F179" s="290" t="n"/>
      <c r="G179" s="291" t="n"/>
      <c r="H179" s="291" t="n"/>
      <c r="I179" s="291" t="n"/>
    </row>
    <row r="180" ht="13" customHeight="1" s="189">
      <c r="A180" s="289" t="n"/>
      <c r="B180" s="290" t="n"/>
      <c r="C180" s="290" t="n"/>
      <c r="D180" s="290" t="n"/>
      <c r="E180" s="290" t="n"/>
      <c r="F180" s="290" t="n"/>
      <c r="G180" s="291" t="n"/>
      <c r="H180" s="291" t="n"/>
      <c r="I180" s="291" t="n"/>
    </row>
    <row r="181" ht="13" customHeight="1" s="189">
      <c r="A181" s="289" t="n"/>
      <c r="B181" s="290" t="n"/>
      <c r="C181" s="290" t="n"/>
      <c r="D181" s="290" t="n"/>
      <c r="E181" s="290" t="n"/>
      <c r="F181" s="290" t="n"/>
      <c r="G181" s="291" t="n"/>
      <c r="H181" s="291" t="n"/>
      <c r="I181" s="291" t="n"/>
    </row>
    <row r="182" ht="13" customHeight="1" s="189">
      <c r="A182" s="289" t="n"/>
      <c r="B182" s="290" t="n"/>
      <c r="C182" s="290" t="n"/>
      <c r="D182" s="290" t="n"/>
      <c r="E182" s="290" t="n"/>
      <c r="F182" s="290" t="n"/>
      <c r="G182" s="291" t="n"/>
      <c r="H182" s="291" t="n"/>
      <c r="I182" s="291" t="n"/>
    </row>
    <row r="183" ht="13" customHeight="1" s="189">
      <c r="A183" s="289" t="n"/>
      <c r="B183" s="290" t="n"/>
      <c r="C183" s="290" t="n"/>
      <c r="D183" s="290" t="n"/>
      <c r="E183" s="290" t="n"/>
      <c r="F183" s="290" t="n"/>
      <c r="G183" s="291" t="n"/>
      <c r="H183" s="291" t="n"/>
      <c r="I183" s="291" t="n"/>
    </row>
    <row r="184" ht="13" customHeight="1" s="189">
      <c r="A184" s="289" t="n"/>
      <c r="B184" s="290" t="n"/>
      <c r="C184" s="290" t="n"/>
      <c r="D184" s="290" t="n"/>
      <c r="E184" s="290" t="n"/>
      <c r="F184" s="290" t="n"/>
      <c r="G184" s="291" t="n"/>
      <c r="H184" s="291" t="n"/>
      <c r="I184" s="291" t="n"/>
    </row>
    <row r="185" ht="13" customHeight="1" s="189">
      <c r="A185" s="289" t="n"/>
      <c r="B185" s="290" t="n"/>
      <c r="C185" s="290" t="n"/>
      <c r="D185" s="290" t="n"/>
      <c r="E185" s="290" t="n"/>
      <c r="F185" s="290" t="n"/>
      <c r="G185" s="291" t="n"/>
      <c r="H185" s="291" t="n"/>
      <c r="I185" s="291" t="n"/>
    </row>
    <row r="186" ht="13" customHeight="1" s="189">
      <c r="A186" s="289" t="n"/>
      <c r="B186" s="290" t="n"/>
      <c r="C186" s="290" t="n"/>
      <c r="D186" s="290" t="n"/>
      <c r="E186" s="290" t="n"/>
      <c r="F186" s="290" t="n"/>
      <c r="G186" s="291" t="n"/>
      <c r="H186" s="291" t="n"/>
      <c r="I186" s="291" t="n"/>
    </row>
    <row r="187" ht="13" customHeight="1" s="189">
      <c r="A187" s="289" t="n"/>
      <c r="B187" s="290" t="n"/>
      <c r="C187" s="290" t="n"/>
      <c r="D187" s="290" t="n"/>
      <c r="E187" s="290" t="n"/>
      <c r="F187" s="290" t="n"/>
      <c r="G187" s="291" t="n"/>
      <c r="H187" s="291" t="n"/>
      <c r="I187" s="291" t="n"/>
    </row>
    <row r="188" ht="13" customHeight="1" s="189">
      <c r="A188" s="289" t="n"/>
      <c r="B188" s="290" t="n"/>
      <c r="C188" s="290" t="n"/>
      <c r="D188" s="290" t="n"/>
      <c r="E188" s="290" t="n"/>
      <c r="F188" s="290" t="n"/>
      <c r="G188" s="291" t="n"/>
      <c r="H188" s="291" t="n"/>
      <c r="I188" s="291" t="n"/>
    </row>
    <row r="189" ht="13" customHeight="1" s="189">
      <c r="A189" s="289" t="n"/>
      <c r="B189" s="290" t="n"/>
      <c r="C189" s="290" t="n"/>
      <c r="D189" s="290" t="n"/>
      <c r="E189" s="290" t="n"/>
      <c r="F189" s="290" t="n"/>
      <c r="G189" s="291" t="n"/>
      <c r="H189" s="291" t="n"/>
      <c r="I189" s="291" t="n"/>
    </row>
    <row r="190" ht="13" customHeight="1" s="189">
      <c r="A190" s="289" t="n"/>
      <c r="B190" s="290" t="n"/>
      <c r="C190" s="290" t="n"/>
      <c r="D190" s="290" t="n"/>
      <c r="E190" s="290" t="n"/>
      <c r="F190" s="290" t="n"/>
      <c r="G190" s="291" t="n"/>
      <c r="H190" s="291" t="n"/>
      <c r="I190" s="291" t="n"/>
    </row>
    <row r="191" ht="13" customHeight="1" s="189">
      <c r="A191" s="289" t="n"/>
      <c r="B191" s="290" t="n"/>
      <c r="C191" s="290" t="n"/>
      <c r="D191" s="290" t="n"/>
      <c r="E191" s="290" t="n"/>
      <c r="F191" s="290" t="n"/>
      <c r="G191" s="291" t="n"/>
      <c r="H191" s="291" t="n"/>
      <c r="I191" s="291" t="n"/>
    </row>
    <row r="192" ht="13" customHeight="1" s="189">
      <c r="A192" s="289" t="n"/>
      <c r="B192" s="290" t="n"/>
      <c r="C192" s="290" t="n"/>
      <c r="D192" s="290" t="n"/>
      <c r="E192" s="290" t="n"/>
      <c r="F192" s="290" t="n"/>
      <c r="G192" s="291" t="n"/>
      <c r="H192" s="291" t="n"/>
      <c r="I192" s="291" t="n"/>
    </row>
    <row r="193" ht="13" customHeight="1" s="189">
      <c r="A193" s="289" t="n"/>
      <c r="B193" s="290" t="n"/>
      <c r="C193" s="290" t="n"/>
      <c r="D193" s="290" t="n"/>
      <c r="E193" s="290" t="n"/>
      <c r="F193" s="290" t="n"/>
      <c r="G193" s="291" t="n"/>
      <c r="H193" s="291" t="n"/>
      <c r="I193" s="291" t="n"/>
    </row>
    <row r="194" ht="13" customHeight="1" s="189">
      <c r="A194" s="289" t="n"/>
      <c r="B194" s="290" t="n"/>
      <c r="C194" s="290" t="n"/>
      <c r="D194" s="290" t="n"/>
      <c r="E194" s="290" t="n"/>
      <c r="F194" s="290" t="n"/>
      <c r="G194" s="291" t="n"/>
      <c r="H194" s="291" t="n"/>
      <c r="I194" s="291" t="n"/>
    </row>
    <row r="195" ht="13" customHeight="1" s="189">
      <c r="A195" s="289" t="n"/>
      <c r="B195" s="290" t="n"/>
      <c r="C195" s="290" t="n"/>
      <c r="D195" s="290" t="n"/>
      <c r="E195" s="290" t="n"/>
      <c r="F195" s="290" t="n"/>
      <c r="G195" s="291" t="n"/>
      <c r="H195" s="291" t="n"/>
      <c r="I195" s="291" t="n"/>
    </row>
    <row r="196" ht="13" customHeight="1" s="189">
      <c r="A196" s="289" t="n"/>
      <c r="B196" s="290" t="n"/>
      <c r="C196" s="290" t="n"/>
      <c r="D196" s="290" t="n"/>
      <c r="E196" s="290" t="n"/>
      <c r="F196" s="290" t="n"/>
      <c r="G196" s="291" t="n"/>
      <c r="H196" s="291" t="n"/>
      <c r="I196" s="291" t="n"/>
    </row>
    <row r="197" ht="13" customHeight="1" s="189">
      <c r="A197" s="289" t="n"/>
      <c r="B197" s="290" t="n"/>
      <c r="C197" s="290" t="n"/>
      <c r="D197" s="290" t="n"/>
      <c r="E197" s="290" t="n"/>
      <c r="F197" s="290" t="n"/>
      <c r="G197" s="291" t="n"/>
      <c r="H197" s="291" t="n"/>
      <c r="I197" s="291" t="n"/>
    </row>
    <row r="198" ht="13" customHeight="1" s="189">
      <c r="A198" s="289" t="n"/>
      <c r="B198" s="290" t="n"/>
      <c r="C198" s="290" t="n"/>
      <c r="D198" s="290" t="n"/>
      <c r="E198" s="290" t="n"/>
      <c r="F198" s="290" t="n"/>
      <c r="G198" s="291" t="n"/>
      <c r="H198" s="291" t="n"/>
      <c r="I198" s="291" t="n"/>
    </row>
    <row r="199" ht="13" customHeight="1" s="189">
      <c r="A199" s="289" t="n"/>
      <c r="B199" s="290" t="n"/>
      <c r="C199" s="290" t="n"/>
      <c r="D199" s="290" t="n"/>
      <c r="E199" s="290" t="n"/>
      <c r="F199" s="290" t="n"/>
      <c r="G199" s="291" t="n"/>
      <c r="H199" s="291" t="n"/>
      <c r="I199" s="291" t="n"/>
    </row>
    <row r="200" ht="13" customHeight="1" s="189">
      <c r="A200" s="289" t="n"/>
      <c r="B200" s="290" t="n"/>
      <c r="C200" s="290" t="n"/>
      <c r="D200" s="290" t="n"/>
      <c r="E200" s="290" t="n"/>
      <c r="F200" s="290" t="n"/>
      <c r="G200" s="291" t="n"/>
      <c r="H200" s="291" t="n"/>
      <c r="I200" s="291" t="n"/>
    </row>
    <row r="201" ht="13" customHeight="1" s="189">
      <c r="A201" s="289" t="n"/>
      <c r="B201" s="290" t="n"/>
      <c r="C201" s="290" t="n"/>
      <c r="D201" s="290" t="n"/>
      <c r="E201" s="290" t="n"/>
      <c r="F201" s="290" t="n"/>
      <c r="G201" s="291" t="n"/>
      <c r="H201" s="291" t="n"/>
      <c r="I201" s="291" t="n"/>
    </row>
    <row r="202" ht="13" customHeight="1" s="189">
      <c r="A202" s="289" t="n"/>
      <c r="B202" s="290" t="n"/>
      <c r="C202" s="290" t="n"/>
      <c r="D202" s="290" t="n"/>
      <c r="E202" s="290" t="n"/>
      <c r="F202" s="290" t="n"/>
      <c r="G202" s="291" t="n"/>
      <c r="H202" s="291" t="n"/>
      <c r="I202" s="291" t="n"/>
    </row>
    <row r="203" ht="13" customHeight="1" s="189">
      <c r="A203" s="289" t="n"/>
      <c r="B203" s="290" t="n"/>
      <c r="C203" s="290" t="n"/>
      <c r="D203" s="290" t="n"/>
      <c r="E203" s="290" t="n"/>
      <c r="F203" s="290" t="n"/>
      <c r="G203" s="291" t="n"/>
      <c r="H203" s="291" t="n"/>
      <c r="I203" s="291" t="n"/>
    </row>
    <row r="204" ht="13" customHeight="1" s="189">
      <c r="A204" s="289" t="n"/>
      <c r="B204" s="290" t="n"/>
      <c r="C204" s="290" t="n"/>
      <c r="D204" s="290" t="n"/>
      <c r="E204" s="290" t="n"/>
      <c r="F204" s="290" t="n"/>
      <c r="G204" s="291" t="n"/>
      <c r="H204" s="291" t="n"/>
      <c r="I204" s="291" t="n"/>
    </row>
    <row r="205" ht="13" customHeight="1" s="189">
      <c r="A205" s="289" t="n"/>
      <c r="B205" s="290" t="n"/>
      <c r="C205" s="290" t="n"/>
      <c r="D205" s="290" t="n"/>
      <c r="E205" s="290" t="n"/>
      <c r="F205" s="290" t="n"/>
      <c r="G205" s="291" t="n"/>
      <c r="H205" s="291" t="n"/>
      <c r="I205" s="291" t="n"/>
    </row>
    <row r="206" ht="13" customHeight="1" s="189">
      <c r="A206" s="289" t="n"/>
      <c r="B206" s="290" t="n"/>
      <c r="C206" s="290" t="n"/>
      <c r="D206" s="290" t="n"/>
      <c r="E206" s="290" t="n"/>
      <c r="F206" s="290" t="n"/>
      <c r="G206" s="291" t="n"/>
      <c r="H206" s="291" t="n"/>
      <c r="I206" s="291" t="n"/>
    </row>
    <row r="207" ht="13" customHeight="1" s="189">
      <c r="A207" s="289" t="n"/>
      <c r="B207" s="290" t="n"/>
      <c r="C207" s="290" t="n"/>
      <c r="D207" s="290" t="n"/>
      <c r="E207" s="290" t="n"/>
      <c r="F207" s="290" t="n"/>
      <c r="G207" s="291" t="n"/>
      <c r="H207" s="291" t="n"/>
      <c r="I207" s="291" t="n"/>
    </row>
    <row r="208" ht="13" customHeight="1" s="189">
      <c r="A208" s="289" t="n"/>
      <c r="B208" s="290" t="n"/>
      <c r="C208" s="290" t="n"/>
      <c r="D208" s="290" t="n"/>
      <c r="E208" s="290" t="n"/>
      <c r="F208" s="290" t="n"/>
      <c r="G208" s="291" t="n"/>
      <c r="H208" s="291" t="n"/>
      <c r="I208" s="291" t="n"/>
    </row>
    <row r="209" ht="13" customHeight="1" s="189">
      <c r="A209" s="289" t="n"/>
      <c r="B209" s="290" t="n"/>
      <c r="C209" s="290" t="n"/>
      <c r="D209" s="290" t="n"/>
      <c r="E209" s="290" t="n"/>
      <c r="F209" s="290" t="n"/>
      <c r="G209" s="291" t="n"/>
      <c r="H209" s="291" t="n"/>
      <c r="I209" s="291" t="n"/>
    </row>
    <row r="210" ht="13" customHeight="1" s="189">
      <c r="A210" s="289" t="n"/>
      <c r="B210" s="290" t="n"/>
      <c r="C210" s="290" t="n"/>
      <c r="D210" s="290" t="n"/>
      <c r="E210" s="290" t="n"/>
      <c r="F210" s="290" t="n"/>
      <c r="G210" s="291" t="n"/>
      <c r="H210" s="291" t="n"/>
      <c r="I210" s="291" t="n"/>
    </row>
    <row r="211" ht="13" customHeight="1" s="189">
      <c r="A211" s="289" t="n"/>
      <c r="B211" s="290" t="n"/>
      <c r="C211" s="290" t="n"/>
      <c r="D211" s="290" t="n"/>
      <c r="E211" s="290" t="n"/>
      <c r="F211" s="290" t="n"/>
      <c r="G211" s="291" t="n"/>
      <c r="H211" s="291" t="n"/>
      <c r="I211" s="291" t="n"/>
    </row>
    <row r="212" ht="13" customHeight="1" s="189">
      <c r="A212" s="289" t="n"/>
      <c r="B212" s="290" t="n"/>
      <c r="C212" s="290" t="n"/>
      <c r="D212" s="290" t="n"/>
      <c r="E212" s="290" t="n"/>
      <c r="F212" s="290" t="n"/>
      <c r="G212" s="291" t="n"/>
      <c r="H212" s="291" t="n"/>
      <c r="I212" s="291" t="n"/>
    </row>
    <row r="213" ht="13" customHeight="1" s="189">
      <c r="A213" s="289" t="n"/>
      <c r="B213" s="290" t="n"/>
      <c r="C213" s="290" t="n"/>
      <c r="D213" s="290" t="n"/>
      <c r="E213" s="290" t="n"/>
      <c r="F213" s="290" t="n"/>
      <c r="G213" s="291" t="n"/>
      <c r="H213" s="291" t="n"/>
      <c r="I213" s="291" t="n"/>
    </row>
    <row r="214" ht="13" customHeight="1" s="189">
      <c r="A214" s="289" t="n"/>
      <c r="B214" s="290" t="n"/>
      <c r="C214" s="290" t="n"/>
      <c r="D214" s="290" t="n"/>
      <c r="E214" s="290" t="n"/>
      <c r="F214" s="290" t="n"/>
      <c r="G214" s="291" t="n"/>
      <c r="H214" s="291" t="n"/>
      <c r="I214" s="291" t="n"/>
    </row>
    <row r="215" ht="13" customHeight="1" s="189">
      <c r="A215" s="289" t="n"/>
      <c r="B215" s="290" t="n"/>
      <c r="C215" s="290" t="n"/>
      <c r="D215" s="290" t="n"/>
      <c r="E215" s="290" t="n"/>
      <c r="F215" s="290" t="n"/>
      <c r="G215" s="291" t="n"/>
      <c r="H215" s="291" t="n"/>
      <c r="I215" s="291" t="n"/>
    </row>
    <row r="216" ht="13" customHeight="1" s="189">
      <c r="A216" s="289" t="n"/>
      <c r="B216" s="290" t="n"/>
      <c r="C216" s="290" t="n"/>
      <c r="D216" s="290" t="n"/>
      <c r="E216" s="290" t="n"/>
      <c r="F216" s="290" t="n"/>
      <c r="G216" s="291" t="n"/>
      <c r="H216" s="291" t="n"/>
      <c r="I216" s="291" t="n"/>
    </row>
    <row r="217" ht="13" customHeight="1" s="189">
      <c r="A217" s="289" t="n"/>
      <c r="B217" s="290" t="n"/>
      <c r="C217" s="290" t="n"/>
      <c r="D217" s="290" t="n"/>
      <c r="E217" s="290" t="n"/>
      <c r="F217" s="290" t="n"/>
      <c r="G217" s="291" t="n"/>
      <c r="H217" s="291" t="n"/>
      <c r="I217" s="291" t="n"/>
    </row>
    <row r="218" ht="13" customHeight="1" s="189">
      <c r="A218" s="289" t="n"/>
      <c r="B218" s="290" t="n"/>
      <c r="C218" s="290" t="n"/>
      <c r="D218" s="290" t="n"/>
      <c r="E218" s="290" t="n"/>
      <c r="F218" s="290" t="n"/>
      <c r="G218" s="291" t="n"/>
      <c r="H218" s="291" t="n"/>
      <c r="I218" s="291" t="n"/>
    </row>
    <row r="219" ht="13" customHeight="1" s="189">
      <c r="A219" s="289" t="n"/>
      <c r="B219" s="290" t="n"/>
      <c r="C219" s="290" t="n"/>
      <c r="D219" s="290" t="n"/>
      <c r="E219" s="290" t="n"/>
      <c r="F219" s="290" t="n"/>
      <c r="G219" s="291" t="n"/>
      <c r="H219" s="291" t="n"/>
      <c r="I219" s="291" t="n"/>
    </row>
    <row r="220" ht="13" customHeight="1" s="189">
      <c r="A220" s="289" t="n"/>
      <c r="B220" s="290" t="n"/>
      <c r="C220" s="290" t="n"/>
      <c r="D220" s="290" t="n"/>
      <c r="E220" s="290" t="n"/>
      <c r="F220" s="290" t="n"/>
      <c r="G220" s="291" t="n"/>
      <c r="H220" s="291" t="n"/>
      <c r="I220" s="291" t="n"/>
    </row>
    <row r="221" ht="13" customHeight="1" s="189">
      <c r="A221" s="289" t="n"/>
      <c r="B221" s="290" t="n"/>
      <c r="C221" s="290" t="n"/>
      <c r="D221" s="290" t="n"/>
      <c r="E221" s="290" t="n"/>
      <c r="F221" s="290" t="n"/>
      <c r="G221" s="291" t="n"/>
      <c r="H221" s="291" t="n"/>
      <c r="I221" s="291" t="n"/>
    </row>
    <row r="222" ht="13" customHeight="1" s="189">
      <c r="A222" s="289" t="n"/>
      <c r="B222" s="290" t="n"/>
      <c r="C222" s="290" t="n"/>
      <c r="D222" s="290" t="n"/>
      <c r="E222" s="290" t="n"/>
      <c r="F222" s="290" t="n"/>
      <c r="G222" s="291" t="n"/>
      <c r="H222" s="291" t="n"/>
      <c r="I222" s="291" t="n"/>
    </row>
    <row r="223" ht="13" customHeight="1" s="189">
      <c r="A223" s="289" t="n"/>
      <c r="B223" s="290" t="n"/>
      <c r="C223" s="290" t="n"/>
      <c r="D223" s="290" t="n"/>
      <c r="E223" s="290" t="n"/>
      <c r="F223" s="290" t="n"/>
      <c r="G223" s="291" t="n"/>
      <c r="H223" s="291" t="n"/>
      <c r="I223" s="291" t="n"/>
    </row>
    <row r="224" ht="13" customHeight="1" s="189">
      <c r="A224" s="289" t="n"/>
      <c r="B224" s="290" t="n"/>
      <c r="C224" s="290" t="n"/>
      <c r="D224" s="290" t="n"/>
      <c r="E224" s="290" t="n"/>
      <c r="F224" s="290" t="n"/>
      <c r="G224" s="291" t="n"/>
      <c r="H224" s="291" t="n"/>
      <c r="I224" s="291" t="n"/>
    </row>
    <row r="225" ht="13" customHeight="1" s="189">
      <c r="A225" s="289" t="n"/>
      <c r="B225" s="290" t="n"/>
      <c r="C225" s="290" t="n"/>
      <c r="D225" s="290" t="n"/>
      <c r="E225" s="290" t="n"/>
      <c r="F225" s="290" t="n"/>
      <c r="G225" s="291" t="n"/>
      <c r="H225" s="291" t="n"/>
      <c r="I225" s="291" t="n"/>
    </row>
    <row r="226" ht="13" customHeight="1" s="189">
      <c r="A226" s="289" t="n"/>
      <c r="B226" s="290" t="n"/>
      <c r="C226" s="290" t="n"/>
      <c r="D226" s="290" t="n"/>
      <c r="E226" s="290" t="n"/>
      <c r="F226" s="290" t="n"/>
      <c r="G226" s="291" t="n"/>
      <c r="H226" s="291" t="n"/>
      <c r="I226" s="291" t="n"/>
    </row>
    <row r="227" ht="13" customHeight="1" s="189">
      <c r="A227" s="289" t="n"/>
      <c r="B227" s="290" t="n"/>
      <c r="C227" s="290" t="n"/>
      <c r="D227" s="290" t="n"/>
      <c r="E227" s="290" t="n"/>
      <c r="F227" s="290" t="n"/>
      <c r="G227" s="291" t="n"/>
      <c r="H227" s="291" t="n"/>
      <c r="I227" s="291" t="n"/>
    </row>
    <row r="228" ht="13" customHeight="1" s="189">
      <c r="A228" s="289" t="n"/>
      <c r="B228" s="290" t="n"/>
      <c r="C228" s="290" t="n"/>
      <c r="D228" s="290" t="n"/>
      <c r="E228" s="290" t="n"/>
      <c r="F228" s="290" t="n"/>
      <c r="G228" s="291" t="n"/>
      <c r="H228" s="291" t="n"/>
      <c r="I228" s="291" t="n"/>
    </row>
    <row r="229" ht="13" customHeight="1" s="189">
      <c r="A229" s="289" t="n"/>
      <c r="B229" s="290" t="n"/>
      <c r="C229" s="290" t="n"/>
      <c r="D229" s="290" t="n"/>
      <c r="E229" s="290" t="n"/>
      <c r="F229" s="290" t="n"/>
      <c r="G229" s="291" t="n"/>
      <c r="H229" s="291" t="n"/>
      <c r="I229" s="291" t="n"/>
    </row>
    <row r="230" ht="13" customHeight="1" s="189">
      <c r="A230" s="289" t="n"/>
      <c r="B230" s="290" t="n"/>
      <c r="C230" s="290" t="n"/>
      <c r="D230" s="290" t="n"/>
      <c r="E230" s="290" t="n"/>
      <c r="F230" s="290" t="n"/>
      <c r="G230" s="291" t="n"/>
      <c r="H230" s="291" t="n"/>
      <c r="I230" s="291" t="n"/>
    </row>
    <row r="231" ht="13" customHeight="1" s="189">
      <c r="A231" s="289" t="n"/>
      <c r="B231" s="290" t="n"/>
      <c r="C231" s="290" t="n"/>
      <c r="D231" s="290" t="n"/>
      <c r="E231" s="290" t="n"/>
      <c r="F231" s="290" t="n"/>
      <c r="G231" s="291" t="n"/>
      <c r="H231" s="291" t="n"/>
      <c r="I231" s="291" t="n"/>
    </row>
    <row r="232" ht="13" customHeight="1" s="189">
      <c r="A232" s="289" t="n"/>
      <c r="B232" s="290" t="n"/>
      <c r="C232" s="290" t="n"/>
      <c r="D232" s="290" t="n"/>
      <c r="E232" s="290" t="n"/>
      <c r="F232" s="290" t="n"/>
      <c r="G232" s="291" t="n"/>
      <c r="H232" s="291" t="n"/>
      <c r="I232" s="291" t="n"/>
    </row>
    <row r="233" ht="13" customHeight="1" s="189">
      <c r="A233" s="289" t="n"/>
      <c r="B233" s="290" t="n"/>
      <c r="C233" s="290" t="n"/>
      <c r="D233" s="290" t="n"/>
      <c r="E233" s="290" t="n"/>
      <c r="F233" s="290" t="n"/>
      <c r="G233" s="291" t="n"/>
      <c r="H233" s="291" t="n"/>
      <c r="I233" s="291" t="n"/>
    </row>
    <row r="234" ht="13" customHeight="1" s="189">
      <c r="A234" s="289" t="n"/>
      <c r="B234" s="290" t="n"/>
      <c r="C234" s="290" t="n"/>
      <c r="D234" s="290" t="n"/>
      <c r="E234" s="290" t="n"/>
      <c r="F234" s="290" t="n"/>
      <c r="G234" s="291" t="n"/>
      <c r="H234" s="291" t="n"/>
      <c r="I234" s="291" t="n"/>
    </row>
    <row r="235" ht="13" customHeight="1" s="189">
      <c r="A235" s="289" t="n"/>
      <c r="B235" s="290" t="n"/>
      <c r="C235" s="290" t="n"/>
      <c r="D235" s="290" t="n"/>
      <c r="E235" s="290" t="n"/>
      <c r="F235" s="290" t="n"/>
      <c r="G235" s="291" t="n"/>
      <c r="H235" s="291" t="n"/>
      <c r="I235" s="291" t="n"/>
    </row>
    <row r="236" ht="13" customHeight="1" s="189">
      <c r="A236" s="289" t="n"/>
      <c r="B236" s="290" t="n"/>
      <c r="C236" s="290" t="n"/>
      <c r="D236" s="290" t="n"/>
      <c r="E236" s="290" t="n"/>
      <c r="F236" s="290" t="n"/>
      <c r="G236" s="291" t="n"/>
      <c r="H236" s="291" t="n"/>
      <c r="I236" s="291" t="n"/>
    </row>
    <row r="237" ht="13" customHeight="1" s="189">
      <c r="A237" s="289" t="n"/>
      <c r="B237" s="290" t="n"/>
      <c r="C237" s="290" t="n"/>
      <c r="D237" s="290" t="n"/>
      <c r="E237" s="290" t="n"/>
      <c r="F237" s="290" t="n"/>
      <c r="G237" s="291" t="n"/>
      <c r="H237" s="291" t="n"/>
      <c r="I237" s="291" t="n"/>
    </row>
    <row r="238" ht="13" customHeight="1" s="189">
      <c r="A238" s="289" t="n"/>
      <c r="B238" s="290" t="n"/>
      <c r="C238" s="290" t="n"/>
      <c r="D238" s="290" t="n"/>
      <c r="E238" s="290" t="n"/>
      <c r="F238" s="290" t="n"/>
      <c r="G238" s="291" t="n"/>
      <c r="H238" s="291" t="n"/>
      <c r="I238" s="291" t="n"/>
    </row>
    <row r="239" ht="13" customHeight="1" s="189">
      <c r="A239" s="289" t="n"/>
      <c r="B239" s="290" t="n"/>
      <c r="C239" s="290" t="n"/>
      <c r="D239" s="290" t="n"/>
      <c r="E239" s="290" t="n"/>
      <c r="F239" s="290" t="n"/>
      <c r="G239" s="291" t="n"/>
      <c r="H239" s="291" t="n"/>
      <c r="I239" s="291" t="n"/>
    </row>
    <row r="240" ht="13" customHeight="1" s="189">
      <c r="A240" s="289" t="n"/>
      <c r="B240" s="290" t="n"/>
      <c r="C240" s="290" t="n"/>
      <c r="D240" s="290" t="n"/>
      <c r="E240" s="290" t="n"/>
      <c r="F240" s="290" t="n"/>
      <c r="G240" s="291" t="n"/>
      <c r="H240" s="291" t="n"/>
      <c r="I240" s="291" t="n"/>
    </row>
    <row r="241" ht="13" customHeight="1" s="189">
      <c r="A241" s="289" t="n"/>
      <c r="B241" s="290" t="n"/>
      <c r="C241" s="290" t="n"/>
      <c r="D241" s="290" t="n"/>
      <c r="E241" s="290" t="n"/>
      <c r="F241" s="290" t="n"/>
      <c r="G241" s="291" t="n"/>
      <c r="H241" s="291" t="n"/>
      <c r="I241" s="291" t="n"/>
    </row>
    <row r="242" ht="13" customHeight="1" s="189">
      <c r="A242" s="289" t="n"/>
      <c r="B242" s="290" t="n"/>
      <c r="C242" s="290" t="n"/>
      <c r="D242" s="290" t="n"/>
      <c r="E242" s="290" t="n"/>
      <c r="F242" s="290" t="n"/>
      <c r="G242" s="291" t="n"/>
      <c r="H242" s="291" t="n"/>
      <c r="I242" s="291" t="n"/>
    </row>
    <row r="243" ht="13" customHeight="1" s="189">
      <c r="A243" s="289" t="n"/>
      <c r="B243" s="290" t="n"/>
      <c r="C243" s="290" t="n"/>
      <c r="D243" s="290" t="n"/>
      <c r="E243" s="290" t="n"/>
      <c r="F243" s="290" t="n"/>
      <c r="G243" s="291" t="n"/>
      <c r="H243" s="291" t="n"/>
      <c r="I243" s="291" t="n"/>
    </row>
    <row r="244" ht="13" customHeight="1" s="189">
      <c r="A244" s="289" t="n"/>
      <c r="B244" s="290" t="n"/>
      <c r="C244" s="290" t="n"/>
      <c r="D244" s="290" t="n"/>
      <c r="E244" s="290" t="n"/>
      <c r="F244" s="290" t="n"/>
      <c r="G244" s="291" t="n"/>
      <c r="H244" s="291" t="n"/>
      <c r="I244" s="291" t="n"/>
    </row>
    <row r="245" ht="13" customHeight="1" s="189">
      <c r="A245" s="289" t="n"/>
      <c r="B245" s="290" t="n"/>
      <c r="C245" s="290" t="n"/>
      <c r="D245" s="290" t="n"/>
      <c r="E245" s="290" t="n"/>
      <c r="F245" s="290" t="n"/>
      <c r="G245" s="291" t="n"/>
      <c r="H245" s="291" t="n"/>
      <c r="I245" s="291" t="n"/>
    </row>
    <row r="246" ht="13" customHeight="1" s="189">
      <c r="A246" s="289" t="n"/>
      <c r="B246" s="290" t="n"/>
      <c r="C246" s="290" t="n"/>
      <c r="D246" s="290" t="n"/>
      <c r="E246" s="290" t="n"/>
      <c r="F246" s="290" t="n"/>
      <c r="G246" s="291" t="n"/>
      <c r="H246" s="291" t="n"/>
      <c r="I246" s="291" t="n"/>
    </row>
    <row r="247" ht="13" customHeight="1" s="189">
      <c r="A247" s="289" t="n"/>
      <c r="B247" s="290" t="n"/>
      <c r="C247" s="290" t="n"/>
      <c r="D247" s="290" t="n"/>
      <c r="E247" s="290" t="n"/>
      <c r="F247" s="290" t="n"/>
      <c r="G247" s="291" t="n"/>
      <c r="H247" s="291" t="n"/>
      <c r="I247" s="291" t="n"/>
    </row>
    <row r="248" ht="13" customHeight="1" s="189">
      <c r="A248" s="289" t="n"/>
      <c r="B248" s="290" t="n"/>
      <c r="C248" s="290" t="n"/>
      <c r="D248" s="290" t="n"/>
      <c r="E248" s="290" t="n"/>
      <c r="F248" s="290" t="n"/>
      <c r="G248" s="291" t="n"/>
      <c r="H248" s="291" t="n"/>
      <c r="I248" s="291" t="n"/>
    </row>
    <row r="249" ht="13" customHeight="1" s="189">
      <c r="A249" s="289" t="n"/>
      <c r="B249" s="290" t="n"/>
      <c r="C249" s="290" t="n"/>
      <c r="D249" s="290" t="n"/>
      <c r="E249" s="290" t="n"/>
      <c r="F249" s="290" t="n"/>
      <c r="G249" s="291" t="n"/>
      <c r="H249" s="291" t="n"/>
      <c r="I249" s="291" t="n"/>
    </row>
    <row r="250" ht="13" customHeight="1" s="189">
      <c r="A250" s="289" t="n"/>
      <c r="B250" s="290" t="n"/>
      <c r="C250" s="290" t="n"/>
      <c r="D250" s="290" t="n"/>
      <c r="E250" s="290" t="n"/>
      <c r="F250" s="290" t="n"/>
      <c r="G250" s="291" t="n"/>
      <c r="H250" s="291" t="n"/>
      <c r="I250" s="291" t="n"/>
    </row>
    <row r="251" ht="13" customHeight="1" s="189">
      <c r="A251" s="289" t="n"/>
      <c r="B251" s="290" t="n"/>
      <c r="C251" s="290" t="n"/>
      <c r="D251" s="290" t="n"/>
      <c r="E251" s="290" t="n"/>
      <c r="F251" s="290" t="n"/>
      <c r="G251" s="291" t="n"/>
      <c r="H251" s="291" t="n"/>
      <c r="I251" s="291" t="n"/>
    </row>
    <row r="252" ht="13" customHeight="1" s="189">
      <c r="A252" s="289" t="n"/>
      <c r="B252" s="290" t="n"/>
      <c r="C252" s="290" t="n"/>
      <c r="D252" s="290" t="n"/>
      <c r="E252" s="290" t="n"/>
      <c r="F252" s="290" t="n"/>
      <c r="G252" s="291" t="n"/>
      <c r="H252" s="291" t="n"/>
      <c r="I252" s="291" t="n"/>
    </row>
    <row r="253" ht="13" customHeight="1" s="189">
      <c r="A253" s="289" t="n"/>
      <c r="B253" s="290" t="n"/>
      <c r="C253" s="290" t="n"/>
      <c r="D253" s="290" t="n"/>
      <c r="E253" s="290" t="n"/>
      <c r="F253" s="290" t="n"/>
      <c r="G253" s="291" t="n"/>
      <c r="H253" s="291" t="n"/>
      <c r="I253" s="291" t="n"/>
    </row>
    <row r="254" ht="13" customHeight="1" s="189">
      <c r="A254" s="289" t="n"/>
      <c r="B254" s="290" t="n"/>
      <c r="C254" s="290" t="n"/>
      <c r="D254" s="290" t="n"/>
      <c r="E254" s="290" t="n"/>
      <c r="F254" s="290" t="n"/>
      <c r="G254" s="291" t="n"/>
      <c r="H254" s="291" t="n"/>
      <c r="I254" s="291" t="n"/>
    </row>
    <row r="255" ht="13" customHeight="1" s="189">
      <c r="A255" s="289" t="n"/>
      <c r="B255" s="290" t="n"/>
      <c r="C255" s="290" t="n"/>
      <c r="D255" s="290" t="n"/>
      <c r="E255" s="290" t="n"/>
      <c r="F255" s="290" t="n"/>
      <c r="G255" s="291" t="n"/>
      <c r="H255" s="291" t="n"/>
      <c r="I255" s="291" t="n"/>
    </row>
    <row r="256" ht="13" customHeight="1" s="189">
      <c r="A256" s="289" t="n"/>
      <c r="B256" s="290" t="n"/>
      <c r="C256" s="290" t="n"/>
      <c r="D256" s="290" t="n"/>
      <c r="E256" s="290" t="n"/>
      <c r="F256" s="290" t="n"/>
      <c r="G256" s="291" t="n"/>
      <c r="H256" s="291" t="n"/>
      <c r="I256" s="291" t="n"/>
    </row>
    <row r="257" ht="13" customHeight="1" s="189">
      <c r="A257" s="289" t="n"/>
      <c r="B257" s="290" t="n"/>
      <c r="C257" s="290" t="n"/>
      <c r="D257" s="290" t="n"/>
      <c r="E257" s="290" t="n"/>
      <c r="F257" s="290" t="n"/>
      <c r="G257" s="291" t="n"/>
      <c r="H257" s="291" t="n"/>
      <c r="I257" s="291" t="n"/>
    </row>
    <row r="258" ht="13" customHeight="1" s="189">
      <c r="A258" s="289" t="n"/>
      <c r="B258" s="290" t="n"/>
      <c r="C258" s="290" t="n"/>
      <c r="D258" s="290" t="n"/>
      <c r="E258" s="290" t="n"/>
      <c r="F258" s="290" t="n"/>
      <c r="G258" s="291" t="n"/>
      <c r="H258" s="291" t="n"/>
      <c r="I258" s="291" t="n"/>
    </row>
    <row r="259" ht="13" customHeight="1" s="189">
      <c r="A259" s="289" t="n"/>
      <c r="B259" s="290" t="n"/>
      <c r="C259" s="290" t="n"/>
      <c r="D259" s="290" t="n"/>
      <c r="E259" s="290" t="n"/>
      <c r="F259" s="290" t="n"/>
      <c r="G259" s="291" t="n"/>
      <c r="H259" s="291" t="n"/>
      <c r="I259" s="291" t="n"/>
    </row>
    <row r="260" ht="13" customHeight="1" s="189">
      <c r="A260" s="289" t="n"/>
      <c r="B260" s="290" t="n"/>
      <c r="C260" s="290" t="n"/>
      <c r="D260" s="290" t="n"/>
      <c r="E260" s="290" t="n"/>
      <c r="F260" s="290" t="n"/>
      <c r="G260" s="291" t="n"/>
      <c r="H260" s="291" t="n"/>
      <c r="I260" s="291" t="n"/>
    </row>
    <row r="261" ht="13" customHeight="1" s="189">
      <c r="A261" s="289" t="n"/>
      <c r="B261" s="290" t="n"/>
      <c r="C261" s="290" t="n"/>
      <c r="D261" s="290" t="n"/>
      <c r="E261" s="290" t="n"/>
      <c r="F261" s="290" t="n"/>
      <c r="G261" s="291" t="n"/>
      <c r="H261" s="291" t="n"/>
      <c r="I261" s="291" t="n"/>
    </row>
    <row r="262" ht="13" customHeight="1" s="189">
      <c r="A262" s="289" t="n"/>
      <c r="B262" s="290" t="n"/>
      <c r="C262" s="290" t="n"/>
      <c r="D262" s="290" t="n"/>
      <c r="E262" s="290" t="n"/>
      <c r="F262" s="290" t="n"/>
      <c r="G262" s="291" t="n"/>
      <c r="H262" s="291" t="n"/>
      <c r="I262" s="291" t="n"/>
    </row>
    <row r="263" ht="13" customHeight="1" s="189">
      <c r="A263" s="289" t="n"/>
      <c r="B263" s="290" t="n"/>
      <c r="C263" s="290" t="n"/>
      <c r="D263" s="290" t="n"/>
      <c r="E263" s="290" t="n"/>
      <c r="F263" s="290" t="n"/>
      <c r="G263" s="291" t="n"/>
      <c r="H263" s="291" t="n"/>
      <c r="I263" s="291" t="n"/>
    </row>
    <row r="264" ht="13" customHeight="1" s="189">
      <c r="A264" s="289" t="n"/>
      <c r="B264" s="290" t="n"/>
      <c r="C264" s="290" t="n"/>
      <c r="D264" s="290" t="n"/>
      <c r="E264" s="290" t="n"/>
      <c r="F264" s="290" t="n"/>
      <c r="G264" s="291" t="n"/>
      <c r="H264" s="291" t="n"/>
      <c r="I264" s="291" t="n"/>
    </row>
    <row r="265" ht="13" customHeight="1" s="189">
      <c r="A265" s="289" t="n"/>
      <c r="B265" s="290" t="n"/>
      <c r="C265" s="290" t="n"/>
      <c r="D265" s="290" t="n"/>
      <c r="E265" s="290" t="n"/>
      <c r="F265" s="290" t="n"/>
      <c r="G265" s="291" t="n"/>
      <c r="H265" s="291" t="n"/>
      <c r="I265" s="291" t="n"/>
    </row>
    <row r="266" ht="13" customHeight="1" s="189">
      <c r="A266" s="289" t="n"/>
      <c r="B266" s="290" t="n"/>
      <c r="C266" s="290" t="n"/>
      <c r="D266" s="290" t="n"/>
      <c r="E266" s="290" t="n"/>
      <c r="F266" s="290" t="n"/>
      <c r="G266" s="291" t="n"/>
      <c r="H266" s="291" t="n"/>
      <c r="I266" s="291" t="n"/>
    </row>
    <row r="267" ht="13" customHeight="1" s="189">
      <c r="A267" s="289" t="n"/>
      <c r="B267" s="290" t="n"/>
      <c r="C267" s="290" t="n"/>
      <c r="D267" s="290" t="n"/>
      <c r="E267" s="290" t="n"/>
      <c r="F267" s="290" t="n"/>
      <c r="G267" s="291" t="n"/>
      <c r="H267" s="291" t="n"/>
      <c r="I267" s="291" t="n"/>
    </row>
    <row r="268" ht="13" customHeight="1" s="189">
      <c r="A268" s="289" t="n"/>
      <c r="B268" s="290" t="n"/>
      <c r="C268" s="290" t="n"/>
      <c r="D268" s="290" t="n"/>
      <c r="E268" s="290" t="n"/>
      <c r="F268" s="290" t="n"/>
      <c r="G268" s="291" t="n"/>
      <c r="H268" s="291" t="n"/>
      <c r="I268" s="291" t="n"/>
    </row>
    <row r="269" ht="13" customHeight="1" s="189">
      <c r="A269" s="289" t="n"/>
      <c r="B269" s="290" t="n"/>
      <c r="C269" s="290" t="n"/>
      <c r="D269" s="290" t="n"/>
      <c r="E269" s="290" t="n"/>
      <c r="F269" s="290" t="n"/>
      <c r="G269" s="291" t="n"/>
      <c r="H269" s="291" t="n"/>
      <c r="I269" s="291" t="n"/>
    </row>
    <row r="270" ht="13" customHeight="1" s="189">
      <c r="A270" s="289" t="n"/>
      <c r="B270" s="290" t="n"/>
      <c r="C270" s="290" t="n"/>
      <c r="D270" s="290" t="n"/>
      <c r="E270" s="290" t="n"/>
      <c r="F270" s="290" t="n"/>
      <c r="G270" s="291" t="n"/>
      <c r="H270" s="291" t="n"/>
      <c r="I270" s="291" t="n"/>
    </row>
    <row r="271" ht="13" customHeight="1" s="189">
      <c r="A271" s="289" t="n"/>
      <c r="B271" s="290" t="n"/>
      <c r="C271" s="290" t="n"/>
      <c r="D271" s="290" t="n"/>
      <c r="E271" s="290" t="n"/>
      <c r="F271" s="290" t="n"/>
      <c r="G271" s="291" t="n"/>
      <c r="H271" s="291" t="n"/>
      <c r="I271" s="291" t="n"/>
    </row>
    <row r="272" ht="13" customHeight="1" s="189">
      <c r="A272" s="289" t="n"/>
      <c r="B272" s="290" t="n"/>
      <c r="C272" s="290" t="n"/>
      <c r="D272" s="290" t="n"/>
      <c r="E272" s="290" t="n"/>
      <c r="F272" s="290" t="n"/>
      <c r="G272" s="291" t="n"/>
      <c r="H272" s="291" t="n"/>
      <c r="I272" s="291" t="n"/>
    </row>
    <row r="273" ht="13" customHeight="1" s="189">
      <c r="A273" s="289" t="n"/>
      <c r="B273" s="290" t="n"/>
      <c r="C273" s="290" t="n"/>
      <c r="D273" s="290" t="n"/>
      <c r="E273" s="290" t="n"/>
      <c r="F273" s="290" t="n"/>
      <c r="G273" s="291" t="n"/>
      <c r="H273" s="291" t="n"/>
      <c r="I273" s="291" t="n"/>
    </row>
    <row r="274" ht="13" customHeight="1" s="189">
      <c r="A274" s="289" t="n"/>
      <c r="B274" s="290" t="n"/>
      <c r="C274" s="290" t="n"/>
      <c r="D274" s="290" t="n"/>
      <c r="E274" s="290" t="n"/>
      <c r="F274" s="290" t="n"/>
      <c r="G274" s="291" t="n"/>
      <c r="H274" s="291" t="n"/>
      <c r="I274" s="291" t="n"/>
    </row>
    <row r="275" ht="13" customHeight="1" s="189">
      <c r="A275" s="289" t="n"/>
      <c r="B275" s="290" t="n"/>
      <c r="C275" s="290" t="n"/>
      <c r="D275" s="290" t="n"/>
      <c r="E275" s="290" t="n"/>
      <c r="F275" s="290" t="n"/>
      <c r="G275" s="291" t="n"/>
      <c r="H275" s="291" t="n"/>
      <c r="I275" s="291" t="n"/>
    </row>
    <row r="276" ht="13" customHeight="1" s="189">
      <c r="A276" s="289" t="n"/>
      <c r="B276" s="290" t="n"/>
      <c r="C276" s="290" t="n"/>
      <c r="D276" s="290" t="n"/>
      <c r="E276" s="290" t="n"/>
      <c r="F276" s="290" t="n"/>
      <c r="G276" s="291" t="n"/>
      <c r="H276" s="291" t="n"/>
      <c r="I276" s="291" t="n"/>
    </row>
    <row r="277" ht="13" customHeight="1" s="189">
      <c r="A277" s="289" t="n"/>
      <c r="B277" s="290" t="n"/>
      <c r="C277" s="290" t="n"/>
      <c r="D277" s="290" t="n"/>
      <c r="E277" s="290" t="n"/>
      <c r="F277" s="290" t="n"/>
      <c r="G277" s="291" t="n"/>
      <c r="H277" s="291" t="n"/>
      <c r="I277" s="291" t="n"/>
    </row>
    <row r="278" ht="13" customHeight="1" s="189">
      <c r="A278" s="289" t="n"/>
      <c r="B278" s="290" t="n"/>
      <c r="C278" s="290" t="n"/>
      <c r="D278" s="290" t="n"/>
      <c r="E278" s="290" t="n"/>
      <c r="F278" s="290" t="n"/>
      <c r="G278" s="291" t="n"/>
      <c r="H278" s="291" t="n"/>
      <c r="I278" s="291" t="n"/>
    </row>
    <row r="279" ht="13" customHeight="1" s="189">
      <c r="A279" s="289" t="n"/>
      <c r="B279" s="290" t="n"/>
      <c r="C279" s="290" t="n"/>
      <c r="D279" s="290" t="n"/>
      <c r="E279" s="290" t="n"/>
      <c r="F279" s="290" t="n"/>
      <c r="G279" s="291" t="n"/>
      <c r="H279" s="291" t="n"/>
      <c r="I279" s="291" t="n"/>
    </row>
    <row r="280" ht="13" customHeight="1" s="189">
      <c r="A280" s="289" t="n"/>
      <c r="B280" s="290" t="n"/>
      <c r="C280" s="290" t="n"/>
      <c r="D280" s="290" t="n"/>
      <c r="E280" s="290" t="n"/>
      <c r="F280" s="290" t="n"/>
      <c r="G280" s="291" t="n"/>
      <c r="H280" s="291" t="n"/>
      <c r="I280" s="291" t="n"/>
    </row>
    <row r="281" ht="13" customHeight="1" s="189">
      <c r="A281" s="289" t="n"/>
      <c r="B281" s="290" t="n"/>
      <c r="C281" s="290" t="n"/>
      <c r="D281" s="290" t="n"/>
      <c r="E281" s="290" t="n"/>
      <c r="F281" s="290" t="n"/>
      <c r="G281" s="291" t="n"/>
      <c r="H281" s="291" t="n"/>
      <c r="I281" s="291" t="n"/>
    </row>
    <row r="282" ht="13" customHeight="1" s="189">
      <c r="A282" s="289" t="n"/>
      <c r="B282" s="290" t="n"/>
      <c r="C282" s="290" t="n"/>
      <c r="D282" s="290" t="n"/>
      <c r="E282" s="290" t="n"/>
      <c r="F282" s="290" t="n"/>
      <c r="G282" s="291" t="n"/>
      <c r="H282" s="291" t="n"/>
      <c r="I282" s="291" t="n"/>
    </row>
    <row r="283" ht="13" customHeight="1" s="189">
      <c r="A283" s="289" t="n"/>
      <c r="B283" s="290" t="n"/>
      <c r="C283" s="290" t="n"/>
      <c r="D283" s="290" t="n"/>
      <c r="E283" s="290" t="n"/>
      <c r="F283" s="290" t="n"/>
      <c r="G283" s="291" t="n"/>
      <c r="H283" s="291" t="n"/>
      <c r="I283" s="291" t="n"/>
    </row>
    <row r="284" ht="13" customHeight="1" s="189">
      <c r="A284" s="289" t="n"/>
      <c r="B284" s="290" t="n"/>
      <c r="C284" s="290" t="n"/>
      <c r="D284" s="290" t="n"/>
      <c r="E284" s="290" t="n"/>
      <c r="F284" s="290" t="n"/>
      <c r="G284" s="291" t="n"/>
      <c r="H284" s="291" t="n"/>
      <c r="I284" s="291" t="n"/>
    </row>
    <row r="285" ht="13" customHeight="1" s="189">
      <c r="A285" s="289" t="n"/>
      <c r="B285" s="290" t="n"/>
      <c r="C285" s="290" t="n"/>
      <c r="D285" s="290" t="n"/>
      <c r="E285" s="290" t="n"/>
      <c r="F285" s="290" t="n"/>
      <c r="G285" s="291" t="n"/>
      <c r="H285" s="291" t="n"/>
      <c r="I285" s="291" t="n"/>
    </row>
    <row r="286" ht="13" customHeight="1" s="189">
      <c r="A286" s="289" t="n"/>
      <c r="B286" s="290" t="n"/>
      <c r="C286" s="290" t="n"/>
      <c r="D286" s="290" t="n"/>
      <c r="E286" s="290" t="n"/>
      <c r="F286" s="290" t="n"/>
      <c r="G286" s="291" t="n"/>
      <c r="H286" s="291" t="n"/>
      <c r="I286" s="291" t="n"/>
    </row>
    <row r="287" ht="13" customHeight="1" s="189">
      <c r="A287" s="289" t="n"/>
      <c r="B287" s="290" t="n"/>
      <c r="C287" s="290" t="n"/>
      <c r="D287" s="290" t="n"/>
      <c r="E287" s="290" t="n"/>
      <c r="F287" s="290" t="n"/>
      <c r="G287" s="291" t="n"/>
      <c r="H287" s="291" t="n"/>
      <c r="I287" s="291" t="n"/>
    </row>
    <row r="288" ht="13" customHeight="1" s="189">
      <c r="A288" s="289" t="n"/>
      <c r="B288" s="290" t="n"/>
      <c r="C288" s="290" t="n"/>
      <c r="D288" s="290" t="n"/>
      <c r="E288" s="290" t="n"/>
      <c r="F288" s="290" t="n"/>
      <c r="G288" s="291" t="n"/>
      <c r="H288" s="291" t="n"/>
      <c r="I288" s="291" t="n"/>
    </row>
    <row r="289" ht="13" customHeight="1" s="189">
      <c r="A289" s="289" t="n"/>
      <c r="B289" s="290" t="n"/>
      <c r="C289" s="290" t="n"/>
      <c r="D289" s="290" t="n"/>
      <c r="E289" s="290" t="n"/>
      <c r="F289" s="290" t="n"/>
      <c r="G289" s="291" t="n"/>
      <c r="H289" s="291" t="n"/>
      <c r="I289" s="291" t="n"/>
    </row>
    <row r="290" ht="13" customHeight="1" s="189">
      <c r="A290" s="289" t="n"/>
      <c r="B290" s="290" t="n"/>
      <c r="C290" s="290" t="n"/>
      <c r="D290" s="290" t="n"/>
      <c r="E290" s="290" t="n"/>
      <c r="F290" s="290" t="n"/>
      <c r="G290" s="291" t="n"/>
      <c r="H290" s="291" t="n"/>
      <c r="I290" s="291" t="n"/>
    </row>
    <row r="291" ht="13" customHeight="1" s="189">
      <c r="A291" s="289" t="n"/>
      <c r="B291" s="290" t="n"/>
      <c r="C291" s="290" t="n"/>
      <c r="D291" s="290" t="n"/>
      <c r="E291" s="290" t="n"/>
      <c r="F291" s="290" t="n"/>
      <c r="G291" s="291" t="n"/>
      <c r="H291" s="291" t="n"/>
      <c r="I291" s="291" t="n"/>
    </row>
    <row r="292" ht="13" customHeight="1" s="189">
      <c r="A292" s="289" t="n"/>
      <c r="B292" s="290" t="n"/>
      <c r="C292" s="290" t="n"/>
      <c r="D292" s="290" t="n"/>
      <c r="E292" s="290" t="n"/>
      <c r="F292" s="290" t="n"/>
      <c r="G292" s="291" t="n"/>
      <c r="H292" s="291" t="n"/>
      <c r="I292" s="291" t="n"/>
    </row>
    <row r="293" ht="13" customHeight="1" s="189">
      <c r="A293" s="289" t="n"/>
      <c r="B293" s="290" t="n"/>
      <c r="C293" s="290" t="n"/>
      <c r="D293" s="290" t="n"/>
      <c r="E293" s="290" t="n"/>
      <c r="F293" s="290" t="n"/>
      <c r="G293" s="291" t="n"/>
      <c r="H293" s="291" t="n"/>
      <c r="I293" s="291" t="n"/>
    </row>
    <row r="294" ht="13" customHeight="1" s="189">
      <c r="A294" s="289" t="n"/>
      <c r="B294" s="290" t="n"/>
      <c r="C294" s="290" t="n"/>
      <c r="D294" s="290" t="n"/>
      <c r="E294" s="290" t="n"/>
      <c r="F294" s="290" t="n"/>
      <c r="G294" s="291" t="n"/>
      <c r="H294" s="291" t="n"/>
      <c r="I294" s="291" t="n"/>
    </row>
    <row r="295" ht="13" customHeight="1" s="189">
      <c r="A295" s="289" t="n"/>
      <c r="B295" s="290" t="n"/>
      <c r="C295" s="290" t="n"/>
      <c r="D295" s="290" t="n"/>
      <c r="E295" s="290" t="n"/>
      <c r="F295" s="290" t="n"/>
      <c r="G295" s="291" t="n"/>
      <c r="H295" s="291" t="n"/>
      <c r="I295" s="291" t="n"/>
    </row>
    <row r="296" ht="13" customHeight="1" s="189">
      <c r="A296" s="289" t="n"/>
      <c r="B296" s="290" t="n"/>
      <c r="C296" s="290" t="n"/>
      <c r="D296" s="290" t="n"/>
      <c r="E296" s="290" t="n"/>
      <c r="F296" s="290" t="n"/>
      <c r="G296" s="291" t="n"/>
      <c r="H296" s="291" t="n"/>
      <c r="I296" s="291" t="n"/>
    </row>
    <row r="297" ht="13" customHeight="1" s="189">
      <c r="A297" s="289" t="n"/>
      <c r="B297" s="290" t="n"/>
      <c r="C297" s="290" t="n"/>
      <c r="D297" s="290" t="n"/>
      <c r="E297" s="290" t="n"/>
      <c r="F297" s="290" t="n"/>
      <c r="G297" s="291" t="n"/>
      <c r="H297" s="291" t="n"/>
      <c r="I297" s="291" t="n"/>
    </row>
    <row r="298" ht="13" customHeight="1" s="189">
      <c r="A298" s="289" t="n"/>
      <c r="B298" s="290" t="n"/>
      <c r="C298" s="290" t="n"/>
      <c r="D298" s="290" t="n"/>
      <c r="E298" s="290" t="n"/>
      <c r="F298" s="290" t="n"/>
      <c r="G298" s="291" t="n"/>
      <c r="H298" s="291" t="n"/>
      <c r="I298" s="291" t="n"/>
    </row>
    <row r="299" ht="13" customHeight="1" s="189">
      <c r="A299" s="289" t="n"/>
      <c r="B299" s="290" t="n"/>
      <c r="C299" s="290" t="n"/>
      <c r="D299" s="290" t="n"/>
      <c r="E299" s="290" t="n"/>
      <c r="F299" s="290" t="n"/>
      <c r="G299" s="291" t="n"/>
      <c r="H299" s="291" t="n"/>
      <c r="I299" s="291" t="n"/>
    </row>
    <row r="300" ht="13" customHeight="1" s="189">
      <c r="A300" s="289" t="n"/>
      <c r="B300" s="290" t="n"/>
      <c r="C300" s="290" t="n"/>
      <c r="D300" s="290" t="n"/>
      <c r="E300" s="290" t="n"/>
      <c r="F300" s="290" t="n"/>
      <c r="G300" s="291" t="n"/>
      <c r="H300" s="291" t="n"/>
      <c r="I300" s="291" t="n"/>
    </row>
    <row r="301" ht="13" customHeight="1" s="189">
      <c r="A301" s="289" t="n"/>
      <c r="B301" s="290" t="n"/>
      <c r="C301" s="290" t="n"/>
      <c r="D301" s="290" t="n"/>
      <c r="E301" s="290" t="n"/>
      <c r="F301" s="290" t="n"/>
      <c r="G301" s="291" t="n"/>
      <c r="H301" s="291" t="n"/>
      <c r="I301" s="291" t="n"/>
    </row>
    <row r="302" ht="13" customHeight="1" s="189">
      <c r="A302" s="289" t="n"/>
      <c r="B302" s="290" t="n"/>
      <c r="C302" s="290" t="n"/>
      <c r="D302" s="290" t="n"/>
      <c r="E302" s="290" t="n"/>
      <c r="F302" s="290" t="n"/>
      <c r="G302" s="291" t="n"/>
      <c r="H302" s="291" t="n"/>
      <c r="I302" s="291" t="n"/>
    </row>
    <row r="303" ht="13" customHeight="1" s="189">
      <c r="A303" s="289" t="n"/>
      <c r="B303" s="290" t="n"/>
      <c r="C303" s="290" t="n"/>
      <c r="D303" s="290" t="n"/>
      <c r="E303" s="290" t="n"/>
      <c r="F303" s="290" t="n"/>
      <c r="G303" s="291" t="n"/>
      <c r="H303" s="291" t="n"/>
      <c r="I303" s="291" t="n"/>
    </row>
    <row r="304" ht="13" customHeight="1" s="189">
      <c r="A304" s="289" t="n"/>
      <c r="B304" s="290" t="n"/>
      <c r="C304" s="290" t="n"/>
      <c r="D304" s="290" t="n"/>
      <c r="E304" s="290" t="n"/>
      <c r="F304" s="290" t="n"/>
      <c r="G304" s="291" t="n"/>
      <c r="H304" s="291" t="n"/>
      <c r="I304" s="291" t="n"/>
    </row>
    <row r="305" ht="13" customHeight="1" s="189">
      <c r="A305" s="289" t="n"/>
      <c r="B305" s="290" t="n"/>
      <c r="C305" s="290" t="n"/>
      <c r="D305" s="290" t="n"/>
      <c r="E305" s="290" t="n"/>
      <c r="F305" s="290" t="n"/>
      <c r="G305" s="291" t="n"/>
      <c r="H305" s="291" t="n"/>
      <c r="I305" s="291" t="n"/>
    </row>
    <row r="306" ht="13" customHeight="1" s="189">
      <c r="A306" s="289" t="n"/>
      <c r="B306" s="290" t="n"/>
      <c r="C306" s="290" t="n"/>
      <c r="D306" s="290" t="n"/>
      <c r="E306" s="290" t="n"/>
      <c r="F306" s="290" t="n"/>
      <c r="G306" s="291" t="n"/>
      <c r="H306" s="291" t="n"/>
      <c r="I306" s="291" t="n"/>
    </row>
    <row r="307" ht="13" customHeight="1" s="189">
      <c r="A307" s="289" t="n"/>
      <c r="B307" s="290" t="n"/>
      <c r="C307" s="290" t="n"/>
      <c r="D307" s="290" t="n"/>
      <c r="E307" s="290" t="n"/>
      <c r="F307" s="290" t="n"/>
      <c r="G307" s="291" t="n"/>
      <c r="H307" s="291" t="n"/>
      <c r="I307" s="291" t="n"/>
    </row>
    <row r="308" ht="13" customHeight="1" s="189">
      <c r="A308" s="289" t="n"/>
      <c r="B308" s="290" t="n"/>
      <c r="C308" s="290" t="n"/>
      <c r="D308" s="290" t="n"/>
      <c r="E308" s="290" t="n"/>
      <c r="F308" s="290" t="n"/>
      <c r="G308" s="291" t="n"/>
      <c r="H308" s="291" t="n"/>
      <c r="I308" s="291" t="n"/>
    </row>
    <row r="309" ht="13" customHeight="1" s="189">
      <c r="A309" s="289" t="n"/>
      <c r="B309" s="290" t="n"/>
      <c r="C309" s="290" t="n"/>
      <c r="D309" s="290" t="n"/>
      <c r="E309" s="290" t="n"/>
      <c r="F309" s="290" t="n"/>
      <c r="G309" s="291" t="n"/>
      <c r="H309" s="291" t="n"/>
      <c r="I309" s="291" t="n"/>
    </row>
    <row r="310" ht="13" customHeight="1" s="189">
      <c r="A310" s="289" t="n"/>
      <c r="B310" s="290" t="n"/>
      <c r="C310" s="290" t="n"/>
      <c r="D310" s="290" t="n"/>
      <c r="E310" s="290" t="n"/>
      <c r="F310" s="290" t="n"/>
      <c r="G310" s="291" t="n"/>
      <c r="H310" s="291" t="n"/>
      <c r="I310" s="291" t="n"/>
    </row>
    <row r="311" ht="13" customHeight="1" s="189">
      <c r="A311" s="289" t="n"/>
      <c r="B311" s="290" t="n"/>
      <c r="C311" s="290" t="n"/>
      <c r="D311" s="290" t="n"/>
      <c r="E311" s="290" t="n"/>
      <c r="F311" s="290" t="n"/>
      <c r="G311" s="291" t="n"/>
      <c r="H311" s="291" t="n"/>
      <c r="I311" s="291" t="n"/>
    </row>
    <row r="312" ht="13" customHeight="1" s="189">
      <c r="A312" s="289" t="n"/>
      <c r="B312" s="290" t="n"/>
      <c r="C312" s="290" t="n"/>
      <c r="D312" s="290" t="n"/>
      <c r="E312" s="290" t="n"/>
      <c r="F312" s="290" t="n"/>
      <c r="G312" s="291" t="n"/>
      <c r="H312" s="291" t="n"/>
      <c r="I312" s="291" t="n"/>
    </row>
    <row r="313" ht="13" customHeight="1" s="189">
      <c r="A313" s="289" t="n"/>
      <c r="B313" s="290" t="n"/>
      <c r="C313" s="290" t="n"/>
      <c r="D313" s="290" t="n"/>
      <c r="E313" s="290" t="n"/>
      <c r="F313" s="290" t="n"/>
      <c r="G313" s="291" t="n"/>
      <c r="H313" s="291" t="n"/>
      <c r="I313" s="291" t="n"/>
    </row>
    <row r="314" ht="13" customHeight="1" s="189">
      <c r="A314" s="289" t="n"/>
      <c r="B314" s="290" t="n"/>
      <c r="C314" s="290" t="n"/>
      <c r="D314" s="290" t="n"/>
      <c r="E314" s="290" t="n"/>
      <c r="F314" s="290" t="n"/>
      <c r="G314" s="291" t="n"/>
      <c r="H314" s="291" t="n"/>
      <c r="I314" s="291" t="n"/>
    </row>
    <row r="315" ht="13" customHeight="1" s="189">
      <c r="A315" s="289" t="n"/>
      <c r="B315" s="290" t="n"/>
      <c r="C315" s="290" t="n"/>
      <c r="D315" s="290" t="n"/>
      <c r="E315" s="290" t="n"/>
      <c r="F315" s="290" t="n"/>
      <c r="G315" s="291" t="n"/>
      <c r="H315" s="291" t="n"/>
      <c r="I315" s="291" t="n"/>
    </row>
    <row r="316" ht="13" customHeight="1" s="189">
      <c r="A316" s="289" t="n"/>
      <c r="B316" s="290" t="n"/>
      <c r="C316" s="290" t="n"/>
      <c r="D316" s="290" t="n"/>
      <c r="E316" s="290" t="n"/>
      <c r="F316" s="290" t="n"/>
      <c r="G316" s="291" t="n"/>
      <c r="H316" s="291" t="n"/>
      <c r="I316" s="291" t="n"/>
    </row>
    <row r="317" ht="13" customHeight="1" s="189">
      <c r="A317" s="289" t="n"/>
      <c r="B317" s="290" t="n"/>
      <c r="C317" s="290" t="n"/>
      <c r="D317" s="290" t="n"/>
      <c r="E317" s="290" t="n"/>
      <c r="F317" s="290" t="n"/>
      <c r="G317" s="291" t="n"/>
      <c r="H317" s="291" t="n"/>
      <c r="I317" s="291" t="n"/>
    </row>
    <row r="318" ht="13" customHeight="1" s="189">
      <c r="A318" s="289" t="n"/>
      <c r="B318" s="290" t="n"/>
      <c r="C318" s="290" t="n"/>
      <c r="D318" s="290" t="n"/>
      <c r="E318" s="290" t="n"/>
      <c r="F318" s="290" t="n"/>
      <c r="G318" s="291" t="n"/>
      <c r="H318" s="291" t="n"/>
      <c r="I318" s="291" t="n"/>
    </row>
    <row r="319" ht="13" customHeight="1" s="189">
      <c r="A319" s="289" t="n"/>
      <c r="B319" s="290" t="n"/>
      <c r="C319" s="290" t="n"/>
      <c r="D319" s="290" t="n"/>
      <c r="E319" s="290" t="n"/>
      <c r="F319" s="290" t="n"/>
      <c r="G319" s="291" t="n"/>
      <c r="H319" s="291" t="n"/>
      <c r="I319" s="291" t="n"/>
    </row>
    <row r="320" ht="13" customHeight="1" s="189">
      <c r="A320" s="289" t="n"/>
      <c r="B320" s="290" t="n"/>
      <c r="C320" s="290" t="n"/>
      <c r="D320" s="290" t="n"/>
      <c r="E320" s="290" t="n"/>
      <c r="F320" s="290" t="n"/>
      <c r="G320" s="291" t="n"/>
      <c r="H320" s="291" t="n"/>
      <c r="I320" s="291" t="n"/>
    </row>
    <row r="321" ht="13" customHeight="1" s="189">
      <c r="A321" s="289" t="n"/>
      <c r="B321" s="290" t="n"/>
      <c r="C321" s="290" t="n"/>
      <c r="D321" s="290" t="n"/>
      <c r="E321" s="290" t="n"/>
      <c r="F321" s="290" t="n"/>
      <c r="G321" s="291" t="n"/>
      <c r="H321" s="291" t="n"/>
      <c r="I321" s="291" t="n"/>
    </row>
    <row r="322" ht="13" customHeight="1" s="189">
      <c r="A322" s="289" t="n"/>
      <c r="B322" s="290" t="n"/>
      <c r="C322" s="290" t="n"/>
      <c r="D322" s="290" t="n"/>
      <c r="E322" s="290" t="n"/>
      <c r="F322" s="290" t="n"/>
      <c r="G322" s="291" t="n"/>
      <c r="H322" s="291" t="n"/>
      <c r="I322" s="291" t="n"/>
    </row>
    <row r="323" ht="13" customHeight="1" s="189">
      <c r="A323" s="289" t="n"/>
      <c r="B323" s="290" t="n"/>
      <c r="C323" s="290" t="n"/>
      <c r="D323" s="290" t="n"/>
      <c r="E323" s="290" t="n"/>
      <c r="F323" s="290" t="n"/>
      <c r="G323" s="291" t="n"/>
      <c r="H323" s="291" t="n"/>
      <c r="I323" s="291" t="n"/>
    </row>
    <row r="324" ht="13" customHeight="1" s="189">
      <c r="A324" s="289" t="n"/>
      <c r="B324" s="290" t="n"/>
      <c r="C324" s="290" t="n"/>
      <c r="D324" s="290" t="n"/>
      <c r="E324" s="290" t="n"/>
      <c r="F324" s="290" t="n"/>
      <c r="G324" s="291" t="n"/>
      <c r="H324" s="291" t="n"/>
      <c r="I324" s="291" t="n"/>
    </row>
    <row r="325" ht="13" customHeight="1" s="189">
      <c r="A325" s="289" t="n"/>
      <c r="B325" s="290" t="n"/>
      <c r="C325" s="290" t="n"/>
      <c r="D325" s="290" t="n"/>
      <c r="E325" s="290" t="n"/>
      <c r="F325" s="290" t="n"/>
      <c r="G325" s="291" t="n"/>
      <c r="H325" s="291" t="n"/>
      <c r="I325" s="291" t="n"/>
    </row>
    <row r="326" ht="13" customHeight="1" s="189">
      <c r="A326" s="289" t="n"/>
      <c r="B326" s="290" t="n"/>
      <c r="C326" s="290" t="n"/>
      <c r="D326" s="290" t="n"/>
      <c r="E326" s="290" t="n"/>
      <c r="F326" s="290" t="n"/>
      <c r="G326" s="291" t="n"/>
      <c r="H326" s="291" t="n"/>
      <c r="I326" s="291" t="n"/>
    </row>
    <row r="327" ht="13" customHeight="1" s="189">
      <c r="A327" s="289" t="n"/>
      <c r="B327" s="290" t="n"/>
      <c r="C327" s="290" t="n"/>
      <c r="D327" s="290" t="n"/>
      <c r="E327" s="290" t="n"/>
      <c r="F327" s="290" t="n"/>
      <c r="G327" s="291" t="n"/>
      <c r="H327" s="291" t="n"/>
      <c r="I327" s="291" t="n"/>
    </row>
    <row r="328" ht="13" customHeight="1" s="189">
      <c r="A328" s="289" t="n"/>
      <c r="B328" s="290" t="n"/>
      <c r="C328" s="290" t="n"/>
      <c r="D328" s="290" t="n"/>
      <c r="E328" s="290" t="n"/>
      <c r="F328" s="290" t="n"/>
      <c r="G328" s="291" t="n"/>
      <c r="H328" s="291" t="n"/>
      <c r="I328" s="291" t="n"/>
    </row>
    <row r="329" ht="13" customHeight="1" s="189">
      <c r="A329" s="289" t="n"/>
      <c r="B329" s="290" t="n"/>
      <c r="C329" s="290" t="n"/>
      <c r="D329" s="290" t="n"/>
      <c r="E329" s="290" t="n"/>
      <c r="F329" s="290" t="n"/>
      <c r="G329" s="291" t="n"/>
      <c r="H329" s="291" t="n"/>
      <c r="I329" s="291" t="n"/>
    </row>
    <row r="330" ht="13" customHeight="1" s="189">
      <c r="A330" s="289" t="n"/>
      <c r="B330" s="290" t="n"/>
      <c r="C330" s="290" t="n"/>
      <c r="D330" s="290" t="n"/>
      <c r="E330" s="290" t="n"/>
      <c r="F330" s="290" t="n"/>
      <c r="G330" s="291" t="n"/>
      <c r="H330" s="291" t="n"/>
      <c r="I330" s="291" t="n"/>
    </row>
    <row r="331" ht="13" customHeight="1" s="189">
      <c r="A331" s="289" t="n"/>
      <c r="B331" s="290" t="n"/>
      <c r="C331" s="290" t="n"/>
      <c r="D331" s="290" t="n"/>
      <c r="E331" s="290" t="n"/>
      <c r="F331" s="290" t="n"/>
      <c r="G331" s="291" t="n"/>
      <c r="H331" s="291" t="n"/>
      <c r="I331" s="291" t="n"/>
    </row>
    <row r="332" ht="13" customHeight="1" s="189">
      <c r="A332" s="289" t="n"/>
      <c r="B332" s="290" t="n"/>
      <c r="C332" s="290" t="n"/>
      <c r="D332" s="290" t="n"/>
      <c r="E332" s="290" t="n"/>
      <c r="F332" s="290" t="n"/>
      <c r="G332" s="291" t="n"/>
      <c r="H332" s="291" t="n"/>
      <c r="I332" s="291" t="n"/>
    </row>
    <row r="333" ht="13" customHeight="1" s="189">
      <c r="A333" s="289" t="n"/>
      <c r="B333" s="290" t="n"/>
      <c r="C333" s="290" t="n"/>
      <c r="D333" s="290" t="n"/>
      <c r="E333" s="290" t="n"/>
      <c r="F333" s="290" t="n"/>
      <c r="G333" s="291" t="n"/>
      <c r="H333" s="291" t="n"/>
      <c r="I333" s="291" t="n"/>
    </row>
    <row r="334" ht="13" customHeight="1" s="189">
      <c r="A334" s="289" t="n"/>
      <c r="B334" s="290" t="n"/>
      <c r="C334" s="290" t="n"/>
      <c r="D334" s="290" t="n"/>
      <c r="E334" s="290" t="n"/>
      <c r="F334" s="290" t="n"/>
      <c r="G334" s="291" t="n"/>
      <c r="H334" s="291" t="n"/>
      <c r="I334" s="291" t="n"/>
    </row>
    <row r="335" ht="13" customHeight="1" s="189">
      <c r="A335" s="289" t="n"/>
      <c r="B335" s="290" t="n"/>
      <c r="C335" s="290" t="n"/>
      <c r="D335" s="290" t="n"/>
      <c r="E335" s="290" t="n"/>
      <c r="F335" s="290" t="n"/>
      <c r="G335" s="291" t="n"/>
      <c r="H335" s="291" t="n"/>
      <c r="I335" s="291" t="n"/>
    </row>
    <row r="336" ht="13" customHeight="1" s="189">
      <c r="A336" s="289" t="n"/>
      <c r="B336" s="290" t="n"/>
      <c r="C336" s="290" t="n"/>
      <c r="D336" s="290" t="n"/>
      <c r="E336" s="290" t="n"/>
      <c r="F336" s="290" t="n"/>
      <c r="G336" s="291" t="n"/>
      <c r="H336" s="291" t="n"/>
      <c r="I336" s="291" t="n"/>
    </row>
    <row r="337" ht="13" customHeight="1" s="189">
      <c r="A337" s="289" t="n"/>
      <c r="B337" s="290" t="n"/>
      <c r="C337" s="290" t="n"/>
      <c r="D337" s="290" t="n"/>
      <c r="E337" s="290" t="n"/>
      <c r="F337" s="290" t="n"/>
      <c r="G337" s="291" t="n"/>
      <c r="H337" s="291" t="n"/>
      <c r="I337" s="291" t="n"/>
    </row>
    <row r="338" ht="13" customHeight="1" s="189">
      <c r="A338" s="289" t="n"/>
      <c r="B338" s="290" t="n"/>
      <c r="C338" s="290" t="n"/>
      <c r="D338" s="290" t="n"/>
      <c r="E338" s="290" t="n"/>
      <c r="F338" s="290" t="n"/>
      <c r="G338" s="291" t="n"/>
      <c r="H338" s="291" t="n"/>
      <c r="I338" s="291" t="n"/>
    </row>
    <row r="339" ht="13" customHeight="1" s="189">
      <c r="A339" s="289" t="n"/>
      <c r="B339" s="290" t="n"/>
      <c r="C339" s="290" t="n"/>
      <c r="D339" s="290" t="n"/>
      <c r="E339" s="290" t="n"/>
      <c r="F339" s="290" t="n"/>
      <c r="G339" s="291" t="n"/>
      <c r="H339" s="291" t="n"/>
      <c r="I339" s="291" t="n"/>
    </row>
    <row r="340" ht="13" customHeight="1" s="189">
      <c r="A340" s="289" t="n"/>
      <c r="B340" s="290" t="n"/>
      <c r="C340" s="290" t="n"/>
      <c r="D340" s="290" t="n"/>
      <c r="E340" s="290" t="n"/>
      <c r="F340" s="290" t="n"/>
      <c r="G340" s="291" t="n"/>
      <c r="H340" s="291" t="n"/>
      <c r="I340" s="291" t="n"/>
    </row>
    <row r="341" ht="13" customHeight="1" s="189">
      <c r="A341" s="289" t="n"/>
      <c r="B341" s="290" t="n"/>
      <c r="C341" s="290" t="n"/>
      <c r="D341" s="290" t="n"/>
      <c r="E341" s="290" t="n"/>
      <c r="F341" s="290" t="n"/>
      <c r="G341" s="291" t="n"/>
      <c r="H341" s="291" t="n"/>
      <c r="I341" s="291" t="n"/>
    </row>
    <row r="342" ht="13" customHeight="1" s="189">
      <c r="A342" s="289" t="n"/>
      <c r="B342" s="290" t="n"/>
      <c r="C342" s="290" t="n"/>
      <c r="D342" s="290" t="n"/>
      <c r="E342" s="290" t="n"/>
      <c r="F342" s="290" t="n"/>
      <c r="G342" s="291" t="n"/>
      <c r="H342" s="291" t="n"/>
      <c r="I342" s="291" t="n"/>
    </row>
    <row r="343" ht="13" customHeight="1" s="189">
      <c r="A343" s="289" t="n"/>
      <c r="B343" s="290" t="n"/>
      <c r="C343" s="290" t="n"/>
      <c r="D343" s="290" t="n"/>
      <c r="E343" s="290" t="n"/>
      <c r="F343" s="290" t="n"/>
      <c r="G343" s="291" t="n"/>
      <c r="H343" s="291" t="n"/>
      <c r="I343" s="291" t="n"/>
    </row>
    <row r="344" ht="13" customHeight="1" s="189">
      <c r="A344" s="289" t="n"/>
      <c r="B344" s="290" t="n"/>
      <c r="C344" s="290" t="n"/>
      <c r="D344" s="290" t="n"/>
      <c r="E344" s="290" t="n"/>
      <c r="F344" s="290" t="n"/>
      <c r="G344" s="291" t="n"/>
      <c r="H344" s="291" t="n"/>
      <c r="I344" s="291" t="n"/>
    </row>
    <row r="345" ht="13" customHeight="1" s="189">
      <c r="A345" s="289" t="n"/>
      <c r="B345" s="290" t="n"/>
      <c r="C345" s="290" t="n"/>
      <c r="D345" s="290" t="n"/>
      <c r="E345" s="290" t="n"/>
      <c r="F345" s="290" t="n"/>
      <c r="G345" s="291" t="n"/>
      <c r="H345" s="291" t="n"/>
      <c r="I345" s="291" t="n"/>
    </row>
    <row r="346" ht="13" customHeight="1" s="189">
      <c r="A346" s="289" t="n"/>
      <c r="B346" s="290" t="n"/>
      <c r="C346" s="290" t="n"/>
      <c r="D346" s="290" t="n"/>
      <c r="E346" s="290" t="n"/>
      <c r="F346" s="290" t="n"/>
      <c r="G346" s="291" t="n"/>
      <c r="H346" s="291" t="n"/>
      <c r="I346" s="291" t="n"/>
    </row>
    <row r="347" ht="13" customHeight="1" s="189">
      <c r="A347" s="289" t="n"/>
      <c r="B347" s="290" t="n"/>
      <c r="C347" s="290" t="n"/>
      <c r="D347" s="290" t="n"/>
      <c r="E347" s="290" t="n"/>
      <c r="F347" s="290" t="n"/>
      <c r="G347" s="291" t="n"/>
      <c r="H347" s="291" t="n"/>
      <c r="I347" s="291" t="n"/>
    </row>
    <row r="348" ht="13" customHeight="1" s="189">
      <c r="A348" s="289" t="n"/>
      <c r="B348" s="290" t="n"/>
      <c r="C348" s="290" t="n"/>
      <c r="D348" s="290" t="n"/>
      <c r="E348" s="290" t="n"/>
      <c r="F348" s="290" t="n"/>
      <c r="G348" s="291" t="n"/>
      <c r="H348" s="291" t="n"/>
      <c r="I348" s="291" t="n"/>
    </row>
    <row r="349" ht="13" customHeight="1" s="189">
      <c r="A349" s="289" t="n"/>
      <c r="B349" s="290" t="n"/>
      <c r="C349" s="290" t="n"/>
      <c r="D349" s="290" t="n"/>
      <c r="E349" s="290" t="n"/>
      <c r="F349" s="290" t="n"/>
      <c r="G349" s="291" t="n"/>
      <c r="H349" s="291" t="n"/>
      <c r="I349" s="291" t="n"/>
    </row>
    <row r="350" ht="13" customHeight="1" s="189">
      <c r="A350" s="289" t="n"/>
      <c r="B350" s="290" t="n"/>
      <c r="C350" s="290" t="n"/>
      <c r="D350" s="290" t="n"/>
      <c r="E350" s="290" t="n"/>
      <c r="F350" s="290" t="n"/>
      <c r="G350" s="291" t="n"/>
      <c r="H350" s="291" t="n"/>
      <c r="I350" s="291" t="n"/>
    </row>
    <row r="351" ht="13" customHeight="1" s="189">
      <c r="A351" s="289" t="n"/>
      <c r="B351" s="290" t="n"/>
      <c r="C351" s="290" t="n"/>
      <c r="D351" s="290" t="n"/>
      <c r="E351" s="290" t="n"/>
      <c r="F351" s="290" t="n"/>
      <c r="G351" s="291" t="n"/>
      <c r="H351" s="291" t="n"/>
      <c r="I351" s="291" t="n"/>
    </row>
    <row r="352" ht="13" customHeight="1" s="189">
      <c r="A352" s="289" t="n"/>
      <c r="B352" s="290" t="n"/>
      <c r="C352" s="290" t="n"/>
      <c r="D352" s="290" t="n"/>
      <c r="E352" s="290" t="n"/>
      <c r="F352" s="290" t="n"/>
      <c r="G352" s="291" t="n"/>
      <c r="H352" s="291" t="n"/>
      <c r="I352" s="291" t="n"/>
    </row>
    <row r="353" ht="13" customHeight="1" s="189">
      <c r="A353" s="289" t="n"/>
      <c r="B353" s="290" t="n"/>
      <c r="C353" s="290" t="n"/>
      <c r="D353" s="290" t="n"/>
      <c r="E353" s="290" t="n"/>
      <c r="F353" s="290" t="n"/>
      <c r="G353" s="291" t="n"/>
      <c r="H353" s="291" t="n"/>
      <c r="I353" s="291" t="n"/>
    </row>
    <row r="354" ht="13" customHeight="1" s="189">
      <c r="A354" s="289" t="n"/>
      <c r="B354" s="290" t="n"/>
      <c r="C354" s="290" t="n"/>
      <c r="D354" s="290" t="n"/>
      <c r="E354" s="290" t="n"/>
      <c r="F354" s="290" t="n"/>
      <c r="G354" s="291" t="n"/>
      <c r="H354" s="291" t="n"/>
      <c r="I354" s="291" t="n"/>
    </row>
    <row r="355" ht="13" customHeight="1" s="189">
      <c r="A355" s="289" t="n"/>
      <c r="B355" s="290" t="n"/>
      <c r="C355" s="290" t="n"/>
      <c r="D355" s="290" t="n"/>
      <c r="E355" s="290" t="n"/>
      <c r="F355" s="290" t="n"/>
      <c r="G355" s="291" t="n"/>
      <c r="H355" s="291" t="n"/>
      <c r="I355" s="291" t="n"/>
    </row>
    <row r="356" ht="13" customHeight="1" s="189">
      <c r="A356" s="289" t="n"/>
      <c r="B356" s="290" t="n"/>
      <c r="C356" s="290" t="n"/>
      <c r="D356" s="290" t="n"/>
      <c r="E356" s="290" t="n"/>
      <c r="F356" s="290" t="n"/>
      <c r="G356" s="291" t="n"/>
      <c r="H356" s="291" t="n"/>
      <c r="I356" s="291" t="n"/>
    </row>
    <row r="357" ht="13" customHeight="1" s="189">
      <c r="A357" s="289" t="n"/>
      <c r="B357" s="290" t="n"/>
      <c r="C357" s="290" t="n"/>
      <c r="D357" s="290" t="n"/>
      <c r="E357" s="290" t="n"/>
      <c r="F357" s="290" t="n"/>
      <c r="G357" s="291" t="n"/>
      <c r="H357" s="291" t="n"/>
      <c r="I357" s="291" t="n"/>
    </row>
    <row r="358" ht="13" customHeight="1" s="189">
      <c r="A358" s="289" t="n"/>
      <c r="B358" s="290" t="n"/>
      <c r="C358" s="290" t="n"/>
      <c r="D358" s="290" t="n"/>
      <c r="E358" s="290" t="n"/>
      <c r="F358" s="290" t="n"/>
      <c r="G358" s="291" t="n"/>
      <c r="H358" s="291" t="n"/>
      <c r="I358" s="291" t="n"/>
    </row>
    <row r="359" ht="13" customHeight="1" s="189">
      <c r="A359" s="289" t="n"/>
      <c r="B359" s="290" t="n"/>
      <c r="C359" s="290" t="n"/>
      <c r="D359" s="290" t="n"/>
      <c r="E359" s="290" t="n"/>
      <c r="F359" s="290" t="n"/>
      <c r="G359" s="291" t="n"/>
      <c r="H359" s="291" t="n"/>
      <c r="I359" s="291" t="n"/>
    </row>
    <row r="360" ht="13" customHeight="1" s="189">
      <c r="A360" s="289" t="n"/>
      <c r="B360" s="290" t="n"/>
      <c r="C360" s="290" t="n"/>
      <c r="D360" s="290" t="n"/>
      <c r="E360" s="290" t="n"/>
      <c r="F360" s="290" t="n"/>
      <c r="G360" s="291" t="n"/>
      <c r="H360" s="291" t="n"/>
      <c r="I360" s="291" t="n"/>
    </row>
    <row r="361" ht="13" customHeight="1" s="189">
      <c r="A361" s="289" t="n"/>
      <c r="B361" s="290" t="n"/>
      <c r="C361" s="290" t="n"/>
      <c r="D361" s="290" t="n"/>
      <c r="E361" s="290" t="n"/>
      <c r="F361" s="290" t="n"/>
      <c r="G361" s="291" t="n"/>
      <c r="H361" s="291" t="n"/>
      <c r="I361" s="291" t="n"/>
    </row>
    <row r="362" ht="13" customHeight="1" s="189">
      <c r="A362" s="289" t="n"/>
      <c r="B362" s="290" t="n"/>
      <c r="C362" s="290" t="n"/>
      <c r="D362" s="290" t="n"/>
      <c r="E362" s="290" t="n"/>
      <c r="F362" s="290" t="n"/>
      <c r="G362" s="291" t="n"/>
      <c r="H362" s="291" t="n"/>
      <c r="I362" s="291" t="n"/>
    </row>
    <row r="363" ht="13" customHeight="1" s="189">
      <c r="A363" s="289" t="n"/>
      <c r="B363" s="290" t="n"/>
      <c r="C363" s="290" t="n"/>
      <c r="D363" s="290" t="n"/>
      <c r="E363" s="290" t="n"/>
      <c r="F363" s="290" t="n"/>
      <c r="G363" s="291" t="n"/>
      <c r="H363" s="291" t="n"/>
      <c r="I363" s="291" t="n"/>
    </row>
    <row r="364" ht="13" customHeight="1" s="189">
      <c r="A364" s="289" t="n"/>
      <c r="B364" s="290" t="n"/>
      <c r="C364" s="290" t="n"/>
      <c r="D364" s="290" t="n"/>
      <c r="E364" s="290" t="n"/>
      <c r="F364" s="290" t="n"/>
      <c r="G364" s="291" t="n"/>
      <c r="H364" s="291" t="n"/>
      <c r="I364" s="291" t="n"/>
    </row>
    <row r="365" ht="13" customHeight="1" s="189">
      <c r="A365" s="289" t="n"/>
      <c r="B365" s="290" t="n"/>
      <c r="C365" s="290" t="n"/>
      <c r="D365" s="290" t="n"/>
      <c r="E365" s="290" t="n"/>
      <c r="F365" s="290" t="n"/>
      <c r="G365" s="291" t="n"/>
      <c r="H365" s="291" t="n"/>
      <c r="I365" s="291" t="n"/>
    </row>
    <row r="366" ht="13" customHeight="1" s="189">
      <c r="A366" s="289" t="n"/>
      <c r="B366" s="290" t="n"/>
      <c r="C366" s="290" t="n"/>
      <c r="D366" s="290" t="n"/>
      <c r="E366" s="290" t="n"/>
      <c r="F366" s="290" t="n"/>
      <c r="G366" s="291" t="n"/>
      <c r="H366" s="291" t="n"/>
      <c r="I366" s="291" t="n"/>
    </row>
    <row r="367" ht="13" customHeight="1" s="189">
      <c r="A367" s="289" t="n"/>
      <c r="B367" s="290" t="n"/>
      <c r="C367" s="290" t="n"/>
      <c r="D367" s="290" t="n"/>
      <c r="E367" s="290" t="n"/>
      <c r="F367" s="290" t="n"/>
      <c r="G367" s="291" t="n"/>
      <c r="H367" s="291" t="n"/>
      <c r="I367" s="291" t="n"/>
    </row>
    <row r="368" ht="13" customHeight="1" s="189">
      <c r="A368" s="289" t="n"/>
      <c r="B368" s="290" t="n"/>
      <c r="C368" s="290" t="n"/>
      <c r="D368" s="290" t="n"/>
      <c r="E368" s="290" t="n"/>
      <c r="F368" s="290" t="n"/>
      <c r="G368" s="291" t="n"/>
      <c r="H368" s="291" t="n"/>
      <c r="I368" s="291" t="n"/>
    </row>
    <row r="369" ht="13" customHeight="1" s="189">
      <c r="A369" s="289" t="n"/>
      <c r="B369" s="290" t="n"/>
      <c r="C369" s="290" t="n"/>
      <c r="D369" s="290" t="n"/>
      <c r="E369" s="290" t="n"/>
      <c r="F369" s="290" t="n"/>
      <c r="G369" s="291" t="n"/>
      <c r="H369" s="291" t="n"/>
      <c r="I369" s="291" t="n"/>
    </row>
    <row r="370" ht="13" customHeight="1" s="189">
      <c r="A370" s="289" t="n"/>
      <c r="B370" s="290" t="n"/>
      <c r="C370" s="290" t="n"/>
      <c r="D370" s="290" t="n"/>
      <c r="E370" s="290" t="n"/>
      <c r="F370" s="290" t="n"/>
      <c r="G370" s="291" t="n"/>
      <c r="H370" s="291" t="n"/>
      <c r="I370" s="291" t="n"/>
    </row>
    <row r="371" ht="13" customHeight="1" s="189">
      <c r="A371" s="289" t="n"/>
      <c r="B371" s="290" t="n"/>
      <c r="C371" s="290" t="n"/>
      <c r="D371" s="290" t="n"/>
      <c r="E371" s="290" t="n"/>
      <c r="F371" s="290" t="n"/>
      <c r="G371" s="291" t="n"/>
      <c r="H371" s="291" t="n"/>
      <c r="I371" s="291" t="n"/>
    </row>
    <row r="372" ht="13" customHeight="1" s="189">
      <c r="A372" s="289" t="n"/>
      <c r="B372" s="290" t="n"/>
      <c r="C372" s="290" t="n"/>
      <c r="D372" s="290" t="n"/>
      <c r="E372" s="290" t="n"/>
      <c r="F372" s="290" t="n"/>
      <c r="G372" s="291" t="n"/>
      <c r="H372" s="291" t="n"/>
      <c r="I372" s="291" t="n"/>
    </row>
    <row r="373" ht="13" customHeight="1" s="189">
      <c r="A373" s="289" t="n"/>
      <c r="B373" s="290" t="n"/>
      <c r="C373" s="290" t="n"/>
      <c r="D373" s="290" t="n"/>
      <c r="E373" s="290" t="n"/>
      <c r="F373" s="290" t="n"/>
      <c r="G373" s="291" t="n"/>
      <c r="H373" s="291" t="n"/>
      <c r="I373" s="291" t="n"/>
    </row>
    <row r="374" ht="13" customHeight="1" s="189">
      <c r="A374" s="289" t="n"/>
      <c r="B374" s="290" t="n"/>
      <c r="C374" s="290" t="n"/>
      <c r="D374" s="290" t="n"/>
      <c r="E374" s="290" t="n"/>
      <c r="F374" s="290" t="n"/>
      <c r="G374" s="291" t="n"/>
      <c r="H374" s="291" t="n"/>
      <c r="I374" s="291" t="n"/>
    </row>
    <row r="375" ht="13" customHeight="1" s="189">
      <c r="A375" s="289" t="n"/>
      <c r="B375" s="290" t="n"/>
      <c r="C375" s="290" t="n"/>
      <c r="D375" s="290" t="n"/>
      <c r="E375" s="290" t="n"/>
      <c r="F375" s="290" t="n"/>
      <c r="G375" s="291" t="n"/>
      <c r="H375" s="291" t="n"/>
      <c r="I375" s="291" t="n"/>
    </row>
    <row r="376" ht="13" customHeight="1" s="189">
      <c r="A376" s="289" t="n"/>
      <c r="B376" s="290" t="n"/>
      <c r="C376" s="290" t="n"/>
      <c r="D376" s="290" t="n"/>
      <c r="E376" s="290" t="n"/>
      <c r="F376" s="290" t="n"/>
      <c r="G376" s="291" t="n"/>
      <c r="H376" s="291" t="n"/>
      <c r="I376" s="291" t="n"/>
    </row>
    <row r="377" ht="13" customHeight="1" s="189">
      <c r="A377" s="289" t="n"/>
      <c r="B377" s="290" t="n"/>
      <c r="C377" s="290" t="n"/>
      <c r="D377" s="290" t="n"/>
      <c r="E377" s="290" t="n"/>
      <c r="F377" s="290" t="n"/>
      <c r="G377" s="291" t="n"/>
      <c r="H377" s="291" t="n"/>
      <c r="I377" s="291" t="n"/>
    </row>
    <row r="378" ht="13" customHeight="1" s="189">
      <c r="A378" s="289" t="n"/>
      <c r="B378" s="290" t="n"/>
      <c r="C378" s="290" t="n"/>
      <c r="D378" s="290" t="n"/>
      <c r="E378" s="290" t="n"/>
      <c r="F378" s="290" t="n"/>
      <c r="G378" s="291" t="n"/>
      <c r="H378" s="291" t="n"/>
      <c r="I378" s="291" t="n"/>
    </row>
    <row r="379" ht="13" customHeight="1" s="189">
      <c r="A379" s="289" t="n"/>
      <c r="B379" s="290" t="n"/>
      <c r="C379" s="290" t="n"/>
      <c r="D379" s="290" t="n"/>
      <c r="E379" s="290" t="n"/>
      <c r="F379" s="290" t="n"/>
      <c r="G379" s="291" t="n"/>
      <c r="H379" s="291" t="n"/>
      <c r="I379" s="291" t="n"/>
    </row>
    <row r="380" ht="13" customHeight="1" s="189">
      <c r="A380" s="289" t="n"/>
      <c r="B380" s="290" t="n"/>
      <c r="C380" s="290" t="n"/>
      <c r="D380" s="290" t="n"/>
      <c r="E380" s="290" t="n"/>
      <c r="F380" s="290" t="n"/>
      <c r="G380" s="291" t="n"/>
      <c r="H380" s="291" t="n"/>
      <c r="I380" s="291" t="n"/>
    </row>
    <row r="381" ht="13" customHeight="1" s="189">
      <c r="A381" s="289" t="n"/>
      <c r="B381" s="290" t="n"/>
      <c r="C381" s="290" t="n"/>
      <c r="D381" s="290" t="n"/>
      <c r="E381" s="290" t="n"/>
      <c r="F381" s="290" t="n"/>
      <c r="G381" s="291" t="n"/>
      <c r="H381" s="291" t="n"/>
      <c r="I381" s="291" t="n"/>
    </row>
    <row r="382" ht="13" customHeight="1" s="189">
      <c r="A382" s="289" t="n"/>
      <c r="B382" s="290" t="n"/>
      <c r="C382" s="290" t="n"/>
      <c r="D382" s="290" t="n"/>
      <c r="E382" s="290" t="n"/>
      <c r="F382" s="290" t="n"/>
      <c r="G382" s="291" t="n"/>
      <c r="H382" s="291" t="n"/>
      <c r="I382" s="291" t="n"/>
    </row>
    <row r="383" ht="13" customHeight="1" s="189">
      <c r="A383" s="289" t="n"/>
      <c r="B383" s="290" t="n"/>
      <c r="C383" s="290" t="n"/>
      <c r="D383" s="290" t="n"/>
      <c r="E383" s="290" t="n"/>
      <c r="F383" s="290" t="n"/>
      <c r="G383" s="291" t="n"/>
      <c r="H383" s="291" t="n"/>
      <c r="I383" s="291" t="n"/>
    </row>
    <row r="384" ht="13" customHeight="1" s="189">
      <c r="A384" s="289" t="n"/>
      <c r="B384" s="290" t="n"/>
      <c r="C384" s="290" t="n"/>
      <c r="D384" s="290" t="n"/>
      <c r="E384" s="290" t="n"/>
      <c r="F384" s="290" t="n"/>
      <c r="G384" s="291" t="n"/>
      <c r="H384" s="291" t="n"/>
      <c r="I384" s="291" t="n"/>
    </row>
    <row r="385" ht="13" customHeight="1" s="189">
      <c r="A385" s="289" t="n"/>
      <c r="B385" s="290" t="n"/>
      <c r="C385" s="290" t="n"/>
      <c r="D385" s="290" t="n"/>
      <c r="E385" s="290" t="n"/>
      <c r="F385" s="290" t="n"/>
      <c r="G385" s="291" t="n"/>
      <c r="H385" s="291" t="n"/>
      <c r="I385" s="291" t="n"/>
    </row>
    <row r="386" ht="13" customHeight="1" s="189">
      <c r="A386" s="289" t="n"/>
      <c r="B386" s="290" t="n"/>
      <c r="C386" s="290" t="n"/>
      <c r="D386" s="290" t="n"/>
      <c r="E386" s="290" t="n"/>
      <c r="F386" s="290" t="n"/>
      <c r="G386" s="291" t="n"/>
      <c r="H386" s="291" t="n"/>
      <c r="I386" s="291" t="n"/>
    </row>
    <row r="387" ht="13" customHeight="1" s="189">
      <c r="A387" s="289" t="n"/>
      <c r="B387" s="290" t="n"/>
      <c r="C387" s="290" t="n"/>
      <c r="D387" s="290" t="n"/>
      <c r="E387" s="290" t="n"/>
      <c r="F387" s="290" t="n"/>
      <c r="G387" s="291" t="n"/>
      <c r="H387" s="291" t="n"/>
      <c r="I387" s="291" t="n"/>
    </row>
    <row r="388" ht="13" customHeight="1" s="189">
      <c r="A388" s="289" t="n"/>
      <c r="B388" s="290" t="n"/>
      <c r="C388" s="290" t="n"/>
      <c r="D388" s="290" t="n"/>
      <c r="E388" s="290" t="n"/>
      <c r="F388" s="290" t="n"/>
      <c r="G388" s="291" t="n"/>
      <c r="H388" s="291" t="n"/>
      <c r="I388" s="291" t="n"/>
    </row>
    <row r="389" ht="13" customHeight="1" s="189">
      <c r="A389" s="289" t="n"/>
      <c r="B389" s="290" t="n"/>
      <c r="C389" s="290" t="n"/>
      <c r="D389" s="290" t="n"/>
      <c r="E389" s="290" t="n"/>
      <c r="F389" s="290" t="n"/>
      <c r="G389" s="291" t="n"/>
      <c r="H389" s="291" t="n"/>
      <c r="I389" s="291" t="n"/>
    </row>
    <row r="390" ht="13" customHeight="1" s="189">
      <c r="A390" s="289" t="n"/>
      <c r="B390" s="290" t="n"/>
      <c r="C390" s="290" t="n"/>
      <c r="D390" s="290" t="n"/>
      <c r="E390" s="290" t="n"/>
      <c r="F390" s="290" t="n"/>
      <c r="G390" s="291" t="n"/>
      <c r="H390" s="291" t="n"/>
      <c r="I390" s="291" t="n"/>
    </row>
    <row r="391" ht="13" customHeight="1" s="189">
      <c r="A391" s="289" t="n"/>
      <c r="B391" s="290" t="n"/>
      <c r="C391" s="290" t="n"/>
      <c r="D391" s="290" t="n"/>
      <c r="E391" s="290" t="n"/>
      <c r="F391" s="290" t="n"/>
      <c r="G391" s="291" t="n"/>
      <c r="H391" s="291" t="n"/>
      <c r="I391" s="291" t="n"/>
    </row>
    <row r="392" ht="13" customHeight="1" s="189">
      <c r="A392" s="289" t="n"/>
      <c r="B392" s="290" t="n"/>
      <c r="C392" s="290" t="n"/>
      <c r="D392" s="290" t="n"/>
      <c r="E392" s="290" t="n"/>
      <c r="F392" s="290" t="n"/>
      <c r="G392" s="291" t="n"/>
      <c r="H392" s="291" t="n"/>
      <c r="I392" s="291" t="n"/>
    </row>
    <row r="393" ht="13" customHeight="1" s="189">
      <c r="A393" s="289" t="n"/>
      <c r="B393" s="290" t="n"/>
      <c r="C393" s="290" t="n"/>
      <c r="D393" s="290" t="n"/>
      <c r="E393" s="290" t="n"/>
      <c r="F393" s="290" t="n"/>
      <c r="G393" s="291" t="n"/>
      <c r="H393" s="291" t="n"/>
      <c r="I393" s="291" t="n"/>
    </row>
    <row r="394" ht="13" customHeight="1" s="189">
      <c r="A394" s="289" t="n"/>
      <c r="B394" s="290" t="n"/>
      <c r="C394" s="290" t="n"/>
      <c r="D394" s="290" t="n"/>
      <c r="E394" s="290" t="n"/>
      <c r="F394" s="290" t="n"/>
      <c r="G394" s="291" t="n"/>
      <c r="H394" s="291" t="n"/>
      <c r="I394" s="291" t="n"/>
    </row>
    <row r="395" ht="13" customHeight="1" s="189">
      <c r="A395" s="289" t="n"/>
      <c r="B395" s="290" t="n"/>
      <c r="C395" s="290" t="n"/>
      <c r="D395" s="290" t="n"/>
      <c r="E395" s="290" t="n"/>
      <c r="F395" s="290" t="n"/>
      <c r="G395" s="291" t="n"/>
      <c r="H395" s="291" t="n"/>
      <c r="I395" s="291" t="n"/>
    </row>
    <row r="396" ht="13" customHeight="1" s="189">
      <c r="A396" s="289" t="n"/>
      <c r="B396" s="290" t="n"/>
      <c r="C396" s="290" t="n"/>
      <c r="D396" s="290" t="n"/>
      <c r="E396" s="290" t="n"/>
      <c r="F396" s="290" t="n"/>
      <c r="G396" s="291" t="n"/>
      <c r="H396" s="291" t="n"/>
      <c r="I396" s="291" t="n"/>
    </row>
    <row r="397" ht="13" customHeight="1" s="189">
      <c r="A397" s="289" t="n"/>
      <c r="B397" s="290" t="n"/>
      <c r="C397" s="290" t="n"/>
      <c r="D397" s="290" t="n"/>
      <c r="E397" s="290" t="n"/>
      <c r="F397" s="290" t="n"/>
      <c r="G397" s="291" t="n"/>
      <c r="H397" s="291" t="n"/>
      <c r="I397" s="291" t="n"/>
    </row>
    <row r="398" ht="13" customHeight="1" s="189">
      <c r="A398" s="289" t="n"/>
      <c r="B398" s="290" t="n"/>
      <c r="C398" s="290" t="n"/>
      <c r="D398" s="290" t="n"/>
      <c r="E398" s="290" t="n"/>
      <c r="F398" s="290" t="n"/>
      <c r="G398" s="291" t="n"/>
      <c r="H398" s="291" t="n"/>
      <c r="I398" s="291" t="n"/>
    </row>
    <row r="399" ht="13" customHeight="1" s="189">
      <c r="A399" s="289" t="n"/>
      <c r="B399" s="290" t="n"/>
      <c r="C399" s="290" t="n"/>
      <c r="D399" s="290" t="n"/>
      <c r="E399" s="290" t="n"/>
      <c r="F399" s="290" t="n"/>
      <c r="G399" s="291" t="n"/>
      <c r="H399" s="291" t="n"/>
      <c r="I399" s="291" t="n"/>
    </row>
    <row r="400" ht="13" customHeight="1" s="189">
      <c r="A400" s="289" t="n"/>
      <c r="B400" s="290" t="n"/>
      <c r="C400" s="290" t="n"/>
      <c r="D400" s="290" t="n"/>
      <c r="E400" s="290" t="n"/>
      <c r="F400" s="290" t="n"/>
      <c r="G400" s="291" t="n"/>
      <c r="H400" s="291" t="n"/>
      <c r="I400" s="291" t="n"/>
    </row>
    <row r="401" ht="13" customHeight="1" s="189">
      <c r="A401" s="289" t="n"/>
      <c r="B401" s="290" t="n"/>
      <c r="C401" s="290" t="n"/>
      <c r="D401" s="290" t="n"/>
      <c r="E401" s="290" t="n"/>
      <c r="F401" s="290" t="n"/>
      <c r="G401" s="291" t="n"/>
      <c r="H401" s="291" t="n"/>
      <c r="I401" s="291" t="n"/>
    </row>
    <row r="402" ht="13" customHeight="1" s="189">
      <c r="A402" s="289" t="n"/>
      <c r="B402" s="290" t="n"/>
      <c r="C402" s="290" t="n"/>
      <c r="D402" s="290" t="n"/>
      <c r="E402" s="290" t="n"/>
      <c r="F402" s="290" t="n"/>
      <c r="G402" s="291" t="n"/>
      <c r="H402" s="291" t="n"/>
      <c r="I402" s="291" t="n"/>
    </row>
    <row r="403" ht="13" customHeight="1" s="189">
      <c r="A403" s="289" t="n"/>
      <c r="B403" s="290" t="n"/>
      <c r="C403" s="290" t="n"/>
      <c r="D403" s="290" t="n"/>
      <c r="E403" s="290" t="n"/>
      <c r="F403" s="290" t="n"/>
      <c r="G403" s="291" t="n"/>
      <c r="H403" s="291" t="n"/>
      <c r="I403" s="291" t="n"/>
    </row>
    <row r="404" ht="13" customHeight="1" s="189">
      <c r="A404" s="289" t="n"/>
      <c r="B404" s="290" t="n"/>
      <c r="C404" s="290" t="n"/>
      <c r="D404" s="290" t="n"/>
      <c r="E404" s="290" t="n"/>
      <c r="F404" s="290" t="n"/>
      <c r="G404" s="291" t="n"/>
      <c r="H404" s="291" t="n"/>
      <c r="I404" s="291" t="n"/>
    </row>
    <row r="405" ht="13" customHeight="1" s="189">
      <c r="A405" s="289" t="n"/>
      <c r="B405" s="290" t="n"/>
      <c r="C405" s="290" t="n"/>
      <c r="D405" s="290" t="n"/>
      <c r="E405" s="290" t="n"/>
      <c r="F405" s="290" t="n"/>
      <c r="G405" s="291" t="n"/>
      <c r="H405" s="291" t="n"/>
      <c r="I405" s="291" t="n"/>
    </row>
    <row r="406" ht="13" customHeight="1" s="189">
      <c r="A406" s="289" t="n"/>
      <c r="B406" s="290" t="n"/>
      <c r="C406" s="290" t="n"/>
      <c r="D406" s="290" t="n"/>
      <c r="E406" s="290" t="n"/>
      <c r="F406" s="290" t="n"/>
      <c r="G406" s="291" t="n"/>
      <c r="H406" s="291" t="n"/>
      <c r="I406" s="291" t="n"/>
    </row>
    <row r="407" ht="13" customHeight="1" s="189">
      <c r="A407" s="289" t="n"/>
      <c r="B407" s="290" t="n"/>
      <c r="C407" s="290" t="n"/>
      <c r="D407" s="290" t="n"/>
      <c r="E407" s="290" t="n"/>
      <c r="F407" s="290" t="n"/>
      <c r="G407" s="291" t="n"/>
      <c r="H407" s="291" t="n"/>
      <c r="I407" s="291" t="n"/>
    </row>
    <row r="408" ht="13" customHeight="1" s="189">
      <c r="A408" s="289" t="n"/>
      <c r="B408" s="290" t="n"/>
      <c r="C408" s="290" t="n"/>
      <c r="D408" s="290" t="n"/>
      <c r="E408" s="290" t="n"/>
      <c r="F408" s="290" t="n"/>
      <c r="G408" s="291" t="n"/>
      <c r="H408" s="291" t="n"/>
      <c r="I408" s="291" t="n"/>
    </row>
    <row r="409" ht="13" customHeight="1" s="189">
      <c r="A409" s="289" t="n"/>
      <c r="B409" s="290" t="n"/>
      <c r="C409" s="290" t="n"/>
      <c r="D409" s="290" t="n"/>
      <c r="E409" s="290" t="n"/>
      <c r="F409" s="290" t="n"/>
      <c r="G409" s="291" t="n"/>
      <c r="H409" s="291" t="n"/>
      <c r="I409" s="291" t="n"/>
    </row>
    <row r="410" ht="13" customHeight="1" s="189">
      <c r="A410" s="289" t="n"/>
      <c r="B410" s="290" t="n"/>
      <c r="C410" s="290" t="n"/>
      <c r="D410" s="290" t="n"/>
      <c r="E410" s="290" t="n"/>
      <c r="F410" s="290" t="n"/>
      <c r="G410" s="291" t="n"/>
      <c r="H410" s="291" t="n"/>
      <c r="I410" s="291" t="n"/>
    </row>
    <row r="411" ht="13" customHeight="1" s="189">
      <c r="A411" s="289" t="n"/>
      <c r="B411" s="290" t="n"/>
      <c r="C411" s="290" t="n"/>
      <c r="D411" s="290" t="n"/>
      <c r="E411" s="290" t="n"/>
      <c r="F411" s="290" t="n"/>
      <c r="G411" s="291" t="n"/>
      <c r="H411" s="291" t="n"/>
      <c r="I411" s="291" t="n"/>
    </row>
    <row r="412" ht="13" customHeight="1" s="189">
      <c r="A412" s="289" t="n"/>
      <c r="B412" s="290" t="n"/>
      <c r="C412" s="290" t="n"/>
      <c r="D412" s="290" t="n"/>
      <c r="E412" s="290" t="n"/>
      <c r="F412" s="290" t="n"/>
      <c r="G412" s="291" t="n"/>
      <c r="H412" s="291" t="n"/>
      <c r="I412" s="291" t="n"/>
    </row>
    <row r="413" ht="13" customHeight="1" s="189">
      <c r="A413" s="289" t="n"/>
      <c r="B413" s="290" t="n"/>
      <c r="C413" s="290" t="n"/>
      <c r="D413" s="290" t="n"/>
      <c r="E413" s="290" t="n"/>
      <c r="F413" s="290" t="n"/>
      <c r="G413" s="291" t="n"/>
      <c r="H413" s="291" t="n"/>
      <c r="I413" s="291" t="n"/>
    </row>
    <row r="414" ht="13" customHeight="1" s="189">
      <c r="A414" s="289" t="n"/>
      <c r="B414" s="290" t="n"/>
      <c r="C414" s="290" t="n"/>
      <c r="D414" s="290" t="n"/>
      <c r="E414" s="290" t="n"/>
      <c r="F414" s="290" t="n"/>
      <c r="G414" s="291" t="n"/>
      <c r="H414" s="291" t="n"/>
      <c r="I414" s="291" t="n"/>
    </row>
    <row r="415" ht="13" customHeight="1" s="189">
      <c r="A415" s="289" t="n"/>
      <c r="B415" s="290" t="n"/>
      <c r="C415" s="290" t="n"/>
      <c r="D415" s="290" t="n"/>
      <c r="E415" s="290" t="n"/>
      <c r="F415" s="290" t="n"/>
      <c r="G415" s="291" t="n"/>
      <c r="H415" s="291" t="n"/>
      <c r="I415" s="291" t="n"/>
    </row>
    <row r="416" ht="13" customHeight="1" s="189">
      <c r="A416" s="289" t="n"/>
      <c r="B416" s="290" t="n"/>
      <c r="C416" s="290" t="n"/>
      <c r="D416" s="290" t="n"/>
      <c r="E416" s="290" t="n"/>
      <c r="F416" s="290" t="n"/>
      <c r="G416" s="291" t="n"/>
      <c r="H416" s="291" t="n"/>
      <c r="I416" s="291" t="n"/>
    </row>
    <row r="417" ht="13" customHeight="1" s="189">
      <c r="A417" s="289" t="n"/>
      <c r="B417" s="290" t="n"/>
      <c r="C417" s="290" t="n"/>
      <c r="D417" s="290" t="n"/>
      <c r="E417" s="290" t="n"/>
      <c r="F417" s="290" t="n"/>
      <c r="G417" s="291" t="n"/>
      <c r="H417" s="291" t="n"/>
      <c r="I417" s="291" t="n"/>
    </row>
    <row r="418" ht="13" customHeight="1" s="189">
      <c r="A418" s="289" t="n"/>
      <c r="B418" s="290" t="n"/>
      <c r="C418" s="290" t="n"/>
      <c r="D418" s="290" t="n"/>
      <c r="E418" s="290" t="n"/>
      <c r="F418" s="290" t="n"/>
      <c r="G418" s="291" t="n"/>
      <c r="H418" s="291" t="n"/>
      <c r="I418" s="291" t="n"/>
    </row>
    <row r="419" ht="13" customHeight="1" s="189">
      <c r="A419" s="289" t="n"/>
      <c r="B419" s="290" t="n"/>
      <c r="C419" s="290" t="n"/>
      <c r="D419" s="290" t="n"/>
      <c r="E419" s="290" t="n"/>
      <c r="F419" s="290" t="n"/>
      <c r="G419" s="291" t="n"/>
      <c r="H419" s="291" t="n"/>
      <c r="I419" s="291" t="n"/>
    </row>
    <row r="420" ht="13" customHeight="1" s="189">
      <c r="A420" s="289" t="n"/>
      <c r="B420" s="290" t="n"/>
      <c r="C420" s="290" t="n"/>
      <c r="D420" s="290" t="n"/>
      <c r="E420" s="290" t="n"/>
      <c r="F420" s="290" t="n"/>
      <c r="G420" s="291" t="n"/>
      <c r="H420" s="291" t="n"/>
      <c r="I420" s="291" t="n"/>
    </row>
    <row r="421" ht="13" customHeight="1" s="189">
      <c r="A421" s="289" t="n"/>
      <c r="B421" s="290" t="n"/>
      <c r="C421" s="290" t="n"/>
      <c r="D421" s="290" t="n"/>
      <c r="E421" s="290" t="n"/>
      <c r="F421" s="290" t="n"/>
      <c r="G421" s="291" t="n"/>
      <c r="H421" s="291" t="n"/>
      <c r="I421" s="291" t="n"/>
    </row>
    <row r="422" ht="13" customHeight="1" s="189">
      <c r="A422" s="289" t="n"/>
      <c r="B422" s="290" t="n"/>
      <c r="C422" s="290" t="n"/>
      <c r="D422" s="290" t="n"/>
      <c r="E422" s="290" t="n"/>
      <c r="F422" s="290" t="n"/>
      <c r="G422" s="291" t="n"/>
      <c r="H422" s="291" t="n"/>
      <c r="I422" s="291" t="n"/>
    </row>
    <row r="423" ht="13" customHeight="1" s="189">
      <c r="A423" s="289" t="n"/>
      <c r="B423" s="290" t="n"/>
      <c r="C423" s="290" t="n"/>
      <c r="D423" s="290" t="n"/>
      <c r="E423" s="290" t="n"/>
      <c r="F423" s="290" t="n"/>
      <c r="G423" s="291" t="n"/>
      <c r="H423" s="291" t="n"/>
      <c r="I423" s="291" t="n"/>
    </row>
    <row r="424" ht="13" customHeight="1" s="189">
      <c r="A424" s="289" t="n"/>
      <c r="B424" s="290" t="n"/>
      <c r="C424" s="290" t="n"/>
      <c r="D424" s="290" t="n"/>
      <c r="E424" s="290" t="n"/>
      <c r="F424" s="290" t="n"/>
      <c r="G424" s="291" t="n"/>
      <c r="H424" s="291" t="n"/>
      <c r="I424" s="291" t="n"/>
    </row>
    <row r="425" ht="13" customHeight="1" s="189">
      <c r="A425" s="289" t="n"/>
      <c r="B425" s="290" t="n"/>
      <c r="C425" s="290" t="n"/>
      <c r="D425" s="290" t="n"/>
      <c r="E425" s="290" t="n"/>
      <c r="F425" s="290" t="n"/>
      <c r="G425" s="291" t="n"/>
      <c r="H425" s="291" t="n"/>
      <c r="I425" s="291" t="n"/>
    </row>
    <row r="426" ht="13" customHeight="1" s="189">
      <c r="A426" s="289" t="n"/>
      <c r="B426" s="290" t="n"/>
      <c r="C426" s="290" t="n"/>
      <c r="D426" s="290" t="n"/>
      <c r="E426" s="290" t="n"/>
      <c r="F426" s="290" t="n"/>
      <c r="G426" s="291" t="n"/>
      <c r="H426" s="291" t="n"/>
      <c r="I426" s="291" t="n"/>
    </row>
    <row r="427" ht="13" customHeight="1" s="189">
      <c r="A427" s="289" t="n"/>
      <c r="B427" s="290" t="n"/>
      <c r="C427" s="290" t="n"/>
      <c r="D427" s="290" t="n"/>
      <c r="E427" s="290" t="n"/>
      <c r="F427" s="290" t="n"/>
      <c r="G427" s="291" t="n"/>
      <c r="H427" s="291" t="n"/>
      <c r="I427" s="291" t="n"/>
    </row>
    <row r="428" ht="13" customHeight="1" s="189">
      <c r="A428" s="289" t="n"/>
      <c r="B428" s="290" t="n"/>
      <c r="C428" s="290" t="n"/>
      <c r="D428" s="290" t="n"/>
      <c r="E428" s="290" t="n"/>
      <c r="F428" s="290" t="n"/>
      <c r="G428" s="291" t="n"/>
      <c r="H428" s="291" t="n"/>
      <c r="I428" s="291" t="n"/>
    </row>
    <row r="429" ht="13" customHeight="1" s="189">
      <c r="A429" s="289" t="n"/>
      <c r="B429" s="290" t="n"/>
      <c r="C429" s="290" t="n"/>
      <c r="D429" s="290" t="n"/>
      <c r="E429" s="290" t="n"/>
      <c r="F429" s="290" t="n"/>
      <c r="G429" s="291" t="n"/>
      <c r="H429" s="291" t="n"/>
      <c r="I429" s="291" t="n"/>
    </row>
    <row r="430" ht="13" customHeight="1" s="189">
      <c r="A430" s="289" t="n"/>
      <c r="B430" s="290" t="n"/>
      <c r="C430" s="290" t="n"/>
      <c r="D430" s="290" t="n"/>
      <c r="E430" s="290" t="n"/>
      <c r="F430" s="290" t="n"/>
      <c r="G430" s="291" t="n"/>
      <c r="H430" s="291" t="n"/>
      <c r="I430" s="291" t="n"/>
    </row>
    <row r="431" ht="13" customHeight="1" s="189">
      <c r="A431" s="289" t="n"/>
      <c r="B431" s="290" t="n"/>
      <c r="C431" s="290" t="n"/>
      <c r="D431" s="290" t="n"/>
      <c r="E431" s="290" t="n"/>
      <c r="F431" s="290" t="n"/>
      <c r="G431" s="291" t="n"/>
      <c r="H431" s="291" t="n"/>
      <c r="I431" s="291" t="n"/>
    </row>
    <row r="432" ht="13" customHeight="1" s="189">
      <c r="A432" s="289" t="n"/>
      <c r="B432" s="290" t="n"/>
      <c r="C432" s="290" t="n"/>
      <c r="D432" s="290" t="n"/>
      <c r="E432" s="290" t="n"/>
      <c r="F432" s="290" t="n"/>
      <c r="G432" s="291" t="n"/>
      <c r="H432" s="291" t="n"/>
      <c r="I432" s="291" t="n"/>
    </row>
    <row r="433" ht="13" customHeight="1" s="189">
      <c r="A433" s="289" t="n"/>
      <c r="B433" s="290" t="n"/>
      <c r="C433" s="290" t="n"/>
      <c r="D433" s="290" t="n"/>
      <c r="E433" s="290" t="n"/>
      <c r="F433" s="290" t="n"/>
      <c r="G433" s="291" t="n"/>
      <c r="H433" s="291" t="n"/>
      <c r="I433" s="291" t="n"/>
    </row>
    <row r="434" ht="13" customHeight="1" s="189">
      <c r="A434" s="289" t="n"/>
      <c r="B434" s="290" t="n"/>
      <c r="C434" s="290" t="n"/>
      <c r="D434" s="290" t="n"/>
      <c r="E434" s="290" t="n"/>
      <c r="F434" s="290" t="n"/>
      <c r="G434" s="291" t="n"/>
      <c r="H434" s="291" t="n"/>
      <c r="I434" s="291" t="n"/>
    </row>
    <row r="435" ht="13" customHeight="1" s="189">
      <c r="A435" s="289" t="n"/>
      <c r="B435" s="290" t="n"/>
      <c r="C435" s="290" t="n"/>
      <c r="D435" s="290" t="n"/>
      <c r="E435" s="290" t="n"/>
      <c r="F435" s="290" t="n"/>
      <c r="G435" s="291" t="n"/>
      <c r="H435" s="291" t="n"/>
      <c r="I435" s="291" t="n"/>
    </row>
    <row r="436" ht="13" customHeight="1" s="189">
      <c r="A436" s="289" t="n"/>
      <c r="B436" s="290" t="n"/>
      <c r="C436" s="290" t="n"/>
      <c r="D436" s="290" t="n"/>
      <c r="E436" s="290" t="n"/>
      <c r="F436" s="290" t="n"/>
      <c r="G436" s="291" t="n"/>
      <c r="H436" s="291" t="n"/>
      <c r="I436" s="291" t="n"/>
    </row>
    <row r="437" ht="13" customHeight="1" s="189">
      <c r="A437" s="289" t="n"/>
      <c r="B437" s="290" t="n"/>
      <c r="C437" s="290" t="n"/>
      <c r="D437" s="290" t="n"/>
      <c r="E437" s="290" t="n"/>
      <c r="F437" s="290" t="n"/>
      <c r="G437" s="291" t="n"/>
      <c r="H437" s="291" t="n"/>
      <c r="I437" s="291" t="n"/>
    </row>
    <row r="438" ht="13" customHeight="1" s="189">
      <c r="A438" s="289" t="n"/>
      <c r="B438" s="290" t="n"/>
      <c r="C438" s="290" t="n"/>
      <c r="D438" s="290" t="n"/>
      <c r="E438" s="290" t="n"/>
      <c r="F438" s="290" t="n"/>
      <c r="G438" s="291" t="n"/>
      <c r="H438" s="291" t="n"/>
      <c r="I438" s="291" t="n"/>
    </row>
    <row r="439" ht="13" customHeight="1" s="189">
      <c r="A439" s="289" t="n"/>
      <c r="B439" s="290" t="n"/>
      <c r="C439" s="290" t="n"/>
      <c r="D439" s="290" t="n"/>
      <c r="E439" s="290" t="n"/>
      <c r="F439" s="290" t="n"/>
      <c r="G439" s="291" t="n"/>
      <c r="H439" s="291" t="n"/>
      <c r="I439" s="291" t="n"/>
    </row>
    <row r="440" ht="13" customHeight="1" s="189">
      <c r="A440" s="289" t="n"/>
      <c r="B440" s="290" t="n"/>
      <c r="C440" s="290" t="n"/>
      <c r="D440" s="290" t="n"/>
      <c r="E440" s="290" t="n"/>
      <c r="F440" s="290" t="n"/>
      <c r="G440" s="291" t="n"/>
      <c r="H440" s="291" t="n"/>
      <c r="I440" s="291" t="n"/>
    </row>
    <row r="441" ht="13" customHeight="1" s="189">
      <c r="A441" s="289" t="n"/>
      <c r="B441" s="290" t="n"/>
      <c r="C441" s="290" t="n"/>
      <c r="D441" s="290" t="n"/>
      <c r="E441" s="290" t="n"/>
      <c r="F441" s="290" t="n"/>
      <c r="G441" s="291" t="n"/>
      <c r="H441" s="291" t="n"/>
      <c r="I441" s="291" t="n"/>
    </row>
    <row r="442" ht="13" customHeight="1" s="189">
      <c r="A442" s="289" t="n"/>
      <c r="B442" s="290" t="n"/>
      <c r="C442" s="290" t="n"/>
      <c r="D442" s="290" t="n"/>
      <c r="E442" s="290" t="n"/>
      <c r="F442" s="290" t="n"/>
      <c r="G442" s="291" t="n"/>
      <c r="H442" s="291" t="n"/>
      <c r="I442" s="291" t="n"/>
    </row>
    <row r="443" ht="13" customHeight="1" s="189">
      <c r="A443" s="289" t="n"/>
      <c r="B443" s="290" t="n"/>
      <c r="C443" s="290" t="n"/>
      <c r="D443" s="290" t="n"/>
      <c r="E443" s="290" t="n"/>
      <c r="F443" s="290" t="n"/>
      <c r="G443" s="291" t="n"/>
      <c r="H443" s="291" t="n"/>
      <c r="I443" s="291" t="n"/>
    </row>
    <row r="444" ht="13" customHeight="1" s="189">
      <c r="A444" s="289" t="n"/>
      <c r="B444" s="290" t="n"/>
      <c r="C444" s="290" t="n"/>
      <c r="D444" s="290" t="n"/>
      <c r="E444" s="290" t="n"/>
      <c r="F444" s="290" t="n"/>
      <c r="G444" s="291" t="n"/>
      <c r="H444" s="291" t="n"/>
      <c r="I444" s="291" t="n"/>
    </row>
    <row r="445" ht="13" customHeight="1" s="189">
      <c r="A445" s="289" t="n"/>
      <c r="B445" s="290" t="n"/>
      <c r="C445" s="290" t="n"/>
      <c r="D445" s="290" t="n"/>
      <c r="E445" s="290" t="n"/>
      <c r="F445" s="290" t="n"/>
      <c r="G445" s="291" t="n"/>
      <c r="H445" s="291" t="n"/>
      <c r="I445" s="291" t="n"/>
    </row>
    <row r="446" ht="13" customHeight="1" s="189">
      <c r="A446" s="289" t="n"/>
      <c r="B446" s="290" t="n"/>
      <c r="C446" s="290" t="n"/>
      <c r="D446" s="290" t="n"/>
      <c r="E446" s="290" t="n"/>
      <c r="F446" s="290" t="n"/>
      <c r="G446" s="291" t="n"/>
      <c r="H446" s="291" t="n"/>
      <c r="I446" s="291" t="n"/>
    </row>
    <row r="447" ht="13" customHeight="1" s="189">
      <c r="A447" s="289" t="n"/>
      <c r="B447" s="290" t="n"/>
      <c r="C447" s="290" t="n"/>
      <c r="D447" s="290" t="n"/>
      <c r="E447" s="290" t="n"/>
      <c r="F447" s="290" t="n"/>
      <c r="G447" s="291" t="n"/>
      <c r="H447" s="291" t="n"/>
      <c r="I447" s="291" t="n"/>
    </row>
    <row r="448" ht="13" customHeight="1" s="189">
      <c r="A448" s="289" t="n"/>
      <c r="B448" s="290" t="n"/>
      <c r="C448" s="290" t="n"/>
      <c r="D448" s="290" t="n"/>
      <c r="E448" s="290" t="n"/>
      <c r="F448" s="290" t="n"/>
      <c r="G448" s="291" t="n"/>
      <c r="H448" s="291" t="n"/>
      <c r="I448" s="291" t="n"/>
    </row>
    <row r="449" ht="13" customHeight="1" s="189">
      <c r="A449" s="289" t="n"/>
      <c r="B449" s="290" t="n"/>
      <c r="C449" s="290" t="n"/>
      <c r="D449" s="290" t="n"/>
      <c r="E449" s="290" t="n"/>
      <c r="F449" s="290" t="n"/>
      <c r="G449" s="291" t="n"/>
      <c r="H449" s="291" t="n"/>
      <c r="I449" s="291" t="n"/>
    </row>
    <row r="450" ht="13" customHeight="1" s="189">
      <c r="A450" s="289" t="n"/>
      <c r="B450" s="290" t="n"/>
      <c r="C450" s="290" t="n"/>
      <c r="D450" s="290" t="n"/>
      <c r="E450" s="290" t="n"/>
      <c r="F450" s="290" t="n"/>
      <c r="G450" s="291" t="n"/>
      <c r="H450" s="291" t="n"/>
      <c r="I450" s="291" t="n"/>
    </row>
    <row r="451" ht="13" customHeight="1" s="189">
      <c r="A451" s="289" t="n"/>
      <c r="B451" s="290" t="n"/>
      <c r="C451" s="290" t="n"/>
      <c r="D451" s="290" t="n"/>
      <c r="E451" s="290" t="n"/>
      <c r="F451" s="290" t="n"/>
      <c r="G451" s="291" t="n"/>
      <c r="H451" s="291" t="n"/>
      <c r="I451" s="291" t="n"/>
    </row>
    <row r="452" ht="13" customHeight="1" s="189">
      <c r="A452" s="289" t="n"/>
      <c r="B452" s="290" t="n"/>
      <c r="C452" s="290" t="n"/>
      <c r="D452" s="290" t="n"/>
      <c r="E452" s="290" t="n"/>
      <c r="F452" s="290" t="n"/>
      <c r="G452" s="291" t="n"/>
      <c r="H452" s="291" t="n"/>
      <c r="I452" s="291" t="n"/>
    </row>
    <row r="453" ht="13" customHeight="1" s="189">
      <c r="A453" s="289" t="n"/>
      <c r="B453" s="290" t="n"/>
      <c r="C453" s="290" t="n"/>
      <c r="D453" s="290" t="n"/>
      <c r="E453" s="290" t="n"/>
      <c r="F453" s="290" t="n"/>
      <c r="G453" s="291" t="n"/>
      <c r="H453" s="291" t="n"/>
      <c r="I453" s="291" t="n"/>
    </row>
    <row r="454" ht="13" customHeight="1" s="189">
      <c r="A454" s="289" t="n"/>
      <c r="B454" s="290" t="n"/>
      <c r="C454" s="290" t="n"/>
      <c r="D454" s="290" t="n"/>
      <c r="E454" s="290" t="n"/>
      <c r="F454" s="290" t="n"/>
      <c r="G454" s="291" t="n"/>
      <c r="H454" s="291" t="n"/>
      <c r="I454" s="291" t="n"/>
    </row>
    <row r="455" ht="13" customHeight="1" s="189">
      <c r="A455" s="289" t="n"/>
      <c r="B455" s="290" t="n"/>
      <c r="C455" s="290" t="n"/>
      <c r="D455" s="290" t="n"/>
      <c r="E455" s="290" t="n"/>
      <c r="F455" s="290" t="n"/>
      <c r="G455" s="291" t="n"/>
      <c r="H455" s="291" t="n"/>
      <c r="I455" s="291" t="n"/>
    </row>
    <row r="456" ht="13" customHeight="1" s="189">
      <c r="A456" s="289" t="n"/>
      <c r="B456" s="290" t="n"/>
      <c r="C456" s="290" t="n"/>
      <c r="D456" s="290" t="n"/>
      <c r="E456" s="290" t="n"/>
      <c r="F456" s="290" t="n"/>
      <c r="G456" s="291" t="n"/>
      <c r="H456" s="291" t="n"/>
      <c r="I456" s="291" t="n"/>
    </row>
    <row r="457" ht="13" customHeight="1" s="189">
      <c r="A457" s="289" t="n"/>
      <c r="B457" s="290" t="n"/>
      <c r="C457" s="290" t="n"/>
      <c r="D457" s="290" t="n"/>
      <c r="E457" s="290" t="n"/>
      <c r="F457" s="290" t="n"/>
      <c r="G457" s="291" t="n"/>
      <c r="H457" s="291" t="n"/>
      <c r="I457" s="291" t="n"/>
    </row>
    <row r="458" ht="13" customHeight="1" s="189">
      <c r="A458" s="289" t="n"/>
      <c r="B458" s="290" t="n"/>
      <c r="C458" s="290" t="n"/>
      <c r="D458" s="290" t="n"/>
      <c r="E458" s="290" t="n"/>
      <c r="F458" s="290" t="n"/>
      <c r="G458" s="291" t="n"/>
      <c r="H458" s="291" t="n"/>
      <c r="I458" s="291" t="n"/>
    </row>
    <row r="459" ht="13" customHeight="1" s="189">
      <c r="A459" s="289" t="n"/>
      <c r="B459" s="290" t="n"/>
      <c r="C459" s="290" t="n"/>
      <c r="D459" s="290" t="n"/>
      <c r="E459" s="290" t="n"/>
      <c r="F459" s="290" t="n"/>
      <c r="G459" s="291" t="n"/>
      <c r="H459" s="291" t="n"/>
      <c r="I459" s="291" t="n"/>
    </row>
    <row r="460" ht="13" customHeight="1" s="189">
      <c r="A460" s="289" t="n"/>
      <c r="B460" s="290" t="n"/>
      <c r="C460" s="290" t="n"/>
      <c r="D460" s="290" t="n"/>
      <c r="E460" s="290" t="n"/>
      <c r="F460" s="290" t="n"/>
      <c r="G460" s="291" t="n"/>
      <c r="H460" s="291" t="n"/>
      <c r="I460" s="291" t="n"/>
    </row>
    <row r="461" ht="13" customHeight="1" s="189">
      <c r="A461" s="289" t="n"/>
      <c r="B461" s="290" t="n"/>
      <c r="C461" s="290" t="n"/>
      <c r="D461" s="290" t="n"/>
      <c r="E461" s="290" t="n"/>
      <c r="F461" s="290" t="n"/>
      <c r="G461" s="291" t="n"/>
      <c r="H461" s="291" t="n"/>
      <c r="I461" s="291" t="n"/>
    </row>
    <row r="462" ht="13" customHeight="1" s="189">
      <c r="A462" s="289" t="n"/>
      <c r="B462" s="290" t="n"/>
      <c r="C462" s="290" t="n"/>
      <c r="D462" s="290" t="n"/>
      <c r="E462" s="290" t="n"/>
      <c r="F462" s="290" t="n"/>
      <c r="G462" s="291" t="n"/>
      <c r="H462" s="291" t="n"/>
      <c r="I462" s="291" t="n"/>
    </row>
    <row r="463" ht="13" customHeight="1" s="189">
      <c r="A463" s="289" t="n"/>
      <c r="B463" s="290" t="n"/>
      <c r="C463" s="290" t="n"/>
      <c r="D463" s="290" t="n"/>
      <c r="E463" s="290" t="n"/>
      <c r="F463" s="290" t="n"/>
      <c r="G463" s="291" t="n"/>
      <c r="H463" s="291" t="n"/>
      <c r="I463" s="291" t="n"/>
    </row>
    <row r="464" ht="13" customHeight="1" s="189">
      <c r="A464" s="289" t="n"/>
      <c r="B464" s="290" t="n"/>
      <c r="C464" s="290" t="n"/>
      <c r="D464" s="290" t="n"/>
      <c r="E464" s="290" t="n"/>
      <c r="F464" s="290" t="n"/>
      <c r="G464" s="291" t="n"/>
      <c r="H464" s="291" t="n"/>
      <c r="I464" s="291" t="n"/>
    </row>
    <row r="465" ht="13" customHeight="1" s="189">
      <c r="A465" s="289" t="n"/>
      <c r="B465" s="290" t="n"/>
      <c r="C465" s="290" t="n"/>
      <c r="D465" s="290" t="n"/>
      <c r="E465" s="290" t="n"/>
      <c r="F465" s="290" t="n"/>
      <c r="G465" s="291" t="n"/>
      <c r="H465" s="291" t="n"/>
      <c r="I465" s="291" t="n"/>
    </row>
    <row r="466" ht="13" customHeight="1" s="189">
      <c r="A466" s="289" t="n"/>
      <c r="B466" s="290" t="n"/>
      <c r="C466" s="290" t="n"/>
      <c r="D466" s="290" t="n"/>
      <c r="E466" s="290" t="n"/>
      <c r="F466" s="290" t="n"/>
      <c r="G466" s="291" t="n"/>
      <c r="H466" s="291" t="n"/>
      <c r="I466" s="291" t="n"/>
    </row>
    <row r="467" ht="13" customHeight="1" s="189">
      <c r="A467" s="289" t="n"/>
      <c r="B467" s="290" t="n"/>
      <c r="C467" s="290" t="n"/>
      <c r="D467" s="290" t="n"/>
      <c r="E467" s="290" t="n"/>
      <c r="F467" s="290" t="n"/>
      <c r="G467" s="291" t="n"/>
      <c r="H467" s="291" t="n"/>
      <c r="I467" s="291" t="n"/>
    </row>
    <row r="468" ht="13" customHeight="1" s="189">
      <c r="A468" s="289" t="n"/>
      <c r="B468" s="290" t="n"/>
      <c r="C468" s="290" t="n"/>
      <c r="D468" s="290" t="n"/>
      <c r="E468" s="290" t="n"/>
      <c r="F468" s="290" t="n"/>
      <c r="G468" s="291" t="n"/>
      <c r="H468" s="291" t="n"/>
      <c r="I468" s="291" t="n"/>
    </row>
    <row r="469" ht="13" customHeight="1" s="189">
      <c r="A469" s="289" t="n"/>
      <c r="B469" s="290" t="n"/>
      <c r="C469" s="290" t="n"/>
      <c r="D469" s="290" t="n"/>
      <c r="E469" s="290" t="n"/>
      <c r="F469" s="290" t="n"/>
      <c r="G469" s="291" t="n"/>
      <c r="H469" s="291" t="n"/>
      <c r="I469" s="291" t="n"/>
    </row>
    <row r="470" ht="13" customHeight="1" s="189">
      <c r="A470" s="289" t="n"/>
      <c r="B470" s="290" t="n"/>
      <c r="C470" s="290" t="n"/>
      <c r="D470" s="290" t="n"/>
      <c r="E470" s="290" t="n"/>
      <c r="F470" s="290" t="n"/>
      <c r="G470" s="291" t="n"/>
      <c r="H470" s="291" t="n"/>
      <c r="I470" s="291" t="n"/>
    </row>
    <row r="471" ht="13" customHeight="1" s="189">
      <c r="A471" s="289" t="n"/>
      <c r="B471" s="290" t="n"/>
      <c r="C471" s="290" t="n"/>
      <c r="D471" s="290" t="n"/>
      <c r="E471" s="290" t="n"/>
      <c r="F471" s="290" t="n"/>
      <c r="G471" s="291" t="n"/>
      <c r="H471" s="291" t="n"/>
      <c r="I471" s="291" t="n"/>
    </row>
    <row r="472" ht="13" customHeight="1" s="189">
      <c r="A472" s="289" t="n"/>
      <c r="B472" s="290" t="n"/>
      <c r="C472" s="290" t="n"/>
      <c r="D472" s="290" t="n"/>
      <c r="E472" s="290" t="n"/>
      <c r="F472" s="290" t="n"/>
      <c r="G472" s="291" t="n"/>
      <c r="H472" s="291" t="n"/>
      <c r="I472" s="291" t="n"/>
    </row>
    <row r="473" ht="13" customHeight="1" s="189">
      <c r="A473" s="289" t="n"/>
      <c r="B473" s="290" t="n"/>
      <c r="C473" s="290" t="n"/>
      <c r="D473" s="290" t="n"/>
      <c r="E473" s="290" t="n"/>
      <c r="F473" s="290" t="n"/>
      <c r="G473" s="291" t="n"/>
      <c r="H473" s="291" t="n"/>
      <c r="I473" s="291" t="n"/>
    </row>
    <row r="474" ht="13" customHeight="1" s="189">
      <c r="A474" s="289" t="n"/>
      <c r="B474" s="290" t="n"/>
      <c r="C474" s="290" t="n"/>
      <c r="D474" s="290" t="n"/>
      <c r="E474" s="290" t="n"/>
      <c r="F474" s="290" t="n"/>
      <c r="G474" s="291" t="n"/>
      <c r="H474" s="291" t="n"/>
      <c r="I474" s="291" t="n"/>
    </row>
    <row r="475" ht="13" customHeight="1" s="189">
      <c r="A475" s="289" t="n"/>
      <c r="B475" s="290" t="n"/>
      <c r="C475" s="290" t="n"/>
      <c r="D475" s="290" t="n"/>
      <c r="E475" s="290" t="n"/>
      <c r="F475" s="290" t="n"/>
      <c r="G475" s="291" t="n"/>
      <c r="H475" s="291" t="n"/>
      <c r="I475" s="291" t="n"/>
    </row>
    <row r="476" ht="13" customHeight="1" s="189">
      <c r="A476" s="289" t="n"/>
      <c r="B476" s="290" t="n"/>
      <c r="C476" s="290" t="n"/>
      <c r="D476" s="290" t="n"/>
      <c r="E476" s="290" t="n"/>
      <c r="F476" s="290" t="n"/>
      <c r="G476" s="291" t="n"/>
      <c r="H476" s="291" t="n"/>
      <c r="I476" s="291" t="n"/>
    </row>
    <row r="477" ht="13" customHeight="1" s="189">
      <c r="A477" s="289" t="n"/>
      <c r="B477" s="290" t="n"/>
      <c r="C477" s="290" t="n"/>
      <c r="D477" s="290" t="n"/>
      <c r="E477" s="290" t="n"/>
      <c r="F477" s="290" t="n"/>
      <c r="G477" s="291" t="n"/>
      <c r="H477" s="291" t="n"/>
      <c r="I477" s="291" t="n"/>
    </row>
    <row r="478" ht="13" customHeight="1" s="189">
      <c r="A478" s="289" t="n"/>
      <c r="B478" s="290" t="n"/>
      <c r="C478" s="290" t="n"/>
      <c r="D478" s="290" t="n"/>
      <c r="E478" s="290" t="n"/>
      <c r="F478" s="290" t="n"/>
      <c r="G478" s="291" t="n"/>
      <c r="H478" s="291" t="n"/>
      <c r="I478" s="291" t="n"/>
    </row>
    <row r="479" ht="13" customHeight="1" s="189">
      <c r="A479" s="289" t="n"/>
      <c r="B479" s="290" t="n"/>
      <c r="C479" s="290" t="n"/>
      <c r="D479" s="290" t="n"/>
      <c r="E479" s="290" t="n"/>
      <c r="F479" s="290" t="n"/>
      <c r="G479" s="291" t="n"/>
      <c r="H479" s="291" t="n"/>
      <c r="I479" s="291" t="n"/>
    </row>
    <row r="480" ht="13" customHeight="1" s="189">
      <c r="A480" s="289" t="n"/>
      <c r="B480" s="290" t="n"/>
      <c r="C480" s="290" t="n"/>
      <c r="D480" s="290" t="n"/>
      <c r="E480" s="290" t="n"/>
      <c r="F480" s="290" t="n"/>
      <c r="G480" s="291" t="n"/>
      <c r="H480" s="291" t="n"/>
      <c r="I480" s="291" t="n"/>
    </row>
    <row r="481" ht="13" customHeight="1" s="189">
      <c r="A481" s="289" t="n"/>
      <c r="B481" s="290" t="n"/>
      <c r="C481" s="290" t="n"/>
      <c r="D481" s="290" t="n"/>
      <c r="E481" s="290" t="n"/>
      <c r="F481" s="290" t="n"/>
      <c r="G481" s="291" t="n"/>
      <c r="H481" s="291" t="n"/>
      <c r="I481" s="291" t="n"/>
    </row>
    <row r="482" ht="13" customHeight="1" s="189">
      <c r="A482" s="289" t="n"/>
      <c r="B482" s="290" t="n"/>
      <c r="C482" s="290" t="n"/>
      <c r="D482" s="290" t="n"/>
      <c r="E482" s="290" t="n"/>
      <c r="F482" s="290" t="n"/>
      <c r="G482" s="291" t="n"/>
      <c r="H482" s="291" t="n"/>
      <c r="I482" s="291" t="n"/>
    </row>
    <row r="483" ht="13" customHeight="1" s="189">
      <c r="A483" s="289" t="n"/>
      <c r="B483" s="290" t="n"/>
      <c r="C483" s="290" t="n"/>
      <c r="D483" s="290" t="n"/>
      <c r="E483" s="290" t="n"/>
      <c r="F483" s="290" t="n"/>
      <c r="G483" s="291" t="n"/>
      <c r="H483" s="291" t="n"/>
      <c r="I483" s="291" t="n"/>
    </row>
    <row r="484" ht="13" customHeight="1" s="189">
      <c r="A484" s="289" t="n"/>
      <c r="B484" s="290" t="n"/>
      <c r="C484" s="290" t="n"/>
      <c r="D484" s="290" t="n"/>
      <c r="E484" s="290" t="n"/>
      <c r="F484" s="290" t="n"/>
      <c r="G484" s="291" t="n"/>
      <c r="H484" s="291" t="n"/>
      <c r="I484" s="291" t="n"/>
    </row>
    <row r="485" ht="13" customHeight="1" s="189">
      <c r="A485" s="289" t="n"/>
      <c r="B485" s="290" t="n"/>
      <c r="C485" s="290" t="n"/>
      <c r="D485" s="290" t="n"/>
      <c r="E485" s="290" t="n"/>
      <c r="F485" s="290" t="n"/>
      <c r="G485" s="291" t="n"/>
      <c r="H485" s="291" t="n"/>
      <c r="I485" s="291" t="n"/>
    </row>
    <row r="486" ht="13" customHeight="1" s="189">
      <c r="A486" s="289" t="n"/>
      <c r="B486" s="290" t="n"/>
      <c r="C486" s="290" t="n"/>
      <c r="D486" s="290" t="n"/>
      <c r="E486" s="290" t="n"/>
      <c r="F486" s="290" t="n"/>
      <c r="G486" s="291" t="n"/>
      <c r="H486" s="291" t="n"/>
      <c r="I486" s="291" t="n"/>
    </row>
    <row r="487" ht="13" customHeight="1" s="189">
      <c r="A487" s="289" t="n"/>
      <c r="B487" s="290" t="n"/>
      <c r="C487" s="290" t="n"/>
      <c r="D487" s="290" t="n"/>
      <c r="E487" s="290" t="n"/>
      <c r="F487" s="290" t="n"/>
      <c r="G487" s="291" t="n"/>
      <c r="H487" s="291" t="n"/>
      <c r="I487" s="291" t="n"/>
    </row>
    <row r="488" ht="13" customHeight="1" s="189">
      <c r="A488" s="289" t="n"/>
      <c r="B488" s="290" t="n"/>
      <c r="C488" s="290" t="n"/>
      <c r="D488" s="290" t="n"/>
      <c r="E488" s="290" t="n"/>
      <c r="F488" s="290" t="n"/>
      <c r="G488" s="291" t="n"/>
      <c r="H488" s="291" t="n"/>
      <c r="I488" s="291" t="n"/>
    </row>
    <row r="489" ht="13" customHeight="1" s="189">
      <c r="A489" s="289" t="n"/>
      <c r="B489" s="290" t="n"/>
      <c r="C489" s="290" t="n"/>
      <c r="D489" s="290" t="n"/>
      <c r="E489" s="290" t="n"/>
      <c r="F489" s="290" t="n"/>
      <c r="G489" s="291" t="n"/>
      <c r="H489" s="291" t="n"/>
      <c r="I489" s="291" t="n"/>
    </row>
    <row r="490" ht="13" customHeight="1" s="189">
      <c r="A490" s="289" t="n"/>
      <c r="B490" s="290" t="n"/>
      <c r="C490" s="290" t="n"/>
      <c r="D490" s="290" t="n"/>
      <c r="E490" s="290" t="n"/>
      <c r="F490" s="290" t="n"/>
      <c r="G490" s="291" t="n"/>
      <c r="H490" s="291" t="n"/>
      <c r="I490" s="291" t="n"/>
    </row>
    <row r="491" ht="13" customHeight="1" s="189">
      <c r="A491" s="289" t="n"/>
      <c r="B491" s="290" t="n"/>
      <c r="C491" s="290" t="n"/>
      <c r="D491" s="290" t="n"/>
      <c r="E491" s="290" t="n"/>
      <c r="F491" s="290" t="n"/>
      <c r="G491" s="291" t="n"/>
      <c r="H491" s="291" t="n"/>
      <c r="I491" s="291" t="n"/>
    </row>
    <row r="492" ht="13" customHeight="1" s="189">
      <c r="A492" s="289" t="n"/>
      <c r="B492" s="290" t="n"/>
      <c r="C492" s="290" t="n"/>
      <c r="D492" s="290" t="n"/>
      <c r="E492" s="290" t="n"/>
      <c r="F492" s="290" t="n"/>
      <c r="G492" s="291" t="n"/>
      <c r="H492" s="291" t="n"/>
      <c r="I492" s="291" t="n"/>
    </row>
    <row r="493" ht="13" customHeight="1" s="189">
      <c r="A493" s="289" t="n"/>
      <c r="B493" s="290" t="n"/>
      <c r="C493" s="290" t="n"/>
      <c r="D493" s="290" t="n"/>
      <c r="E493" s="290" t="n"/>
      <c r="F493" s="290" t="n"/>
      <c r="G493" s="291" t="n"/>
      <c r="H493" s="291" t="n"/>
      <c r="I493" s="291" t="n"/>
    </row>
    <row r="494" ht="13" customHeight="1" s="189">
      <c r="A494" s="289" t="n"/>
      <c r="B494" s="290" t="n"/>
      <c r="C494" s="290" t="n"/>
      <c r="D494" s="290" t="n"/>
      <c r="E494" s="290" t="n"/>
      <c r="F494" s="290" t="n"/>
      <c r="G494" s="291" t="n"/>
      <c r="H494" s="291" t="n"/>
      <c r="I494" s="291" t="n"/>
    </row>
    <row r="495" ht="13" customHeight="1" s="189">
      <c r="A495" s="289" t="n"/>
      <c r="B495" s="290" t="n"/>
      <c r="C495" s="290" t="n"/>
      <c r="D495" s="290" t="n"/>
      <c r="E495" s="290" t="n"/>
      <c r="F495" s="290" t="n"/>
      <c r="G495" s="291" t="n"/>
      <c r="H495" s="291" t="n"/>
      <c r="I495" s="291" t="n"/>
    </row>
    <row r="496" ht="13" customHeight="1" s="189">
      <c r="A496" s="289" t="n"/>
      <c r="B496" s="290" t="n"/>
      <c r="C496" s="290" t="n"/>
      <c r="D496" s="290" t="n"/>
      <c r="E496" s="290" t="n"/>
      <c r="F496" s="290" t="n"/>
      <c r="G496" s="291" t="n"/>
      <c r="H496" s="291" t="n"/>
      <c r="I496" s="291" t="n"/>
    </row>
    <row r="497" ht="13" customHeight="1" s="189">
      <c r="A497" s="289" t="n"/>
      <c r="B497" s="290" t="n"/>
      <c r="C497" s="290" t="n"/>
      <c r="D497" s="290" t="n"/>
      <c r="E497" s="290" t="n"/>
      <c r="F497" s="290" t="n"/>
      <c r="G497" s="291" t="n"/>
      <c r="H497" s="291" t="n"/>
      <c r="I497" s="291" t="n"/>
    </row>
    <row r="498" ht="13" customHeight="1" s="189">
      <c r="A498" s="289" t="n"/>
      <c r="B498" s="290" t="n"/>
      <c r="C498" s="290" t="n"/>
      <c r="D498" s="290" t="n"/>
      <c r="E498" s="290" t="n"/>
      <c r="F498" s="290" t="n"/>
      <c r="G498" s="291" t="n"/>
      <c r="H498" s="291" t="n"/>
      <c r="I498" s="291" t="n"/>
    </row>
    <row r="499" ht="13" customHeight="1" s="189">
      <c r="A499" s="289" t="n"/>
      <c r="B499" s="290" t="n"/>
      <c r="C499" s="290" t="n"/>
      <c r="D499" s="290" t="n"/>
      <c r="E499" s="290" t="n"/>
      <c r="F499" s="290" t="n"/>
      <c r="G499" s="291" t="n"/>
      <c r="H499" s="291" t="n"/>
      <c r="I499" s="291" t="n"/>
    </row>
    <row r="500" ht="13" customHeight="1" s="189">
      <c r="A500" s="289" t="n"/>
      <c r="B500" s="290" t="n"/>
      <c r="C500" s="290" t="n"/>
      <c r="D500" s="290" t="n"/>
      <c r="E500" s="290" t="n"/>
      <c r="F500" s="290" t="n"/>
      <c r="G500" s="291" t="n"/>
      <c r="H500" s="291" t="n"/>
      <c r="I500" s="291" t="n"/>
    </row>
    <row r="501" ht="13" customHeight="1" s="189">
      <c r="A501" s="289" t="n"/>
      <c r="B501" s="290" t="n"/>
      <c r="C501" s="290" t="n"/>
      <c r="D501" s="290" t="n"/>
      <c r="E501" s="290" t="n"/>
      <c r="F501" s="290" t="n"/>
      <c r="G501" s="291" t="n"/>
      <c r="H501" s="291" t="n"/>
      <c r="I501" s="291" t="n"/>
    </row>
    <row r="502" ht="13" customHeight="1" s="189">
      <c r="A502" s="289" t="n"/>
      <c r="B502" s="290" t="n"/>
      <c r="C502" s="290" t="n"/>
      <c r="D502" s="290" t="n"/>
      <c r="E502" s="290" t="n"/>
      <c r="F502" s="290" t="n"/>
      <c r="G502" s="291" t="n"/>
      <c r="H502" s="291" t="n"/>
      <c r="I502" s="291" t="n"/>
    </row>
    <row r="503" ht="13" customHeight="1" s="189">
      <c r="A503" s="289" t="n"/>
      <c r="B503" s="290" t="n"/>
      <c r="C503" s="290" t="n"/>
      <c r="D503" s="290" t="n"/>
      <c r="E503" s="290" t="n"/>
      <c r="F503" s="290" t="n"/>
      <c r="G503" s="291" t="n"/>
      <c r="H503" s="291" t="n"/>
      <c r="I503" s="291" t="n"/>
    </row>
    <row r="504" ht="13" customHeight="1" s="189">
      <c r="A504" s="289" t="n"/>
      <c r="B504" s="290" t="n"/>
      <c r="C504" s="290" t="n"/>
      <c r="D504" s="290" t="n"/>
      <c r="E504" s="290" t="n"/>
      <c r="F504" s="290" t="n"/>
      <c r="G504" s="291" t="n"/>
      <c r="H504" s="291" t="n"/>
      <c r="I504" s="291" t="n"/>
    </row>
    <row r="505" ht="13" customHeight="1" s="189">
      <c r="A505" s="289" t="n"/>
      <c r="B505" s="290" t="n"/>
      <c r="C505" s="290" t="n"/>
      <c r="D505" s="290" t="n"/>
      <c r="E505" s="290" t="n"/>
      <c r="F505" s="290" t="n"/>
      <c r="G505" s="291" t="n"/>
      <c r="H505" s="291" t="n"/>
      <c r="I505" s="291" t="n"/>
    </row>
    <row r="506" ht="13" customHeight="1" s="189">
      <c r="A506" s="289" t="n"/>
      <c r="B506" s="290" t="n"/>
      <c r="C506" s="290" t="n"/>
      <c r="D506" s="290" t="n"/>
      <c r="E506" s="290" t="n"/>
      <c r="F506" s="290" t="n"/>
      <c r="G506" s="291" t="n"/>
      <c r="H506" s="291" t="n"/>
      <c r="I506" s="291" t="n"/>
    </row>
    <row r="507" ht="13" customHeight="1" s="189">
      <c r="A507" s="289" t="n"/>
      <c r="B507" s="290" t="n"/>
      <c r="C507" s="290" t="n"/>
      <c r="D507" s="290" t="n"/>
      <c r="E507" s="290" t="n"/>
      <c r="F507" s="290" t="n"/>
      <c r="G507" s="291" t="n"/>
      <c r="H507" s="291" t="n"/>
      <c r="I507" s="291" t="n"/>
    </row>
    <row r="508" ht="13" customHeight="1" s="189">
      <c r="A508" s="289" t="n"/>
      <c r="B508" s="290" t="n"/>
      <c r="C508" s="290" t="n"/>
      <c r="D508" s="290" t="n"/>
      <c r="E508" s="290" t="n"/>
      <c r="F508" s="290" t="n"/>
      <c r="G508" s="291" t="n"/>
      <c r="H508" s="291" t="n"/>
      <c r="I508" s="291" t="n"/>
    </row>
    <row r="509" ht="13" customHeight="1" s="189">
      <c r="A509" s="289" t="n"/>
      <c r="B509" s="290" t="n"/>
      <c r="C509" s="290" t="n"/>
      <c r="D509" s="290" t="n"/>
      <c r="E509" s="290" t="n"/>
      <c r="F509" s="290" t="n"/>
      <c r="G509" s="291" t="n"/>
      <c r="H509" s="291" t="n"/>
      <c r="I509" s="291" t="n"/>
    </row>
    <row r="510" ht="13" customHeight="1" s="189">
      <c r="A510" s="289" t="n"/>
      <c r="B510" s="290" t="n"/>
      <c r="C510" s="290" t="n"/>
      <c r="D510" s="290" t="n"/>
      <c r="E510" s="290" t="n"/>
      <c r="F510" s="290" t="n"/>
      <c r="G510" s="291" t="n"/>
      <c r="H510" s="291" t="n"/>
      <c r="I510" s="291" t="n"/>
    </row>
    <row r="511" ht="13" customHeight="1" s="189">
      <c r="A511" s="289" t="n"/>
      <c r="B511" s="290" t="n"/>
      <c r="C511" s="290" t="n"/>
      <c r="D511" s="290" t="n"/>
      <c r="E511" s="290" t="n"/>
      <c r="F511" s="290" t="n"/>
      <c r="G511" s="291" t="n"/>
      <c r="H511" s="291" t="n"/>
      <c r="I511" s="291" t="n"/>
    </row>
    <row r="512" ht="13" customHeight="1" s="189">
      <c r="A512" s="289" t="n"/>
      <c r="B512" s="290" t="n"/>
      <c r="C512" s="290" t="n"/>
      <c r="D512" s="290" t="n"/>
      <c r="E512" s="290" t="n"/>
      <c r="F512" s="290" t="n"/>
      <c r="G512" s="291" t="n"/>
      <c r="H512" s="291" t="n"/>
      <c r="I512" s="291" t="n"/>
    </row>
    <row r="513" ht="13" customHeight="1" s="189">
      <c r="A513" s="289" t="n"/>
      <c r="B513" s="290" t="n"/>
      <c r="C513" s="290" t="n"/>
      <c r="D513" s="290" t="n"/>
      <c r="E513" s="290" t="n"/>
      <c r="F513" s="290" t="n"/>
      <c r="G513" s="291" t="n"/>
      <c r="H513" s="291" t="n"/>
      <c r="I513" s="291" t="n"/>
    </row>
    <row r="514" ht="13" customHeight="1" s="189">
      <c r="A514" s="289" t="n"/>
      <c r="B514" s="290" t="n"/>
      <c r="C514" s="290" t="n"/>
      <c r="D514" s="290" t="n"/>
      <c r="E514" s="290" t="n"/>
      <c r="F514" s="290" t="n"/>
      <c r="G514" s="291" t="n"/>
      <c r="H514" s="291" t="n"/>
      <c r="I514" s="291" t="n"/>
    </row>
    <row r="515" ht="13" customHeight="1" s="189">
      <c r="A515" s="289" t="n"/>
      <c r="B515" s="290" t="n"/>
      <c r="C515" s="290" t="n"/>
      <c r="D515" s="290" t="n"/>
      <c r="E515" s="290" t="n"/>
      <c r="F515" s="290" t="n"/>
      <c r="G515" s="291" t="n"/>
      <c r="H515" s="291" t="n"/>
      <c r="I515" s="291" t="n"/>
    </row>
    <row r="516" ht="13" customHeight="1" s="189">
      <c r="A516" s="289" t="n"/>
      <c r="B516" s="290" t="n"/>
      <c r="C516" s="290" t="n"/>
      <c r="D516" s="290" t="n"/>
      <c r="E516" s="290" t="n"/>
      <c r="F516" s="290" t="n"/>
      <c r="G516" s="291" t="n"/>
      <c r="H516" s="291" t="n"/>
      <c r="I516" s="291" t="n"/>
    </row>
    <row r="517" ht="13" customHeight="1" s="189">
      <c r="A517" s="289" t="n"/>
      <c r="B517" s="290" t="n"/>
      <c r="C517" s="290" t="n"/>
      <c r="D517" s="290" t="n"/>
      <c r="E517" s="290" t="n"/>
      <c r="F517" s="290" t="n"/>
      <c r="G517" s="291" t="n"/>
      <c r="H517" s="291" t="n"/>
      <c r="I517" s="291" t="n"/>
    </row>
    <row r="518" ht="13" customHeight="1" s="189">
      <c r="A518" s="289" t="n"/>
      <c r="B518" s="290" t="n"/>
      <c r="C518" s="290" t="n"/>
      <c r="D518" s="290" t="n"/>
      <c r="E518" s="290" t="n"/>
      <c r="F518" s="290" t="n"/>
      <c r="G518" s="291" t="n"/>
      <c r="H518" s="291" t="n"/>
      <c r="I518" s="291" t="n"/>
    </row>
    <row r="519" ht="13" customHeight="1" s="189">
      <c r="A519" s="289" t="n"/>
      <c r="B519" s="290" t="n"/>
      <c r="C519" s="290" t="n"/>
      <c r="D519" s="290" t="n"/>
      <c r="E519" s="290" t="n"/>
      <c r="F519" s="290" t="n"/>
      <c r="G519" s="291" t="n"/>
      <c r="H519" s="291" t="n"/>
      <c r="I519" s="291" t="n"/>
    </row>
    <row r="520" ht="13" customHeight="1" s="189">
      <c r="A520" s="289" t="n"/>
      <c r="B520" s="290" t="n"/>
      <c r="C520" s="290" t="n"/>
      <c r="D520" s="290" t="n"/>
      <c r="E520" s="290" t="n"/>
      <c r="F520" s="290" t="n"/>
      <c r="G520" s="291" t="n"/>
      <c r="H520" s="291" t="n"/>
      <c r="I520" s="291" t="n"/>
    </row>
    <row r="521" ht="13" customHeight="1" s="189">
      <c r="A521" s="289" t="n"/>
      <c r="B521" s="290" t="n"/>
      <c r="C521" s="290" t="n"/>
      <c r="D521" s="290" t="n"/>
      <c r="E521" s="290" t="n"/>
      <c r="F521" s="290" t="n"/>
      <c r="G521" s="291" t="n"/>
      <c r="H521" s="291" t="n"/>
      <c r="I521" s="291" t="n"/>
    </row>
    <row r="522" ht="13" customHeight="1" s="189">
      <c r="A522" s="289" t="n"/>
      <c r="B522" s="290" t="n"/>
      <c r="C522" s="290" t="n"/>
      <c r="D522" s="290" t="n"/>
      <c r="E522" s="290" t="n"/>
      <c r="F522" s="290" t="n"/>
      <c r="G522" s="291" t="n"/>
      <c r="H522" s="291" t="n"/>
      <c r="I522" s="291" t="n"/>
    </row>
    <row r="523" ht="13" customHeight="1" s="189">
      <c r="A523" s="289" t="n"/>
      <c r="B523" s="290" t="n"/>
      <c r="C523" s="290" t="n"/>
      <c r="D523" s="290" t="n"/>
      <c r="E523" s="290" t="n"/>
      <c r="F523" s="290" t="n"/>
      <c r="G523" s="291" t="n"/>
      <c r="H523" s="291" t="n"/>
      <c r="I523" s="291" t="n"/>
    </row>
    <row r="524" ht="13" customHeight="1" s="189">
      <c r="A524" s="289" t="n"/>
      <c r="B524" s="290" t="n"/>
      <c r="C524" s="290" t="n"/>
      <c r="D524" s="290" t="n"/>
      <c r="E524" s="290" t="n"/>
      <c r="F524" s="290" t="n"/>
      <c r="G524" s="291" t="n"/>
      <c r="H524" s="291" t="n"/>
      <c r="I524" s="291" t="n"/>
    </row>
    <row r="525" ht="13" customHeight="1" s="189">
      <c r="A525" s="289" t="n"/>
      <c r="B525" s="290" t="n"/>
      <c r="C525" s="290" t="n"/>
      <c r="D525" s="290" t="n"/>
      <c r="E525" s="290" t="n"/>
      <c r="F525" s="290" t="n"/>
      <c r="G525" s="291" t="n"/>
      <c r="H525" s="291" t="n"/>
      <c r="I525" s="291" t="n"/>
    </row>
    <row r="526" ht="13" customHeight="1" s="189">
      <c r="A526" s="289" t="n"/>
      <c r="B526" s="290" t="n"/>
      <c r="C526" s="290" t="n"/>
      <c r="D526" s="290" t="n"/>
      <c r="E526" s="290" t="n"/>
      <c r="F526" s="290" t="n"/>
      <c r="G526" s="291" t="n"/>
      <c r="H526" s="291" t="n"/>
      <c r="I526" s="291" t="n"/>
    </row>
    <row r="527" ht="13" customHeight="1" s="189">
      <c r="A527" s="289" t="n"/>
      <c r="B527" s="290" t="n"/>
      <c r="C527" s="290" t="n"/>
      <c r="D527" s="290" t="n"/>
      <c r="E527" s="290" t="n"/>
      <c r="F527" s="290" t="n"/>
      <c r="G527" s="291" t="n"/>
      <c r="H527" s="291" t="n"/>
      <c r="I527" s="291" t="n"/>
    </row>
    <row r="528" ht="13" customHeight="1" s="189">
      <c r="A528" s="289" t="n"/>
      <c r="B528" s="290" t="n"/>
      <c r="C528" s="290" t="n"/>
      <c r="D528" s="290" t="n"/>
      <c r="E528" s="290" t="n"/>
      <c r="F528" s="290" t="n"/>
      <c r="G528" s="291" t="n"/>
      <c r="H528" s="291" t="n"/>
      <c r="I528" s="291" t="n"/>
    </row>
    <row r="529" ht="13" customHeight="1" s="189">
      <c r="A529" s="289" t="n"/>
      <c r="B529" s="290" t="n"/>
      <c r="C529" s="290" t="n"/>
      <c r="D529" s="290" t="n"/>
      <c r="E529" s="290" t="n"/>
      <c r="F529" s="290" t="n"/>
      <c r="G529" s="291" t="n"/>
      <c r="H529" s="291" t="n"/>
      <c r="I529" s="291" t="n"/>
    </row>
    <row r="530" ht="13" customHeight="1" s="189">
      <c r="A530" s="289" t="n"/>
      <c r="B530" s="290" t="n"/>
      <c r="C530" s="290" t="n"/>
      <c r="D530" s="290" t="n"/>
      <c r="E530" s="290" t="n"/>
      <c r="F530" s="290" t="n"/>
      <c r="G530" s="291" t="n"/>
      <c r="H530" s="291" t="n"/>
      <c r="I530" s="291" t="n"/>
    </row>
    <row r="531" ht="13" customHeight="1" s="189">
      <c r="A531" s="289" t="n"/>
      <c r="B531" s="290" t="n"/>
      <c r="C531" s="290" t="n"/>
      <c r="D531" s="290" t="n"/>
      <c r="E531" s="290" t="n"/>
      <c r="F531" s="290" t="n"/>
      <c r="G531" s="291" t="n"/>
      <c r="H531" s="291" t="n"/>
      <c r="I531" s="291" t="n"/>
    </row>
    <row r="532" ht="13" customHeight="1" s="189">
      <c r="A532" s="289" t="n"/>
      <c r="B532" s="290" t="n"/>
      <c r="C532" s="290" t="n"/>
      <c r="D532" s="290" t="n"/>
      <c r="E532" s="290" t="n"/>
      <c r="F532" s="290" t="n"/>
      <c r="G532" s="291" t="n"/>
      <c r="H532" s="291" t="n"/>
      <c r="I532" s="291" t="n"/>
    </row>
    <row r="533" ht="13" customHeight="1" s="189">
      <c r="A533" s="289" t="n"/>
      <c r="B533" s="290" t="n"/>
      <c r="C533" s="290" t="n"/>
      <c r="D533" s="290" t="n"/>
      <c r="E533" s="290" t="n"/>
      <c r="F533" s="290" t="n"/>
      <c r="G533" s="291" t="n"/>
      <c r="H533" s="291" t="n"/>
      <c r="I533" s="291" t="n"/>
    </row>
    <row r="534" ht="13" customHeight="1" s="189">
      <c r="A534" s="289" t="n"/>
      <c r="B534" s="290" t="n"/>
      <c r="C534" s="290" t="n"/>
      <c r="D534" s="290" t="n"/>
      <c r="E534" s="290" t="n"/>
      <c r="F534" s="290" t="n"/>
      <c r="G534" s="291" t="n"/>
      <c r="H534" s="291" t="n"/>
      <c r="I534" s="291" t="n"/>
    </row>
    <row r="535" ht="13" customHeight="1" s="189">
      <c r="A535" s="289" t="n"/>
      <c r="B535" s="290" t="n"/>
      <c r="C535" s="290" t="n"/>
      <c r="D535" s="290" t="n"/>
      <c r="E535" s="290" t="n"/>
      <c r="F535" s="290" t="n"/>
      <c r="G535" s="291" t="n"/>
      <c r="H535" s="291" t="n"/>
      <c r="I535" s="291" t="n"/>
    </row>
    <row r="536" ht="13" customHeight="1" s="189">
      <c r="A536" s="289" t="n"/>
      <c r="B536" s="290" t="n"/>
      <c r="C536" s="290" t="n"/>
      <c r="D536" s="290" t="n"/>
      <c r="E536" s="290" t="n"/>
      <c r="F536" s="290" t="n"/>
      <c r="G536" s="291" t="n"/>
      <c r="H536" s="291" t="n"/>
      <c r="I536" s="291" t="n"/>
    </row>
    <row r="537" ht="13" customHeight="1" s="189">
      <c r="A537" s="289" t="n"/>
      <c r="B537" s="290" t="n"/>
      <c r="C537" s="290" t="n"/>
      <c r="D537" s="290" t="n"/>
      <c r="E537" s="290" t="n"/>
      <c r="F537" s="290" t="n"/>
      <c r="G537" s="291" t="n"/>
      <c r="H537" s="291" t="n"/>
      <c r="I537" s="291" t="n"/>
    </row>
    <row r="538" ht="13" customHeight="1" s="189">
      <c r="A538" s="289" t="n"/>
      <c r="B538" s="290" t="n"/>
      <c r="C538" s="290" t="n"/>
      <c r="D538" s="290" t="n"/>
      <c r="E538" s="290" t="n"/>
      <c r="F538" s="290" t="n"/>
      <c r="G538" s="291" t="n"/>
      <c r="H538" s="291" t="n"/>
      <c r="I538" s="291" t="n"/>
    </row>
    <row r="539" ht="13" customHeight="1" s="189">
      <c r="A539" s="289" t="n"/>
      <c r="B539" s="290" t="n"/>
      <c r="C539" s="290" t="n"/>
      <c r="D539" s="290" t="n"/>
      <c r="E539" s="290" t="n"/>
      <c r="F539" s="290" t="n"/>
      <c r="G539" s="291" t="n"/>
      <c r="H539" s="291" t="n"/>
      <c r="I539" s="291" t="n"/>
    </row>
    <row r="540" ht="13" customHeight="1" s="189">
      <c r="A540" s="289" t="n"/>
      <c r="B540" s="290" t="n"/>
      <c r="C540" s="290" t="n"/>
      <c r="D540" s="290" t="n"/>
      <c r="E540" s="290" t="n"/>
      <c r="F540" s="290" t="n"/>
      <c r="G540" s="291" t="n"/>
      <c r="H540" s="291" t="n"/>
      <c r="I540" s="291" t="n"/>
    </row>
    <row r="541" ht="13" customHeight="1" s="189">
      <c r="A541" s="289" t="n"/>
      <c r="B541" s="290" t="n"/>
      <c r="C541" s="290" t="n"/>
      <c r="D541" s="290" t="n"/>
      <c r="E541" s="290" t="n"/>
      <c r="F541" s="290" t="n"/>
      <c r="G541" s="291" t="n"/>
      <c r="H541" s="291" t="n"/>
      <c r="I541" s="291" t="n"/>
    </row>
    <row r="542" ht="13" customHeight="1" s="189">
      <c r="A542" s="289" t="n"/>
      <c r="B542" s="290" t="n"/>
      <c r="C542" s="290" t="n"/>
      <c r="D542" s="290" t="n"/>
      <c r="E542" s="290" t="n"/>
      <c r="F542" s="290" t="n"/>
      <c r="G542" s="291" t="n"/>
      <c r="H542" s="291" t="n"/>
      <c r="I542" s="291" t="n"/>
    </row>
    <row r="543" ht="13" customHeight="1" s="189">
      <c r="A543" s="289" t="n"/>
      <c r="B543" s="290" t="n"/>
      <c r="C543" s="290" t="n"/>
      <c r="D543" s="290" t="n"/>
      <c r="E543" s="290" t="n"/>
      <c r="F543" s="290" t="n"/>
      <c r="G543" s="291" t="n"/>
      <c r="H543" s="291" t="n"/>
      <c r="I543" s="291" t="n"/>
    </row>
    <row r="544" ht="13" customHeight="1" s="189">
      <c r="A544" s="289" t="n"/>
      <c r="B544" s="290" t="n"/>
      <c r="C544" s="290" t="n"/>
      <c r="D544" s="290" t="n"/>
      <c r="E544" s="290" t="n"/>
      <c r="F544" s="290" t="n"/>
      <c r="G544" s="291" t="n"/>
      <c r="H544" s="291" t="n"/>
      <c r="I544" s="291" t="n"/>
    </row>
    <row r="545" ht="13" customHeight="1" s="189">
      <c r="A545" s="289" t="n"/>
      <c r="B545" s="290" t="n"/>
      <c r="C545" s="290" t="n"/>
      <c r="D545" s="290" t="n"/>
      <c r="E545" s="290" t="n"/>
      <c r="F545" s="290" t="n"/>
      <c r="G545" s="291" t="n"/>
      <c r="H545" s="291" t="n"/>
      <c r="I545" s="291" t="n"/>
    </row>
    <row r="546" ht="13" customHeight="1" s="189">
      <c r="A546" s="289" t="n"/>
      <c r="B546" s="290" t="n"/>
      <c r="C546" s="290" t="n"/>
      <c r="D546" s="290" t="n"/>
      <c r="E546" s="290" t="n"/>
      <c r="F546" s="290" t="n"/>
      <c r="G546" s="291" t="n"/>
      <c r="H546" s="291" t="n"/>
      <c r="I546" s="291" t="n"/>
    </row>
    <row r="547" ht="13" customHeight="1" s="189">
      <c r="A547" s="289" t="n"/>
      <c r="B547" s="290" t="n"/>
      <c r="C547" s="290" t="n"/>
      <c r="D547" s="290" t="n"/>
      <c r="E547" s="290" t="n"/>
      <c r="F547" s="290" t="n"/>
      <c r="G547" s="291" t="n"/>
      <c r="H547" s="291" t="n"/>
      <c r="I547" s="291" t="n"/>
    </row>
    <row r="548" ht="13" customHeight="1" s="189">
      <c r="A548" s="289" t="n"/>
      <c r="B548" s="290" t="n"/>
      <c r="C548" s="290" t="n"/>
      <c r="D548" s="290" t="n"/>
      <c r="E548" s="290" t="n"/>
      <c r="F548" s="290" t="n"/>
      <c r="G548" s="291" t="n"/>
      <c r="H548" s="291" t="n"/>
      <c r="I548" s="291" t="n"/>
    </row>
    <row r="549" ht="13" customHeight="1" s="189">
      <c r="A549" s="289" t="n"/>
      <c r="B549" s="290" t="n"/>
      <c r="C549" s="290" t="n"/>
      <c r="D549" s="290" t="n"/>
      <c r="E549" s="290" t="n"/>
      <c r="F549" s="290" t="n"/>
      <c r="G549" s="291" t="n"/>
      <c r="H549" s="291" t="n"/>
      <c r="I549" s="291" t="n"/>
    </row>
    <row r="550" ht="13" customHeight="1" s="189">
      <c r="A550" s="289" t="n"/>
      <c r="B550" s="290" t="n"/>
      <c r="C550" s="290" t="n"/>
      <c r="D550" s="290" t="n"/>
      <c r="E550" s="290" t="n"/>
      <c r="F550" s="290" t="n"/>
      <c r="G550" s="291" t="n"/>
      <c r="H550" s="291" t="n"/>
      <c r="I550" s="291" t="n"/>
    </row>
    <row r="551" ht="13" customHeight="1" s="189">
      <c r="A551" s="289" t="n"/>
      <c r="B551" s="290" t="n"/>
      <c r="C551" s="290" t="n"/>
      <c r="D551" s="290" t="n"/>
      <c r="E551" s="290" t="n"/>
      <c r="F551" s="290" t="n"/>
      <c r="G551" s="291" t="n"/>
      <c r="H551" s="291" t="n"/>
      <c r="I551" s="291" t="n"/>
    </row>
    <row r="552" ht="13" customHeight="1" s="189">
      <c r="A552" s="289" t="n"/>
      <c r="B552" s="290" t="n"/>
      <c r="C552" s="290" t="n"/>
      <c r="D552" s="290" t="n"/>
      <c r="E552" s="290" t="n"/>
      <c r="F552" s="290" t="n"/>
      <c r="G552" s="291" t="n"/>
      <c r="H552" s="291" t="n"/>
      <c r="I552" s="291" t="n"/>
    </row>
    <row r="553" ht="13" customHeight="1" s="189">
      <c r="A553" s="289" t="n"/>
      <c r="B553" s="290" t="n"/>
      <c r="C553" s="290" t="n"/>
      <c r="D553" s="290" t="n"/>
      <c r="E553" s="290" t="n"/>
      <c r="F553" s="290" t="n"/>
      <c r="G553" s="291" t="n"/>
      <c r="H553" s="291" t="n"/>
      <c r="I553" s="291" t="n"/>
    </row>
    <row r="554" ht="13" customHeight="1" s="189">
      <c r="A554" s="289" t="n"/>
      <c r="B554" s="290" t="n"/>
      <c r="C554" s="290" t="n"/>
      <c r="D554" s="290" t="n"/>
      <c r="E554" s="290" t="n"/>
      <c r="F554" s="290" t="n"/>
      <c r="G554" s="291" t="n"/>
      <c r="H554" s="291" t="n"/>
      <c r="I554" s="291" t="n"/>
    </row>
    <row r="555" ht="13" customHeight="1" s="189">
      <c r="A555" s="289" t="n"/>
      <c r="B555" s="290" t="n"/>
      <c r="C555" s="290" t="n"/>
      <c r="D555" s="290" t="n"/>
      <c r="E555" s="290" t="n"/>
      <c r="F555" s="290" t="n"/>
      <c r="G555" s="291" t="n"/>
      <c r="H555" s="291" t="n"/>
      <c r="I555" s="291" t="n"/>
    </row>
    <row r="556" ht="13" customHeight="1" s="189">
      <c r="A556" s="289" t="n"/>
      <c r="B556" s="290" t="n"/>
      <c r="C556" s="290" t="n"/>
      <c r="D556" s="290" t="n"/>
      <c r="E556" s="290" t="n"/>
      <c r="F556" s="290" t="n"/>
      <c r="G556" s="291" t="n"/>
      <c r="H556" s="291" t="n"/>
      <c r="I556" s="291" t="n"/>
    </row>
    <row r="557" ht="13" customHeight="1" s="189">
      <c r="A557" s="289" t="n"/>
      <c r="B557" s="290" t="n"/>
      <c r="C557" s="290" t="n"/>
      <c r="D557" s="290" t="n"/>
      <c r="E557" s="290" t="n"/>
      <c r="F557" s="290" t="n"/>
      <c r="G557" s="291" t="n"/>
      <c r="H557" s="291" t="n"/>
      <c r="I557" s="291" t="n"/>
    </row>
    <row r="558" ht="13" customHeight="1" s="189">
      <c r="A558" s="289" t="n"/>
      <c r="B558" s="290" t="n"/>
      <c r="C558" s="290" t="n"/>
      <c r="D558" s="290" t="n"/>
      <c r="E558" s="290" t="n"/>
      <c r="F558" s="290" t="n"/>
      <c r="G558" s="291" t="n"/>
      <c r="H558" s="291" t="n"/>
      <c r="I558" s="291" t="n"/>
    </row>
    <row r="559" ht="13" customHeight="1" s="189">
      <c r="A559" s="289" t="n"/>
      <c r="B559" s="290" t="n"/>
      <c r="C559" s="290" t="n"/>
      <c r="D559" s="290" t="n"/>
      <c r="E559" s="290" t="n"/>
      <c r="F559" s="290" t="n"/>
      <c r="G559" s="291" t="n"/>
      <c r="H559" s="291" t="n"/>
      <c r="I559" s="291" t="n"/>
    </row>
    <row r="560" ht="13" customHeight="1" s="189">
      <c r="A560" s="289" t="n"/>
      <c r="B560" s="290" t="n"/>
      <c r="C560" s="290" t="n"/>
      <c r="D560" s="290" t="n"/>
      <c r="E560" s="290" t="n"/>
      <c r="F560" s="290" t="n"/>
      <c r="G560" s="291" t="n"/>
      <c r="H560" s="291" t="n"/>
      <c r="I560" s="291" t="n"/>
    </row>
    <row r="561" ht="13" customHeight="1" s="189">
      <c r="A561" s="289" t="n"/>
      <c r="B561" s="290" t="n"/>
      <c r="C561" s="290" t="n"/>
      <c r="D561" s="290" t="n"/>
      <c r="E561" s="290" t="n"/>
      <c r="F561" s="290" t="n"/>
      <c r="G561" s="291" t="n"/>
      <c r="H561" s="291" t="n"/>
      <c r="I561" s="291" t="n"/>
    </row>
    <row r="562" ht="13" customHeight="1" s="189">
      <c r="A562" s="289" t="n"/>
      <c r="B562" s="290" t="n"/>
      <c r="C562" s="290" t="n"/>
      <c r="D562" s="290" t="n"/>
      <c r="E562" s="290" t="n"/>
      <c r="F562" s="290" t="n"/>
      <c r="G562" s="291" t="n"/>
      <c r="H562" s="291" t="n"/>
      <c r="I562" s="291" t="n"/>
    </row>
    <row r="563" ht="13" customHeight="1" s="189">
      <c r="A563" s="289" t="n"/>
      <c r="B563" s="290" t="n"/>
      <c r="C563" s="290" t="n"/>
      <c r="D563" s="290" t="n"/>
      <c r="E563" s="290" t="n"/>
      <c r="F563" s="290" t="n"/>
      <c r="G563" s="291" t="n"/>
      <c r="H563" s="291" t="n"/>
      <c r="I563" s="291" t="n"/>
    </row>
    <row r="564" ht="13" customHeight="1" s="189">
      <c r="A564" s="289" t="n"/>
      <c r="B564" s="290" t="n"/>
      <c r="C564" s="290" t="n"/>
      <c r="D564" s="290" t="n"/>
      <c r="E564" s="290" t="n"/>
      <c r="F564" s="290" t="n"/>
      <c r="G564" s="291" t="n"/>
      <c r="H564" s="291" t="n"/>
      <c r="I564" s="291" t="n"/>
    </row>
    <row r="565" ht="13" customHeight="1" s="189">
      <c r="A565" s="289" t="n"/>
      <c r="B565" s="290" t="n"/>
      <c r="C565" s="290" t="n"/>
      <c r="D565" s="290" t="n"/>
      <c r="E565" s="290" t="n"/>
      <c r="F565" s="290" t="n"/>
      <c r="G565" s="291" t="n"/>
      <c r="H565" s="291" t="n"/>
      <c r="I565" s="291" t="n"/>
    </row>
    <row r="566" ht="13" customHeight="1" s="189">
      <c r="A566" s="289" t="n"/>
      <c r="B566" s="290" t="n"/>
      <c r="C566" s="290" t="n"/>
      <c r="D566" s="290" t="n"/>
      <c r="E566" s="290" t="n"/>
      <c r="F566" s="290" t="n"/>
      <c r="G566" s="291" t="n"/>
      <c r="H566" s="291" t="n"/>
      <c r="I566" s="291" t="n"/>
    </row>
    <row r="567" ht="13" customHeight="1" s="189">
      <c r="A567" s="289" t="n"/>
      <c r="B567" s="290" t="n"/>
      <c r="C567" s="290" t="n"/>
      <c r="D567" s="290" t="n"/>
      <c r="E567" s="290" t="n"/>
      <c r="F567" s="290" t="n"/>
      <c r="G567" s="291" t="n"/>
      <c r="H567" s="291" t="n"/>
      <c r="I567" s="291" t="n"/>
    </row>
    <row r="568" ht="13" customHeight="1" s="189">
      <c r="A568" s="289" t="n"/>
      <c r="B568" s="290" t="n"/>
      <c r="C568" s="290" t="n"/>
      <c r="D568" s="290" t="n"/>
      <c r="E568" s="290" t="n"/>
      <c r="F568" s="290" t="n"/>
      <c r="G568" s="291" t="n"/>
      <c r="H568" s="291" t="n"/>
      <c r="I568" s="291" t="n"/>
    </row>
    <row r="569" ht="13" customHeight="1" s="189">
      <c r="A569" s="289" t="n"/>
      <c r="B569" s="290" t="n"/>
      <c r="C569" s="290" t="n"/>
      <c r="D569" s="290" t="n"/>
      <c r="E569" s="290" t="n"/>
      <c r="F569" s="290" t="n"/>
      <c r="G569" s="291" t="n"/>
      <c r="H569" s="291" t="n"/>
      <c r="I569" s="291" t="n"/>
    </row>
    <row r="570" ht="13" customHeight="1" s="189">
      <c r="A570" s="289" t="n"/>
      <c r="B570" s="290" t="n"/>
      <c r="C570" s="290" t="n"/>
      <c r="D570" s="290" t="n"/>
      <c r="E570" s="290" t="n"/>
      <c r="F570" s="290" t="n"/>
      <c r="G570" s="291" t="n"/>
      <c r="H570" s="291" t="n"/>
      <c r="I570" s="291" t="n"/>
    </row>
    <row r="571" ht="13" customHeight="1" s="189">
      <c r="A571" s="289" t="n"/>
      <c r="B571" s="290" t="n"/>
      <c r="C571" s="290" t="n"/>
      <c r="D571" s="290" t="n"/>
      <c r="E571" s="290" t="n"/>
      <c r="F571" s="290" t="n"/>
      <c r="G571" s="291" t="n"/>
      <c r="H571" s="291" t="n"/>
      <c r="I571" s="291" t="n"/>
    </row>
    <row r="572" ht="13" customHeight="1" s="189">
      <c r="A572" s="289" t="n"/>
      <c r="B572" s="290" t="n"/>
      <c r="C572" s="290" t="n"/>
      <c r="D572" s="290" t="n"/>
      <c r="E572" s="290" t="n"/>
      <c r="F572" s="290" t="n"/>
      <c r="G572" s="291" t="n"/>
      <c r="H572" s="291" t="n"/>
      <c r="I572" s="291" t="n"/>
    </row>
    <row r="573" ht="13" customHeight="1" s="189">
      <c r="A573" s="289" t="n"/>
      <c r="B573" s="290" t="n"/>
      <c r="C573" s="290" t="n"/>
      <c r="D573" s="290" t="n"/>
      <c r="E573" s="290" t="n"/>
      <c r="F573" s="290" t="n"/>
      <c r="G573" s="291" t="n"/>
      <c r="H573" s="291" t="n"/>
      <c r="I573" s="291" t="n"/>
    </row>
    <row r="574" ht="13" customHeight="1" s="189">
      <c r="A574" s="289" t="n"/>
      <c r="B574" s="290" t="n"/>
      <c r="C574" s="290" t="n"/>
      <c r="D574" s="290" t="n"/>
      <c r="E574" s="290" t="n"/>
      <c r="F574" s="290" t="n"/>
      <c r="G574" s="291" t="n"/>
      <c r="H574" s="291" t="n"/>
      <c r="I574" s="291" t="n"/>
    </row>
    <row r="575" ht="13" customHeight="1" s="189">
      <c r="A575" s="289" t="n"/>
      <c r="B575" s="290" t="n"/>
      <c r="C575" s="290" t="n"/>
      <c r="D575" s="290" t="n"/>
      <c r="E575" s="290" t="n"/>
      <c r="F575" s="290" t="n"/>
      <c r="G575" s="291" t="n"/>
      <c r="H575" s="291" t="n"/>
      <c r="I575" s="291" t="n"/>
    </row>
    <row r="576" ht="13" customHeight="1" s="189">
      <c r="A576" s="289" t="n"/>
      <c r="B576" s="290" t="n"/>
      <c r="C576" s="290" t="n"/>
      <c r="D576" s="290" t="n"/>
      <c r="E576" s="290" t="n"/>
      <c r="F576" s="290" t="n"/>
      <c r="G576" s="291" t="n"/>
      <c r="H576" s="291" t="n"/>
      <c r="I576" s="291" t="n"/>
    </row>
    <row r="577" ht="13" customHeight="1" s="189">
      <c r="A577" s="289" t="n"/>
      <c r="B577" s="290" t="n"/>
      <c r="C577" s="290" t="n"/>
      <c r="D577" s="290" t="n"/>
      <c r="E577" s="290" t="n"/>
      <c r="F577" s="290" t="n"/>
      <c r="G577" s="291" t="n"/>
      <c r="H577" s="291" t="n"/>
      <c r="I577" s="291" t="n"/>
    </row>
    <row r="578" ht="13" customHeight="1" s="189">
      <c r="A578" s="289" t="n"/>
      <c r="B578" s="290" t="n"/>
      <c r="C578" s="290" t="n"/>
      <c r="D578" s="290" t="n"/>
      <c r="E578" s="290" t="n"/>
      <c r="F578" s="290" t="n"/>
      <c r="G578" s="291" t="n"/>
      <c r="H578" s="291" t="n"/>
      <c r="I578" s="291" t="n"/>
    </row>
    <row r="579" ht="13" customHeight="1" s="189">
      <c r="A579" s="289" t="n"/>
      <c r="B579" s="290" t="n"/>
      <c r="C579" s="290" t="n"/>
      <c r="D579" s="290" t="n"/>
      <c r="E579" s="290" t="n"/>
      <c r="F579" s="290" t="n"/>
      <c r="G579" s="291" t="n"/>
      <c r="H579" s="291" t="n"/>
      <c r="I579" s="291" t="n"/>
    </row>
    <row r="580" ht="13" customHeight="1" s="189">
      <c r="A580" s="289" t="n"/>
      <c r="B580" s="290" t="n"/>
      <c r="C580" s="290" t="n"/>
      <c r="D580" s="290" t="n"/>
      <c r="E580" s="290" t="n"/>
      <c r="F580" s="290" t="n"/>
      <c r="G580" s="291" t="n"/>
      <c r="H580" s="291" t="n"/>
      <c r="I580" s="291" t="n"/>
    </row>
    <row r="581" ht="13" customHeight="1" s="189">
      <c r="A581" s="289" t="n"/>
      <c r="B581" s="290" t="n"/>
      <c r="C581" s="290" t="n"/>
      <c r="D581" s="290" t="n"/>
      <c r="E581" s="290" t="n"/>
      <c r="F581" s="290" t="n"/>
      <c r="G581" s="291" t="n"/>
      <c r="H581" s="291" t="n"/>
      <c r="I581" s="291" t="n"/>
    </row>
    <row r="582" ht="13" customHeight="1" s="189">
      <c r="A582" s="289" t="n"/>
      <c r="B582" s="290" t="n"/>
      <c r="C582" s="290" t="n"/>
      <c r="D582" s="290" t="n"/>
      <c r="E582" s="290" t="n"/>
      <c r="F582" s="290" t="n"/>
      <c r="G582" s="291" t="n"/>
      <c r="H582" s="291" t="n"/>
      <c r="I582" s="291" t="n"/>
    </row>
    <row r="583" ht="13" customHeight="1" s="189">
      <c r="A583" s="289" t="n"/>
      <c r="B583" s="290" t="n"/>
      <c r="C583" s="290" t="n"/>
      <c r="D583" s="290" t="n"/>
      <c r="E583" s="290" t="n"/>
      <c r="F583" s="290" t="n"/>
      <c r="G583" s="291" t="n"/>
      <c r="H583" s="291" t="n"/>
      <c r="I583" s="291" t="n"/>
    </row>
    <row r="584" ht="13" customHeight="1" s="189">
      <c r="A584" s="289" t="n"/>
      <c r="B584" s="290" t="n"/>
      <c r="C584" s="290" t="n"/>
      <c r="D584" s="290" t="n"/>
      <c r="E584" s="290" t="n"/>
      <c r="F584" s="290" t="n"/>
      <c r="G584" s="291" t="n"/>
      <c r="H584" s="291" t="n"/>
      <c r="I584" s="291" t="n"/>
    </row>
    <row r="585" ht="13" customHeight="1" s="189">
      <c r="A585" s="289" t="n"/>
      <c r="B585" s="290" t="n"/>
      <c r="C585" s="290" t="n"/>
      <c r="D585" s="290" t="n"/>
      <c r="E585" s="290" t="n"/>
      <c r="F585" s="290" t="n"/>
      <c r="G585" s="291" t="n"/>
      <c r="H585" s="291" t="n"/>
      <c r="I585" s="291" t="n"/>
    </row>
    <row r="586" ht="13" customHeight="1" s="189">
      <c r="A586" s="289" t="n"/>
      <c r="B586" s="290" t="n"/>
      <c r="C586" s="290" t="n"/>
      <c r="D586" s="290" t="n"/>
      <c r="E586" s="290" t="n"/>
      <c r="F586" s="290" t="n"/>
      <c r="G586" s="291" t="n"/>
      <c r="H586" s="291" t="n"/>
      <c r="I586" s="291" t="n"/>
    </row>
    <row r="587" ht="13" customHeight="1" s="189">
      <c r="A587" s="289" t="n"/>
      <c r="B587" s="290" t="n"/>
      <c r="C587" s="290" t="n"/>
      <c r="D587" s="290" t="n"/>
      <c r="E587" s="290" t="n"/>
      <c r="F587" s="290" t="n"/>
      <c r="G587" s="291" t="n"/>
      <c r="H587" s="291" t="n"/>
      <c r="I587" s="291" t="n"/>
    </row>
    <row r="588" ht="13" customHeight="1" s="189">
      <c r="A588" s="289" t="n"/>
      <c r="B588" s="290" t="n"/>
      <c r="C588" s="290" t="n"/>
      <c r="D588" s="290" t="n"/>
      <c r="E588" s="290" t="n"/>
      <c r="F588" s="290" t="n"/>
      <c r="G588" s="291" t="n"/>
      <c r="H588" s="291" t="n"/>
      <c r="I588" s="291" t="n"/>
    </row>
    <row r="589" ht="13" customHeight="1" s="189">
      <c r="A589" s="289" t="n"/>
      <c r="B589" s="290" t="n"/>
      <c r="C589" s="290" t="n"/>
      <c r="D589" s="290" t="n"/>
      <c r="E589" s="290" t="n"/>
      <c r="F589" s="290" t="n"/>
      <c r="G589" s="291" t="n"/>
      <c r="H589" s="291" t="n"/>
      <c r="I589" s="291" t="n"/>
    </row>
    <row r="590" ht="13" customHeight="1" s="189">
      <c r="A590" s="289" t="n"/>
      <c r="B590" s="290" t="n"/>
      <c r="C590" s="290" t="n"/>
      <c r="D590" s="290" t="n"/>
      <c r="E590" s="290" t="n"/>
      <c r="F590" s="290" t="n"/>
      <c r="G590" s="291" t="n"/>
      <c r="H590" s="291" t="n"/>
      <c r="I590" s="291" t="n"/>
    </row>
    <row r="591" ht="13" customHeight="1" s="189">
      <c r="A591" s="289" t="n"/>
      <c r="B591" s="290" t="n"/>
      <c r="C591" s="290" t="n"/>
      <c r="D591" s="290" t="n"/>
      <c r="E591" s="290" t="n"/>
      <c r="F591" s="290" t="n"/>
      <c r="G591" s="291" t="n"/>
      <c r="H591" s="291" t="n"/>
      <c r="I591" s="291" t="n"/>
    </row>
    <row r="592" ht="13" customHeight="1" s="189">
      <c r="A592" s="289" t="n"/>
      <c r="B592" s="290" t="n"/>
      <c r="C592" s="290" t="n"/>
      <c r="D592" s="290" t="n"/>
      <c r="E592" s="290" t="n"/>
      <c r="F592" s="290" t="n"/>
      <c r="G592" s="291" t="n"/>
      <c r="H592" s="291" t="n"/>
      <c r="I592" s="291" t="n"/>
    </row>
    <row r="593" ht="13" customHeight="1" s="189">
      <c r="A593" s="289" t="n"/>
      <c r="B593" s="290" t="n"/>
      <c r="C593" s="290" t="n"/>
      <c r="D593" s="290" t="n"/>
      <c r="E593" s="290" t="n"/>
      <c r="F593" s="290" t="n"/>
      <c r="G593" s="291" t="n"/>
      <c r="H593" s="291" t="n"/>
      <c r="I593" s="291" t="n"/>
    </row>
    <row r="594" ht="13" customHeight="1" s="189">
      <c r="A594" s="289" t="n"/>
      <c r="B594" s="290" t="n"/>
      <c r="C594" s="290" t="n"/>
      <c r="D594" s="290" t="n"/>
      <c r="E594" s="290" t="n"/>
      <c r="F594" s="290" t="n"/>
      <c r="G594" s="291" t="n"/>
      <c r="H594" s="291" t="n"/>
      <c r="I594" s="291" t="n"/>
    </row>
    <row r="595" ht="13" customHeight="1" s="189">
      <c r="A595" s="289" t="n"/>
      <c r="B595" s="290" t="n"/>
      <c r="C595" s="290" t="n"/>
      <c r="D595" s="290" t="n"/>
      <c r="E595" s="290" t="n"/>
      <c r="F595" s="290" t="n"/>
      <c r="G595" s="291" t="n"/>
      <c r="H595" s="291" t="n"/>
      <c r="I595" s="291" t="n"/>
    </row>
    <row r="596" ht="13" customHeight="1" s="189">
      <c r="A596" s="289" t="n"/>
      <c r="B596" s="290" t="n"/>
      <c r="C596" s="290" t="n"/>
      <c r="D596" s="290" t="n"/>
      <c r="E596" s="290" t="n"/>
      <c r="F596" s="290" t="n"/>
      <c r="G596" s="291" t="n"/>
      <c r="H596" s="291" t="n"/>
      <c r="I596" s="291" t="n"/>
    </row>
    <row r="597" ht="13" customHeight="1" s="189">
      <c r="A597" s="289" t="n"/>
      <c r="B597" s="290" t="n"/>
      <c r="C597" s="290" t="n"/>
      <c r="D597" s="290" t="n"/>
      <c r="E597" s="290" t="n"/>
      <c r="F597" s="290" t="n"/>
      <c r="G597" s="291" t="n"/>
      <c r="H597" s="291" t="n"/>
      <c r="I597" s="291" t="n"/>
    </row>
    <row r="598" ht="13" customHeight="1" s="189">
      <c r="A598" s="289" t="n"/>
      <c r="B598" s="290" t="n"/>
      <c r="C598" s="290" t="n"/>
      <c r="D598" s="290" t="n"/>
      <c r="E598" s="290" t="n"/>
      <c r="F598" s="290" t="n"/>
      <c r="G598" s="291" t="n"/>
      <c r="H598" s="291" t="n"/>
      <c r="I598" s="291" t="n"/>
    </row>
    <row r="599" ht="13" customHeight="1" s="189">
      <c r="A599" s="289" t="n"/>
      <c r="B599" s="290" t="n"/>
      <c r="C599" s="290" t="n"/>
      <c r="D599" s="290" t="n"/>
      <c r="E599" s="290" t="n"/>
      <c r="F599" s="290" t="n"/>
      <c r="G599" s="291" t="n"/>
      <c r="H599" s="291" t="n"/>
      <c r="I599" s="291" t="n"/>
    </row>
    <row r="600" ht="13" customHeight="1" s="189">
      <c r="A600" s="289" t="n"/>
      <c r="B600" s="290" t="n"/>
      <c r="C600" s="290" t="n"/>
      <c r="D600" s="290" t="n"/>
      <c r="E600" s="290" t="n"/>
      <c r="F600" s="290" t="n"/>
      <c r="G600" s="291" t="n"/>
      <c r="H600" s="291" t="n"/>
      <c r="I600" s="291" t="n"/>
    </row>
    <row r="601" ht="13" customHeight="1" s="189">
      <c r="A601" s="289" t="n"/>
      <c r="B601" s="290" t="n"/>
      <c r="C601" s="290" t="n"/>
      <c r="D601" s="290" t="n"/>
      <c r="E601" s="290" t="n"/>
      <c r="F601" s="290" t="n"/>
      <c r="G601" s="291" t="n"/>
      <c r="H601" s="291" t="n"/>
      <c r="I601" s="291" t="n"/>
    </row>
    <row r="602" ht="13" customHeight="1" s="189">
      <c r="A602" s="289" t="n"/>
      <c r="B602" s="290" t="n"/>
      <c r="C602" s="290" t="n"/>
      <c r="D602" s="290" t="n"/>
      <c r="E602" s="290" t="n"/>
      <c r="F602" s="290" t="n"/>
      <c r="G602" s="291" t="n"/>
      <c r="H602" s="291" t="n"/>
      <c r="I602" s="291" t="n"/>
    </row>
    <row r="603" ht="13" customHeight="1" s="189">
      <c r="A603" s="289" t="n"/>
      <c r="B603" s="290" t="n"/>
      <c r="C603" s="290" t="n"/>
      <c r="D603" s="290" t="n"/>
      <c r="E603" s="290" t="n"/>
      <c r="F603" s="290" t="n"/>
      <c r="G603" s="291" t="n"/>
      <c r="H603" s="291" t="n"/>
      <c r="I603" s="291" t="n"/>
    </row>
    <row r="604" ht="13" customHeight="1" s="189">
      <c r="A604" s="289" t="n"/>
      <c r="B604" s="290" t="n"/>
      <c r="C604" s="290" t="n"/>
      <c r="D604" s="290" t="n"/>
      <c r="E604" s="290" t="n"/>
      <c r="F604" s="290" t="n"/>
      <c r="G604" s="291" t="n"/>
      <c r="H604" s="291" t="n"/>
      <c r="I604" s="291" t="n"/>
    </row>
    <row r="605" ht="13" customHeight="1" s="189">
      <c r="A605" s="289" t="n"/>
      <c r="B605" s="290" t="n"/>
      <c r="C605" s="290" t="n"/>
      <c r="D605" s="290" t="n"/>
      <c r="E605" s="290" t="n"/>
      <c r="F605" s="290" t="n"/>
      <c r="G605" s="291" t="n"/>
      <c r="H605" s="291" t="n"/>
      <c r="I605" s="291" t="n"/>
    </row>
    <row r="606" ht="13" customHeight="1" s="189">
      <c r="A606" s="289" t="n"/>
      <c r="B606" s="290" t="n"/>
      <c r="C606" s="290" t="n"/>
      <c r="D606" s="290" t="n"/>
      <c r="E606" s="290" t="n"/>
      <c r="F606" s="290" t="n"/>
      <c r="G606" s="291" t="n"/>
      <c r="H606" s="291" t="n"/>
      <c r="I606" s="291" t="n"/>
    </row>
    <row r="607" ht="13" customHeight="1" s="189">
      <c r="A607" s="289" t="n"/>
      <c r="B607" s="290" t="n"/>
      <c r="C607" s="290" t="n"/>
      <c r="D607" s="290" t="n"/>
      <c r="E607" s="290" t="n"/>
      <c r="F607" s="290" t="n"/>
      <c r="G607" s="291" t="n"/>
      <c r="H607" s="291" t="n"/>
      <c r="I607" s="291" t="n"/>
    </row>
    <row r="608" ht="13" customHeight="1" s="189">
      <c r="A608" s="289" t="n"/>
      <c r="B608" s="290" t="n"/>
      <c r="C608" s="290" t="n"/>
      <c r="D608" s="290" t="n"/>
      <c r="E608" s="290" t="n"/>
      <c r="F608" s="290" t="n"/>
      <c r="G608" s="291" t="n"/>
      <c r="H608" s="291" t="n"/>
      <c r="I608" s="291" t="n"/>
    </row>
    <row r="609" ht="13" customHeight="1" s="189">
      <c r="A609" s="289" t="n"/>
      <c r="B609" s="290" t="n"/>
      <c r="C609" s="290" t="n"/>
      <c r="D609" s="290" t="n"/>
      <c r="E609" s="290" t="n"/>
      <c r="F609" s="290" t="n"/>
      <c r="G609" s="291" t="n"/>
      <c r="H609" s="291" t="n"/>
      <c r="I609" s="291" t="n"/>
    </row>
    <row r="610" ht="13" customHeight="1" s="189">
      <c r="A610" s="289" t="n"/>
      <c r="B610" s="290" t="n"/>
      <c r="C610" s="290" t="n"/>
      <c r="D610" s="290" t="n"/>
      <c r="E610" s="290" t="n"/>
      <c r="F610" s="290" t="n"/>
      <c r="G610" s="291" t="n"/>
      <c r="H610" s="291" t="n"/>
      <c r="I610" s="291" t="n"/>
    </row>
    <row r="611" ht="13" customHeight="1" s="189">
      <c r="A611" s="289" t="n"/>
      <c r="B611" s="290" t="n"/>
      <c r="C611" s="290" t="n"/>
      <c r="D611" s="290" t="n"/>
      <c r="E611" s="290" t="n"/>
      <c r="F611" s="290" t="n"/>
      <c r="G611" s="291" t="n"/>
      <c r="H611" s="291" t="n"/>
      <c r="I611" s="291" t="n"/>
    </row>
    <row r="612" ht="13" customHeight="1" s="189">
      <c r="A612" s="289" t="n"/>
      <c r="B612" s="290" t="n"/>
      <c r="C612" s="290" t="n"/>
      <c r="D612" s="290" t="n"/>
      <c r="E612" s="290" t="n"/>
      <c r="F612" s="290" t="n"/>
      <c r="G612" s="291" t="n"/>
      <c r="H612" s="291" t="n"/>
      <c r="I612" s="291" t="n"/>
    </row>
    <row r="613" ht="13" customHeight="1" s="189">
      <c r="A613" s="289" t="n"/>
      <c r="B613" s="290" t="n"/>
      <c r="C613" s="290" t="n"/>
      <c r="D613" s="290" t="n"/>
      <c r="E613" s="290" t="n"/>
      <c r="F613" s="290" t="n"/>
      <c r="G613" s="291" t="n"/>
      <c r="H613" s="291" t="n"/>
      <c r="I613" s="291" t="n"/>
    </row>
    <row r="614" ht="13" customHeight="1" s="189">
      <c r="A614" s="289" t="n"/>
      <c r="B614" s="290" t="n"/>
      <c r="C614" s="290" t="n"/>
      <c r="D614" s="290" t="n"/>
      <c r="E614" s="290" t="n"/>
      <c r="F614" s="290" t="n"/>
      <c r="G614" s="291" t="n"/>
      <c r="H614" s="291" t="n"/>
      <c r="I614" s="291" t="n"/>
    </row>
    <row r="615" ht="13" customHeight="1" s="189">
      <c r="A615" s="289" t="n"/>
      <c r="B615" s="290" t="n"/>
      <c r="C615" s="290" t="n"/>
      <c r="D615" s="290" t="n"/>
      <c r="E615" s="290" t="n"/>
      <c r="F615" s="290" t="n"/>
      <c r="G615" s="291" t="n"/>
      <c r="H615" s="291" t="n"/>
      <c r="I615" s="291" t="n"/>
    </row>
    <row r="616" ht="13" customHeight="1" s="189">
      <c r="A616" s="289" t="n"/>
      <c r="B616" s="290" t="n"/>
      <c r="C616" s="290" t="n"/>
      <c r="D616" s="290" t="n"/>
      <c r="E616" s="290" t="n"/>
      <c r="F616" s="290" t="n"/>
      <c r="G616" s="291" t="n"/>
      <c r="H616" s="291" t="n"/>
      <c r="I616" s="291" t="n"/>
    </row>
    <row r="617" ht="13" customHeight="1" s="189">
      <c r="A617" s="289" t="n"/>
      <c r="B617" s="290" t="n"/>
      <c r="C617" s="290" t="n"/>
      <c r="D617" s="290" t="n"/>
      <c r="E617" s="290" t="n"/>
      <c r="F617" s="290" t="n"/>
      <c r="G617" s="291" t="n"/>
      <c r="H617" s="291" t="n"/>
      <c r="I617" s="291" t="n"/>
    </row>
    <row r="618" ht="13" customHeight="1" s="189">
      <c r="A618" s="289" t="n"/>
      <c r="B618" s="290" t="n"/>
      <c r="C618" s="290" t="n"/>
      <c r="D618" s="290" t="n"/>
      <c r="E618" s="290" t="n"/>
      <c r="F618" s="290" t="n"/>
      <c r="G618" s="291" t="n"/>
      <c r="H618" s="291" t="n"/>
      <c r="I618" s="291" t="n"/>
    </row>
    <row r="619" ht="13" customHeight="1" s="189">
      <c r="A619" s="289" t="n"/>
      <c r="B619" s="290" t="n"/>
      <c r="C619" s="290" t="n"/>
      <c r="D619" s="290" t="n"/>
      <c r="E619" s="290" t="n"/>
      <c r="F619" s="290" t="n"/>
      <c r="G619" s="291" t="n"/>
      <c r="H619" s="291" t="n"/>
      <c r="I619" s="291" t="n"/>
    </row>
    <row r="620" ht="13" customHeight="1" s="189">
      <c r="A620" s="289" t="n"/>
      <c r="B620" s="290" t="n"/>
      <c r="C620" s="290" t="n"/>
      <c r="D620" s="290" t="n"/>
      <c r="E620" s="290" t="n"/>
      <c r="F620" s="290" t="n"/>
      <c r="G620" s="291" t="n"/>
      <c r="H620" s="291" t="n"/>
      <c r="I620" s="291" t="n"/>
    </row>
    <row r="621" ht="13" customHeight="1" s="189">
      <c r="A621" s="289" t="n"/>
      <c r="B621" s="290" t="n"/>
      <c r="C621" s="290" t="n"/>
      <c r="D621" s="290" t="n"/>
      <c r="E621" s="290" t="n"/>
      <c r="F621" s="290" t="n"/>
      <c r="G621" s="291" t="n"/>
      <c r="H621" s="291" t="n"/>
      <c r="I621" s="291" t="n"/>
    </row>
    <row r="622" ht="13" customHeight="1" s="189">
      <c r="A622" s="289" t="n"/>
      <c r="B622" s="290" t="n"/>
      <c r="C622" s="290" t="n"/>
      <c r="D622" s="290" t="n"/>
      <c r="E622" s="290" t="n"/>
      <c r="F622" s="290" t="n"/>
      <c r="G622" s="291" t="n"/>
      <c r="H622" s="291" t="n"/>
      <c r="I622" s="291" t="n"/>
    </row>
    <row r="623" ht="13" customHeight="1" s="189">
      <c r="A623" s="289" t="n"/>
      <c r="B623" s="290" t="n"/>
      <c r="C623" s="290" t="n"/>
      <c r="D623" s="290" t="n"/>
      <c r="E623" s="290" t="n"/>
      <c r="F623" s="290" t="n"/>
      <c r="G623" s="291" t="n"/>
      <c r="H623" s="291" t="n"/>
      <c r="I623" s="291" t="n"/>
    </row>
    <row r="624" ht="13" customHeight="1" s="189">
      <c r="A624" s="289" t="n"/>
      <c r="B624" s="290" t="n"/>
      <c r="C624" s="290" t="n"/>
      <c r="D624" s="290" t="n"/>
      <c r="E624" s="290" t="n"/>
      <c r="F624" s="290" t="n"/>
      <c r="G624" s="291" t="n"/>
      <c r="H624" s="291" t="n"/>
      <c r="I624" s="291" t="n"/>
    </row>
    <row r="625" ht="13" customHeight="1" s="189">
      <c r="A625" s="289" t="n"/>
      <c r="B625" s="290" t="n"/>
      <c r="C625" s="290" t="n"/>
      <c r="D625" s="290" t="n"/>
      <c r="E625" s="290" t="n"/>
      <c r="F625" s="290" t="n"/>
      <c r="G625" s="291" t="n"/>
      <c r="H625" s="291" t="n"/>
      <c r="I625" s="291" t="n"/>
    </row>
    <row r="626" ht="13" customHeight="1" s="189">
      <c r="A626" s="289" t="n"/>
      <c r="B626" s="290" t="n"/>
      <c r="C626" s="290" t="n"/>
      <c r="D626" s="290" t="n"/>
      <c r="E626" s="290" t="n"/>
      <c r="F626" s="290" t="n"/>
      <c r="G626" s="291" t="n"/>
      <c r="H626" s="291" t="n"/>
      <c r="I626" s="291" t="n"/>
    </row>
    <row r="627" ht="13" customHeight="1" s="189">
      <c r="A627" s="289" t="n"/>
      <c r="B627" s="290" t="n"/>
      <c r="C627" s="290" t="n"/>
      <c r="D627" s="290" t="n"/>
      <c r="E627" s="290" t="n"/>
      <c r="F627" s="290" t="n"/>
      <c r="G627" s="291" t="n"/>
      <c r="H627" s="291" t="n"/>
      <c r="I627" s="291" t="n"/>
    </row>
    <row r="628" ht="13" customHeight="1" s="189">
      <c r="A628" s="289" t="n"/>
      <c r="B628" s="290" t="n"/>
      <c r="C628" s="290" t="n"/>
      <c r="D628" s="290" t="n"/>
      <c r="E628" s="290" t="n"/>
      <c r="F628" s="290" t="n"/>
      <c r="G628" s="291" t="n"/>
      <c r="H628" s="291" t="n"/>
      <c r="I628" s="291" t="n"/>
    </row>
    <row r="629" ht="13" customHeight="1" s="189">
      <c r="A629" s="289" t="n"/>
      <c r="B629" s="290" t="n"/>
      <c r="C629" s="290" t="n"/>
      <c r="D629" s="290" t="n"/>
      <c r="E629" s="290" t="n"/>
      <c r="F629" s="290" t="n"/>
      <c r="G629" s="291" t="n"/>
      <c r="H629" s="291" t="n"/>
      <c r="I629" s="291" t="n"/>
    </row>
    <row r="630" ht="13" customHeight="1" s="189">
      <c r="A630" s="289" t="n"/>
      <c r="B630" s="290" t="n"/>
      <c r="C630" s="290" t="n"/>
      <c r="D630" s="290" t="n"/>
      <c r="E630" s="290" t="n"/>
      <c r="F630" s="290" t="n"/>
      <c r="G630" s="291" t="n"/>
      <c r="H630" s="291" t="n"/>
      <c r="I630" s="291" t="n"/>
    </row>
    <row r="631" ht="13" customHeight="1" s="189">
      <c r="A631" s="289" t="n"/>
      <c r="B631" s="290" t="n"/>
      <c r="C631" s="290" t="n"/>
      <c r="D631" s="290" t="n"/>
      <c r="E631" s="290" t="n"/>
      <c r="F631" s="290" t="n"/>
      <c r="G631" s="291" t="n"/>
      <c r="H631" s="291" t="n"/>
      <c r="I631" s="291" t="n"/>
    </row>
    <row r="632" ht="13" customHeight="1" s="189">
      <c r="A632" s="289" t="n"/>
      <c r="B632" s="290" t="n"/>
      <c r="C632" s="290" t="n"/>
      <c r="D632" s="290" t="n"/>
      <c r="E632" s="290" t="n"/>
      <c r="F632" s="290" t="n"/>
      <c r="G632" s="291" t="n"/>
      <c r="H632" s="291" t="n"/>
      <c r="I632" s="291" t="n"/>
    </row>
    <row r="633" ht="13" customHeight="1" s="189">
      <c r="A633" s="289" t="n"/>
      <c r="B633" s="290" t="n"/>
      <c r="C633" s="290" t="n"/>
      <c r="D633" s="290" t="n"/>
      <c r="E633" s="290" t="n"/>
      <c r="F633" s="290" t="n"/>
      <c r="G633" s="291" t="n"/>
      <c r="H633" s="291" t="n"/>
      <c r="I633" s="291" t="n"/>
    </row>
    <row r="634" ht="13" customHeight="1" s="189">
      <c r="A634" s="289" t="n"/>
      <c r="B634" s="290" t="n"/>
      <c r="C634" s="290" t="n"/>
      <c r="D634" s="290" t="n"/>
      <c r="E634" s="290" t="n"/>
      <c r="F634" s="290" t="n"/>
      <c r="G634" s="291" t="n"/>
      <c r="H634" s="291" t="n"/>
      <c r="I634" s="291" t="n"/>
    </row>
    <row r="635" ht="13" customHeight="1" s="189">
      <c r="A635" s="289" t="n"/>
      <c r="B635" s="290" t="n"/>
      <c r="C635" s="290" t="n"/>
      <c r="D635" s="290" t="n"/>
      <c r="E635" s="290" t="n"/>
      <c r="F635" s="290" t="n"/>
      <c r="G635" s="291" t="n"/>
      <c r="H635" s="291" t="n"/>
      <c r="I635" s="291" t="n"/>
    </row>
    <row r="636" ht="13" customHeight="1" s="189">
      <c r="A636" s="289" t="n"/>
      <c r="B636" s="290" t="n"/>
      <c r="C636" s="290" t="n"/>
      <c r="D636" s="290" t="n"/>
      <c r="E636" s="290" t="n"/>
      <c r="F636" s="290" t="n"/>
      <c r="G636" s="291" t="n"/>
      <c r="H636" s="291" t="n"/>
      <c r="I636" s="291" t="n"/>
    </row>
    <row r="637" ht="13" customHeight="1" s="189">
      <c r="A637" s="289" t="n"/>
      <c r="B637" s="290" t="n"/>
      <c r="C637" s="290" t="n"/>
      <c r="D637" s="290" t="n"/>
      <c r="E637" s="290" t="n"/>
      <c r="F637" s="290" t="n"/>
      <c r="G637" s="291" t="n"/>
      <c r="H637" s="291" t="n"/>
      <c r="I637" s="291" t="n"/>
    </row>
    <row r="638" ht="13" customHeight="1" s="189">
      <c r="A638" s="289" t="n"/>
      <c r="B638" s="290" t="n"/>
      <c r="C638" s="290" t="n"/>
      <c r="D638" s="290" t="n"/>
      <c r="E638" s="290" t="n"/>
      <c r="F638" s="290" t="n"/>
      <c r="G638" s="291" t="n"/>
      <c r="H638" s="291" t="n"/>
      <c r="I638" s="291" t="n"/>
    </row>
    <row r="639" ht="13" customHeight="1" s="189">
      <c r="A639" s="289" t="n"/>
      <c r="B639" s="290" t="n"/>
      <c r="C639" s="290" t="n"/>
      <c r="D639" s="290" t="n"/>
      <c r="E639" s="290" t="n"/>
      <c r="F639" s="290" t="n"/>
      <c r="G639" s="291" t="n"/>
      <c r="H639" s="291" t="n"/>
      <c r="I639" s="291" t="n"/>
    </row>
    <row r="640" ht="13" customHeight="1" s="189">
      <c r="A640" s="289" t="n"/>
      <c r="B640" s="290" t="n"/>
      <c r="C640" s="290" t="n"/>
      <c r="D640" s="290" t="n"/>
      <c r="E640" s="290" t="n"/>
      <c r="F640" s="290" t="n"/>
      <c r="G640" s="291" t="n"/>
      <c r="H640" s="291" t="n"/>
      <c r="I640" s="291" t="n"/>
    </row>
    <row r="641" ht="13" customHeight="1" s="189">
      <c r="A641" s="289" t="n"/>
      <c r="B641" s="290" t="n"/>
      <c r="C641" s="290" t="n"/>
      <c r="D641" s="290" t="n"/>
      <c r="E641" s="290" t="n"/>
      <c r="F641" s="290" t="n"/>
      <c r="G641" s="291" t="n"/>
      <c r="H641" s="291" t="n"/>
      <c r="I641" s="291" t="n"/>
    </row>
    <row r="642" ht="13" customHeight="1" s="189">
      <c r="A642" s="289" t="n"/>
      <c r="B642" s="290" t="n"/>
      <c r="C642" s="290" t="n"/>
      <c r="D642" s="290" t="n"/>
      <c r="E642" s="290" t="n"/>
      <c r="F642" s="290" t="n"/>
      <c r="G642" s="291" t="n"/>
      <c r="H642" s="291" t="n"/>
      <c r="I642" s="291" t="n"/>
    </row>
    <row r="643" ht="13" customHeight="1" s="189">
      <c r="A643" s="289" t="n"/>
      <c r="B643" s="290" t="n"/>
      <c r="C643" s="290" t="n"/>
      <c r="D643" s="290" t="n"/>
      <c r="E643" s="290" t="n"/>
      <c r="F643" s="290" t="n"/>
      <c r="G643" s="291" t="n"/>
      <c r="H643" s="291" t="n"/>
      <c r="I643" s="291" t="n"/>
    </row>
    <row r="644" ht="13" customHeight="1" s="189">
      <c r="A644" s="289" t="n"/>
      <c r="B644" s="290" t="n"/>
      <c r="C644" s="290" t="n"/>
      <c r="D644" s="290" t="n"/>
      <c r="E644" s="290" t="n"/>
      <c r="F644" s="290" t="n"/>
      <c r="G644" s="291" t="n"/>
      <c r="H644" s="291" t="n"/>
      <c r="I644" s="291" t="n"/>
    </row>
    <row r="645" ht="13" customHeight="1" s="189">
      <c r="A645" s="289" t="n"/>
      <c r="B645" s="290" t="n"/>
      <c r="C645" s="290" t="n"/>
      <c r="D645" s="290" t="n"/>
      <c r="E645" s="290" t="n"/>
      <c r="F645" s="290" t="n"/>
      <c r="G645" s="291" t="n"/>
      <c r="H645" s="291" t="n"/>
      <c r="I645" s="291" t="n"/>
    </row>
    <row r="646" ht="13" customHeight="1" s="189">
      <c r="A646" s="289" t="n"/>
      <c r="B646" s="290" t="n"/>
      <c r="C646" s="290" t="n"/>
      <c r="D646" s="290" t="n"/>
      <c r="E646" s="290" t="n"/>
      <c r="F646" s="290" t="n"/>
      <c r="G646" s="291" t="n"/>
      <c r="H646" s="291" t="n"/>
      <c r="I646" s="291" t="n"/>
    </row>
    <row r="647" ht="13" customHeight="1" s="189">
      <c r="A647" s="289" t="n"/>
      <c r="B647" s="290" t="n"/>
      <c r="C647" s="290" t="n"/>
      <c r="D647" s="290" t="n"/>
      <c r="E647" s="290" t="n"/>
      <c r="F647" s="290" t="n"/>
      <c r="G647" s="291" t="n"/>
      <c r="H647" s="291" t="n"/>
      <c r="I647" s="291" t="n"/>
    </row>
    <row r="648" ht="13" customHeight="1" s="189">
      <c r="A648" s="289" t="n"/>
      <c r="B648" s="290" t="n"/>
      <c r="C648" s="290" t="n"/>
      <c r="D648" s="290" t="n"/>
      <c r="E648" s="290" t="n"/>
      <c r="F648" s="290" t="n"/>
      <c r="G648" s="291" t="n"/>
      <c r="H648" s="291" t="n"/>
      <c r="I648" s="291" t="n"/>
    </row>
    <row r="649" ht="13" customHeight="1" s="189">
      <c r="A649" s="289" t="n"/>
      <c r="B649" s="290" t="n"/>
      <c r="C649" s="290" t="n"/>
      <c r="D649" s="290" t="n"/>
      <c r="E649" s="290" t="n"/>
      <c r="F649" s="290" t="n"/>
      <c r="G649" s="291" t="n"/>
      <c r="H649" s="291" t="n"/>
      <c r="I649" s="291" t="n"/>
    </row>
    <row r="650" ht="13" customHeight="1" s="189">
      <c r="A650" s="289" t="n"/>
      <c r="B650" s="290" t="n"/>
      <c r="C650" s="290" t="n"/>
      <c r="D650" s="290" t="n"/>
      <c r="E650" s="290" t="n"/>
      <c r="F650" s="290" t="n"/>
      <c r="G650" s="291" t="n"/>
      <c r="H650" s="291" t="n"/>
      <c r="I650" s="291" t="n"/>
    </row>
    <row r="651" ht="13" customHeight="1" s="189">
      <c r="A651" s="289" t="n"/>
      <c r="B651" s="290" t="n"/>
      <c r="C651" s="290" t="n"/>
      <c r="D651" s="290" t="n"/>
      <c r="E651" s="290" t="n"/>
      <c r="F651" s="290" t="n"/>
      <c r="G651" s="291" t="n"/>
      <c r="H651" s="291" t="n"/>
      <c r="I651" s="291" t="n"/>
    </row>
    <row r="652" ht="13" customHeight="1" s="189">
      <c r="A652" s="289" t="n"/>
      <c r="B652" s="290" t="n"/>
      <c r="C652" s="290" t="n"/>
      <c r="D652" s="290" t="n"/>
      <c r="E652" s="290" t="n"/>
      <c r="F652" s="290" t="n"/>
      <c r="G652" s="291" t="n"/>
      <c r="H652" s="291" t="n"/>
      <c r="I652" s="291" t="n"/>
    </row>
    <row r="653" ht="13" customHeight="1" s="189">
      <c r="A653" s="289" t="n"/>
      <c r="B653" s="290" t="n"/>
      <c r="C653" s="290" t="n"/>
      <c r="D653" s="290" t="n"/>
      <c r="E653" s="290" t="n"/>
      <c r="F653" s="290" t="n"/>
      <c r="G653" s="291" t="n"/>
      <c r="H653" s="291" t="n"/>
      <c r="I653" s="291" t="n"/>
    </row>
    <row r="654" ht="13" customHeight="1" s="189">
      <c r="A654" s="289" t="n"/>
      <c r="B654" s="290" t="n"/>
      <c r="C654" s="290" t="n"/>
      <c r="D654" s="290" t="n"/>
      <c r="E654" s="290" t="n"/>
      <c r="F654" s="290" t="n"/>
      <c r="G654" s="291" t="n"/>
      <c r="H654" s="291" t="n"/>
      <c r="I654" s="291" t="n"/>
    </row>
    <row r="655" ht="13" customHeight="1" s="189">
      <c r="A655" s="289" t="n"/>
      <c r="B655" s="290" t="n"/>
      <c r="C655" s="290" t="n"/>
      <c r="D655" s="290" t="n"/>
      <c r="E655" s="290" t="n"/>
      <c r="F655" s="290" t="n"/>
      <c r="G655" s="291" t="n"/>
      <c r="H655" s="291" t="n"/>
      <c r="I655" s="291" t="n"/>
    </row>
    <row r="656" ht="13" customHeight="1" s="189">
      <c r="A656" s="289" t="n"/>
      <c r="B656" s="290" t="n"/>
      <c r="C656" s="290" t="n"/>
      <c r="D656" s="290" t="n"/>
      <c r="E656" s="290" t="n"/>
      <c r="F656" s="290" t="n"/>
      <c r="G656" s="291" t="n"/>
      <c r="H656" s="291" t="n"/>
      <c r="I656" s="291" t="n"/>
    </row>
    <row r="657" ht="13" customHeight="1" s="189">
      <c r="A657" s="289" t="n"/>
      <c r="B657" s="290" t="n"/>
      <c r="C657" s="290" t="n"/>
      <c r="D657" s="290" t="n"/>
      <c r="E657" s="290" t="n"/>
      <c r="F657" s="290" t="n"/>
      <c r="G657" s="291" t="n"/>
      <c r="H657" s="291" t="n"/>
      <c r="I657" s="291" t="n"/>
    </row>
    <row r="658" ht="13" customHeight="1" s="189">
      <c r="A658" s="289" t="n"/>
      <c r="B658" s="290" t="n"/>
      <c r="C658" s="290" t="n"/>
      <c r="D658" s="290" t="n"/>
      <c r="E658" s="290" t="n"/>
      <c r="F658" s="290" t="n"/>
      <c r="G658" s="291" t="n"/>
      <c r="H658" s="291" t="n"/>
      <c r="I658" s="291" t="n"/>
    </row>
    <row r="659" ht="13" customHeight="1" s="189">
      <c r="A659" s="289" t="n"/>
      <c r="B659" s="290" t="n"/>
      <c r="C659" s="290" t="n"/>
      <c r="D659" s="290" t="n"/>
      <c r="E659" s="290" t="n"/>
      <c r="F659" s="290" t="n"/>
      <c r="G659" s="291" t="n"/>
      <c r="H659" s="291" t="n"/>
      <c r="I659" s="291" t="n"/>
    </row>
    <row r="660" ht="13" customHeight="1" s="189">
      <c r="A660" s="289" t="n"/>
      <c r="B660" s="290" t="n"/>
      <c r="C660" s="290" t="n"/>
      <c r="D660" s="290" t="n"/>
      <c r="E660" s="290" t="n"/>
      <c r="F660" s="290" t="n"/>
      <c r="G660" s="291" t="n"/>
      <c r="H660" s="291" t="n"/>
      <c r="I660" s="291" t="n"/>
    </row>
    <row r="661" ht="13" customHeight="1" s="189">
      <c r="A661" s="289" t="n"/>
      <c r="B661" s="290" t="n"/>
      <c r="C661" s="290" t="n"/>
      <c r="D661" s="290" t="n"/>
      <c r="E661" s="290" t="n"/>
      <c r="F661" s="290" t="n"/>
      <c r="G661" s="291" t="n"/>
      <c r="H661" s="291" t="n"/>
      <c r="I661" s="291" t="n"/>
    </row>
    <row r="662" ht="13" customHeight="1" s="189">
      <c r="A662" s="289" t="n"/>
      <c r="B662" s="290" t="n"/>
      <c r="C662" s="290" t="n"/>
      <c r="D662" s="290" t="n"/>
      <c r="E662" s="290" t="n"/>
      <c r="F662" s="290" t="n"/>
      <c r="G662" s="291" t="n"/>
      <c r="H662" s="291" t="n"/>
      <c r="I662" s="291" t="n"/>
    </row>
    <row r="663" ht="13" customHeight="1" s="189">
      <c r="A663" s="289" t="n"/>
      <c r="B663" s="290" t="n"/>
      <c r="C663" s="290" t="n"/>
      <c r="D663" s="290" t="n"/>
      <c r="E663" s="290" t="n"/>
      <c r="F663" s="290" t="n"/>
      <c r="G663" s="291" t="n"/>
      <c r="H663" s="291" t="n"/>
      <c r="I663" s="291" t="n"/>
    </row>
    <row r="664" ht="13" customHeight="1" s="189">
      <c r="A664" s="289" t="n"/>
      <c r="B664" s="290" t="n"/>
      <c r="C664" s="290" t="n"/>
      <c r="D664" s="290" t="n"/>
      <c r="E664" s="290" t="n"/>
      <c r="F664" s="290" t="n"/>
      <c r="G664" s="291" t="n"/>
      <c r="H664" s="291" t="n"/>
      <c r="I664" s="291" t="n"/>
    </row>
    <row r="665" ht="13" customHeight="1" s="189">
      <c r="A665" s="289" t="n"/>
      <c r="B665" s="290" t="n"/>
      <c r="C665" s="290" t="n"/>
      <c r="D665" s="290" t="n"/>
      <c r="E665" s="290" t="n"/>
      <c r="F665" s="290" t="n"/>
      <c r="G665" s="291" t="n"/>
      <c r="H665" s="291" t="n"/>
      <c r="I665" s="291" t="n"/>
    </row>
    <row r="666" ht="13" customHeight="1" s="189">
      <c r="A666" s="289" t="n"/>
      <c r="B666" s="290" t="n"/>
      <c r="C666" s="290" t="n"/>
      <c r="D666" s="290" t="n"/>
      <c r="E666" s="290" t="n"/>
      <c r="F666" s="290" t="n"/>
      <c r="G666" s="291" t="n"/>
      <c r="H666" s="291" t="n"/>
      <c r="I666" s="291" t="n"/>
    </row>
    <row r="667" ht="13" customHeight="1" s="189">
      <c r="A667" s="289" t="n"/>
      <c r="B667" s="290" t="n"/>
      <c r="C667" s="290" t="n"/>
      <c r="D667" s="290" t="n"/>
      <c r="E667" s="290" t="n"/>
      <c r="F667" s="290" t="n"/>
      <c r="G667" s="291" t="n"/>
      <c r="H667" s="291" t="n"/>
      <c r="I667" s="291" t="n"/>
    </row>
    <row r="668" ht="13" customHeight="1" s="189">
      <c r="A668" s="289" t="n"/>
      <c r="B668" s="290" t="n"/>
      <c r="C668" s="290" t="n"/>
      <c r="D668" s="290" t="n"/>
      <c r="E668" s="290" t="n"/>
      <c r="F668" s="290" t="n"/>
      <c r="G668" s="291" t="n"/>
      <c r="H668" s="291" t="n"/>
      <c r="I668" s="291" t="n"/>
    </row>
    <row r="669" ht="13" customHeight="1" s="189">
      <c r="A669" s="289" t="n"/>
      <c r="B669" s="290" t="n"/>
      <c r="C669" s="290" t="n"/>
      <c r="D669" s="290" t="n"/>
      <c r="E669" s="290" t="n"/>
      <c r="F669" s="290" t="n"/>
      <c r="G669" s="291" t="n"/>
      <c r="H669" s="291" t="n"/>
      <c r="I669" s="291" t="n"/>
    </row>
    <row r="670" ht="13" customHeight="1" s="189">
      <c r="A670" s="289" t="n"/>
      <c r="B670" s="290" t="n"/>
      <c r="C670" s="290" t="n"/>
      <c r="D670" s="290" t="n"/>
      <c r="E670" s="290" t="n"/>
      <c r="F670" s="290" t="n"/>
      <c r="G670" s="291" t="n"/>
      <c r="H670" s="291" t="n"/>
      <c r="I670" s="291" t="n"/>
    </row>
    <row r="671" ht="13" customHeight="1" s="189">
      <c r="A671" s="289" t="n"/>
      <c r="B671" s="290" t="n"/>
      <c r="C671" s="290" t="n"/>
      <c r="D671" s="290" t="n"/>
      <c r="E671" s="290" t="n"/>
      <c r="F671" s="290" t="n"/>
      <c r="G671" s="291" t="n"/>
      <c r="H671" s="291" t="n"/>
      <c r="I671" s="291" t="n"/>
    </row>
    <row r="672" ht="13" customHeight="1" s="189">
      <c r="A672" s="289" t="n"/>
      <c r="B672" s="290" t="n"/>
      <c r="C672" s="290" t="n"/>
      <c r="D672" s="290" t="n"/>
      <c r="E672" s="290" t="n"/>
      <c r="F672" s="290" t="n"/>
      <c r="G672" s="291" t="n"/>
      <c r="H672" s="291" t="n"/>
      <c r="I672" s="291" t="n"/>
    </row>
    <row r="673" ht="13" customHeight="1" s="189">
      <c r="A673" s="289" t="n"/>
      <c r="B673" s="290" t="n"/>
      <c r="C673" s="290" t="n"/>
      <c r="D673" s="290" t="n"/>
      <c r="E673" s="290" t="n"/>
      <c r="F673" s="290" t="n"/>
      <c r="G673" s="291" t="n"/>
      <c r="H673" s="291" t="n"/>
      <c r="I673" s="291" t="n"/>
    </row>
    <row r="674" ht="13" customHeight="1" s="189">
      <c r="A674" s="289" t="n"/>
      <c r="B674" s="290" t="n"/>
      <c r="C674" s="290" t="n"/>
      <c r="D674" s="290" t="n"/>
      <c r="E674" s="290" t="n"/>
      <c r="F674" s="290" t="n"/>
      <c r="G674" s="291" t="n"/>
      <c r="H674" s="291" t="n"/>
      <c r="I674" s="291" t="n"/>
    </row>
    <row r="675" ht="13" customHeight="1" s="189">
      <c r="A675" s="289" t="n"/>
      <c r="B675" s="290" t="n"/>
      <c r="C675" s="290" t="n"/>
      <c r="D675" s="290" t="n"/>
      <c r="E675" s="290" t="n"/>
      <c r="F675" s="290" t="n"/>
      <c r="G675" s="291" t="n"/>
      <c r="H675" s="291" t="n"/>
      <c r="I675" s="291" t="n"/>
    </row>
    <row r="676" ht="13" customHeight="1" s="189">
      <c r="A676" s="289" t="n"/>
      <c r="B676" s="290" t="n"/>
      <c r="C676" s="290" t="n"/>
      <c r="D676" s="290" t="n"/>
      <c r="E676" s="290" t="n"/>
      <c r="F676" s="290" t="n"/>
      <c r="G676" s="291" t="n"/>
      <c r="H676" s="291" t="n"/>
      <c r="I676" s="291" t="n"/>
    </row>
    <row r="677" ht="13" customHeight="1" s="189">
      <c r="A677" s="289" t="n"/>
      <c r="B677" s="290" t="n"/>
      <c r="C677" s="290" t="n"/>
      <c r="D677" s="290" t="n"/>
      <c r="E677" s="290" t="n"/>
      <c r="F677" s="290" t="n"/>
      <c r="G677" s="291" t="n"/>
      <c r="H677" s="291" t="n"/>
      <c r="I677" s="291" t="n"/>
    </row>
    <row r="678" ht="13" customHeight="1" s="189">
      <c r="A678" s="289" t="n"/>
      <c r="B678" s="290" t="n"/>
      <c r="C678" s="290" t="n"/>
      <c r="D678" s="290" t="n"/>
      <c r="E678" s="290" t="n"/>
      <c r="F678" s="290" t="n"/>
      <c r="G678" s="291" t="n"/>
      <c r="H678" s="291" t="n"/>
      <c r="I678" s="291" t="n"/>
    </row>
    <row r="679" ht="13" customHeight="1" s="189">
      <c r="A679" s="289" t="n"/>
      <c r="B679" s="290" t="n"/>
      <c r="C679" s="290" t="n"/>
      <c r="D679" s="290" t="n"/>
      <c r="E679" s="290" t="n"/>
      <c r="F679" s="290" t="n"/>
      <c r="G679" s="291" t="n"/>
      <c r="H679" s="291" t="n"/>
      <c r="I679" s="291" t="n"/>
    </row>
    <row r="680" ht="13" customHeight="1" s="189">
      <c r="A680" s="289" t="n"/>
      <c r="B680" s="290" t="n"/>
      <c r="C680" s="290" t="n"/>
      <c r="D680" s="290" t="n"/>
      <c r="E680" s="290" t="n"/>
      <c r="F680" s="290" t="n"/>
      <c r="G680" s="291" t="n"/>
      <c r="H680" s="291" t="n"/>
      <c r="I680" s="291" t="n"/>
    </row>
    <row r="681" ht="13" customHeight="1" s="189">
      <c r="A681" s="289" t="n"/>
      <c r="B681" s="290" t="n"/>
      <c r="C681" s="290" t="n"/>
      <c r="D681" s="290" t="n"/>
      <c r="E681" s="290" t="n"/>
      <c r="F681" s="290" t="n"/>
      <c r="G681" s="291" t="n"/>
      <c r="H681" s="291" t="n"/>
      <c r="I681" s="291" t="n"/>
    </row>
    <row r="682" ht="13" customHeight="1" s="189">
      <c r="A682" s="289" t="n"/>
      <c r="B682" s="290" t="n"/>
      <c r="C682" s="290" t="n"/>
      <c r="D682" s="290" t="n"/>
      <c r="E682" s="290" t="n"/>
      <c r="F682" s="290" t="n"/>
      <c r="G682" s="291" t="n"/>
      <c r="H682" s="291" t="n"/>
      <c r="I682" s="291" t="n"/>
    </row>
    <row r="683" ht="13" customHeight="1" s="189">
      <c r="A683" s="289" t="n"/>
      <c r="B683" s="290" t="n"/>
      <c r="C683" s="290" t="n"/>
      <c r="D683" s="290" t="n"/>
      <c r="E683" s="290" t="n"/>
      <c r="F683" s="290" t="n"/>
      <c r="G683" s="291" t="n"/>
      <c r="H683" s="291" t="n"/>
      <c r="I683" s="291" t="n"/>
    </row>
    <row r="684" ht="13" customHeight="1" s="189">
      <c r="A684" s="289" t="n"/>
      <c r="B684" s="290" t="n"/>
      <c r="C684" s="290" t="n"/>
      <c r="D684" s="290" t="n"/>
      <c r="E684" s="290" t="n"/>
      <c r="F684" s="290" t="n"/>
      <c r="G684" s="291" t="n"/>
      <c r="H684" s="291" t="n"/>
      <c r="I684" s="291" t="n"/>
    </row>
    <row r="685" ht="13" customHeight="1" s="189">
      <c r="A685" s="289" t="n"/>
      <c r="B685" s="290" t="n"/>
      <c r="C685" s="290" t="n"/>
      <c r="D685" s="290" t="n"/>
      <c r="E685" s="290" t="n"/>
      <c r="F685" s="290" t="n"/>
      <c r="G685" s="291" t="n"/>
      <c r="H685" s="291" t="n"/>
      <c r="I685" s="291" t="n"/>
    </row>
    <row r="686" ht="13" customHeight="1" s="189">
      <c r="A686" s="289" t="n"/>
      <c r="B686" s="290" t="n"/>
      <c r="C686" s="290" t="n"/>
      <c r="D686" s="290" t="n"/>
      <c r="E686" s="290" t="n"/>
      <c r="F686" s="290" t="n"/>
      <c r="G686" s="291" t="n"/>
      <c r="H686" s="291" t="n"/>
      <c r="I686" s="291" t="n"/>
    </row>
    <row r="687" ht="13" customHeight="1" s="189">
      <c r="A687" s="289" t="n"/>
      <c r="B687" s="290" t="n"/>
      <c r="C687" s="290" t="n"/>
      <c r="D687" s="290" t="n"/>
      <c r="E687" s="290" t="n"/>
      <c r="F687" s="290" t="n"/>
      <c r="G687" s="291" t="n"/>
      <c r="H687" s="291" t="n"/>
      <c r="I687" s="291" t="n"/>
    </row>
    <row r="688" ht="13" customHeight="1" s="189">
      <c r="A688" s="289" t="n"/>
      <c r="B688" s="290" t="n"/>
      <c r="C688" s="290" t="n"/>
      <c r="D688" s="290" t="n"/>
      <c r="E688" s="290" t="n"/>
      <c r="F688" s="290" t="n"/>
      <c r="G688" s="291" t="n"/>
      <c r="H688" s="291" t="n"/>
      <c r="I688" s="291" t="n"/>
    </row>
    <row r="689" ht="13" customHeight="1" s="189">
      <c r="A689" s="289" t="n"/>
      <c r="B689" s="290" t="n"/>
      <c r="C689" s="290" t="n"/>
      <c r="D689" s="290" t="n"/>
      <c r="E689" s="290" t="n"/>
      <c r="F689" s="290" t="n"/>
      <c r="G689" s="291" t="n"/>
      <c r="H689" s="291" t="n"/>
      <c r="I689" s="291" t="n"/>
    </row>
    <row r="690" ht="13" customHeight="1" s="189">
      <c r="A690" s="289" t="n"/>
      <c r="B690" s="290" t="n"/>
      <c r="C690" s="290" t="n"/>
      <c r="D690" s="290" t="n"/>
      <c r="E690" s="290" t="n"/>
      <c r="F690" s="290" t="n"/>
      <c r="G690" s="291" t="n"/>
      <c r="H690" s="291" t="n"/>
      <c r="I690" s="291" t="n"/>
    </row>
    <row r="691" ht="13" customHeight="1" s="189">
      <c r="A691" s="289" t="n"/>
      <c r="B691" s="290" t="n"/>
      <c r="C691" s="290" t="n"/>
      <c r="D691" s="290" t="n"/>
      <c r="E691" s="290" t="n"/>
      <c r="F691" s="290" t="n"/>
      <c r="G691" s="291" t="n"/>
      <c r="H691" s="291" t="n"/>
      <c r="I691" s="291" t="n"/>
    </row>
    <row r="692" ht="13" customHeight="1" s="189">
      <c r="A692" s="289" t="n"/>
      <c r="B692" s="290" t="n"/>
      <c r="C692" s="290" t="n"/>
      <c r="D692" s="290" t="n"/>
      <c r="E692" s="290" t="n"/>
      <c r="F692" s="290" t="n"/>
      <c r="G692" s="291" t="n"/>
      <c r="H692" s="291" t="n"/>
      <c r="I692" s="291" t="n"/>
    </row>
    <row r="693" ht="13" customHeight="1" s="189">
      <c r="A693" s="289" t="n"/>
      <c r="B693" s="290" t="n"/>
      <c r="C693" s="290" t="n"/>
      <c r="D693" s="290" t="n"/>
      <c r="E693" s="290" t="n"/>
      <c r="F693" s="290" t="n"/>
      <c r="G693" s="291" t="n"/>
      <c r="H693" s="291" t="n"/>
      <c r="I693" s="291" t="n"/>
    </row>
    <row r="694" ht="13" customHeight="1" s="189">
      <c r="A694" s="289" t="n"/>
      <c r="B694" s="290" t="n"/>
      <c r="C694" s="290" t="n"/>
      <c r="D694" s="290" t="n"/>
      <c r="E694" s="290" t="n"/>
      <c r="F694" s="290" t="n"/>
      <c r="G694" s="291" t="n"/>
      <c r="H694" s="291" t="n"/>
      <c r="I694" s="291" t="n"/>
    </row>
    <row r="695" ht="13" customHeight="1" s="189">
      <c r="A695" s="289" t="n"/>
      <c r="B695" s="290" t="n"/>
      <c r="C695" s="290" t="n"/>
      <c r="D695" s="290" t="n"/>
      <c r="E695" s="290" t="n"/>
      <c r="F695" s="290" t="n"/>
      <c r="G695" s="291" t="n"/>
      <c r="H695" s="291" t="n"/>
      <c r="I695" s="291" t="n"/>
    </row>
    <row r="696" ht="13" customHeight="1" s="189">
      <c r="A696" s="289" t="n"/>
      <c r="B696" s="290" t="n"/>
      <c r="C696" s="290" t="n"/>
      <c r="D696" s="290" t="n"/>
      <c r="E696" s="290" t="n"/>
      <c r="F696" s="290" t="n"/>
      <c r="G696" s="291" t="n"/>
      <c r="H696" s="291" t="n"/>
      <c r="I696" s="291" t="n"/>
    </row>
    <row r="697" ht="13" customHeight="1" s="189">
      <c r="A697" s="289" t="n"/>
      <c r="B697" s="290" t="n"/>
      <c r="C697" s="290" t="n"/>
      <c r="D697" s="290" t="n"/>
      <c r="E697" s="290" t="n"/>
      <c r="F697" s="290" t="n"/>
      <c r="G697" s="291" t="n"/>
      <c r="H697" s="291" t="n"/>
      <c r="I697" s="291" t="n"/>
    </row>
    <row r="698" ht="13" customHeight="1" s="189">
      <c r="A698" s="289" t="n"/>
      <c r="B698" s="290" t="n"/>
      <c r="C698" s="290" t="n"/>
      <c r="D698" s="290" t="n"/>
      <c r="E698" s="290" t="n"/>
      <c r="F698" s="290" t="n"/>
      <c r="G698" s="291" t="n"/>
      <c r="H698" s="291" t="n"/>
      <c r="I698" s="291" t="n"/>
    </row>
    <row r="699" ht="13" customHeight="1" s="189">
      <c r="A699" s="289" t="n"/>
      <c r="B699" s="290" t="n"/>
      <c r="C699" s="290" t="n"/>
      <c r="D699" s="290" t="n"/>
      <c r="E699" s="290" t="n"/>
      <c r="F699" s="290" t="n"/>
      <c r="G699" s="291" t="n"/>
      <c r="H699" s="291" t="n"/>
      <c r="I699" s="291" t="n"/>
    </row>
    <row r="700" ht="13" customHeight="1" s="189">
      <c r="A700" s="289" t="n"/>
      <c r="B700" s="290" t="n"/>
      <c r="C700" s="290" t="n"/>
      <c r="D700" s="290" t="n"/>
      <c r="E700" s="290" t="n"/>
      <c r="F700" s="290" t="n"/>
      <c r="G700" s="291" t="n"/>
      <c r="H700" s="291" t="n"/>
      <c r="I700" s="291" t="n"/>
    </row>
    <row r="701" ht="13" customHeight="1" s="189">
      <c r="A701" s="289" t="n"/>
      <c r="B701" s="290" t="n"/>
      <c r="C701" s="290" t="n"/>
      <c r="D701" s="290" t="n"/>
      <c r="E701" s="290" t="n"/>
      <c r="F701" s="290" t="n"/>
      <c r="G701" s="291" t="n"/>
      <c r="H701" s="291" t="n"/>
      <c r="I701" s="291" t="n"/>
    </row>
    <row r="702" ht="13" customHeight="1" s="189">
      <c r="A702" s="289" t="n"/>
      <c r="B702" s="290" t="n"/>
      <c r="C702" s="290" t="n"/>
      <c r="D702" s="290" t="n"/>
      <c r="E702" s="290" t="n"/>
      <c r="F702" s="290" t="n"/>
      <c r="G702" s="291" t="n"/>
      <c r="H702" s="291" t="n"/>
      <c r="I702" s="291" t="n"/>
    </row>
    <row r="703" ht="13" customHeight="1" s="189">
      <c r="A703" s="289" t="n"/>
      <c r="B703" s="290" t="n"/>
      <c r="C703" s="290" t="n"/>
      <c r="D703" s="290" t="n"/>
      <c r="E703" s="290" t="n"/>
      <c r="F703" s="290" t="n"/>
      <c r="G703" s="291" t="n"/>
      <c r="H703" s="291" t="n"/>
      <c r="I703" s="291" t="n"/>
    </row>
    <row r="704" ht="13" customHeight="1" s="189">
      <c r="A704" s="289" t="n"/>
      <c r="B704" s="290" t="n"/>
      <c r="C704" s="290" t="n"/>
      <c r="D704" s="290" t="n"/>
      <c r="E704" s="290" t="n"/>
      <c r="F704" s="290" t="n"/>
      <c r="G704" s="291" t="n"/>
      <c r="H704" s="291" t="n"/>
      <c r="I704" s="291" t="n"/>
    </row>
    <row r="705" ht="13" customHeight="1" s="189">
      <c r="A705" s="289" t="n"/>
      <c r="B705" s="290" t="n"/>
      <c r="C705" s="290" t="n"/>
      <c r="D705" s="290" t="n"/>
      <c r="E705" s="290" t="n"/>
      <c r="F705" s="290" t="n"/>
      <c r="G705" s="291" t="n"/>
      <c r="H705" s="291" t="n"/>
      <c r="I705" s="291" t="n"/>
    </row>
    <row r="706" ht="13" customHeight="1" s="189">
      <c r="A706" s="289" t="n"/>
      <c r="B706" s="290" t="n"/>
      <c r="C706" s="290" t="n"/>
      <c r="D706" s="290" t="n"/>
      <c r="E706" s="290" t="n"/>
      <c r="F706" s="290" t="n"/>
      <c r="G706" s="291" t="n"/>
      <c r="H706" s="291" t="n"/>
      <c r="I706" s="291" t="n"/>
    </row>
    <row r="707" ht="13" customHeight="1" s="189">
      <c r="A707" s="289" t="n"/>
      <c r="B707" s="290" t="n"/>
      <c r="C707" s="290" t="n"/>
      <c r="D707" s="290" t="n"/>
      <c r="E707" s="290" t="n"/>
      <c r="F707" s="290" t="n"/>
      <c r="G707" s="291" t="n"/>
      <c r="H707" s="291" t="n"/>
      <c r="I707" s="291" t="n"/>
    </row>
    <row r="708" ht="13" customHeight="1" s="189">
      <c r="A708" s="289" t="n"/>
      <c r="B708" s="290" t="n"/>
      <c r="C708" s="290" t="n"/>
      <c r="D708" s="290" t="n"/>
      <c r="E708" s="290" t="n"/>
      <c r="F708" s="290" t="n"/>
      <c r="G708" s="291" t="n"/>
      <c r="H708" s="291" t="n"/>
      <c r="I708" s="291" t="n"/>
    </row>
    <row r="709" ht="13" customHeight="1" s="189">
      <c r="A709" s="289" t="n"/>
      <c r="B709" s="290" t="n"/>
      <c r="C709" s="290" t="n"/>
      <c r="D709" s="290" t="n"/>
      <c r="E709" s="290" t="n"/>
      <c r="F709" s="290" t="n"/>
      <c r="G709" s="291" t="n"/>
      <c r="H709" s="291" t="n"/>
      <c r="I709" s="291" t="n"/>
    </row>
    <row r="710" ht="13" customHeight="1" s="189">
      <c r="A710" s="289" t="n"/>
      <c r="B710" s="290" t="n"/>
      <c r="C710" s="290" t="n"/>
      <c r="D710" s="290" t="n"/>
      <c r="E710" s="290" t="n"/>
      <c r="F710" s="290" t="n"/>
      <c r="G710" s="291" t="n"/>
      <c r="H710" s="291" t="n"/>
      <c r="I710" s="291" t="n"/>
    </row>
    <row r="711" ht="13" customHeight="1" s="189">
      <c r="A711" s="289" t="n"/>
      <c r="B711" s="290" t="n"/>
      <c r="C711" s="290" t="n"/>
      <c r="D711" s="290" t="n"/>
      <c r="E711" s="290" t="n"/>
      <c r="F711" s="290" t="n"/>
      <c r="G711" s="291" t="n"/>
      <c r="H711" s="291" t="n"/>
      <c r="I711" s="291" t="n"/>
    </row>
    <row r="712" ht="13" customHeight="1" s="189">
      <c r="A712" s="289" t="n"/>
      <c r="B712" s="290" t="n"/>
      <c r="C712" s="290" t="n"/>
      <c r="D712" s="290" t="n"/>
      <c r="E712" s="290" t="n"/>
      <c r="F712" s="290" t="n"/>
      <c r="G712" s="291" t="n"/>
      <c r="H712" s="291" t="n"/>
      <c r="I712" s="291" t="n"/>
    </row>
    <row r="713" ht="13" customHeight="1" s="189">
      <c r="A713" s="289" t="n"/>
      <c r="B713" s="290" t="n"/>
      <c r="C713" s="290" t="n"/>
      <c r="D713" s="290" t="n"/>
      <c r="E713" s="290" t="n"/>
      <c r="F713" s="290" t="n"/>
      <c r="G713" s="291" t="n"/>
      <c r="H713" s="291" t="n"/>
      <c r="I713" s="291" t="n"/>
    </row>
    <row r="714" ht="13" customHeight="1" s="189">
      <c r="A714" s="289" t="n"/>
      <c r="B714" s="290" t="n"/>
      <c r="C714" s="290" t="n"/>
      <c r="D714" s="290" t="n"/>
      <c r="E714" s="290" t="n"/>
      <c r="F714" s="290" t="n"/>
      <c r="G714" s="291" t="n"/>
      <c r="H714" s="291" t="n"/>
      <c r="I714" s="291" t="n"/>
    </row>
    <row r="715" ht="13" customHeight="1" s="189">
      <c r="A715" s="289" t="n"/>
      <c r="B715" s="290" t="n"/>
      <c r="C715" s="290" t="n"/>
      <c r="D715" s="290" t="n"/>
      <c r="E715" s="290" t="n"/>
      <c r="F715" s="290" t="n"/>
      <c r="G715" s="291" t="n"/>
      <c r="H715" s="291" t="n"/>
      <c r="I715" s="291" t="n"/>
    </row>
    <row r="716" ht="13" customHeight="1" s="189">
      <c r="A716" s="289" t="n"/>
      <c r="B716" s="290" t="n"/>
      <c r="C716" s="290" t="n"/>
      <c r="D716" s="290" t="n"/>
      <c r="E716" s="290" t="n"/>
      <c r="F716" s="290" t="n"/>
      <c r="G716" s="291" t="n"/>
      <c r="H716" s="291" t="n"/>
      <c r="I716" s="291" t="n"/>
    </row>
    <row r="717" ht="13" customHeight="1" s="189">
      <c r="A717" s="289" t="n"/>
      <c r="B717" s="290" t="n"/>
      <c r="C717" s="290" t="n"/>
      <c r="D717" s="290" t="n"/>
      <c r="E717" s="290" t="n"/>
      <c r="F717" s="290" t="n"/>
      <c r="G717" s="291" t="n"/>
      <c r="H717" s="291" t="n"/>
      <c r="I717" s="291" t="n"/>
    </row>
    <row r="718" ht="13" customHeight="1" s="189">
      <c r="A718" s="292" t="n"/>
      <c r="B718" s="290" t="n"/>
      <c r="C718" s="290" t="n"/>
      <c r="D718" s="290" t="n"/>
      <c r="E718" s="290" t="n"/>
      <c r="F718" s="290" t="n"/>
      <c r="G718" s="291" t="n"/>
      <c r="H718" s="291" t="n"/>
      <c r="I718" s="291" t="n"/>
    </row>
    <row r="719" ht="13" customHeight="1" s="189">
      <c r="A719" s="292" t="n"/>
      <c r="B719" s="290" t="n"/>
      <c r="C719" s="290" t="n"/>
      <c r="D719" s="290" t="n"/>
      <c r="E719" s="290" t="n"/>
      <c r="F719" s="290" t="n"/>
      <c r="G719" s="291" t="n"/>
      <c r="H719" s="291" t="n"/>
      <c r="I719" s="291" t="n"/>
    </row>
    <row r="720" ht="13" customHeight="1" s="189">
      <c r="A720" s="292" t="n"/>
      <c r="B720" s="290" t="n"/>
      <c r="C720" s="290" t="n"/>
      <c r="D720" s="290" t="n"/>
      <c r="E720" s="290" t="n"/>
      <c r="F720" s="290" t="n"/>
      <c r="G720" s="291" t="n"/>
      <c r="H720" s="291" t="n"/>
      <c r="I720" s="291" t="n"/>
    </row>
    <row r="721" ht="13" customHeight="1" s="189">
      <c r="A721" s="292" t="n"/>
      <c r="B721" s="290" t="n"/>
      <c r="C721" s="290" t="n"/>
      <c r="D721" s="290" t="n"/>
      <c r="E721" s="290" t="n"/>
      <c r="F721" s="290" t="n"/>
      <c r="G721" s="291" t="n"/>
      <c r="H721" s="291" t="n"/>
      <c r="I721" s="291" t="n"/>
    </row>
    <row r="722" ht="13" customHeight="1" s="189">
      <c r="A722" s="292" t="n"/>
      <c r="B722" s="290" t="n"/>
      <c r="C722" s="290" t="n"/>
      <c r="D722" s="290" t="n"/>
      <c r="E722" s="290" t="n"/>
      <c r="F722" s="290" t="n"/>
      <c r="G722" s="291" t="n"/>
      <c r="H722" s="291" t="n"/>
      <c r="I722" s="291" t="n"/>
    </row>
    <row r="723" ht="13" customHeight="1" s="189">
      <c r="A723" s="292" t="n"/>
      <c r="B723" s="290" t="n"/>
      <c r="C723" s="290" t="n"/>
      <c r="D723" s="290" t="n"/>
      <c r="E723" s="290" t="n"/>
      <c r="F723" s="290" t="n"/>
      <c r="G723" s="291" t="n"/>
      <c r="H723" s="291" t="n"/>
      <c r="I723" s="291" t="n"/>
    </row>
    <row r="724" ht="13" customHeight="1" s="189">
      <c r="A724" s="292" t="n"/>
      <c r="B724" s="290" t="n"/>
      <c r="C724" s="290" t="n"/>
      <c r="D724" s="290" t="n"/>
      <c r="E724" s="290" t="n"/>
      <c r="F724" s="290" t="n"/>
      <c r="G724" s="291" t="n"/>
      <c r="H724" s="291" t="n"/>
      <c r="I724" s="291" t="n"/>
    </row>
    <row r="725" ht="13" customHeight="1" s="189">
      <c r="A725" s="292" t="n"/>
      <c r="B725" s="290" t="n"/>
      <c r="C725" s="290" t="n"/>
      <c r="D725" s="290" t="n"/>
      <c r="E725" s="290" t="n"/>
      <c r="F725" s="290" t="n"/>
      <c r="G725" s="291" t="n"/>
      <c r="H725" s="291" t="n"/>
      <c r="I725" s="291" t="n"/>
    </row>
    <row r="726" ht="13" customHeight="1" s="189">
      <c r="A726" s="292" t="n"/>
      <c r="B726" s="290" t="n"/>
      <c r="C726" s="290" t="n"/>
      <c r="D726" s="290" t="n"/>
      <c r="E726" s="290" t="n"/>
      <c r="F726" s="290" t="n"/>
      <c r="G726" s="291" t="n"/>
      <c r="H726" s="291" t="n"/>
      <c r="I726" s="291" t="n"/>
    </row>
    <row r="727" ht="13" customHeight="1" s="189">
      <c r="A727" s="292" t="n"/>
      <c r="B727" s="290" t="n"/>
      <c r="C727" s="290" t="n"/>
      <c r="D727" s="290" t="n"/>
      <c r="E727" s="290" t="n"/>
      <c r="F727" s="290" t="n"/>
      <c r="G727" s="291" t="n"/>
      <c r="H727" s="291" t="n"/>
      <c r="I727" s="291" t="n"/>
    </row>
    <row r="728" ht="13" customHeight="1" s="189">
      <c r="A728" s="292" t="n"/>
      <c r="B728" s="290" t="n"/>
      <c r="C728" s="290" t="n"/>
      <c r="D728" s="290" t="n"/>
      <c r="E728" s="290" t="n"/>
      <c r="F728" s="290" t="n"/>
      <c r="G728" s="291" t="n"/>
      <c r="H728" s="291" t="n"/>
      <c r="I728" s="291" t="n"/>
    </row>
    <row r="729" ht="13" customHeight="1" s="189">
      <c r="A729" s="292" t="n"/>
      <c r="B729" s="290" t="n"/>
      <c r="C729" s="290" t="n"/>
      <c r="D729" s="290" t="n"/>
      <c r="E729" s="290" t="n"/>
      <c r="F729" s="290" t="n"/>
      <c r="G729" s="291" t="n"/>
      <c r="H729" s="291" t="n"/>
      <c r="I729" s="291" t="n"/>
    </row>
    <row r="730" ht="13" customHeight="1" s="189">
      <c r="A730" s="292" t="n"/>
      <c r="B730" s="290" t="n"/>
      <c r="C730" s="290" t="n"/>
      <c r="D730" s="290" t="n"/>
      <c r="E730" s="290" t="n"/>
      <c r="F730" s="290" t="n"/>
      <c r="G730" s="291" t="n"/>
      <c r="H730" s="291" t="n"/>
      <c r="I730" s="291" t="n"/>
    </row>
    <row r="731" ht="13" customHeight="1" s="189">
      <c r="A731" s="292" t="n"/>
      <c r="B731" s="290" t="n"/>
      <c r="C731" s="290" t="n"/>
      <c r="D731" s="290" t="n"/>
      <c r="E731" s="290" t="n"/>
      <c r="F731" s="290" t="n"/>
      <c r="G731" s="291" t="n"/>
      <c r="H731" s="291" t="n"/>
      <c r="I731" s="291" t="n"/>
    </row>
    <row r="732" ht="13" customHeight="1" s="189">
      <c r="A732" s="292" t="n"/>
      <c r="B732" s="290" t="n"/>
      <c r="C732" s="290" t="n"/>
      <c r="D732" s="290" t="n"/>
      <c r="E732" s="290" t="n"/>
      <c r="F732" s="290" t="n"/>
      <c r="G732" s="291" t="n"/>
      <c r="H732" s="291" t="n"/>
      <c r="I732" s="291" t="n"/>
    </row>
    <row r="733" ht="13" customHeight="1" s="189">
      <c r="A733" s="292" t="n"/>
      <c r="B733" s="290" t="n"/>
      <c r="C733" s="290" t="n"/>
      <c r="D733" s="290" t="n"/>
      <c r="E733" s="290" t="n"/>
      <c r="F733" s="290" t="n"/>
      <c r="G733" s="291" t="n"/>
      <c r="H733" s="291" t="n"/>
      <c r="I733" s="291" t="n"/>
    </row>
    <row r="734" ht="13" customHeight="1" s="189">
      <c r="A734" s="292" t="n"/>
      <c r="B734" s="290" t="n"/>
      <c r="C734" s="290" t="n"/>
      <c r="D734" s="290" t="n"/>
      <c r="E734" s="290" t="n"/>
      <c r="F734" s="290" t="n"/>
      <c r="G734" s="291" t="n"/>
      <c r="H734" s="291" t="n"/>
      <c r="I734" s="291" t="n"/>
    </row>
    <row r="735" ht="13" customHeight="1" s="189">
      <c r="A735" s="292" t="n"/>
      <c r="B735" s="290" t="n"/>
      <c r="C735" s="290" t="n"/>
      <c r="D735" s="290" t="n"/>
      <c r="E735" s="290" t="n"/>
      <c r="F735" s="290" t="n"/>
      <c r="G735" s="291" t="n"/>
      <c r="H735" s="291" t="n"/>
      <c r="I735" s="291" t="n"/>
    </row>
    <row r="736" ht="13" customHeight="1" s="189">
      <c r="A736" s="292" t="n"/>
      <c r="B736" s="290" t="n"/>
      <c r="C736" s="290" t="n"/>
      <c r="D736" s="290" t="n"/>
      <c r="E736" s="290" t="n"/>
      <c r="F736" s="290" t="n"/>
      <c r="G736" s="291" t="n"/>
      <c r="H736" s="291" t="n"/>
      <c r="I736" s="291" t="n"/>
    </row>
    <row r="737" ht="13" customHeight="1" s="189">
      <c r="A737" s="292" t="n"/>
      <c r="B737" s="290" t="n"/>
      <c r="C737" s="290" t="n"/>
      <c r="D737" s="290" t="n"/>
      <c r="E737" s="290" t="n"/>
      <c r="F737" s="290" t="n"/>
      <c r="G737" s="291" t="n"/>
      <c r="H737" s="291" t="n"/>
      <c r="I737" s="291" t="n"/>
    </row>
    <row r="738" ht="13" customHeight="1" s="189">
      <c r="A738" s="292" t="n"/>
      <c r="B738" s="290" t="n"/>
      <c r="C738" s="290" t="n"/>
      <c r="D738" s="290" t="n"/>
      <c r="E738" s="290" t="n"/>
      <c r="F738" s="290" t="n"/>
      <c r="G738" s="291" t="n"/>
      <c r="H738" s="291" t="n"/>
      <c r="I738" s="291" t="n"/>
    </row>
    <row r="739" ht="13" customHeight="1" s="189">
      <c r="A739" s="292" t="n"/>
      <c r="B739" s="290" t="n"/>
      <c r="C739" s="290" t="n"/>
      <c r="D739" s="290" t="n"/>
      <c r="E739" s="290" t="n"/>
      <c r="F739" s="290" t="n"/>
      <c r="G739" s="291" t="n"/>
      <c r="H739" s="291" t="n"/>
      <c r="I739" s="291" t="n"/>
    </row>
    <row r="740" ht="13" customHeight="1" s="189">
      <c r="A740" s="292" t="n"/>
      <c r="B740" s="290" t="n"/>
      <c r="C740" s="290" t="n"/>
      <c r="D740" s="290" t="n"/>
      <c r="E740" s="290" t="n"/>
      <c r="F740" s="290" t="n"/>
      <c r="G740" s="291" t="n"/>
      <c r="H740" s="291" t="n"/>
      <c r="I740" s="291" t="n"/>
    </row>
    <row r="741" ht="13" customHeight="1" s="189">
      <c r="A741" s="292" t="n"/>
      <c r="B741" s="290" t="n"/>
      <c r="C741" s="290" t="n"/>
      <c r="D741" s="290" t="n"/>
      <c r="E741" s="290" t="n"/>
      <c r="F741" s="290" t="n"/>
      <c r="G741" s="291" t="n"/>
      <c r="H741" s="291" t="n"/>
      <c r="I741" s="291" t="n"/>
    </row>
    <row r="742" ht="13" customHeight="1" s="189">
      <c r="A742" s="292" t="n"/>
      <c r="B742" s="290" t="n"/>
      <c r="C742" s="290" t="n"/>
      <c r="D742" s="290" t="n"/>
      <c r="E742" s="290" t="n"/>
      <c r="F742" s="290" t="n"/>
      <c r="G742" s="291" t="n"/>
      <c r="H742" s="291" t="n"/>
      <c r="I742" s="291" t="n"/>
    </row>
    <row r="743" ht="13" customHeight="1" s="189">
      <c r="A743" s="292" t="n"/>
      <c r="B743" s="290" t="n"/>
      <c r="C743" s="290" t="n"/>
      <c r="D743" s="290" t="n"/>
      <c r="E743" s="290" t="n"/>
      <c r="F743" s="290" t="n"/>
      <c r="G743" s="291" t="n"/>
      <c r="H743" s="291" t="n"/>
      <c r="I743" s="291" t="n"/>
    </row>
    <row r="744" ht="13" customHeight="1" s="189">
      <c r="A744" s="292" t="n"/>
      <c r="B744" s="290" t="n"/>
      <c r="C744" s="290" t="n"/>
      <c r="D744" s="290" t="n"/>
      <c r="E744" s="290" t="n"/>
      <c r="F744" s="290" t="n"/>
      <c r="G744" s="291" t="n"/>
      <c r="H744" s="291" t="n"/>
      <c r="I744" s="291" t="n"/>
    </row>
    <row r="745" ht="13" customHeight="1" s="189">
      <c r="A745" s="292" t="n"/>
      <c r="B745" s="290" t="n"/>
      <c r="C745" s="290" t="n"/>
      <c r="D745" s="290" t="n"/>
      <c r="E745" s="290" t="n"/>
      <c r="F745" s="290" t="n"/>
      <c r="G745" s="291" t="n"/>
      <c r="H745" s="291" t="n"/>
      <c r="I745" s="291" t="n"/>
    </row>
    <row r="746" ht="13" customHeight="1" s="189">
      <c r="A746" s="292" t="n"/>
      <c r="B746" s="290" t="n"/>
      <c r="C746" s="290" t="n"/>
      <c r="D746" s="290" t="n"/>
      <c r="E746" s="290" t="n"/>
      <c r="F746" s="290" t="n"/>
      <c r="G746" s="291" t="n"/>
      <c r="H746" s="291" t="n"/>
      <c r="I746" s="291" t="n"/>
    </row>
    <row r="747" ht="13" customHeight="1" s="189">
      <c r="A747" s="292" t="n"/>
      <c r="B747" s="290" t="n"/>
      <c r="C747" s="290" t="n"/>
      <c r="D747" s="290" t="n"/>
      <c r="E747" s="290" t="n"/>
      <c r="F747" s="290" t="n"/>
      <c r="G747" s="291" t="n"/>
      <c r="H747" s="291" t="n"/>
      <c r="I747" s="291" t="n"/>
    </row>
    <row r="748" ht="13" customHeight="1" s="189">
      <c r="A748" s="292" t="n"/>
      <c r="B748" s="290" t="n"/>
      <c r="C748" s="290" t="n"/>
      <c r="D748" s="290" t="n"/>
      <c r="E748" s="290" t="n"/>
      <c r="F748" s="290" t="n"/>
      <c r="G748" s="291" t="n"/>
      <c r="H748" s="291" t="n"/>
      <c r="I748" s="291" t="n"/>
    </row>
    <row r="749" ht="13" customHeight="1" s="189">
      <c r="A749" s="292" t="n"/>
      <c r="B749" s="290" t="n"/>
      <c r="C749" s="290" t="n"/>
      <c r="D749" s="290" t="n"/>
      <c r="E749" s="290" t="n"/>
      <c r="F749" s="290" t="n"/>
      <c r="G749" s="291" t="n"/>
      <c r="H749" s="291" t="n"/>
      <c r="I749" s="291" t="n"/>
    </row>
    <row r="750" ht="13" customHeight="1" s="189">
      <c r="A750" s="292" t="n"/>
      <c r="B750" s="290" t="n"/>
      <c r="C750" s="290" t="n"/>
      <c r="D750" s="290" t="n"/>
      <c r="E750" s="290" t="n"/>
      <c r="F750" s="290" t="n"/>
      <c r="G750" s="291" t="n"/>
      <c r="H750" s="291" t="n"/>
      <c r="I750" s="291" t="n"/>
    </row>
    <row r="751" ht="13" customHeight="1" s="189">
      <c r="A751" s="292" t="n"/>
      <c r="B751" s="290" t="n"/>
      <c r="C751" s="290" t="n"/>
      <c r="D751" s="290" t="n"/>
      <c r="E751" s="290" t="n"/>
      <c r="F751" s="290" t="n"/>
      <c r="G751" s="291" t="n"/>
      <c r="H751" s="291" t="n"/>
      <c r="I751" s="291" t="n"/>
    </row>
    <row r="752" ht="13" customHeight="1" s="189">
      <c r="A752" s="292" t="n"/>
      <c r="B752" s="290" t="n"/>
      <c r="C752" s="290" t="n"/>
      <c r="D752" s="290" t="n"/>
      <c r="E752" s="290" t="n"/>
      <c r="F752" s="290" t="n"/>
      <c r="G752" s="291" t="n"/>
      <c r="H752" s="291" t="n"/>
      <c r="I752" s="291" t="n"/>
    </row>
    <row r="753" ht="13" customHeight="1" s="189">
      <c r="A753" s="292" t="n"/>
      <c r="B753" s="290" t="n"/>
      <c r="C753" s="290" t="n"/>
      <c r="D753" s="290" t="n"/>
      <c r="E753" s="290" t="n"/>
      <c r="F753" s="290" t="n"/>
      <c r="G753" s="291" t="n"/>
      <c r="H753" s="291" t="n"/>
      <c r="I753" s="291" t="n"/>
    </row>
    <row r="754" ht="13" customHeight="1" s="189">
      <c r="A754" s="292" t="n"/>
      <c r="B754" s="290" t="n"/>
      <c r="C754" s="290" t="n"/>
      <c r="D754" s="290" t="n"/>
      <c r="E754" s="290" t="n"/>
      <c r="F754" s="290" t="n"/>
      <c r="G754" s="291" t="n"/>
      <c r="H754" s="291" t="n"/>
      <c r="I754" s="291" t="n"/>
    </row>
    <row r="755" ht="13" customHeight="1" s="189">
      <c r="A755" s="292" t="n"/>
      <c r="B755" s="290" t="n"/>
      <c r="C755" s="290" t="n"/>
      <c r="D755" s="290" t="n"/>
      <c r="E755" s="290" t="n"/>
      <c r="F755" s="290" t="n"/>
      <c r="G755" s="291" t="n"/>
      <c r="H755" s="291" t="n"/>
      <c r="I755" s="291" t="n"/>
    </row>
    <row r="756" ht="13" customHeight="1" s="189">
      <c r="A756" s="292" t="n"/>
      <c r="B756" s="290" t="n"/>
      <c r="C756" s="290" t="n"/>
      <c r="D756" s="290" t="n"/>
      <c r="E756" s="290" t="n"/>
      <c r="F756" s="290" t="n"/>
      <c r="G756" s="291" t="n"/>
      <c r="H756" s="291" t="n"/>
      <c r="I756" s="291" t="n"/>
    </row>
    <row r="757" ht="13" customHeight="1" s="189">
      <c r="A757" s="292" t="n"/>
      <c r="B757" s="290" t="n"/>
      <c r="C757" s="290" t="n"/>
      <c r="D757" s="290" t="n"/>
      <c r="E757" s="290" t="n"/>
      <c r="F757" s="290" t="n"/>
      <c r="G757" s="291" t="n"/>
      <c r="H757" s="291" t="n"/>
      <c r="I757" s="291" t="n"/>
    </row>
    <row r="758" ht="13" customHeight="1" s="189">
      <c r="A758" s="292" t="n"/>
      <c r="B758" s="290" t="n"/>
      <c r="C758" s="290" t="n"/>
      <c r="D758" s="290" t="n"/>
      <c r="E758" s="290" t="n"/>
      <c r="F758" s="290" t="n"/>
      <c r="G758" s="291" t="n"/>
      <c r="H758" s="291" t="n"/>
      <c r="I758" s="291" t="n"/>
    </row>
    <row r="759" ht="13" customHeight="1" s="189">
      <c r="A759" s="292" t="n"/>
      <c r="B759" s="290" t="n"/>
      <c r="C759" s="290" t="n"/>
      <c r="D759" s="290" t="n"/>
      <c r="E759" s="290" t="n"/>
      <c r="F759" s="290" t="n"/>
      <c r="G759" s="291" t="n"/>
      <c r="H759" s="291" t="n"/>
      <c r="I759" s="291" t="n"/>
    </row>
    <row r="760" ht="13" customHeight="1" s="189">
      <c r="A760" s="292" t="n"/>
      <c r="B760" s="290" t="n"/>
      <c r="C760" s="290" t="n"/>
      <c r="D760" s="290" t="n"/>
      <c r="E760" s="290" t="n"/>
      <c r="F760" s="290" t="n"/>
      <c r="G760" s="291" t="n"/>
      <c r="H760" s="291" t="n"/>
      <c r="I760" s="291" t="n"/>
    </row>
    <row r="761" ht="13" customHeight="1" s="189">
      <c r="A761" s="292" t="n"/>
      <c r="B761" s="290" t="n"/>
      <c r="C761" s="290" t="n"/>
      <c r="D761" s="290" t="n"/>
      <c r="E761" s="290" t="n"/>
      <c r="F761" s="290" t="n"/>
      <c r="G761" s="291" t="n"/>
      <c r="H761" s="291" t="n"/>
      <c r="I761" s="291" t="n"/>
    </row>
    <row r="762" ht="13" customHeight="1" s="189">
      <c r="A762" s="292" t="n"/>
      <c r="B762" s="290" t="n"/>
      <c r="C762" s="290" t="n"/>
      <c r="D762" s="290" t="n"/>
      <c r="E762" s="290" t="n"/>
      <c r="F762" s="290" t="n"/>
      <c r="G762" s="291" t="n"/>
      <c r="H762" s="291" t="n"/>
      <c r="I762" s="291" t="n"/>
    </row>
    <row r="763" ht="13" customHeight="1" s="189">
      <c r="A763" s="292" t="n"/>
      <c r="B763" s="290" t="n"/>
      <c r="C763" s="290" t="n"/>
      <c r="D763" s="290" t="n"/>
      <c r="E763" s="290" t="n"/>
      <c r="F763" s="290" t="n"/>
      <c r="G763" s="291" t="n"/>
      <c r="H763" s="291" t="n"/>
      <c r="I763" s="291" t="n"/>
    </row>
    <row r="764" ht="13" customHeight="1" s="189">
      <c r="A764" s="292" t="n"/>
      <c r="B764" s="290" t="n"/>
      <c r="C764" s="290" t="n"/>
      <c r="D764" s="290" t="n"/>
      <c r="E764" s="290" t="n"/>
      <c r="F764" s="290" t="n"/>
      <c r="G764" s="291" t="n"/>
      <c r="H764" s="291" t="n"/>
      <c r="I764" s="291" t="n"/>
    </row>
    <row r="765" ht="13" customHeight="1" s="189">
      <c r="A765" s="292" t="n"/>
      <c r="B765" s="290" t="n"/>
      <c r="C765" s="290" t="n"/>
      <c r="D765" s="290" t="n"/>
      <c r="E765" s="290" t="n"/>
      <c r="F765" s="290" t="n"/>
      <c r="G765" s="291" t="n"/>
      <c r="H765" s="291" t="n"/>
      <c r="I765" s="291" t="n"/>
    </row>
    <row r="766" ht="13" customHeight="1" s="189">
      <c r="A766" s="292" t="n"/>
      <c r="B766" s="290" t="n"/>
      <c r="C766" s="290" t="n"/>
      <c r="D766" s="290" t="n"/>
      <c r="E766" s="290" t="n"/>
      <c r="F766" s="290" t="n"/>
      <c r="G766" s="291" t="n"/>
      <c r="H766" s="291" t="n"/>
      <c r="I766" s="291" t="n"/>
    </row>
    <row r="767" ht="13" customHeight="1" s="189">
      <c r="A767" s="292" t="n"/>
      <c r="B767" s="290" t="n"/>
      <c r="C767" s="290" t="n"/>
      <c r="D767" s="290" t="n"/>
      <c r="E767" s="290" t="n"/>
      <c r="F767" s="290" t="n"/>
      <c r="G767" s="291" t="n"/>
      <c r="H767" s="291" t="n"/>
      <c r="I767" s="291" t="n"/>
    </row>
    <row r="768" ht="13" customHeight="1" s="189">
      <c r="A768" s="292" t="n"/>
      <c r="B768" s="290" t="n"/>
      <c r="C768" s="290" t="n"/>
      <c r="D768" s="290" t="n"/>
      <c r="E768" s="290" t="n"/>
      <c r="F768" s="290" t="n"/>
      <c r="G768" s="291" t="n"/>
      <c r="H768" s="291" t="n"/>
      <c r="I768" s="291" t="n"/>
    </row>
    <row r="769" ht="13" customHeight="1" s="189">
      <c r="A769" s="292" t="n"/>
      <c r="B769" s="290" t="n"/>
      <c r="C769" s="290" t="n"/>
      <c r="D769" s="290" t="n"/>
      <c r="E769" s="290" t="n"/>
      <c r="F769" s="290" t="n"/>
      <c r="G769" s="291" t="n"/>
      <c r="H769" s="291" t="n"/>
      <c r="I769" s="291" t="n"/>
    </row>
    <row r="770" ht="13" customHeight="1" s="189">
      <c r="A770" s="292" t="n"/>
      <c r="B770" s="290" t="n"/>
      <c r="C770" s="290" t="n"/>
      <c r="D770" s="290" t="n"/>
      <c r="E770" s="290" t="n"/>
      <c r="F770" s="290" t="n"/>
      <c r="G770" s="291" t="n"/>
      <c r="H770" s="291" t="n"/>
      <c r="I770" s="291" t="n"/>
    </row>
    <row r="771" ht="13" customHeight="1" s="189">
      <c r="A771" s="292" t="n"/>
      <c r="B771" s="290" t="n"/>
      <c r="C771" s="290" t="n"/>
      <c r="D771" s="290" t="n"/>
      <c r="E771" s="290" t="n"/>
      <c r="F771" s="290" t="n"/>
      <c r="G771" s="291" t="n"/>
      <c r="H771" s="291" t="n"/>
      <c r="I771" s="291" t="n"/>
    </row>
    <row r="772" ht="13" customHeight="1" s="189">
      <c r="A772" s="292" t="n"/>
      <c r="B772" s="290" t="n"/>
      <c r="C772" s="290" t="n"/>
      <c r="D772" s="290" t="n"/>
      <c r="E772" s="290" t="n"/>
      <c r="F772" s="290" t="n"/>
      <c r="G772" s="291" t="n"/>
      <c r="H772" s="291" t="n"/>
      <c r="I772" s="291" t="n"/>
    </row>
    <row r="773" ht="13" customHeight="1" s="189">
      <c r="A773" s="292" t="n"/>
      <c r="B773" s="290" t="n"/>
      <c r="C773" s="290" t="n"/>
      <c r="D773" s="290" t="n"/>
      <c r="E773" s="290" t="n"/>
      <c r="F773" s="290" t="n"/>
      <c r="G773" s="291" t="n"/>
      <c r="H773" s="291" t="n"/>
      <c r="I773" s="291" t="n"/>
    </row>
    <row r="774" ht="13" customHeight="1" s="189">
      <c r="A774" s="292" t="n"/>
      <c r="B774" s="290" t="n"/>
      <c r="C774" s="290" t="n"/>
      <c r="D774" s="290" t="n"/>
      <c r="E774" s="290" t="n"/>
      <c r="F774" s="290" t="n"/>
      <c r="G774" s="291" t="n"/>
      <c r="H774" s="291" t="n"/>
      <c r="I774" s="291" t="n"/>
    </row>
    <row r="775" ht="13" customHeight="1" s="189">
      <c r="A775" s="292" t="n"/>
      <c r="B775" s="290" t="n"/>
      <c r="C775" s="290" t="n"/>
      <c r="D775" s="290" t="n"/>
      <c r="E775" s="290" t="n"/>
      <c r="F775" s="290" t="n"/>
      <c r="G775" s="291" t="n"/>
      <c r="H775" s="291" t="n"/>
      <c r="I775" s="291" t="n"/>
    </row>
    <row r="776" ht="13" customHeight="1" s="189">
      <c r="A776" s="292" t="n"/>
      <c r="B776" s="290" t="n"/>
      <c r="C776" s="290" t="n"/>
      <c r="D776" s="290" t="n"/>
      <c r="E776" s="290" t="n"/>
      <c r="F776" s="290" t="n"/>
      <c r="G776" s="291" t="n"/>
      <c r="H776" s="291" t="n"/>
      <c r="I776" s="291" t="n"/>
    </row>
    <row r="777" ht="13" customHeight="1" s="189">
      <c r="A777" s="292" t="n"/>
      <c r="B777" s="290" t="n"/>
      <c r="C777" s="290" t="n"/>
      <c r="D777" s="290" t="n"/>
      <c r="E777" s="290" t="n"/>
      <c r="F777" s="290" t="n"/>
      <c r="G777" s="291" t="n"/>
      <c r="H777" s="291" t="n"/>
      <c r="I777" s="291" t="n"/>
    </row>
    <row r="778" ht="13" customHeight="1" s="189">
      <c r="A778" s="292" t="n"/>
      <c r="B778" s="290" t="n"/>
      <c r="C778" s="290" t="n"/>
      <c r="D778" s="290" t="n"/>
      <c r="E778" s="290" t="n"/>
      <c r="F778" s="290" t="n"/>
      <c r="G778" s="291" t="n"/>
      <c r="H778" s="291" t="n"/>
      <c r="I778" s="291" t="n"/>
    </row>
    <row r="779" ht="13" customHeight="1" s="189">
      <c r="A779" s="292" t="n"/>
      <c r="B779" s="290" t="n"/>
      <c r="C779" s="290" t="n"/>
      <c r="D779" s="290" t="n"/>
      <c r="E779" s="290" t="n"/>
      <c r="F779" s="290" t="n"/>
      <c r="G779" s="291" t="n"/>
      <c r="H779" s="291" t="n"/>
      <c r="I779" s="291" t="n"/>
    </row>
    <row r="780" ht="13" customHeight="1" s="189">
      <c r="A780" s="292" t="n"/>
      <c r="B780" s="290" t="n"/>
      <c r="C780" s="290" t="n"/>
      <c r="D780" s="290" t="n"/>
      <c r="E780" s="290" t="n"/>
      <c r="F780" s="290" t="n"/>
      <c r="G780" s="291" t="n"/>
      <c r="H780" s="291" t="n"/>
      <c r="I780" s="291" t="n"/>
    </row>
    <row r="781" ht="13" customHeight="1" s="189">
      <c r="A781" s="292" t="n"/>
      <c r="B781" s="290" t="n"/>
      <c r="C781" s="290" t="n"/>
      <c r="D781" s="290" t="n"/>
      <c r="E781" s="290" t="n"/>
      <c r="F781" s="290" t="n"/>
      <c r="G781" s="291" t="n"/>
      <c r="H781" s="291" t="n"/>
      <c r="I781" s="291" t="n"/>
    </row>
    <row r="782" ht="13" customHeight="1" s="189">
      <c r="A782" s="292" t="n"/>
      <c r="B782" s="290" t="n"/>
      <c r="C782" s="290" t="n"/>
      <c r="D782" s="290" t="n"/>
      <c r="E782" s="290" t="n"/>
      <c r="F782" s="290" t="n"/>
      <c r="G782" s="291" t="n"/>
      <c r="H782" s="291" t="n"/>
      <c r="I782" s="291" t="n"/>
    </row>
    <row r="783" ht="13" customHeight="1" s="189">
      <c r="A783" s="292" t="n"/>
      <c r="B783" s="290" t="n"/>
      <c r="C783" s="290" t="n"/>
      <c r="D783" s="290" t="n"/>
      <c r="E783" s="290" t="n"/>
      <c r="F783" s="290" t="n"/>
      <c r="G783" s="291" t="n"/>
      <c r="H783" s="291" t="n"/>
      <c r="I783" s="291" t="n"/>
    </row>
    <row r="784" ht="13" customHeight="1" s="189">
      <c r="A784" s="292" t="n"/>
      <c r="B784" s="290" t="n"/>
      <c r="C784" s="290" t="n"/>
      <c r="D784" s="290" t="n"/>
      <c r="E784" s="290" t="n"/>
      <c r="F784" s="290" t="n"/>
      <c r="G784" s="291" t="n"/>
      <c r="H784" s="291" t="n"/>
      <c r="I784" s="291" t="n"/>
    </row>
    <row r="785" ht="13" customHeight="1" s="189">
      <c r="A785" s="292" t="n"/>
      <c r="B785" s="290" t="n"/>
      <c r="C785" s="290" t="n"/>
      <c r="D785" s="290" t="n"/>
      <c r="E785" s="290" t="n"/>
      <c r="F785" s="290" t="n"/>
      <c r="G785" s="291" t="n"/>
      <c r="H785" s="291" t="n"/>
      <c r="I785" s="291" t="n"/>
    </row>
    <row r="786" ht="13" customHeight="1" s="189">
      <c r="A786" s="292" t="n"/>
      <c r="B786" s="290" t="n"/>
      <c r="C786" s="290" t="n"/>
      <c r="D786" s="290" t="n"/>
      <c r="E786" s="290" t="n"/>
      <c r="F786" s="290" t="n"/>
      <c r="G786" s="291" t="n"/>
      <c r="H786" s="291" t="n"/>
      <c r="I786" s="291" t="n"/>
    </row>
    <row r="787" ht="13" customHeight="1" s="189">
      <c r="A787" s="292" t="n"/>
      <c r="B787" s="290" t="n"/>
      <c r="C787" s="290" t="n"/>
      <c r="D787" s="290" t="n"/>
      <c r="E787" s="290" t="n"/>
      <c r="F787" s="290" t="n"/>
      <c r="G787" s="291" t="n"/>
      <c r="H787" s="291" t="n"/>
      <c r="I787" s="291" t="n"/>
    </row>
    <row r="788" ht="13" customHeight="1" s="189">
      <c r="A788" s="292" t="n"/>
      <c r="B788" s="290" t="n"/>
      <c r="C788" s="290" t="n"/>
      <c r="D788" s="290" t="n"/>
      <c r="E788" s="290" t="n"/>
      <c r="F788" s="290" t="n"/>
      <c r="G788" s="291" t="n"/>
      <c r="H788" s="291" t="n"/>
      <c r="I788" s="291" t="n"/>
    </row>
    <row r="789" ht="13" customHeight="1" s="189">
      <c r="A789" s="292" t="n"/>
      <c r="B789" s="290" t="n"/>
      <c r="C789" s="290" t="n"/>
      <c r="D789" s="290" t="n"/>
      <c r="E789" s="290" t="n"/>
      <c r="F789" s="290" t="n"/>
      <c r="G789" s="291" t="n"/>
      <c r="H789" s="291" t="n"/>
      <c r="I789" s="291" t="n"/>
    </row>
    <row r="790" ht="13" customHeight="1" s="189">
      <c r="A790" s="292" t="n"/>
      <c r="B790" s="290" t="n"/>
      <c r="C790" s="290" t="n"/>
      <c r="D790" s="290" t="n"/>
      <c r="E790" s="290" t="n"/>
      <c r="F790" s="290" t="n"/>
      <c r="G790" s="291" t="n"/>
      <c r="H790" s="291" t="n"/>
      <c r="I790" s="291" t="n"/>
    </row>
    <row r="791" ht="13" customHeight="1" s="189">
      <c r="A791" s="292" t="n"/>
      <c r="B791" s="290" t="n"/>
      <c r="C791" s="290" t="n"/>
      <c r="D791" s="290" t="n"/>
      <c r="E791" s="290" t="n"/>
      <c r="F791" s="290" t="n"/>
      <c r="G791" s="291" t="n"/>
      <c r="H791" s="291" t="n"/>
      <c r="I791" s="291" t="n"/>
    </row>
    <row r="792" ht="13" customHeight="1" s="189">
      <c r="A792" s="292" t="n"/>
      <c r="B792" s="290" t="n"/>
      <c r="C792" s="290" t="n"/>
      <c r="D792" s="290" t="n"/>
      <c r="E792" s="290" t="n"/>
      <c r="F792" s="290" t="n"/>
      <c r="G792" s="291" t="n"/>
      <c r="H792" s="291" t="n"/>
      <c r="I792" s="291" t="n"/>
    </row>
    <row r="793" ht="13" customHeight="1" s="189">
      <c r="A793" s="292" t="n"/>
      <c r="B793" s="290" t="n"/>
      <c r="C793" s="290" t="n"/>
      <c r="D793" s="290" t="n"/>
      <c r="E793" s="290" t="n"/>
      <c r="F793" s="290" t="n"/>
      <c r="G793" s="291" t="n"/>
      <c r="H793" s="291" t="n"/>
      <c r="I793" s="291" t="n"/>
    </row>
    <row r="794" ht="13" customHeight="1" s="189">
      <c r="A794" s="292" t="n"/>
      <c r="B794" s="290" t="n"/>
      <c r="C794" s="290" t="n"/>
      <c r="D794" s="290" t="n"/>
      <c r="E794" s="290" t="n"/>
      <c r="F794" s="290" t="n"/>
      <c r="G794" s="291" t="n"/>
      <c r="H794" s="291" t="n"/>
      <c r="I794" s="291" t="n"/>
    </row>
    <row r="795" ht="13" customHeight="1" s="189">
      <c r="A795" s="292" t="n"/>
      <c r="B795" s="290" t="n"/>
      <c r="C795" s="290" t="n"/>
      <c r="D795" s="290" t="n"/>
      <c r="E795" s="290" t="n"/>
      <c r="F795" s="290" t="n"/>
      <c r="G795" s="291" t="n"/>
      <c r="H795" s="291" t="n"/>
      <c r="I795" s="291" t="n"/>
    </row>
    <row r="796" ht="13" customHeight="1" s="189">
      <c r="A796" s="292" t="n"/>
      <c r="B796" s="290" t="n"/>
      <c r="C796" s="290" t="n"/>
      <c r="D796" s="290" t="n"/>
      <c r="E796" s="290" t="n"/>
      <c r="F796" s="290" t="n"/>
      <c r="G796" s="291" t="n"/>
      <c r="H796" s="291" t="n"/>
      <c r="I796" s="291" t="n"/>
    </row>
    <row r="797" ht="13" customHeight="1" s="189">
      <c r="A797" s="292" t="n"/>
      <c r="B797" s="290" t="n"/>
      <c r="C797" s="290" t="n"/>
      <c r="D797" s="290" t="n"/>
      <c r="E797" s="290" t="n"/>
      <c r="F797" s="290" t="n"/>
      <c r="G797" s="291" t="n"/>
      <c r="H797" s="291" t="n"/>
      <c r="I797" s="291" t="n"/>
    </row>
    <row r="798" ht="13" customHeight="1" s="189">
      <c r="A798" s="292" t="n"/>
      <c r="B798" s="290" t="n"/>
      <c r="C798" s="290" t="n"/>
      <c r="D798" s="290" t="n"/>
      <c r="E798" s="290" t="n"/>
      <c r="F798" s="290" t="n"/>
      <c r="G798" s="291" t="n"/>
      <c r="H798" s="291" t="n"/>
      <c r="I798" s="291" t="n"/>
    </row>
    <row r="799" ht="13" customHeight="1" s="189">
      <c r="A799" s="292" t="n"/>
      <c r="B799" s="290" t="n"/>
      <c r="C799" s="290" t="n"/>
      <c r="D799" s="290" t="n"/>
      <c r="E799" s="290" t="n"/>
      <c r="F799" s="290" t="n"/>
      <c r="G799" s="291" t="n"/>
      <c r="H799" s="291" t="n"/>
      <c r="I799" s="291" t="n"/>
    </row>
    <row r="800" ht="13" customHeight="1" s="189">
      <c r="A800" s="292" t="n"/>
      <c r="B800" s="290" t="n"/>
      <c r="C800" s="290" t="n"/>
      <c r="D800" s="290" t="n"/>
      <c r="E800" s="290" t="n"/>
      <c r="F800" s="290" t="n"/>
      <c r="G800" s="291" t="n"/>
      <c r="H800" s="291" t="n"/>
      <c r="I800" s="291" t="n"/>
    </row>
    <row r="801" ht="13" customHeight="1" s="189">
      <c r="A801" s="292" t="n"/>
      <c r="B801" s="290" t="n"/>
      <c r="C801" s="290" t="n"/>
      <c r="D801" s="290" t="n"/>
      <c r="E801" s="290" t="n"/>
      <c r="F801" s="290" t="n"/>
      <c r="G801" s="291" t="n"/>
      <c r="H801" s="291" t="n"/>
      <c r="I801" s="291" t="n"/>
    </row>
    <row r="802" ht="13" customHeight="1" s="189">
      <c r="A802" s="292" t="n"/>
      <c r="B802" s="290" t="n"/>
      <c r="C802" s="290" t="n"/>
      <c r="D802" s="290" t="n"/>
      <c r="E802" s="290" t="n"/>
      <c r="F802" s="290" t="n"/>
      <c r="G802" s="291" t="n"/>
      <c r="H802" s="291" t="n"/>
      <c r="I802" s="291" t="n"/>
    </row>
    <row r="803" ht="13" customHeight="1" s="189">
      <c r="A803" s="292" t="n"/>
      <c r="B803" s="290" t="n"/>
      <c r="C803" s="290" t="n"/>
      <c r="D803" s="290" t="n"/>
      <c r="E803" s="290" t="n"/>
      <c r="F803" s="290" t="n"/>
      <c r="G803" s="291" t="n"/>
      <c r="H803" s="291" t="n"/>
      <c r="I803" s="291" t="n"/>
    </row>
    <row r="804" ht="13" customHeight="1" s="189">
      <c r="A804" s="292" t="n"/>
      <c r="B804" s="290" t="n"/>
      <c r="C804" s="290" t="n"/>
      <c r="D804" s="290" t="n"/>
      <c r="E804" s="290" t="n"/>
      <c r="F804" s="290" t="n"/>
      <c r="G804" s="291" t="n"/>
      <c r="H804" s="291" t="n"/>
      <c r="I804" s="291" t="n"/>
    </row>
    <row r="805" ht="13" customHeight="1" s="189">
      <c r="A805" s="292" t="n"/>
      <c r="B805" s="290" t="n"/>
      <c r="C805" s="290" t="n"/>
      <c r="D805" s="290" t="n"/>
      <c r="E805" s="290" t="n"/>
      <c r="F805" s="290" t="n"/>
      <c r="G805" s="291" t="n"/>
      <c r="H805" s="291" t="n"/>
      <c r="I805" s="291" t="n"/>
    </row>
    <row r="806" ht="13" customHeight="1" s="189">
      <c r="A806" s="292" t="n"/>
      <c r="B806" s="290" t="n"/>
      <c r="C806" s="290" t="n"/>
      <c r="D806" s="290" t="n"/>
      <c r="E806" s="290" t="n"/>
      <c r="F806" s="290" t="n"/>
      <c r="G806" s="291" t="n"/>
      <c r="H806" s="291" t="n"/>
      <c r="I806" s="291" t="n"/>
    </row>
    <row r="807" ht="13" customHeight="1" s="189">
      <c r="A807" s="292" t="n"/>
      <c r="B807" s="290" t="n"/>
      <c r="C807" s="290" t="n"/>
      <c r="D807" s="290" t="n"/>
      <c r="E807" s="290" t="n"/>
      <c r="F807" s="290" t="n"/>
      <c r="G807" s="291" t="n"/>
      <c r="H807" s="291" t="n"/>
      <c r="I807" s="291" t="n"/>
    </row>
    <row r="808" ht="13" customHeight="1" s="189">
      <c r="A808" s="292" t="n"/>
      <c r="B808" s="290" t="n"/>
      <c r="C808" s="290" t="n"/>
      <c r="D808" s="290" t="n"/>
      <c r="E808" s="290" t="n"/>
      <c r="F808" s="290" t="n"/>
      <c r="G808" s="291" t="n"/>
      <c r="H808" s="291" t="n"/>
      <c r="I808" s="291" t="n"/>
    </row>
    <row r="809" ht="13" customHeight="1" s="189">
      <c r="A809" s="292" t="n"/>
      <c r="B809" s="290" t="n"/>
      <c r="C809" s="290" t="n"/>
      <c r="D809" s="290" t="n"/>
      <c r="E809" s="290" t="n"/>
      <c r="F809" s="290" t="n"/>
      <c r="G809" s="291" t="n"/>
      <c r="H809" s="291" t="n"/>
      <c r="I809" s="291" t="n"/>
    </row>
    <row r="810" ht="13" customHeight="1" s="189">
      <c r="A810" s="292" t="n"/>
      <c r="B810" s="290" t="n"/>
      <c r="C810" s="290" t="n"/>
      <c r="D810" s="290" t="n"/>
      <c r="E810" s="290" t="n"/>
      <c r="F810" s="290" t="n"/>
      <c r="G810" s="291" t="n"/>
      <c r="H810" s="291" t="n"/>
      <c r="I810" s="291" t="n"/>
    </row>
    <row r="811" ht="13" customHeight="1" s="189">
      <c r="A811" s="292" t="n"/>
      <c r="B811" s="290" t="n"/>
      <c r="C811" s="290" t="n"/>
      <c r="D811" s="290" t="n"/>
      <c r="E811" s="290" t="n"/>
      <c r="F811" s="290" t="n"/>
      <c r="G811" s="291" t="n"/>
      <c r="H811" s="291" t="n"/>
      <c r="I811" s="291" t="n"/>
    </row>
    <row r="812" ht="13" customHeight="1" s="189">
      <c r="A812" s="292" t="n"/>
      <c r="B812" s="290" t="n"/>
      <c r="C812" s="290" t="n"/>
      <c r="D812" s="290" t="n"/>
      <c r="E812" s="290" t="n"/>
      <c r="F812" s="290" t="n"/>
      <c r="G812" s="291" t="n"/>
      <c r="H812" s="291" t="n"/>
      <c r="I812" s="291" t="n"/>
    </row>
    <row r="813" ht="13" customHeight="1" s="189">
      <c r="A813" s="292" t="n"/>
      <c r="B813" s="290" t="n"/>
      <c r="C813" s="290" t="n"/>
      <c r="D813" s="290" t="n"/>
      <c r="E813" s="290" t="n"/>
      <c r="F813" s="290" t="n"/>
      <c r="G813" s="291" t="n"/>
      <c r="H813" s="291" t="n"/>
      <c r="I813" s="291" t="n"/>
    </row>
    <row r="814" ht="13" customHeight="1" s="189">
      <c r="A814" s="292" t="n"/>
      <c r="B814" s="290" t="n"/>
      <c r="C814" s="290" t="n"/>
      <c r="D814" s="290" t="n"/>
      <c r="E814" s="290" t="n"/>
      <c r="F814" s="290" t="n"/>
      <c r="G814" s="291" t="n"/>
      <c r="H814" s="291" t="n"/>
      <c r="I814" s="291" t="n"/>
    </row>
    <row r="815" ht="13" customHeight="1" s="189">
      <c r="A815" s="292" t="n"/>
      <c r="B815" s="290" t="n"/>
      <c r="C815" s="290" t="n"/>
      <c r="D815" s="290" t="n"/>
      <c r="E815" s="290" t="n"/>
      <c r="F815" s="290" t="n"/>
      <c r="G815" s="291" t="n"/>
      <c r="H815" s="291" t="n"/>
      <c r="I815" s="291" t="n"/>
    </row>
    <row r="816" ht="13" customHeight="1" s="189">
      <c r="A816" s="292" t="n"/>
      <c r="B816" s="290" t="n"/>
      <c r="C816" s="290" t="n"/>
      <c r="D816" s="290" t="n"/>
      <c r="E816" s="290" t="n"/>
      <c r="F816" s="290" t="n"/>
      <c r="G816" s="291" t="n"/>
      <c r="H816" s="291" t="n"/>
      <c r="I816" s="291" t="n"/>
    </row>
    <row r="817" ht="13" customHeight="1" s="189">
      <c r="A817" s="292" t="n"/>
      <c r="B817" s="290" t="n"/>
      <c r="C817" s="290" t="n"/>
      <c r="D817" s="290" t="n"/>
      <c r="E817" s="290" t="n"/>
      <c r="F817" s="290" t="n"/>
      <c r="G817" s="291" t="n"/>
      <c r="H817" s="291" t="n"/>
      <c r="I817" s="291" t="n"/>
    </row>
    <row r="818" ht="13" customHeight="1" s="189">
      <c r="A818" s="292" t="n"/>
      <c r="B818" s="290" t="n"/>
      <c r="C818" s="290" t="n"/>
      <c r="D818" s="290" t="n"/>
      <c r="E818" s="290" t="n"/>
      <c r="F818" s="290" t="n"/>
      <c r="G818" s="291" t="n"/>
      <c r="H818" s="291" t="n"/>
      <c r="I818" s="291" t="n"/>
    </row>
    <row r="819" ht="13" customHeight="1" s="189">
      <c r="A819" s="292" t="n"/>
      <c r="B819" s="290" t="n"/>
      <c r="C819" s="290" t="n"/>
      <c r="D819" s="290" t="n"/>
      <c r="E819" s="290" t="n"/>
      <c r="F819" s="290" t="n"/>
      <c r="G819" s="291" t="n"/>
      <c r="H819" s="291" t="n"/>
      <c r="I819" s="291" t="n"/>
    </row>
    <row r="820" ht="13" customHeight="1" s="189">
      <c r="A820" s="292" t="n"/>
      <c r="B820" s="290" t="n"/>
      <c r="C820" s="290" t="n"/>
      <c r="D820" s="290" t="n"/>
      <c r="E820" s="290" t="n"/>
      <c r="F820" s="290" t="n"/>
      <c r="G820" s="291" t="n"/>
      <c r="H820" s="291" t="n"/>
      <c r="I820" s="291" t="n"/>
    </row>
    <row r="821" ht="13" customHeight="1" s="189">
      <c r="A821" s="292" t="n"/>
      <c r="B821" s="290" t="n"/>
      <c r="C821" s="290" t="n"/>
      <c r="D821" s="290" t="n"/>
      <c r="E821" s="290" t="n"/>
      <c r="F821" s="290" t="n"/>
      <c r="G821" s="291" t="n"/>
      <c r="H821" s="291" t="n"/>
      <c r="I821" s="291" t="n"/>
    </row>
    <row r="822" ht="13" customHeight="1" s="189">
      <c r="A822" s="292" t="n"/>
      <c r="B822" s="290" t="n"/>
      <c r="C822" s="290" t="n"/>
      <c r="D822" s="290" t="n"/>
      <c r="E822" s="290" t="n"/>
      <c r="F822" s="290" t="n"/>
      <c r="G822" s="291" t="n"/>
      <c r="H822" s="291" t="n"/>
      <c r="I822" s="291" t="n"/>
    </row>
    <row r="823" ht="13" customHeight="1" s="189">
      <c r="A823" s="292" t="n"/>
      <c r="B823" s="290" t="n"/>
      <c r="C823" s="290" t="n"/>
      <c r="D823" s="290" t="n"/>
      <c r="E823" s="290" t="n"/>
      <c r="F823" s="290" t="n"/>
      <c r="G823" s="291" t="n"/>
      <c r="H823" s="291" t="n"/>
      <c r="I823" s="291" t="n"/>
    </row>
    <row r="824" ht="13" customHeight="1" s="189">
      <c r="A824" s="292" t="n"/>
      <c r="B824" s="290" t="n"/>
      <c r="C824" s="290" t="n"/>
      <c r="D824" s="290" t="n"/>
      <c r="E824" s="290" t="n"/>
      <c r="F824" s="290" t="n"/>
      <c r="G824" s="291" t="n"/>
      <c r="H824" s="291" t="n"/>
      <c r="I824" s="291" t="n"/>
    </row>
    <row r="825" ht="13" customHeight="1" s="189">
      <c r="A825" s="292" t="n"/>
      <c r="B825" s="290" t="n"/>
      <c r="C825" s="290" t="n"/>
      <c r="D825" s="290" t="n"/>
      <c r="E825" s="290" t="n"/>
      <c r="F825" s="290" t="n"/>
      <c r="G825" s="291" t="n"/>
      <c r="H825" s="291" t="n"/>
      <c r="I825" s="291" t="n"/>
    </row>
    <row r="826" ht="13" customHeight="1" s="189">
      <c r="A826" s="292" t="n"/>
      <c r="B826" s="290" t="n"/>
      <c r="C826" s="290" t="n"/>
      <c r="D826" s="290" t="n"/>
      <c r="E826" s="290" t="n"/>
      <c r="F826" s="290" t="n"/>
      <c r="G826" s="291" t="n"/>
      <c r="H826" s="291" t="n"/>
      <c r="I826" s="291" t="n"/>
    </row>
    <row r="827" ht="13" customHeight="1" s="189">
      <c r="A827" s="292" t="n"/>
      <c r="B827" s="290" t="n"/>
      <c r="C827" s="290" t="n"/>
      <c r="D827" s="290" t="n"/>
      <c r="E827" s="290" t="n"/>
      <c r="F827" s="290" t="n"/>
      <c r="G827" s="291" t="n"/>
      <c r="H827" s="291" t="n"/>
      <c r="I827" s="291" t="n"/>
    </row>
    <row r="828" ht="13" customHeight="1" s="189">
      <c r="A828" s="292" t="n"/>
      <c r="B828" s="290" t="n"/>
      <c r="C828" s="290" t="n"/>
      <c r="D828" s="290" t="n"/>
      <c r="E828" s="290" t="n"/>
      <c r="F828" s="290" t="n"/>
      <c r="G828" s="291" t="n"/>
      <c r="H828" s="291" t="n"/>
      <c r="I828" s="291" t="n"/>
    </row>
    <row r="829" ht="13" customHeight="1" s="189">
      <c r="A829" s="292" t="n"/>
      <c r="B829" s="290" t="n"/>
      <c r="C829" s="290" t="n"/>
      <c r="D829" s="290" t="n"/>
      <c r="E829" s="290" t="n"/>
      <c r="F829" s="290" t="n"/>
      <c r="G829" s="291" t="n"/>
      <c r="H829" s="291" t="n"/>
      <c r="I829" s="291" t="n"/>
    </row>
    <row r="830" ht="13" customHeight="1" s="189">
      <c r="A830" s="292" t="n"/>
      <c r="B830" s="290" t="n"/>
      <c r="C830" s="290" t="n"/>
      <c r="D830" s="290" t="n"/>
      <c r="E830" s="290" t="n"/>
      <c r="F830" s="290" t="n"/>
      <c r="G830" s="291" t="n"/>
      <c r="H830" s="291" t="n"/>
      <c r="I830" s="291" t="n"/>
    </row>
    <row r="831" ht="13" customHeight="1" s="189">
      <c r="A831" s="292" t="n"/>
      <c r="B831" s="290" t="n"/>
      <c r="C831" s="290" t="n"/>
      <c r="D831" s="290" t="n"/>
      <c r="E831" s="290" t="n"/>
      <c r="F831" s="290" t="n"/>
      <c r="G831" s="291" t="n"/>
      <c r="H831" s="291" t="n"/>
      <c r="I831" s="291" t="n"/>
    </row>
    <row r="832" ht="13" customHeight="1" s="189">
      <c r="A832" s="292" t="n"/>
      <c r="B832" s="290" t="n"/>
      <c r="C832" s="290" t="n"/>
      <c r="D832" s="290" t="n"/>
      <c r="E832" s="290" t="n"/>
      <c r="F832" s="290" t="n"/>
      <c r="G832" s="291" t="n"/>
      <c r="H832" s="291" t="n"/>
      <c r="I832" s="291" t="n"/>
    </row>
    <row r="833" ht="13" customHeight="1" s="189">
      <c r="A833" s="292" t="n"/>
      <c r="B833" s="290" t="n"/>
      <c r="C833" s="290" t="n"/>
      <c r="D833" s="290" t="n"/>
      <c r="E833" s="290" t="n"/>
      <c r="F833" s="290" t="n"/>
      <c r="G833" s="291" t="n"/>
      <c r="H833" s="291" t="n"/>
      <c r="I833" s="291" t="n"/>
    </row>
    <row r="834" ht="13" customHeight="1" s="189">
      <c r="A834" s="292" t="n"/>
      <c r="B834" s="290" t="n"/>
      <c r="C834" s="290" t="n"/>
      <c r="D834" s="290" t="n"/>
      <c r="E834" s="290" t="n"/>
      <c r="F834" s="290" t="n"/>
      <c r="G834" s="291" t="n"/>
      <c r="H834" s="291" t="n"/>
      <c r="I834" s="291" t="n"/>
    </row>
    <row r="835" ht="13" customHeight="1" s="189">
      <c r="A835" s="292" t="n"/>
      <c r="B835" s="290" t="n"/>
      <c r="C835" s="290" t="n"/>
      <c r="D835" s="290" t="n"/>
      <c r="E835" s="290" t="n"/>
      <c r="F835" s="290" t="n"/>
      <c r="G835" s="291" t="n"/>
      <c r="H835" s="291" t="n"/>
      <c r="I835" s="291" t="n"/>
    </row>
    <row r="836" ht="13" customHeight="1" s="189">
      <c r="A836" s="292" t="n"/>
      <c r="B836" s="290" t="n"/>
      <c r="C836" s="290" t="n"/>
      <c r="D836" s="290" t="n"/>
      <c r="E836" s="290" t="n"/>
      <c r="F836" s="290" t="n"/>
      <c r="G836" s="291" t="n"/>
      <c r="H836" s="291" t="n"/>
      <c r="I836" s="291" t="n"/>
    </row>
    <row r="837" ht="13" customHeight="1" s="189">
      <c r="A837" s="292" t="n"/>
      <c r="B837" s="290" t="n"/>
      <c r="C837" s="290" t="n"/>
      <c r="D837" s="290" t="n"/>
      <c r="E837" s="290" t="n"/>
      <c r="F837" s="290" t="n"/>
      <c r="G837" s="291" t="n"/>
      <c r="H837" s="291" t="n"/>
      <c r="I837" s="291" t="n"/>
    </row>
    <row r="838" ht="13" customHeight="1" s="189">
      <c r="A838" s="292" t="n"/>
      <c r="B838" s="290" t="n"/>
      <c r="C838" s="290" t="n"/>
      <c r="D838" s="290" t="n"/>
      <c r="E838" s="290" t="n"/>
      <c r="F838" s="290" t="n"/>
      <c r="G838" s="291" t="n"/>
      <c r="H838" s="291" t="n"/>
      <c r="I838" s="291" t="n"/>
    </row>
    <row r="839" ht="13" customHeight="1" s="189">
      <c r="A839" s="292" t="n"/>
      <c r="B839" s="290" t="n"/>
      <c r="C839" s="290" t="n"/>
      <c r="D839" s="290" t="n"/>
      <c r="E839" s="290" t="n"/>
      <c r="F839" s="290" t="n"/>
      <c r="G839" s="291" t="n"/>
      <c r="H839" s="291" t="n"/>
      <c r="I839" s="291" t="n"/>
    </row>
    <row r="840" ht="13" customHeight="1" s="189">
      <c r="A840" s="292" t="n"/>
      <c r="B840" s="290" t="n"/>
      <c r="C840" s="290" t="n"/>
      <c r="D840" s="290" t="n"/>
      <c r="E840" s="290" t="n"/>
      <c r="F840" s="290" t="n"/>
      <c r="G840" s="291" t="n"/>
      <c r="H840" s="291" t="n"/>
      <c r="I840" s="291" t="n"/>
    </row>
    <row r="841" ht="13" customHeight="1" s="189">
      <c r="A841" s="292" t="n"/>
      <c r="B841" s="290" t="n"/>
      <c r="C841" s="290" t="n"/>
      <c r="D841" s="290" t="n"/>
      <c r="E841" s="290" t="n"/>
      <c r="F841" s="290" t="n"/>
      <c r="G841" s="291" t="n"/>
      <c r="H841" s="291" t="n"/>
      <c r="I841" s="291" t="n"/>
    </row>
    <row r="842" ht="13" customHeight="1" s="189">
      <c r="A842" s="292" t="n"/>
      <c r="B842" s="290" t="n"/>
      <c r="C842" s="290" t="n"/>
      <c r="D842" s="290" t="n"/>
      <c r="E842" s="290" t="n"/>
      <c r="F842" s="290" t="n"/>
      <c r="G842" s="291" t="n"/>
      <c r="H842" s="291" t="n"/>
      <c r="I842" s="291" t="n"/>
    </row>
    <row r="843" ht="13" customHeight="1" s="189">
      <c r="A843" s="292" t="n"/>
      <c r="B843" s="290" t="n"/>
      <c r="C843" s="290" t="n"/>
      <c r="D843" s="290" t="n"/>
      <c r="E843" s="290" t="n"/>
      <c r="F843" s="290" t="n"/>
      <c r="G843" s="291" t="n"/>
      <c r="H843" s="291" t="n"/>
      <c r="I843" s="291" t="n"/>
    </row>
    <row r="844" ht="13" customHeight="1" s="189">
      <c r="A844" s="292" t="n"/>
      <c r="B844" s="290" t="n"/>
      <c r="C844" s="290" t="n"/>
      <c r="D844" s="290" t="n"/>
      <c r="E844" s="290" t="n"/>
      <c r="F844" s="290" t="n"/>
      <c r="G844" s="291" t="n"/>
      <c r="H844" s="291" t="n"/>
      <c r="I844" s="291" t="n"/>
    </row>
    <row r="845" ht="13" customHeight="1" s="189">
      <c r="A845" s="292" t="n"/>
      <c r="B845" s="290" t="n"/>
      <c r="C845" s="290" t="n"/>
      <c r="D845" s="290" t="n"/>
      <c r="E845" s="290" t="n"/>
      <c r="F845" s="290" t="n"/>
      <c r="G845" s="291" t="n"/>
      <c r="H845" s="291" t="n"/>
      <c r="I845" s="291" t="n"/>
    </row>
    <row r="846" ht="13" customHeight="1" s="189">
      <c r="A846" s="292" t="n"/>
      <c r="B846" s="290" t="n"/>
      <c r="C846" s="290" t="n"/>
      <c r="D846" s="290" t="n"/>
      <c r="E846" s="290" t="n"/>
      <c r="F846" s="290" t="n"/>
      <c r="G846" s="291" t="n"/>
      <c r="H846" s="291" t="n"/>
      <c r="I846" s="291" t="n"/>
    </row>
    <row r="847" ht="13" customHeight="1" s="189">
      <c r="A847" s="292" t="n"/>
      <c r="B847" s="290" t="n"/>
      <c r="C847" s="290" t="n"/>
      <c r="D847" s="290" t="n"/>
      <c r="E847" s="290" t="n"/>
      <c r="F847" s="290" t="n"/>
      <c r="G847" s="291" t="n"/>
      <c r="H847" s="291" t="n"/>
      <c r="I847" s="291" t="n"/>
    </row>
    <row r="848" ht="13" customHeight="1" s="189">
      <c r="A848" s="292" t="n"/>
      <c r="B848" s="290" t="n"/>
      <c r="C848" s="290" t="n"/>
      <c r="D848" s="290" t="n"/>
      <c r="E848" s="290" t="n"/>
      <c r="F848" s="290" t="n"/>
      <c r="G848" s="291" t="n"/>
      <c r="H848" s="291" t="n"/>
      <c r="I848" s="291" t="n"/>
    </row>
    <row r="849" ht="13" customHeight="1" s="189">
      <c r="A849" s="292" t="n"/>
      <c r="B849" s="290" t="n"/>
      <c r="C849" s="290" t="n"/>
      <c r="D849" s="290" t="n"/>
      <c r="E849" s="290" t="n"/>
      <c r="F849" s="290" t="n"/>
      <c r="G849" s="291" t="n"/>
      <c r="H849" s="291" t="n"/>
      <c r="I849" s="291" t="n"/>
    </row>
    <row r="850" ht="13" customHeight="1" s="189">
      <c r="A850" s="292" t="n"/>
      <c r="B850" s="290" t="n"/>
      <c r="C850" s="290" t="n"/>
      <c r="D850" s="290" t="n"/>
      <c r="E850" s="290" t="n"/>
      <c r="F850" s="290" t="n"/>
      <c r="G850" s="291" t="n"/>
      <c r="H850" s="291" t="n"/>
      <c r="I850" s="291" t="n"/>
    </row>
    <row r="851" ht="13" customHeight="1" s="189">
      <c r="A851" s="292" t="n"/>
      <c r="B851" s="290" t="n"/>
      <c r="C851" s="290" t="n"/>
      <c r="D851" s="290" t="n"/>
      <c r="E851" s="290" t="n"/>
      <c r="F851" s="290" t="n"/>
      <c r="G851" s="291" t="n"/>
      <c r="H851" s="291" t="n"/>
      <c r="I851" s="291" t="n"/>
    </row>
    <row r="852" ht="13" customHeight="1" s="189">
      <c r="A852" s="292" t="n"/>
      <c r="B852" s="290" t="n"/>
      <c r="C852" s="290" t="n"/>
      <c r="D852" s="290" t="n"/>
      <c r="E852" s="290" t="n"/>
      <c r="F852" s="290" t="n"/>
      <c r="G852" s="291" t="n"/>
      <c r="H852" s="291" t="n"/>
      <c r="I852" s="291" t="n"/>
    </row>
    <row r="853" ht="13" customHeight="1" s="189">
      <c r="A853" s="292" t="n"/>
      <c r="B853" s="290" t="n"/>
      <c r="C853" s="290" t="n"/>
      <c r="D853" s="290" t="n"/>
      <c r="E853" s="290" t="n"/>
      <c r="F853" s="290" t="n"/>
      <c r="G853" s="291" t="n"/>
      <c r="H853" s="291" t="n"/>
      <c r="I853" s="291" t="n"/>
    </row>
    <row r="854" ht="13" customHeight="1" s="189">
      <c r="A854" s="292" t="n"/>
      <c r="B854" s="290" t="n"/>
      <c r="C854" s="290" t="n"/>
      <c r="D854" s="290" t="n"/>
      <c r="E854" s="290" t="n"/>
      <c r="F854" s="290" t="n"/>
      <c r="G854" s="291" t="n"/>
      <c r="H854" s="291" t="n"/>
      <c r="I854" s="291" t="n"/>
    </row>
    <row r="855" ht="13" customHeight="1" s="189">
      <c r="A855" s="292" t="n"/>
      <c r="B855" s="290" t="n"/>
      <c r="C855" s="290" t="n"/>
      <c r="D855" s="290" t="n"/>
      <c r="E855" s="290" t="n"/>
      <c r="F855" s="290" t="n"/>
      <c r="G855" s="291" t="n"/>
      <c r="H855" s="291" t="n"/>
      <c r="I855" s="291" t="n"/>
    </row>
    <row r="856" ht="13" customHeight="1" s="189">
      <c r="A856" s="292" t="n"/>
      <c r="B856" s="290" t="n"/>
      <c r="C856" s="290" t="n"/>
      <c r="D856" s="290" t="n"/>
      <c r="E856" s="290" t="n"/>
      <c r="F856" s="290" t="n"/>
      <c r="G856" s="291" t="n"/>
      <c r="H856" s="291" t="n"/>
      <c r="I856" s="291" t="n"/>
    </row>
    <row r="857" ht="13" customHeight="1" s="189">
      <c r="A857" s="292" t="n"/>
      <c r="B857" s="290" t="n"/>
      <c r="C857" s="290" t="n"/>
      <c r="D857" s="290" t="n"/>
      <c r="E857" s="290" t="n"/>
      <c r="F857" s="290" t="n"/>
      <c r="G857" s="291" t="n"/>
      <c r="H857" s="291" t="n"/>
      <c r="I857" s="291" t="n"/>
    </row>
    <row r="858" ht="13" customHeight="1" s="189">
      <c r="A858" s="292" t="n"/>
      <c r="B858" s="290" t="n"/>
      <c r="C858" s="290" t="n"/>
      <c r="D858" s="290" t="n"/>
      <c r="E858" s="290" t="n"/>
      <c r="F858" s="290" t="n"/>
      <c r="G858" s="291" t="n"/>
      <c r="H858" s="291" t="n"/>
      <c r="I858" s="291" t="n"/>
    </row>
    <row r="859" ht="13" customHeight="1" s="189">
      <c r="A859" s="292" t="n"/>
      <c r="B859" s="290" t="n"/>
      <c r="C859" s="290" t="n"/>
      <c r="D859" s="290" t="n"/>
      <c r="E859" s="290" t="n"/>
      <c r="F859" s="290" t="n"/>
      <c r="G859" s="291" t="n"/>
      <c r="H859" s="291" t="n"/>
      <c r="I859" s="291" t="n"/>
    </row>
    <row r="860" ht="13" customHeight="1" s="189">
      <c r="A860" s="292" t="n"/>
      <c r="B860" s="290" t="n"/>
      <c r="C860" s="290" t="n"/>
      <c r="D860" s="290" t="n"/>
      <c r="E860" s="290" t="n"/>
      <c r="F860" s="290" t="n"/>
      <c r="G860" s="291" t="n"/>
      <c r="H860" s="291" t="n"/>
      <c r="I860" s="291" t="n"/>
    </row>
    <row r="861" ht="13" customHeight="1" s="189">
      <c r="A861" s="292" t="n"/>
      <c r="B861" s="290" t="n"/>
      <c r="C861" s="290" t="n"/>
      <c r="D861" s="290" t="n"/>
      <c r="E861" s="290" t="n"/>
      <c r="F861" s="290" t="n"/>
      <c r="G861" s="291" t="n"/>
      <c r="H861" s="291" t="n"/>
      <c r="I861" s="291" t="n"/>
    </row>
    <row r="862" ht="13" customHeight="1" s="189">
      <c r="A862" s="292" t="n"/>
      <c r="B862" s="290" t="n"/>
      <c r="C862" s="290" t="n"/>
      <c r="D862" s="290" t="n"/>
      <c r="E862" s="290" t="n"/>
      <c r="F862" s="290" t="n"/>
      <c r="G862" s="291" t="n"/>
      <c r="H862" s="291" t="n"/>
      <c r="I862" s="291" t="n"/>
    </row>
    <row r="863" ht="13" customHeight="1" s="189">
      <c r="A863" s="292" t="n"/>
      <c r="B863" s="290" t="n"/>
      <c r="C863" s="290" t="n"/>
      <c r="D863" s="290" t="n"/>
      <c r="E863" s="290" t="n"/>
      <c r="F863" s="290" t="n"/>
      <c r="G863" s="291" t="n"/>
      <c r="H863" s="291" t="n"/>
      <c r="I863" s="291" t="n"/>
    </row>
    <row r="864" ht="13" customHeight="1" s="189">
      <c r="A864" s="292" t="n"/>
      <c r="B864" s="290" t="n"/>
      <c r="C864" s="290" t="n"/>
      <c r="D864" s="290" t="n"/>
      <c r="E864" s="290" t="n"/>
      <c r="F864" s="290" t="n"/>
      <c r="G864" s="291" t="n"/>
      <c r="H864" s="291" t="n"/>
      <c r="I864" s="291" t="n"/>
    </row>
    <row r="865" ht="13" customHeight="1" s="189">
      <c r="A865" s="292" t="n"/>
      <c r="B865" s="290" t="n"/>
      <c r="C865" s="290" t="n"/>
      <c r="D865" s="290" t="n"/>
      <c r="E865" s="290" t="n"/>
      <c r="F865" s="290" t="n"/>
      <c r="G865" s="291" t="n"/>
      <c r="H865" s="291" t="n"/>
      <c r="I865" s="291" t="n"/>
    </row>
    <row r="866" ht="13" customHeight="1" s="189">
      <c r="A866" s="292" t="n"/>
      <c r="B866" s="290" t="n"/>
      <c r="C866" s="290" t="n"/>
      <c r="D866" s="290" t="n"/>
      <c r="E866" s="290" t="n"/>
      <c r="F866" s="290" t="n"/>
      <c r="G866" s="291" t="n"/>
      <c r="H866" s="291" t="n"/>
      <c r="I866" s="291" t="n"/>
    </row>
    <row r="867" ht="13" customHeight="1" s="189">
      <c r="A867" s="292" t="n"/>
      <c r="B867" s="290" t="n"/>
      <c r="C867" s="290" t="n"/>
      <c r="D867" s="290" t="n"/>
      <c r="E867" s="290" t="n"/>
      <c r="F867" s="290" t="n"/>
      <c r="G867" s="291" t="n"/>
      <c r="H867" s="291" t="n"/>
      <c r="I867" s="291" t="n"/>
    </row>
    <row r="868" ht="13" customHeight="1" s="189">
      <c r="A868" s="292" t="n"/>
      <c r="B868" s="290" t="n"/>
      <c r="C868" s="290" t="n"/>
      <c r="D868" s="290" t="n"/>
      <c r="E868" s="290" t="n"/>
      <c r="F868" s="290" t="n"/>
      <c r="G868" s="291" t="n"/>
      <c r="H868" s="291" t="n"/>
      <c r="I868" s="291" t="n"/>
    </row>
    <row r="869" ht="13" customHeight="1" s="189">
      <c r="A869" s="292" t="n"/>
      <c r="B869" s="290" t="n"/>
      <c r="C869" s="290" t="n"/>
      <c r="D869" s="290" t="n"/>
      <c r="E869" s="290" t="n"/>
      <c r="F869" s="290" t="n"/>
      <c r="G869" s="291" t="n"/>
      <c r="H869" s="291" t="n"/>
      <c r="I869" s="291" t="n"/>
    </row>
    <row r="870" ht="13" customHeight="1" s="189">
      <c r="A870" s="292" t="n"/>
      <c r="B870" s="290" t="n"/>
      <c r="C870" s="290" t="n"/>
      <c r="D870" s="290" t="n"/>
      <c r="E870" s="290" t="n"/>
      <c r="F870" s="290" t="n"/>
      <c r="G870" s="291" t="n"/>
      <c r="H870" s="291" t="n"/>
      <c r="I870" s="291" t="n"/>
    </row>
    <row r="871" ht="13" customHeight="1" s="189">
      <c r="A871" s="292" t="n"/>
      <c r="B871" s="290" t="n"/>
      <c r="C871" s="290" t="n"/>
      <c r="D871" s="290" t="n"/>
      <c r="E871" s="290" t="n"/>
      <c r="F871" s="290" t="n"/>
      <c r="G871" s="291" t="n"/>
      <c r="H871" s="291" t="n"/>
      <c r="I871" s="291" t="n"/>
    </row>
    <row r="872" ht="13" customHeight="1" s="189">
      <c r="A872" s="292" t="n"/>
      <c r="B872" s="290" t="n"/>
      <c r="C872" s="290" t="n"/>
      <c r="D872" s="290" t="n"/>
      <c r="E872" s="290" t="n"/>
      <c r="F872" s="290" t="n"/>
      <c r="G872" s="291" t="n"/>
      <c r="H872" s="291" t="n"/>
      <c r="I872" s="291" t="n"/>
    </row>
    <row r="873" ht="13" customHeight="1" s="189">
      <c r="A873" s="292" t="n"/>
      <c r="B873" s="290" t="n"/>
      <c r="C873" s="290" t="n"/>
      <c r="D873" s="290" t="n"/>
      <c r="E873" s="290" t="n"/>
      <c r="F873" s="290" t="n"/>
      <c r="G873" s="291" t="n"/>
      <c r="H873" s="291" t="n"/>
      <c r="I873" s="291" t="n"/>
    </row>
    <row r="874" ht="13" customHeight="1" s="189">
      <c r="A874" s="292" t="n"/>
      <c r="B874" s="290" t="n"/>
      <c r="C874" s="290" t="n"/>
      <c r="D874" s="290" t="n"/>
      <c r="E874" s="290" t="n"/>
      <c r="F874" s="290" t="n"/>
      <c r="G874" s="291" t="n"/>
      <c r="H874" s="291" t="n"/>
      <c r="I874" s="291" t="n"/>
    </row>
    <row r="875" ht="13" customHeight="1" s="189">
      <c r="A875" s="292" t="n"/>
      <c r="B875" s="290" t="n"/>
      <c r="C875" s="290" t="n"/>
      <c r="D875" s="290" t="n"/>
      <c r="E875" s="290" t="n"/>
      <c r="F875" s="290" t="n"/>
      <c r="G875" s="291" t="n"/>
      <c r="H875" s="291" t="n"/>
      <c r="I875" s="291" t="n"/>
    </row>
    <row r="876" ht="13" customHeight="1" s="189">
      <c r="A876" s="292" t="n"/>
      <c r="B876" s="290" t="n"/>
      <c r="C876" s="290" t="n"/>
      <c r="D876" s="290" t="n"/>
      <c r="E876" s="290" t="n"/>
      <c r="F876" s="290" t="n"/>
      <c r="G876" s="291" t="n"/>
      <c r="H876" s="291" t="n"/>
      <c r="I876" s="291" t="n"/>
    </row>
    <row r="877" ht="13" customHeight="1" s="189">
      <c r="A877" s="292" t="n"/>
      <c r="B877" s="290" t="n"/>
      <c r="C877" s="290" t="n"/>
      <c r="D877" s="290" t="n"/>
      <c r="E877" s="290" t="n"/>
      <c r="F877" s="290" t="n"/>
      <c r="G877" s="291" t="n"/>
      <c r="H877" s="291" t="n"/>
      <c r="I877" s="291" t="n"/>
    </row>
    <row r="878" ht="13" customHeight="1" s="189">
      <c r="A878" s="292" t="n"/>
      <c r="B878" s="290" t="n"/>
      <c r="C878" s="290" t="n"/>
      <c r="D878" s="290" t="n"/>
      <c r="E878" s="290" t="n"/>
      <c r="F878" s="290" t="n"/>
      <c r="G878" s="291" t="n"/>
      <c r="H878" s="291" t="n"/>
      <c r="I878" s="291" t="n"/>
    </row>
    <row r="879" ht="13" customHeight="1" s="189">
      <c r="A879" s="292" t="n"/>
      <c r="B879" s="290" t="n"/>
      <c r="C879" s="290" t="n"/>
      <c r="D879" s="290" t="n"/>
      <c r="E879" s="290" t="n"/>
      <c r="F879" s="290" t="n"/>
      <c r="G879" s="291" t="n"/>
      <c r="H879" s="291" t="n"/>
      <c r="I879" s="291" t="n"/>
    </row>
    <row r="880" ht="13" customHeight="1" s="189">
      <c r="A880" s="292" t="n"/>
      <c r="B880" s="290" t="n"/>
      <c r="C880" s="290" t="n"/>
      <c r="D880" s="290" t="n"/>
      <c r="E880" s="290" t="n"/>
      <c r="F880" s="290" t="n"/>
      <c r="G880" s="291" t="n"/>
      <c r="H880" s="291" t="n"/>
      <c r="I880" s="291" t="n"/>
    </row>
    <row r="881" ht="13" customHeight="1" s="189">
      <c r="A881" s="292" t="n"/>
      <c r="B881" s="290" t="n"/>
      <c r="C881" s="290" t="n"/>
      <c r="D881" s="290" t="n"/>
      <c r="E881" s="290" t="n"/>
      <c r="F881" s="290" t="n"/>
      <c r="G881" s="291" t="n"/>
      <c r="H881" s="291" t="n"/>
      <c r="I881" s="291" t="n"/>
    </row>
    <row r="882" ht="13" customHeight="1" s="189">
      <c r="A882" s="292" t="n"/>
      <c r="B882" s="290" t="n"/>
      <c r="C882" s="290" t="n"/>
      <c r="D882" s="290" t="n"/>
      <c r="E882" s="290" t="n"/>
      <c r="F882" s="290" t="n"/>
      <c r="G882" s="291" t="n"/>
      <c r="H882" s="291" t="n"/>
      <c r="I882" s="291" t="n"/>
    </row>
    <row r="883" ht="13" customHeight="1" s="189">
      <c r="A883" s="292" t="n"/>
      <c r="B883" s="290" t="n"/>
      <c r="C883" s="290" t="n"/>
      <c r="D883" s="290" t="n"/>
      <c r="E883" s="290" t="n"/>
      <c r="F883" s="290" t="n"/>
      <c r="G883" s="291" t="n"/>
      <c r="H883" s="291" t="n"/>
      <c r="I883" s="291" t="n"/>
    </row>
    <row r="884" ht="13" customHeight="1" s="189">
      <c r="A884" s="292" t="n"/>
      <c r="B884" s="290" t="n"/>
      <c r="C884" s="290" t="n"/>
      <c r="D884" s="290" t="n"/>
      <c r="E884" s="290" t="n"/>
      <c r="F884" s="290" t="n"/>
      <c r="G884" s="291" t="n"/>
      <c r="H884" s="291" t="n"/>
      <c r="I884" s="291" t="n"/>
    </row>
    <row r="885" ht="13" customHeight="1" s="189">
      <c r="A885" s="292" t="n"/>
      <c r="B885" s="290" t="n"/>
      <c r="C885" s="290" t="n"/>
      <c r="D885" s="290" t="n"/>
      <c r="E885" s="290" t="n"/>
      <c r="F885" s="290" t="n"/>
      <c r="G885" s="291" t="n"/>
      <c r="H885" s="291" t="n"/>
      <c r="I885" s="291" t="n"/>
    </row>
    <row r="886" ht="13" customHeight="1" s="189">
      <c r="A886" s="292" t="n"/>
      <c r="B886" s="290" t="n"/>
      <c r="C886" s="290" t="n"/>
      <c r="D886" s="290" t="n"/>
      <c r="E886" s="290" t="n"/>
      <c r="F886" s="290" t="n"/>
      <c r="G886" s="291" t="n"/>
      <c r="H886" s="291" t="n"/>
      <c r="I886" s="291" t="n"/>
    </row>
    <row r="887" ht="13" customHeight="1" s="189">
      <c r="A887" s="292" t="n"/>
      <c r="B887" s="290" t="n"/>
      <c r="C887" s="290" t="n"/>
      <c r="D887" s="290" t="n"/>
      <c r="E887" s="290" t="n"/>
      <c r="F887" s="290" t="n"/>
      <c r="G887" s="291" t="n"/>
      <c r="H887" s="291" t="n"/>
      <c r="I887" s="291" t="n"/>
    </row>
    <row r="888" ht="13" customHeight="1" s="189">
      <c r="A888" s="292" t="n"/>
      <c r="B888" s="290" t="n"/>
      <c r="C888" s="290" t="n"/>
      <c r="D888" s="290" t="n"/>
      <c r="E888" s="290" t="n"/>
      <c r="F888" s="290" t="n"/>
      <c r="G888" s="291" t="n"/>
      <c r="H888" s="291" t="n"/>
      <c r="I888" s="291" t="n"/>
    </row>
    <row r="889" ht="13" customHeight="1" s="189">
      <c r="A889" s="292" t="n"/>
      <c r="B889" s="290" t="n"/>
      <c r="C889" s="290" t="n"/>
      <c r="D889" s="290" t="n"/>
      <c r="E889" s="290" t="n"/>
      <c r="F889" s="290" t="n"/>
      <c r="G889" s="291" t="n"/>
      <c r="H889" s="291" t="n"/>
      <c r="I889" s="291" t="n"/>
    </row>
    <row r="890" ht="13" customHeight="1" s="189">
      <c r="A890" s="292" t="n"/>
      <c r="B890" s="290" t="n"/>
      <c r="C890" s="290" t="n"/>
      <c r="D890" s="290" t="n"/>
      <c r="E890" s="290" t="n"/>
      <c r="F890" s="290" t="n"/>
      <c r="G890" s="291" t="n"/>
      <c r="H890" s="291" t="n"/>
      <c r="I890" s="291" t="n"/>
    </row>
    <row r="891" ht="13" customHeight="1" s="189">
      <c r="A891" s="292" t="n"/>
      <c r="B891" s="290" t="n"/>
      <c r="C891" s="290" t="n"/>
      <c r="D891" s="290" t="n"/>
      <c r="E891" s="290" t="n"/>
      <c r="F891" s="290" t="n"/>
      <c r="G891" s="291" t="n"/>
      <c r="H891" s="291" t="n"/>
      <c r="I891" s="291" t="n"/>
    </row>
    <row r="892" ht="13" customHeight="1" s="189">
      <c r="A892" s="292" t="n"/>
      <c r="B892" s="290" t="n"/>
      <c r="C892" s="290" t="n"/>
      <c r="D892" s="290" t="n"/>
      <c r="E892" s="290" t="n"/>
      <c r="F892" s="290" t="n"/>
      <c r="G892" s="291" t="n"/>
      <c r="H892" s="291" t="n"/>
      <c r="I892" s="291" t="n"/>
    </row>
    <row r="893" ht="13" customHeight="1" s="189">
      <c r="A893" s="292" t="n"/>
      <c r="B893" s="290" t="n"/>
      <c r="C893" s="290" t="n"/>
      <c r="D893" s="290" t="n"/>
      <c r="E893" s="290" t="n"/>
      <c r="F893" s="290" t="n"/>
      <c r="G893" s="291" t="n"/>
      <c r="H893" s="291" t="n"/>
      <c r="I893" s="291" t="n"/>
    </row>
    <row r="894" ht="13" customHeight="1" s="189">
      <c r="A894" s="292" t="n"/>
      <c r="B894" s="290" t="n"/>
      <c r="C894" s="290" t="n"/>
      <c r="D894" s="290" t="n"/>
      <c r="E894" s="290" t="n"/>
      <c r="F894" s="290" t="n"/>
      <c r="G894" s="291" t="n"/>
      <c r="H894" s="291" t="n"/>
      <c r="I894" s="291" t="n"/>
    </row>
    <row r="895" ht="13" customHeight="1" s="189">
      <c r="A895" s="292" t="n"/>
      <c r="B895" s="290" t="n"/>
      <c r="C895" s="290" t="n"/>
      <c r="D895" s="290" t="n"/>
      <c r="E895" s="290" t="n"/>
      <c r="F895" s="290" t="n"/>
      <c r="G895" s="291" t="n"/>
      <c r="H895" s="291" t="n"/>
      <c r="I895" s="291" t="n"/>
    </row>
    <row r="896" ht="13" customHeight="1" s="189">
      <c r="A896" s="292" t="n"/>
      <c r="B896" s="290" t="n"/>
      <c r="C896" s="290" t="n"/>
      <c r="D896" s="290" t="n"/>
      <c r="E896" s="290" t="n"/>
      <c r="F896" s="290" t="n"/>
      <c r="G896" s="291" t="n"/>
      <c r="H896" s="291" t="n"/>
      <c r="I896" s="291" t="n"/>
    </row>
    <row r="897" ht="13" customHeight="1" s="189">
      <c r="A897" s="292" t="n"/>
      <c r="B897" s="290" t="n"/>
      <c r="C897" s="290" t="n"/>
      <c r="D897" s="290" t="n"/>
      <c r="E897" s="290" t="n"/>
      <c r="F897" s="290" t="n"/>
      <c r="G897" s="291" t="n"/>
      <c r="H897" s="291" t="n"/>
      <c r="I897" s="291" t="n"/>
    </row>
    <row r="898" ht="13" customHeight="1" s="189">
      <c r="A898" s="292" t="n"/>
      <c r="B898" s="290" t="n"/>
      <c r="C898" s="290" t="n"/>
      <c r="D898" s="290" t="n"/>
      <c r="E898" s="290" t="n"/>
      <c r="F898" s="290" t="n"/>
      <c r="G898" s="291" t="n"/>
      <c r="H898" s="291" t="n"/>
      <c r="I898" s="291" t="n"/>
    </row>
    <row r="899" ht="13" customHeight="1" s="189">
      <c r="A899" s="292" t="n"/>
      <c r="B899" s="290" t="n"/>
      <c r="C899" s="290" t="n"/>
      <c r="D899" s="290" t="n"/>
      <c r="E899" s="290" t="n"/>
      <c r="F899" s="290" t="n"/>
      <c r="G899" s="291" t="n"/>
      <c r="H899" s="291" t="n"/>
      <c r="I899" s="291" t="n"/>
    </row>
    <row r="900" ht="13" customHeight="1" s="189">
      <c r="A900" s="292" t="n"/>
      <c r="B900" s="290" t="n"/>
      <c r="C900" s="290" t="n"/>
      <c r="D900" s="290" t="n"/>
      <c r="E900" s="290" t="n"/>
      <c r="F900" s="290" t="n"/>
      <c r="G900" s="291" t="n"/>
      <c r="H900" s="291" t="n"/>
      <c r="I900" s="291" t="n"/>
    </row>
    <row r="901" ht="13" customHeight="1" s="189">
      <c r="A901" s="292" t="n"/>
      <c r="B901" s="290" t="n"/>
      <c r="C901" s="290" t="n"/>
      <c r="D901" s="290" t="n"/>
      <c r="E901" s="290" t="n"/>
      <c r="F901" s="290" t="n"/>
      <c r="G901" s="291" t="n"/>
      <c r="H901" s="291" t="n"/>
      <c r="I901" s="291" t="n"/>
    </row>
    <row r="902" ht="13" customHeight="1" s="189">
      <c r="A902" s="292" t="n"/>
      <c r="B902" s="290" t="n"/>
      <c r="C902" s="290" t="n"/>
      <c r="D902" s="290" t="n"/>
      <c r="E902" s="290" t="n"/>
      <c r="F902" s="290" t="n"/>
      <c r="G902" s="291" t="n"/>
      <c r="H902" s="291" t="n"/>
      <c r="I902" s="291" t="n"/>
    </row>
    <row r="903" ht="13" customHeight="1" s="189">
      <c r="A903" s="292" t="n"/>
      <c r="B903" s="290" t="n"/>
      <c r="C903" s="290" t="n"/>
      <c r="D903" s="290" t="n"/>
      <c r="E903" s="290" t="n"/>
      <c r="F903" s="290" t="n"/>
      <c r="G903" s="291" t="n"/>
      <c r="H903" s="291" t="n"/>
      <c r="I903" s="291" t="n"/>
    </row>
    <row r="904" ht="13" customHeight="1" s="189">
      <c r="A904" s="292" t="n"/>
      <c r="B904" s="290" t="n"/>
      <c r="C904" s="290" t="n"/>
      <c r="D904" s="290" t="n"/>
      <c r="E904" s="290" t="n"/>
      <c r="F904" s="290" t="n"/>
      <c r="G904" s="291" t="n"/>
      <c r="H904" s="291" t="n"/>
      <c r="I904" s="291" t="n"/>
    </row>
    <row r="905" ht="13" customHeight="1" s="189">
      <c r="A905" s="292" t="n"/>
      <c r="B905" s="290" t="n"/>
      <c r="C905" s="290" t="n"/>
      <c r="D905" s="290" t="n"/>
      <c r="E905" s="290" t="n"/>
      <c r="F905" s="290" t="n"/>
      <c r="G905" s="291" t="n"/>
      <c r="H905" s="291" t="n"/>
      <c r="I905" s="291" t="n"/>
    </row>
    <row r="906" ht="13" customHeight="1" s="189">
      <c r="A906" s="292" t="n"/>
      <c r="B906" s="290" t="n"/>
      <c r="C906" s="290" t="n"/>
      <c r="D906" s="290" t="n"/>
      <c r="E906" s="290" t="n"/>
      <c r="F906" s="290" t="n"/>
      <c r="G906" s="291" t="n"/>
      <c r="H906" s="291" t="n"/>
      <c r="I906" s="291" t="n"/>
    </row>
    <row r="907" ht="13" customHeight="1" s="189">
      <c r="A907" s="292" t="n"/>
      <c r="B907" s="290" t="n"/>
      <c r="C907" s="290" t="n"/>
      <c r="D907" s="290" t="n"/>
      <c r="E907" s="290" t="n"/>
      <c r="F907" s="290" t="n"/>
      <c r="G907" s="291" t="n"/>
      <c r="H907" s="291" t="n"/>
      <c r="I907" s="291" t="n"/>
    </row>
    <row r="908" ht="13" customHeight="1" s="189">
      <c r="A908" s="292" t="n"/>
      <c r="B908" s="290" t="n"/>
      <c r="C908" s="290" t="n"/>
      <c r="D908" s="290" t="n"/>
      <c r="E908" s="290" t="n"/>
      <c r="F908" s="290" t="n"/>
      <c r="G908" s="291" t="n"/>
      <c r="H908" s="291" t="n"/>
      <c r="I908" s="291" t="n"/>
    </row>
    <row r="909" ht="13" customHeight="1" s="189">
      <c r="A909" s="292" t="n"/>
      <c r="B909" s="290" t="n"/>
      <c r="C909" s="290" t="n"/>
      <c r="D909" s="290" t="n"/>
      <c r="E909" s="290" t="n"/>
      <c r="F909" s="290" t="n"/>
      <c r="G909" s="291" t="n"/>
      <c r="H909" s="291" t="n"/>
      <c r="I909" s="291" t="n"/>
    </row>
    <row r="910" ht="13" customHeight="1" s="189">
      <c r="A910" s="292" t="n"/>
      <c r="B910" s="290" t="n"/>
      <c r="C910" s="290" t="n"/>
      <c r="D910" s="290" t="n"/>
      <c r="E910" s="290" t="n"/>
      <c r="F910" s="290" t="n"/>
      <c r="G910" s="291" t="n"/>
      <c r="H910" s="291" t="n"/>
      <c r="I910" s="291" t="n"/>
    </row>
    <row r="911" ht="13" customHeight="1" s="189">
      <c r="A911" s="292" t="n"/>
      <c r="B911" s="290" t="n"/>
      <c r="C911" s="290" t="n"/>
      <c r="D911" s="290" t="n"/>
      <c r="E911" s="290" t="n"/>
      <c r="F911" s="290" t="n"/>
      <c r="G911" s="291" t="n"/>
      <c r="H911" s="291" t="n"/>
      <c r="I911" s="291" t="n"/>
    </row>
    <row r="912" ht="13" customHeight="1" s="189">
      <c r="A912" s="292" t="n"/>
      <c r="B912" s="290" t="n"/>
      <c r="C912" s="290" t="n"/>
      <c r="D912" s="290" t="n"/>
      <c r="E912" s="290" t="n"/>
      <c r="F912" s="290" t="n"/>
      <c r="G912" s="291" t="n"/>
      <c r="H912" s="291" t="n"/>
      <c r="I912" s="291" t="n"/>
    </row>
    <row r="913" ht="13" customHeight="1" s="189">
      <c r="A913" s="292" t="n"/>
      <c r="B913" s="290" t="n"/>
      <c r="C913" s="290" t="n"/>
      <c r="D913" s="290" t="n"/>
      <c r="E913" s="290" t="n"/>
      <c r="F913" s="290" t="n"/>
      <c r="G913" s="291" t="n"/>
      <c r="H913" s="291" t="n"/>
      <c r="I913" s="291" t="n"/>
    </row>
    <row r="914" ht="13" customHeight="1" s="189">
      <c r="A914" s="292" t="n"/>
      <c r="B914" s="290" t="n"/>
      <c r="C914" s="290" t="n"/>
      <c r="D914" s="290" t="n"/>
      <c r="E914" s="290" t="n"/>
      <c r="F914" s="290" t="n"/>
      <c r="G914" s="291" t="n"/>
      <c r="H914" s="291" t="n"/>
      <c r="I914" s="291" t="n"/>
    </row>
    <row r="915" ht="13" customHeight="1" s="189">
      <c r="A915" s="292" t="n"/>
      <c r="B915" s="290" t="n"/>
      <c r="C915" s="290" t="n"/>
      <c r="D915" s="290" t="n"/>
      <c r="E915" s="290" t="n"/>
      <c r="F915" s="290" t="n"/>
      <c r="G915" s="291" t="n"/>
      <c r="H915" s="291" t="n"/>
      <c r="I915" s="291" t="n"/>
    </row>
    <row r="916" ht="13" customHeight="1" s="189">
      <c r="A916" s="292" t="n"/>
      <c r="B916" s="290" t="n"/>
      <c r="C916" s="290" t="n"/>
      <c r="D916" s="290" t="n"/>
      <c r="E916" s="290" t="n"/>
      <c r="F916" s="290" t="n"/>
      <c r="G916" s="291" t="n"/>
      <c r="H916" s="291" t="n"/>
      <c r="I916" s="291" t="n"/>
    </row>
    <row r="917" ht="13" customHeight="1" s="189">
      <c r="A917" s="292" t="n"/>
      <c r="B917" s="290" t="n"/>
      <c r="C917" s="290" t="n"/>
      <c r="D917" s="290" t="n"/>
      <c r="E917" s="290" t="n"/>
      <c r="F917" s="290" t="n"/>
      <c r="G917" s="291" t="n"/>
      <c r="H917" s="291" t="n"/>
      <c r="I917" s="291" t="n"/>
    </row>
    <row r="918" ht="13" customHeight="1" s="189">
      <c r="A918" s="292" t="n"/>
      <c r="B918" s="290" t="n"/>
      <c r="C918" s="290" t="n"/>
      <c r="D918" s="290" t="n"/>
      <c r="E918" s="290" t="n"/>
      <c r="F918" s="290" t="n"/>
      <c r="G918" s="291" t="n"/>
      <c r="H918" s="291" t="n"/>
      <c r="I918" s="291" t="n"/>
    </row>
    <row r="919" ht="13" customHeight="1" s="189">
      <c r="A919" s="292" t="n"/>
      <c r="B919" s="290" t="n"/>
      <c r="C919" s="290" t="n"/>
      <c r="D919" s="290" t="n"/>
      <c r="E919" s="290" t="n"/>
      <c r="F919" s="290" t="n"/>
      <c r="G919" s="291" t="n"/>
      <c r="H919" s="291" t="n"/>
      <c r="I919" s="291" t="n"/>
    </row>
    <row r="920" ht="13" customHeight="1" s="189">
      <c r="A920" s="292" t="n"/>
      <c r="B920" s="290" t="n"/>
      <c r="C920" s="290" t="n"/>
      <c r="D920" s="290" t="n"/>
      <c r="E920" s="290" t="n"/>
      <c r="F920" s="290" t="n"/>
      <c r="G920" s="291" t="n"/>
      <c r="H920" s="291" t="n"/>
      <c r="I920" s="291" t="n"/>
    </row>
    <row r="921" ht="13" customHeight="1" s="189">
      <c r="A921" s="292" t="n"/>
      <c r="B921" s="290" t="n"/>
      <c r="C921" s="290" t="n"/>
      <c r="D921" s="290" t="n"/>
      <c r="E921" s="290" t="n"/>
      <c r="F921" s="290" t="n"/>
      <c r="G921" s="291" t="n"/>
      <c r="H921" s="291" t="n"/>
      <c r="I921" s="291" t="n"/>
    </row>
    <row r="922" ht="13" customHeight="1" s="189">
      <c r="A922" s="292" t="n"/>
      <c r="B922" s="290" t="n"/>
      <c r="C922" s="290" t="n"/>
      <c r="D922" s="290" t="n"/>
      <c r="E922" s="290" t="n"/>
      <c r="F922" s="290" t="n"/>
      <c r="G922" s="291" t="n"/>
      <c r="H922" s="291" t="n"/>
      <c r="I922" s="291" t="n"/>
    </row>
    <row r="923" ht="13" customHeight="1" s="189">
      <c r="A923" s="292" t="n"/>
      <c r="B923" s="290" t="n"/>
      <c r="C923" s="290" t="n"/>
      <c r="D923" s="290" t="n"/>
      <c r="E923" s="290" t="n"/>
      <c r="F923" s="290" t="n"/>
      <c r="G923" s="291" t="n"/>
      <c r="H923" s="291" t="n"/>
      <c r="I923" s="291" t="n"/>
    </row>
    <row r="924" ht="13" customHeight="1" s="189">
      <c r="A924" s="292" t="n"/>
      <c r="B924" s="290" t="n"/>
      <c r="C924" s="290" t="n"/>
      <c r="D924" s="290" t="n"/>
      <c r="E924" s="290" t="n"/>
      <c r="F924" s="290" t="n"/>
      <c r="G924" s="291" t="n"/>
      <c r="H924" s="291" t="n"/>
      <c r="I924" s="291" t="n"/>
    </row>
    <row r="925" ht="13" customHeight="1" s="189">
      <c r="A925" s="292" t="n"/>
      <c r="B925" s="290" t="n"/>
      <c r="C925" s="290" t="n"/>
      <c r="D925" s="290" t="n"/>
      <c r="E925" s="290" t="n"/>
      <c r="F925" s="290" t="n"/>
      <c r="G925" s="291" t="n"/>
      <c r="H925" s="291" t="n"/>
      <c r="I925" s="291" t="n"/>
    </row>
    <row r="926" ht="13" customHeight="1" s="189">
      <c r="A926" s="292" t="n"/>
      <c r="B926" s="290" t="n"/>
      <c r="C926" s="290" t="n"/>
      <c r="D926" s="290" t="n"/>
      <c r="E926" s="290" t="n"/>
      <c r="F926" s="290" t="n"/>
      <c r="G926" s="291" t="n"/>
      <c r="H926" s="291" t="n"/>
      <c r="I926" s="291" t="n"/>
    </row>
    <row r="927" ht="13" customHeight="1" s="189">
      <c r="A927" s="292" t="n"/>
      <c r="B927" s="290" t="n"/>
      <c r="C927" s="290" t="n"/>
      <c r="D927" s="290" t="n"/>
      <c r="E927" s="290" t="n"/>
      <c r="F927" s="290" t="n"/>
      <c r="G927" s="291" t="n"/>
      <c r="H927" s="291" t="n"/>
      <c r="I927" s="291" t="n"/>
    </row>
    <row r="928" ht="13" customHeight="1" s="189">
      <c r="A928" s="292" t="n"/>
      <c r="B928" s="290" t="n"/>
      <c r="C928" s="290" t="n"/>
      <c r="D928" s="290" t="n"/>
      <c r="E928" s="290" t="n"/>
      <c r="F928" s="290" t="n"/>
      <c r="G928" s="291" t="n"/>
      <c r="H928" s="291" t="n"/>
      <c r="I928" s="291" t="n"/>
    </row>
    <row r="929" ht="13" customHeight="1" s="189">
      <c r="A929" s="292" t="n"/>
      <c r="B929" s="290" t="n"/>
      <c r="C929" s="290" t="n"/>
      <c r="D929" s="290" t="n"/>
      <c r="E929" s="290" t="n"/>
      <c r="F929" s="290" t="n"/>
      <c r="G929" s="291" t="n"/>
      <c r="H929" s="291" t="n"/>
      <c r="I929" s="291" t="n"/>
    </row>
    <row r="930" ht="13" customHeight="1" s="189">
      <c r="A930" s="292" t="n"/>
      <c r="B930" s="290" t="n"/>
      <c r="C930" s="290" t="n"/>
      <c r="D930" s="290" t="n"/>
      <c r="E930" s="290" t="n"/>
      <c r="F930" s="290" t="n"/>
      <c r="G930" s="291" t="n"/>
      <c r="H930" s="291" t="n"/>
      <c r="I930" s="291" t="n"/>
    </row>
    <row r="931" ht="13" customHeight="1" s="189">
      <c r="A931" s="292" t="n"/>
      <c r="B931" s="290" t="n"/>
      <c r="C931" s="290" t="n"/>
      <c r="D931" s="290" t="n"/>
      <c r="E931" s="290" t="n"/>
      <c r="F931" s="290" t="n"/>
      <c r="G931" s="291" t="n"/>
      <c r="H931" s="291" t="n"/>
      <c r="I931" s="291" t="n"/>
    </row>
    <row r="932" ht="13" customHeight="1" s="189">
      <c r="A932" s="292" t="n"/>
      <c r="B932" s="290" t="n"/>
      <c r="C932" s="290" t="n"/>
      <c r="D932" s="290" t="n"/>
      <c r="E932" s="290" t="n"/>
      <c r="F932" s="290" t="n"/>
      <c r="G932" s="291" t="n"/>
      <c r="H932" s="291" t="n"/>
      <c r="I932" s="291" t="n"/>
    </row>
    <row r="933" ht="13" customHeight="1" s="189">
      <c r="A933" s="292" t="n"/>
      <c r="B933" s="290" t="n"/>
      <c r="C933" s="290" t="n"/>
      <c r="D933" s="290" t="n"/>
      <c r="E933" s="290" t="n"/>
      <c r="F933" s="290" t="n"/>
      <c r="G933" s="291" t="n"/>
      <c r="H933" s="291" t="n"/>
      <c r="I933" s="291" t="n"/>
    </row>
    <row r="934" ht="13" customHeight="1" s="189">
      <c r="A934" s="292" t="n"/>
      <c r="B934" s="290" t="n"/>
      <c r="C934" s="290" t="n"/>
      <c r="D934" s="290" t="n"/>
      <c r="E934" s="290" t="n"/>
      <c r="F934" s="290" t="n"/>
      <c r="G934" s="291" t="n"/>
      <c r="H934" s="291" t="n"/>
      <c r="I934" s="291" t="n"/>
    </row>
    <row r="935" ht="13" customHeight="1" s="189">
      <c r="A935" s="292" t="n"/>
      <c r="B935" s="290" t="n"/>
      <c r="C935" s="290" t="n"/>
      <c r="D935" s="290" t="n"/>
      <c r="E935" s="290" t="n"/>
      <c r="F935" s="290" t="n"/>
      <c r="G935" s="291" t="n"/>
      <c r="H935" s="291" t="n"/>
      <c r="I935" s="291" t="n"/>
    </row>
    <row r="936" ht="13" customHeight="1" s="189">
      <c r="A936" s="292" t="n"/>
      <c r="B936" s="290" t="n"/>
      <c r="C936" s="290" t="n"/>
      <c r="D936" s="290" t="n"/>
      <c r="E936" s="290" t="n"/>
      <c r="F936" s="290" t="n"/>
      <c r="G936" s="291" t="n"/>
      <c r="H936" s="291" t="n"/>
      <c r="I936" s="291" t="n"/>
    </row>
    <row r="937" ht="13" customHeight="1" s="189">
      <c r="A937" s="292" t="n"/>
      <c r="B937" s="290" t="n"/>
      <c r="C937" s="290" t="n"/>
      <c r="D937" s="290" t="n"/>
      <c r="E937" s="290" t="n"/>
      <c r="F937" s="290" t="n"/>
      <c r="G937" s="291" t="n"/>
      <c r="H937" s="291" t="n"/>
      <c r="I937" s="291" t="n"/>
    </row>
    <row r="938" ht="13" customHeight="1" s="189">
      <c r="A938" s="292" t="n"/>
      <c r="B938" s="290" t="n"/>
      <c r="C938" s="290" t="n"/>
      <c r="D938" s="290" t="n"/>
      <c r="E938" s="290" t="n"/>
      <c r="F938" s="290" t="n"/>
      <c r="G938" s="291" t="n"/>
      <c r="H938" s="291" t="n"/>
      <c r="I938" s="291" t="n"/>
    </row>
    <row r="939" ht="13" customHeight="1" s="189">
      <c r="A939" s="292" t="n"/>
      <c r="B939" s="290" t="n"/>
      <c r="C939" s="290" t="n"/>
      <c r="D939" s="290" t="n"/>
      <c r="E939" s="290" t="n"/>
      <c r="F939" s="290" t="n"/>
      <c r="G939" s="291" t="n"/>
      <c r="H939" s="291" t="n"/>
      <c r="I939" s="291" t="n"/>
    </row>
    <row r="940" ht="13" customHeight="1" s="189">
      <c r="A940" s="292" t="n"/>
      <c r="B940" s="290" t="n"/>
      <c r="C940" s="290" t="n"/>
      <c r="D940" s="290" t="n"/>
      <c r="E940" s="290" t="n"/>
      <c r="F940" s="290" t="n"/>
      <c r="G940" s="291" t="n"/>
      <c r="H940" s="291" t="n"/>
      <c r="I940" s="291" t="n"/>
    </row>
    <row r="941" ht="13" customHeight="1" s="189">
      <c r="A941" s="292" t="n"/>
      <c r="B941" s="290" t="n"/>
      <c r="C941" s="290" t="n"/>
      <c r="D941" s="290" t="n"/>
      <c r="E941" s="290" t="n"/>
      <c r="F941" s="290" t="n"/>
      <c r="G941" s="291" t="n"/>
      <c r="H941" s="291" t="n"/>
      <c r="I941" s="291" t="n"/>
    </row>
    <row r="942" ht="13" customHeight="1" s="189">
      <c r="A942" s="292" t="n"/>
      <c r="B942" s="290" t="n"/>
      <c r="C942" s="290" t="n"/>
      <c r="D942" s="290" t="n"/>
      <c r="E942" s="290" t="n"/>
      <c r="F942" s="290" t="n"/>
      <c r="G942" s="291" t="n"/>
      <c r="H942" s="291" t="n"/>
      <c r="I942" s="291" t="n"/>
    </row>
    <row r="943" ht="13" customHeight="1" s="189">
      <c r="A943" s="292" t="n"/>
      <c r="B943" s="290" t="n"/>
      <c r="C943" s="290" t="n"/>
      <c r="D943" s="290" t="n"/>
      <c r="E943" s="290" t="n"/>
      <c r="F943" s="290" t="n"/>
      <c r="G943" s="291" t="n"/>
      <c r="H943" s="291" t="n"/>
      <c r="I943" s="291" t="n"/>
    </row>
    <row r="944" ht="13" customHeight="1" s="189">
      <c r="A944" s="292" t="n"/>
      <c r="B944" s="290" t="n"/>
      <c r="C944" s="290" t="n"/>
      <c r="D944" s="290" t="n"/>
      <c r="E944" s="290" t="n"/>
      <c r="F944" s="290" t="n"/>
      <c r="G944" s="291" t="n"/>
      <c r="H944" s="291" t="n"/>
      <c r="I944" s="291" t="n"/>
    </row>
    <row r="945" ht="13" customHeight="1" s="189">
      <c r="A945" s="292" t="n"/>
      <c r="B945" s="290" t="n"/>
      <c r="C945" s="290" t="n"/>
      <c r="D945" s="290" t="n"/>
      <c r="E945" s="290" t="n"/>
      <c r="F945" s="290" t="n"/>
      <c r="G945" s="291" t="n"/>
      <c r="H945" s="291" t="n"/>
      <c r="I945" s="291" t="n"/>
    </row>
    <row r="946" ht="13" customHeight="1" s="189">
      <c r="A946" s="292" t="n"/>
      <c r="B946" s="290" t="n"/>
      <c r="C946" s="290" t="n"/>
      <c r="D946" s="290" t="n"/>
      <c r="E946" s="290" t="n"/>
      <c r="F946" s="290" t="n"/>
      <c r="G946" s="291" t="n"/>
      <c r="H946" s="291" t="n"/>
      <c r="I946" s="291" t="n"/>
    </row>
    <row r="947" ht="13" customHeight="1" s="189">
      <c r="A947" s="292" t="n"/>
      <c r="B947" s="290" t="n"/>
      <c r="C947" s="290" t="n"/>
      <c r="D947" s="290" t="n"/>
      <c r="E947" s="290" t="n"/>
      <c r="F947" s="290" t="n"/>
      <c r="G947" s="291" t="n"/>
      <c r="H947" s="291" t="n"/>
      <c r="I947" s="291" t="n"/>
    </row>
    <row r="948" ht="13" customHeight="1" s="189">
      <c r="A948" s="292" t="n"/>
      <c r="B948" s="290" t="n"/>
      <c r="C948" s="290" t="n"/>
      <c r="D948" s="290" t="n"/>
      <c r="E948" s="290" t="n"/>
      <c r="F948" s="290" t="n"/>
      <c r="G948" s="291" t="n"/>
      <c r="H948" s="291" t="n"/>
      <c r="I948" s="291" t="n"/>
    </row>
    <row r="949" ht="13" customHeight="1" s="189">
      <c r="A949" s="292" t="n"/>
      <c r="B949" s="290" t="n"/>
      <c r="C949" s="290" t="n"/>
      <c r="D949" s="290" t="n"/>
      <c r="E949" s="290" t="n"/>
      <c r="F949" s="290" t="n"/>
      <c r="G949" s="291" t="n"/>
      <c r="H949" s="291" t="n"/>
      <c r="I949" s="291" t="n"/>
    </row>
    <row r="950" ht="13" customHeight="1" s="189">
      <c r="A950" s="292" t="n"/>
      <c r="B950" s="290" t="n"/>
      <c r="C950" s="290" t="n"/>
      <c r="D950" s="290" t="n"/>
      <c r="E950" s="290" t="n"/>
      <c r="F950" s="290" t="n"/>
      <c r="G950" s="291" t="n"/>
      <c r="H950" s="291" t="n"/>
      <c r="I950" s="291" t="n"/>
    </row>
    <row r="951" ht="13" customHeight="1" s="189">
      <c r="A951" s="292" t="n"/>
      <c r="B951" s="290" t="n"/>
      <c r="C951" s="290" t="n"/>
      <c r="D951" s="290" t="n"/>
      <c r="E951" s="290" t="n"/>
      <c r="F951" s="290" t="n"/>
      <c r="G951" s="291" t="n"/>
      <c r="H951" s="291" t="n"/>
      <c r="I951" s="291" t="n"/>
    </row>
    <row r="952" ht="13" customHeight="1" s="189">
      <c r="A952" s="292" t="n"/>
      <c r="B952" s="290" t="n"/>
      <c r="C952" s="290" t="n"/>
      <c r="D952" s="290" t="n"/>
      <c r="E952" s="290" t="n"/>
      <c r="F952" s="290" t="n"/>
      <c r="G952" s="291" t="n"/>
      <c r="H952" s="291" t="n"/>
      <c r="I952" s="291" t="n"/>
    </row>
    <row r="953" ht="13" customHeight="1" s="189">
      <c r="A953" s="292" t="n"/>
      <c r="B953" s="290" t="n"/>
      <c r="C953" s="290" t="n"/>
      <c r="D953" s="290" t="n"/>
      <c r="E953" s="290" t="n"/>
      <c r="F953" s="290" t="n"/>
      <c r="G953" s="291" t="n"/>
      <c r="H953" s="291" t="n"/>
      <c r="I953" s="291" t="n"/>
    </row>
    <row r="954" ht="13" customHeight="1" s="189">
      <c r="A954" s="292" t="n"/>
      <c r="B954" s="290" t="n"/>
      <c r="C954" s="290" t="n"/>
      <c r="D954" s="290" t="n"/>
      <c r="E954" s="290" t="n"/>
      <c r="F954" s="290" t="n"/>
      <c r="G954" s="291" t="n"/>
      <c r="H954" s="291" t="n"/>
      <c r="I954" s="291" t="n"/>
    </row>
    <row r="955" ht="13" customHeight="1" s="189">
      <c r="A955" s="292" t="n"/>
      <c r="B955" s="290" t="n"/>
      <c r="C955" s="290" t="n"/>
      <c r="D955" s="290" t="n"/>
      <c r="E955" s="290" t="n"/>
      <c r="F955" s="290" t="n"/>
      <c r="G955" s="291" t="n"/>
      <c r="H955" s="291" t="n"/>
      <c r="I955" s="291" t="n"/>
    </row>
    <row r="956" ht="13" customHeight="1" s="189">
      <c r="A956" s="292" t="n"/>
      <c r="B956" s="290" t="n"/>
      <c r="C956" s="290" t="n"/>
      <c r="D956" s="290" t="n"/>
      <c r="E956" s="290" t="n"/>
      <c r="F956" s="290" t="n"/>
      <c r="G956" s="291" t="n"/>
      <c r="H956" s="291" t="n"/>
      <c r="I956" s="291" t="n"/>
    </row>
    <row r="957" ht="13" customHeight="1" s="189">
      <c r="A957" s="292" t="n"/>
      <c r="B957" s="290" t="n"/>
      <c r="C957" s="290" t="n"/>
      <c r="D957" s="290" t="n"/>
      <c r="E957" s="290" t="n"/>
      <c r="F957" s="290" t="n"/>
      <c r="G957" s="291" t="n"/>
      <c r="H957" s="291" t="n"/>
      <c r="I957" s="291" t="n"/>
    </row>
    <row r="958" ht="13" customHeight="1" s="189">
      <c r="A958" s="292" t="n"/>
      <c r="B958" s="290" t="n"/>
      <c r="C958" s="290" t="n"/>
      <c r="D958" s="290" t="n"/>
      <c r="E958" s="290" t="n"/>
      <c r="F958" s="290" t="n"/>
      <c r="G958" s="291" t="n"/>
      <c r="H958" s="291" t="n"/>
      <c r="I958" s="291" t="n"/>
    </row>
    <row r="959" ht="13" customHeight="1" s="189">
      <c r="A959" s="292" t="n"/>
      <c r="B959" s="290" t="n"/>
      <c r="C959" s="290" t="n"/>
      <c r="D959" s="290" t="n"/>
      <c r="E959" s="290" t="n"/>
      <c r="F959" s="290" t="n"/>
      <c r="G959" s="291" t="n"/>
      <c r="H959" s="291" t="n"/>
      <c r="I959" s="291" t="n"/>
    </row>
    <row r="960" ht="13" customHeight="1" s="189">
      <c r="A960" s="292" t="n"/>
      <c r="B960" s="290" t="n"/>
      <c r="C960" s="290" t="n"/>
      <c r="D960" s="290" t="n"/>
      <c r="E960" s="290" t="n"/>
      <c r="F960" s="290" t="n"/>
      <c r="G960" s="291" t="n"/>
      <c r="H960" s="291" t="n"/>
      <c r="I960" s="291" t="n"/>
    </row>
    <row r="961" ht="13" customHeight="1" s="189">
      <c r="A961" s="292" t="n"/>
      <c r="B961" s="290" t="n"/>
      <c r="C961" s="290" t="n"/>
      <c r="D961" s="290" t="n"/>
      <c r="E961" s="290" t="n"/>
      <c r="F961" s="290" t="n"/>
      <c r="G961" s="291" t="n"/>
      <c r="H961" s="291" t="n"/>
      <c r="I961" s="291" t="n"/>
    </row>
    <row r="962" ht="13" customHeight="1" s="189">
      <c r="A962" s="292" t="n"/>
      <c r="B962" s="290" t="n"/>
      <c r="C962" s="290" t="n"/>
      <c r="D962" s="290" t="n"/>
      <c r="E962" s="290" t="n"/>
      <c r="F962" s="290" t="n"/>
      <c r="G962" s="291" t="n"/>
      <c r="H962" s="291" t="n"/>
      <c r="I962" s="291" t="n"/>
    </row>
    <row r="963" ht="13" customHeight="1" s="189">
      <c r="A963" s="292" t="n"/>
      <c r="B963" s="290" t="n"/>
      <c r="C963" s="290" t="n"/>
      <c r="D963" s="290" t="n"/>
      <c r="E963" s="290" t="n"/>
      <c r="F963" s="290" t="n"/>
      <c r="G963" s="291" t="n"/>
      <c r="H963" s="291" t="n"/>
      <c r="I963" s="291" t="n"/>
    </row>
    <row r="964" ht="13" customHeight="1" s="189">
      <c r="A964" s="292" t="n"/>
      <c r="B964" s="290" t="n"/>
      <c r="C964" s="290" t="n"/>
      <c r="D964" s="290" t="n"/>
      <c r="E964" s="290" t="n"/>
      <c r="F964" s="290" t="n"/>
      <c r="G964" s="291" t="n"/>
      <c r="H964" s="291" t="n"/>
      <c r="I964" s="291" t="n"/>
    </row>
    <row r="965" ht="13" customHeight="1" s="189">
      <c r="A965" s="292" t="n"/>
      <c r="B965" s="290" t="n"/>
      <c r="C965" s="290" t="n"/>
      <c r="D965" s="290" t="n"/>
      <c r="E965" s="290" t="n"/>
      <c r="F965" s="290" t="n"/>
      <c r="G965" s="291" t="n"/>
      <c r="H965" s="291" t="n"/>
      <c r="I965" s="291" t="n"/>
    </row>
    <row r="966" ht="13" customHeight="1" s="189">
      <c r="A966" s="292" t="n"/>
      <c r="B966" s="290" t="n"/>
      <c r="C966" s="290" t="n"/>
      <c r="D966" s="290" t="n"/>
      <c r="E966" s="290" t="n"/>
      <c r="F966" s="290" t="n"/>
      <c r="G966" s="291" t="n"/>
      <c r="H966" s="291" t="n"/>
      <c r="I966" s="291" t="n"/>
    </row>
    <row r="967" ht="13" customHeight="1" s="189">
      <c r="A967" s="292" t="n"/>
      <c r="B967" s="290" t="n"/>
      <c r="C967" s="290" t="n"/>
      <c r="D967" s="290" t="n"/>
      <c r="E967" s="290" t="n"/>
      <c r="F967" s="290" t="n"/>
      <c r="G967" s="291" t="n"/>
      <c r="H967" s="291" t="n"/>
      <c r="I967" s="291" t="n"/>
    </row>
    <row r="968" ht="13" customHeight="1" s="189">
      <c r="A968" s="292" t="n"/>
      <c r="B968" s="290" t="n"/>
      <c r="C968" s="290" t="n"/>
      <c r="D968" s="290" t="n"/>
      <c r="E968" s="290" t="n"/>
      <c r="F968" s="290" t="n"/>
      <c r="G968" s="291" t="n"/>
      <c r="H968" s="291" t="n"/>
      <c r="I968" s="291" t="n"/>
    </row>
    <row r="969" ht="13" customHeight="1" s="189">
      <c r="A969" s="292" t="n"/>
      <c r="B969" s="290" t="n"/>
      <c r="C969" s="290" t="n"/>
      <c r="D969" s="290" t="n"/>
      <c r="E969" s="290" t="n"/>
      <c r="F969" s="290" t="n"/>
      <c r="G969" s="291" t="n"/>
      <c r="H969" s="291" t="n"/>
      <c r="I969" s="291" t="n"/>
    </row>
    <row r="970" ht="13" customHeight="1" s="189">
      <c r="A970" s="292" t="n"/>
      <c r="B970" s="290" t="n"/>
      <c r="C970" s="290" t="n"/>
      <c r="D970" s="290" t="n"/>
      <c r="E970" s="290" t="n"/>
      <c r="F970" s="290" t="n"/>
      <c r="G970" s="291" t="n"/>
      <c r="H970" s="291" t="n"/>
      <c r="I970" s="291" t="n"/>
    </row>
    <row r="971" ht="13" customHeight="1" s="189">
      <c r="A971" s="292" t="n"/>
      <c r="B971" s="290" t="n"/>
      <c r="C971" s="290" t="n"/>
      <c r="D971" s="290" t="n"/>
      <c r="E971" s="290" t="n"/>
      <c r="F971" s="290" t="n"/>
      <c r="G971" s="291" t="n"/>
      <c r="H971" s="291" t="n"/>
      <c r="I971" s="291" t="n"/>
    </row>
    <row r="972" ht="13" customHeight="1" s="189">
      <c r="A972" s="292" t="n"/>
      <c r="B972" s="290" t="n"/>
      <c r="C972" s="290" t="n"/>
      <c r="D972" s="290" t="n"/>
      <c r="E972" s="290" t="n"/>
      <c r="F972" s="290" t="n"/>
      <c r="G972" s="291" t="n"/>
      <c r="H972" s="291" t="n"/>
      <c r="I972" s="291" t="n"/>
    </row>
    <row r="973" ht="13" customHeight="1" s="189">
      <c r="A973" s="292" t="n"/>
      <c r="B973" s="290" t="n"/>
      <c r="C973" s="290" t="n"/>
      <c r="D973" s="290" t="n"/>
      <c r="E973" s="290" t="n"/>
      <c r="F973" s="290" t="n"/>
      <c r="G973" s="291" t="n"/>
      <c r="H973" s="291" t="n"/>
      <c r="I973" s="291" t="n"/>
    </row>
    <row r="974" ht="13" customHeight="1" s="189">
      <c r="A974" s="292" t="n"/>
      <c r="B974" s="290" t="n"/>
      <c r="C974" s="290" t="n"/>
      <c r="D974" s="290" t="n"/>
      <c r="E974" s="290" t="n"/>
      <c r="F974" s="290" t="n"/>
      <c r="G974" s="291" t="n"/>
      <c r="H974" s="291" t="n"/>
      <c r="I974" s="291" t="n"/>
    </row>
    <row r="975" ht="13" customHeight="1" s="189">
      <c r="A975" s="292" t="n"/>
      <c r="B975" s="290" t="n"/>
      <c r="C975" s="290" t="n"/>
      <c r="D975" s="290" t="n"/>
      <c r="E975" s="290" t="n"/>
      <c r="F975" s="290" t="n"/>
      <c r="G975" s="291" t="n"/>
      <c r="H975" s="291" t="n"/>
      <c r="I975" s="291" t="n"/>
    </row>
    <row r="976" ht="13" customHeight="1" s="189">
      <c r="A976" s="292" t="n"/>
      <c r="B976" s="290" t="n"/>
      <c r="C976" s="290" t="n"/>
      <c r="D976" s="290" t="n"/>
      <c r="E976" s="290" t="n"/>
      <c r="F976" s="290" t="n"/>
      <c r="G976" s="291" t="n"/>
      <c r="H976" s="291" t="n"/>
      <c r="I976" s="291" t="n"/>
    </row>
    <row r="977" ht="13" customHeight="1" s="189">
      <c r="A977" s="292" t="n"/>
      <c r="B977" s="290" t="n"/>
      <c r="C977" s="290" t="n"/>
      <c r="D977" s="290" t="n"/>
      <c r="E977" s="290" t="n"/>
      <c r="F977" s="290" t="n"/>
      <c r="G977" s="291" t="n"/>
      <c r="H977" s="291" t="n"/>
      <c r="I977" s="291" t="n"/>
    </row>
    <row r="978" ht="13" customHeight="1" s="189">
      <c r="A978" s="292" t="n"/>
      <c r="B978" s="290" t="n"/>
      <c r="C978" s="290" t="n"/>
      <c r="D978" s="290" t="n"/>
      <c r="E978" s="290" t="n"/>
      <c r="F978" s="290" t="n"/>
      <c r="G978" s="291" t="n"/>
      <c r="H978" s="291" t="n"/>
      <c r="I978" s="291" t="n"/>
    </row>
    <row r="979" ht="13" customHeight="1" s="189">
      <c r="A979" s="292" t="n"/>
      <c r="B979" s="290" t="n"/>
      <c r="C979" s="290" t="n"/>
      <c r="D979" s="290" t="n"/>
      <c r="E979" s="290" t="n"/>
      <c r="F979" s="290" t="n"/>
      <c r="G979" s="291" t="n"/>
      <c r="H979" s="291" t="n"/>
      <c r="I979" s="291" t="n"/>
    </row>
    <row r="980" ht="13" customHeight="1" s="189">
      <c r="A980" s="292" t="n"/>
      <c r="B980" s="290" t="n"/>
      <c r="C980" s="290" t="n"/>
      <c r="D980" s="290" t="n"/>
      <c r="E980" s="290" t="n"/>
      <c r="F980" s="290" t="n"/>
      <c r="G980" s="291" t="n"/>
      <c r="H980" s="291" t="n"/>
      <c r="I980" s="291" t="n"/>
    </row>
    <row r="981" ht="13" customHeight="1" s="189">
      <c r="A981" s="292" t="n"/>
      <c r="B981" s="290" t="n"/>
      <c r="C981" s="290" t="n"/>
      <c r="D981" s="290" t="n"/>
      <c r="E981" s="290" t="n"/>
      <c r="F981" s="290" t="n"/>
      <c r="G981" s="291" t="n"/>
      <c r="H981" s="291" t="n"/>
      <c r="I981" s="291" t="n"/>
    </row>
    <row r="982" ht="13" customHeight="1" s="189">
      <c r="A982" s="292" t="n"/>
      <c r="B982" s="290" t="n"/>
      <c r="C982" s="290" t="n"/>
      <c r="D982" s="290" t="n"/>
      <c r="E982" s="290" t="n"/>
      <c r="F982" s="290" t="n"/>
      <c r="G982" s="291" t="n"/>
      <c r="H982" s="291" t="n"/>
      <c r="I982" s="291" t="n"/>
    </row>
    <row r="983" ht="13" customHeight="1" s="189">
      <c r="A983" s="292" t="n"/>
      <c r="B983" s="290" t="n"/>
      <c r="C983" s="290" t="n"/>
      <c r="D983" s="290" t="n"/>
      <c r="E983" s="290" t="n"/>
      <c r="F983" s="290" t="n"/>
      <c r="G983" s="291" t="n"/>
      <c r="H983" s="291" t="n"/>
      <c r="I983" s="291" t="n"/>
    </row>
    <row r="984" ht="13" customHeight="1" s="189">
      <c r="A984" s="292" t="n"/>
      <c r="B984" s="290" t="n"/>
      <c r="C984" s="290" t="n"/>
      <c r="D984" s="290" t="n"/>
      <c r="E984" s="290" t="n"/>
      <c r="F984" s="290" t="n"/>
      <c r="G984" s="291" t="n"/>
      <c r="H984" s="291" t="n"/>
      <c r="I984" s="291" t="n"/>
    </row>
    <row r="985" ht="13" customHeight="1" s="189">
      <c r="A985" s="292" t="n"/>
      <c r="B985" s="290" t="n"/>
      <c r="C985" s="290" t="n"/>
      <c r="D985" s="290" t="n"/>
      <c r="E985" s="290" t="n"/>
      <c r="F985" s="290" t="n"/>
      <c r="G985" s="291" t="n"/>
      <c r="H985" s="291" t="n"/>
      <c r="I985" s="291" t="n"/>
    </row>
    <row r="986" ht="13" customHeight="1" s="189">
      <c r="A986" s="292" t="n"/>
      <c r="B986" s="290" t="n"/>
      <c r="C986" s="290" t="n"/>
      <c r="D986" s="290" t="n"/>
      <c r="E986" s="290" t="n"/>
      <c r="F986" s="290" t="n"/>
      <c r="G986" s="291" t="n"/>
      <c r="H986" s="291" t="n"/>
      <c r="I986" s="291" t="n"/>
    </row>
    <row r="987" ht="13" customHeight="1" s="189">
      <c r="A987" s="292" t="n"/>
      <c r="B987" s="290" t="n"/>
      <c r="C987" s="290" t="n"/>
      <c r="D987" s="290" t="n"/>
      <c r="E987" s="290" t="n"/>
      <c r="F987" s="290" t="n"/>
      <c r="G987" s="291" t="n"/>
      <c r="H987" s="291" t="n"/>
      <c r="I987" s="291" t="n"/>
    </row>
    <row r="988" ht="13" customHeight="1" s="189">
      <c r="A988" s="292" t="n"/>
      <c r="B988" s="290" t="n"/>
      <c r="C988" s="290" t="n"/>
      <c r="D988" s="290" t="n"/>
      <c r="E988" s="290" t="n"/>
      <c r="F988" s="290" t="n"/>
      <c r="G988" s="291" t="n"/>
      <c r="H988" s="291" t="n"/>
      <c r="I988" s="291" t="n"/>
    </row>
    <row r="989" ht="13" customHeight="1" s="189">
      <c r="A989" s="292" t="n"/>
      <c r="B989" s="290" t="n"/>
      <c r="C989" s="290" t="n"/>
      <c r="D989" s="290" t="n"/>
      <c r="E989" s="290" t="n"/>
      <c r="F989" s="290" t="n"/>
      <c r="G989" s="291" t="n"/>
      <c r="H989" s="291" t="n"/>
      <c r="I989" s="291" t="n"/>
    </row>
    <row r="990" ht="13" customHeight="1" s="189">
      <c r="A990" s="292" t="n"/>
      <c r="B990" s="290" t="n"/>
      <c r="C990" s="290" t="n"/>
      <c r="D990" s="290" t="n"/>
      <c r="E990" s="290" t="n"/>
      <c r="F990" s="290" t="n"/>
      <c r="G990" s="291" t="n"/>
      <c r="H990" s="291" t="n"/>
      <c r="I990" s="291" t="n"/>
    </row>
    <row r="991" ht="13" customHeight="1" s="189">
      <c r="A991" s="292" t="n"/>
      <c r="B991" s="290" t="n"/>
      <c r="C991" s="290" t="n"/>
      <c r="D991" s="290" t="n"/>
      <c r="E991" s="290" t="n"/>
      <c r="F991" s="290" t="n"/>
      <c r="G991" s="291" t="n"/>
      <c r="H991" s="291" t="n"/>
      <c r="I991" s="291" t="n"/>
    </row>
    <row r="992" ht="13" customHeight="1" s="189">
      <c r="A992" s="292" t="n"/>
      <c r="B992" s="290" t="n"/>
      <c r="C992" s="290" t="n"/>
      <c r="D992" s="290" t="n"/>
      <c r="E992" s="290" t="n"/>
      <c r="F992" s="290" t="n"/>
      <c r="G992" s="291" t="n"/>
      <c r="H992" s="291" t="n"/>
      <c r="I992" s="291" t="n"/>
    </row>
    <row r="993" ht="13" customHeight="1" s="189">
      <c r="A993" s="292" t="n"/>
      <c r="B993" s="290" t="n"/>
      <c r="C993" s="290" t="n"/>
      <c r="D993" s="290" t="n"/>
      <c r="E993" s="290" t="n"/>
      <c r="F993" s="290" t="n"/>
      <c r="G993" s="291" t="n"/>
      <c r="H993" s="291" t="n"/>
      <c r="I993" s="291" t="n"/>
    </row>
    <row r="994" ht="13" customHeight="1" s="189">
      <c r="A994" s="292" t="n"/>
      <c r="B994" s="290" t="n"/>
      <c r="C994" s="290" t="n"/>
      <c r="D994" s="290" t="n"/>
      <c r="E994" s="290" t="n"/>
      <c r="F994" s="290" t="n"/>
      <c r="G994" s="291" t="n"/>
      <c r="H994" s="291" t="n"/>
      <c r="I994" s="291" t="n"/>
    </row>
    <row r="995" ht="13" customHeight="1" s="189">
      <c r="A995" s="292" t="n"/>
      <c r="B995" s="290" t="n"/>
      <c r="C995" s="290" t="n"/>
      <c r="D995" s="290" t="n"/>
      <c r="E995" s="290" t="n"/>
      <c r="F995" s="290" t="n"/>
      <c r="G995" s="291" t="n"/>
      <c r="H995" s="291" t="n"/>
      <c r="I995" s="291" t="n"/>
    </row>
    <row r="996" ht="13" customHeight="1" s="189">
      <c r="A996" s="292" t="n"/>
      <c r="B996" s="290" t="n"/>
      <c r="C996" s="290" t="n"/>
      <c r="D996" s="290" t="n"/>
      <c r="E996" s="290" t="n"/>
      <c r="F996" s="290" t="n"/>
      <c r="G996" s="291" t="n"/>
      <c r="H996" s="291" t="n"/>
      <c r="I996" s="291" t="n"/>
    </row>
    <row r="997" ht="13" customHeight="1" s="189">
      <c r="A997" s="292" t="n"/>
      <c r="B997" s="290" t="n"/>
      <c r="C997" s="290" t="n"/>
      <c r="D997" s="290" t="n"/>
      <c r="E997" s="290" t="n"/>
      <c r="F997" s="290" t="n"/>
      <c r="G997" s="291" t="n"/>
      <c r="H997" s="291" t="n"/>
      <c r="I997" s="291" t="n"/>
    </row>
    <row r="998" ht="13" customHeight="1" s="189">
      <c r="A998" s="292" t="n"/>
      <c r="B998" s="290" t="n"/>
      <c r="C998" s="290" t="n"/>
      <c r="D998" s="290" t="n"/>
      <c r="E998" s="290" t="n"/>
      <c r="F998" s="290" t="n"/>
      <c r="G998" s="291" t="n"/>
      <c r="H998" s="291" t="n"/>
      <c r="I998" s="291" t="n"/>
    </row>
    <row r="999" ht="13" customHeight="1" s="189">
      <c r="A999" s="292" t="n"/>
      <c r="B999" s="290" t="n"/>
      <c r="C999" s="290" t="n"/>
      <c r="D999" s="290" t="n"/>
      <c r="E999" s="290" t="n"/>
      <c r="F999" s="290" t="n"/>
      <c r="G999" s="291" t="n"/>
      <c r="H999" s="291" t="n"/>
      <c r="I999" s="291" t="n"/>
    </row>
    <row r="1000" ht="13" customHeight="1" s="189">
      <c r="A1000" s="292" t="n"/>
      <c r="B1000" s="290" t="n"/>
      <c r="C1000" s="290" t="n"/>
      <c r="D1000" s="290" t="n"/>
      <c r="E1000" s="290" t="n"/>
      <c r="F1000" s="290" t="n"/>
      <c r="G1000" s="291" t="n"/>
      <c r="H1000" s="291" t="n"/>
      <c r="I1000" s="291" t="n"/>
    </row>
    <row r="1001" ht="13" customHeight="1" s="189">
      <c r="A1001" s="292" t="n"/>
      <c r="B1001" s="290" t="n"/>
      <c r="C1001" s="290" t="n"/>
      <c r="D1001" s="290" t="n"/>
      <c r="E1001" s="290" t="n"/>
      <c r="F1001" s="290" t="n"/>
      <c r="G1001" s="291" t="n"/>
      <c r="H1001" s="291" t="n"/>
      <c r="I1001" s="291" t="n"/>
    </row>
    <row r="1002" ht="13" customHeight="1" s="189">
      <c r="A1002" s="292" t="n"/>
      <c r="B1002" s="290" t="n"/>
      <c r="C1002" s="290" t="n"/>
      <c r="D1002" s="290" t="n"/>
      <c r="E1002" s="290" t="n"/>
      <c r="F1002" s="290" t="n"/>
      <c r="G1002" s="291" t="n"/>
      <c r="H1002" s="291" t="n"/>
      <c r="I1002" s="291" t="n"/>
    </row>
    <row r="1003" ht="13" customHeight="1" s="189">
      <c r="A1003" s="292" t="n"/>
      <c r="B1003" s="290" t="n"/>
      <c r="C1003" s="290" t="n"/>
      <c r="D1003" s="290" t="n"/>
      <c r="E1003" s="290" t="n"/>
      <c r="F1003" s="290" t="n"/>
      <c r="G1003" s="291" t="n"/>
      <c r="H1003" s="291" t="n"/>
      <c r="I1003" s="291" t="n"/>
    </row>
    <row r="1004" ht="13" customHeight="1" s="189">
      <c r="A1004" s="292" t="n"/>
      <c r="B1004" s="290" t="n"/>
      <c r="C1004" s="290" t="n"/>
      <c r="D1004" s="290" t="n"/>
      <c r="E1004" s="290" t="n"/>
      <c r="F1004" s="290" t="n"/>
      <c r="G1004" s="291" t="n"/>
      <c r="H1004" s="291" t="n"/>
      <c r="I1004" s="291" t="n"/>
    </row>
    <row r="1005" ht="13" customHeight="1" s="189">
      <c r="A1005" s="292" t="n"/>
      <c r="B1005" s="290" t="n"/>
      <c r="C1005" s="290" t="n"/>
      <c r="D1005" s="290" t="n"/>
      <c r="E1005" s="290" t="n"/>
      <c r="F1005" s="290" t="n"/>
      <c r="G1005" s="291" t="n"/>
      <c r="H1005" s="291" t="n"/>
      <c r="I1005" s="291" t="n"/>
    </row>
    <row r="1006" ht="13" customHeight="1" s="189">
      <c r="A1006" s="292" t="n"/>
      <c r="B1006" s="290" t="n"/>
      <c r="C1006" s="290" t="n"/>
      <c r="D1006" s="290" t="n"/>
      <c r="E1006" s="290" t="n"/>
      <c r="F1006" s="290" t="n"/>
      <c r="G1006" s="291" t="n"/>
      <c r="H1006" s="291" t="n"/>
      <c r="I1006" s="291" t="n"/>
    </row>
    <row r="1007" ht="13" customHeight="1" s="189">
      <c r="A1007" s="292" t="n"/>
      <c r="B1007" s="290" t="n"/>
      <c r="C1007" s="290" t="n"/>
      <c r="D1007" s="290" t="n"/>
      <c r="E1007" s="290" t="n"/>
      <c r="F1007" s="290" t="n"/>
      <c r="G1007" s="291" t="n"/>
      <c r="H1007" s="291" t="n"/>
      <c r="I1007" s="291" t="n"/>
    </row>
    <row r="1008" ht="13" customHeight="1" s="189">
      <c r="A1008" s="292" t="n"/>
      <c r="B1008" s="290" t="n"/>
      <c r="C1008" s="290" t="n"/>
      <c r="D1008" s="290" t="n"/>
      <c r="E1008" s="290" t="n"/>
      <c r="F1008" s="290" t="n"/>
      <c r="G1008" s="291" t="n"/>
      <c r="H1008" s="291" t="n"/>
      <c r="I1008" s="291" t="n"/>
    </row>
    <row r="1009" ht="13" customHeight="1" s="189">
      <c r="A1009" s="292" t="n"/>
      <c r="B1009" s="290" t="n"/>
      <c r="C1009" s="290" t="n"/>
      <c r="D1009" s="290" t="n"/>
      <c r="E1009" s="290" t="n"/>
      <c r="F1009" s="290" t="n"/>
      <c r="G1009" s="291" t="n"/>
      <c r="H1009" s="291" t="n"/>
      <c r="I1009" s="291" t="n"/>
    </row>
    <row r="1010" ht="13" customHeight="1" s="189">
      <c r="A1010" s="292" t="n"/>
      <c r="B1010" s="290" t="n"/>
      <c r="C1010" s="290" t="n"/>
      <c r="D1010" s="290" t="n"/>
      <c r="E1010" s="290" t="n"/>
      <c r="F1010" s="290" t="n"/>
      <c r="G1010" s="291" t="n"/>
      <c r="H1010" s="291" t="n"/>
      <c r="I1010" s="291" t="n"/>
    </row>
    <row r="1011" ht="13" customHeight="1" s="189">
      <c r="A1011" s="292" t="n"/>
      <c r="B1011" s="290" t="n"/>
      <c r="C1011" s="290" t="n"/>
      <c r="D1011" s="290" t="n"/>
      <c r="E1011" s="290" t="n"/>
      <c r="F1011" s="290" t="n"/>
      <c r="G1011" s="291" t="n"/>
      <c r="H1011" s="291" t="n"/>
      <c r="I1011" s="291" t="n"/>
    </row>
    <row r="1012" ht="13" customHeight="1" s="189">
      <c r="A1012" s="292" t="n"/>
      <c r="B1012" s="290" t="n"/>
      <c r="C1012" s="290" t="n"/>
      <c r="D1012" s="290" t="n"/>
      <c r="E1012" s="290" t="n"/>
      <c r="F1012" s="290" t="n"/>
      <c r="G1012" s="291" t="n"/>
      <c r="H1012" s="291" t="n"/>
      <c r="I1012" s="291" t="n"/>
    </row>
    <row r="1013" ht="13" customHeight="1" s="189">
      <c r="A1013" s="292" t="n"/>
      <c r="B1013" s="290" t="n"/>
      <c r="C1013" s="290" t="n"/>
      <c r="D1013" s="290" t="n"/>
      <c r="E1013" s="290" t="n"/>
      <c r="F1013" s="290" t="n"/>
      <c r="G1013" s="291" t="n"/>
      <c r="H1013" s="291" t="n"/>
      <c r="I1013" s="291" t="n"/>
    </row>
    <row r="1014" ht="13" customHeight="1" s="189">
      <c r="A1014" s="292" t="n"/>
      <c r="B1014" s="290" t="n"/>
      <c r="C1014" s="290" t="n"/>
      <c r="D1014" s="290" t="n"/>
      <c r="E1014" s="290" t="n"/>
      <c r="F1014" s="290" t="n"/>
      <c r="G1014" s="291" t="n"/>
      <c r="H1014" s="291" t="n"/>
      <c r="I1014" s="291" t="n"/>
    </row>
    <row r="1015" ht="13" customHeight="1" s="189">
      <c r="A1015" s="292" t="n"/>
      <c r="B1015" s="290" t="n"/>
      <c r="C1015" s="290" t="n"/>
      <c r="D1015" s="290" t="n"/>
      <c r="E1015" s="290" t="n"/>
      <c r="F1015" s="290" t="n"/>
      <c r="G1015" s="291" t="n"/>
      <c r="H1015" s="291" t="n"/>
      <c r="I1015" s="291" t="n"/>
    </row>
    <row r="1016" ht="13" customHeight="1" s="189">
      <c r="A1016" s="292" t="n"/>
      <c r="B1016" s="290" t="n"/>
      <c r="C1016" s="290" t="n"/>
      <c r="D1016" s="290" t="n"/>
      <c r="E1016" s="290" t="n"/>
      <c r="F1016" s="290" t="n"/>
      <c r="G1016" s="291" t="n"/>
      <c r="H1016" s="291" t="n"/>
      <c r="I1016" s="291" t="n"/>
    </row>
    <row r="1017" ht="13" customHeight="1" s="189">
      <c r="A1017" s="292" t="n"/>
      <c r="B1017" s="290" t="n"/>
      <c r="C1017" s="290" t="n"/>
      <c r="D1017" s="290" t="n"/>
      <c r="E1017" s="290" t="n"/>
      <c r="F1017" s="290" t="n"/>
      <c r="G1017" s="291" t="n"/>
      <c r="H1017" s="291" t="n"/>
      <c r="I1017" s="291" t="n"/>
    </row>
    <row r="1018" ht="13" customHeight="1" s="189">
      <c r="A1018" s="292" t="n"/>
      <c r="B1018" s="290" t="n"/>
      <c r="C1018" s="290" t="n"/>
      <c r="D1018" s="290" t="n"/>
      <c r="E1018" s="290" t="n"/>
      <c r="F1018" s="290" t="n"/>
      <c r="G1018" s="291" t="n"/>
      <c r="H1018" s="291" t="n"/>
      <c r="I1018" s="291" t="n"/>
    </row>
    <row r="1019" ht="13" customHeight="1" s="189">
      <c r="A1019" s="292" t="n"/>
      <c r="B1019" s="290" t="n"/>
      <c r="C1019" s="290" t="n"/>
      <c r="D1019" s="290" t="n"/>
      <c r="E1019" s="290" t="n"/>
      <c r="F1019" s="290" t="n"/>
      <c r="G1019" s="291" t="n"/>
      <c r="H1019" s="291" t="n"/>
      <c r="I1019" s="291" t="n"/>
    </row>
    <row r="1020" ht="13" customHeight="1" s="189">
      <c r="A1020" s="292" t="n"/>
      <c r="B1020" s="290" t="n"/>
      <c r="C1020" s="290" t="n"/>
      <c r="D1020" s="290" t="n"/>
      <c r="E1020" s="290" t="n"/>
      <c r="F1020" s="290" t="n"/>
      <c r="G1020" s="291" t="n"/>
      <c r="H1020" s="291" t="n"/>
      <c r="I1020" s="291" t="n"/>
    </row>
    <row r="1021" ht="13" customHeight="1" s="189">
      <c r="A1021" s="292" t="n"/>
      <c r="B1021" s="290" t="n"/>
      <c r="C1021" s="290" t="n"/>
      <c r="D1021" s="290" t="n"/>
      <c r="E1021" s="290" t="n"/>
      <c r="F1021" s="290" t="n"/>
      <c r="G1021" s="291" t="n"/>
      <c r="H1021" s="291" t="n"/>
      <c r="I1021" s="291" t="n"/>
    </row>
    <row r="1022" ht="13" customHeight="1" s="189">
      <c r="A1022" s="292" t="n"/>
      <c r="B1022" s="290" t="n"/>
      <c r="C1022" s="290" t="n"/>
      <c r="D1022" s="290" t="n"/>
      <c r="E1022" s="290" t="n"/>
      <c r="F1022" s="290" t="n"/>
      <c r="G1022" s="291" t="n"/>
      <c r="H1022" s="291" t="n"/>
      <c r="I1022" s="291" t="n"/>
    </row>
    <row r="1023" ht="13" customHeight="1" s="189">
      <c r="A1023" s="292" t="n"/>
      <c r="B1023" s="290" t="n"/>
      <c r="C1023" s="290" t="n"/>
      <c r="D1023" s="290" t="n"/>
      <c r="E1023" s="290" t="n"/>
      <c r="F1023" s="290" t="n"/>
      <c r="G1023" s="291" t="n"/>
      <c r="H1023" s="291" t="n"/>
      <c r="I1023" s="291" t="n"/>
    </row>
    <row r="1024" ht="13" customHeight="1" s="189">
      <c r="A1024" s="292" t="n"/>
      <c r="B1024" s="290" t="n"/>
      <c r="C1024" s="290" t="n"/>
      <c r="D1024" s="290" t="n"/>
      <c r="E1024" s="290" t="n"/>
      <c r="F1024" s="290" t="n"/>
      <c r="G1024" s="291" t="n"/>
      <c r="H1024" s="291" t="n"/>
      <c r="I1024" s="291" t="n"/>
    </row>
    <row r="1025" ht="13" customHeight="1" s="189"/>
    <row r="1026" ht="13" customHeight="1" s="189"/>
    <row r="1027" ht="13" customHeight="1" s="189"/>
    <row r="1028" ht="13" customHeight="1" s="189"/>
    <row r="1029" ht="13" customHeight="1" s="189"/>
    <row r="1030" ht="13" customHeight="1" s="189"/>
    <row r="1031" ht="13" customHeight="1" s="189"/>
    <row r="1032" ht="13" customHeight="1" s="189"/>
    <row r="1033" ht="13" customHeight="1" s="189"/>
    <row r="1034" ht="13" customHeight="1" s="189"/>
    <row r="1035" ht="13" customHeight="1" s="189"/>
    <row r="1036" ht="13" customHeight="1" s="189"/>
    <row r="1037" ht="13" customHeight="1" s="189"/>
    <row r="1038" ht="13" customHeight="1" s="189"/>
    <row r="1039" ht="13" customHeight="1" s="189"/>
    <row r="1040" ht="13" customHeight="1" s="189"/>
    <row r="1041" ht="13" customHeight="1" s="189"/>
    <row r="1042" ht="13" customHeight="1" s="189"/>
    <row r="1043" ht="13" customHeight="1" s="189"/>
    <row r="1044" ht="13" customHeight="1" s="189"/>
    <row r="1045" ht="13" customHeight="1" s="189"/>
    <row r="1046" ht="13" customHeight="1" s="189"/>
    <row r="1047" ht="13" customHeight="1" s="189"/>
    <row r="1048" ht="13" customHeight="1" s="189"/>
    <row r="1049" ht="13" customHeight="1" s="189"/>
    <row r="1050" ht="13" customHeight="1" s="189"/>
    <row r="1051" ht="13" customHeight="1" s="189"/>
    <row r="1052" ht="13" customHeight="1" s="189"/>
    <row r="1053" ht="13" customHeight="1" s="189"/>
    <row r="1054" ht="13" customHeight="1" s="189"/>
    <row r="1055" ht="13" customHeight="1" s="189"/>
    <row r="1056" ht="13" customHeight="1" s="189"/>
    <row r="1057" ht="13" customHeight="1" s="189"/>
    <row r="1058" ht="13" customHeight="1" s="189"/>
    <row r="1059" ht="13" customHeight="1" s="189"/>
    <row r="1060" ht="13" customHeight="1" s="189"/>
    <row r="1061" ht="13" customHeight="1" s="189"/>
    <row r="1062" ht="13" customHeight="1" s="189"/>
    <row r="1063" ht="13" customHeight="1" s="189"/>
    <row r="1064" ht="13" customHeight="1" s="189"/>
    <row r="1065" ht="13" customHeight="1" s="189"/>
    <row r="1066" ht="13" customHeight="1" s="189"/>
    <row r="1067" ht="13" customHeight="1" s="189"/>
    <row r="1068" ht="13" customHeight="1" s="189"/>
    <row r="1069" ht="13" customHeight="1" s="189"/>
    <row r="1070" ht="13" customHeight="1" s="189"/>
    <row r="1071" ht="13" customHeight="1" s="189"/>
    <row r="1072" ht="13" customHeight="1" s="189"/>
    <row r="1073" ht="13" customHeight="1" s="189"/>
    <row r="1074" ht="13" customHeight="1" s="189"/>
    <row r="1075" ht="13" customHeight="1" s="189"/>
    <row r="1076" ht="13" customHeight="1" s="189"/>
    <row r="1077" ht="13" customHeight="1" s="189"/>
    <row r="1078" ht="13" customHeight="1" s="189"/>
    <row r="1079" ht="13" customHeight="1" s="189"/>
    <row r="1080" ht="13" customHeight="1" s="189"/>
    <row r="1081" ht="13" customHeight="1" s="189"/>
    <row r="1082" ht="13" customHeight="1" s="189"/>
    <row r="1083" ht="13" customHeight="1" s="189"/>
    <row r="1084" ht="13" customHeight="1" s="189"/>
    <row r="1085" ht="13" customHeight="1" s="189"/>
    <row r="1086" ht="13" customHeight="1" s="189"/>
    <row r="1087" ht="13" customHeight="1" s="189"/>
    <row r="1088" ht="13" customHeight="1" s="189"/>
    <row r="1089" ht="13" customHeight="1" s="189"/>
    <row r="1090" ht="13" customHeight="1" s="189"/>
    <row r="1091" ht="13" customHeight="1" s="189"/>
    <row r="1092" ht="13" customHeight="1" s="189"/>
    <row r="1093" ht="13" customHeight="1" s="189"/>
    <row r="1094" ht="13" customHeight="1" s="189"/>
    <row r="1095" ht="13" customHeight="1" s="189"/>
    <row r="1096" ht="13" customHeight="1" s="189"/>
    <row r="1097" ht="13" customHeight="1" s="189"/>
    <row r="1098" ht="13" customHeight="1" s="189"/>
    <row r="1099" ht="13" customHeight="1" s="189"/>
    <row r="1100" ht="13" customHeight="1" s="189"/>
    <row r="1101" ht="13" customHeight="1" s="189"/>
    <row r="1102" ht="13" customHeight="1" s="189"/>
    <row r="1103" ht="13" customHeight="1" s="189"/>
    <row r="1104" ht="13" customHeight="1" s="189"/>
    <row r="1105" ht="13" customHeight="1" s="189"/>
    <row r="1106" ht="13" customHeight="1" s="189"/>
    <row r="1107" ht="13" customHeight="1" s="189"/>
    <row r="1108" ht="13" customHeight="1" s="189"/>
    <row r="1109" ht="13" customHeight="1" s="189"/>
    <row r="1110" ht="13" customHeight="1" s="189"/>
    <row r="1111" ht="13" customHeight="1" s="189"/>
    <row r="1112" ht="13" customHeight="1" s="189"/>
    <row r="1113" ht="13" customHeight="1" s="189"/>
    <row r="1114" ht="13" customHeight="1" s="189"/>
    <row r="1115" ht="13" customHeight="1" s="189"/>
    <row r="1116" ht="13" customHeight="1" s="189"/>
    <row r="1117" ht="13" customHeight="1" s="189"/>
    <row r="1118" ht="13" customHeight="1" s="189"/>
    <row r="1119" ht="13" customHeight="1" s="189"/>
    <row r="1120" ht="13" customHeight="1" s="189"/>
    <row r="1121" ht="13" customHeight="1" s="189"/>
    <row r="1122" ht="13" customHeight="1" s="189"/>
    <row r="1123" ht="13" customHeight="1" s="189"/>
    <row r="1124" ht="13" customHeight="1" s="189"/>
    <row r="1125" ht="13" customHeight="1" s="189"/>
    <row r="1126" ht="13" customHeight="1" s="189"/>
    <row r="1127" ht="13" customHeight="1" s="189"/>
    <row r="1128" ht="13" customHeight="1" s="189"/>
    <row r="1129" ht="13" customHeight="1" s="189"/>
    <row r="1130" ht="13" customHeight="1" s="189"/>
    <row r="1131" ht="13" customHeight="1" s="189"/>
    <row r="1132" ht="13" customHeight="1" s="189"/>
    <row r="1133" ht="13" customHeight="1" s="189"/>
    <row r="1134" ht="13" customHeight="1" s="189"/>
    <row r="1135" ht="13" customHeight="1" s="189"/>
    <row r="1136" ht="13" customHeight="1" s="189"/>
    <row r="1137" ht="13" customHeight="1" s="189"/>
    <row r="1138" ht="13" customHeight="1" s="189"/>
    <row r="1139" ht="13" customHeight="1" s="189"/>
    <row r="1140" ht="13" customHeight="1" s="189"/>
    <row r="1141" ht="13" customHeight="1" s="189"/>
    <row r="1142" ht="13" customHeight="1" s="189"/>
    <row r="1143" ht="13" customHeight="1" s="189"/>
    <row r="1144" ht="13" customHeight="1" s="189"/>
    <row r="1145" ht="13" customHeight="1" s="189"/>
    <row r="1146" ht="13" customHeight="1" s="189"/>
    <row r="1147" ht="13" customHeight="1" s="189"/>
    <row r="1148" ht="13" customHeight="1" s="189"/>
    <row r="1149" ht="13" customHeight="1" s="189"/>
    <row r="1150" ht="13" customHeight="1" s="189"/>
    <row r="1151" ht="13" customHeight="1" s="189"/>
    <row r="1152" ht="13" customHeight="1" s="189"/>
    <row r="1153" ht="13" customHeight="1" s="189"/>
    <row r="1154" ht="13" customHeight="1" s="189"/>
    <row r="1155" ht="13" customHeight="1" s="189"/>
    <row r="1156" ht="13" customHeight="1" s="189"/>
    <row r="1157" ht="13" customHeight="1" s="189"/>
    <row r="1158" ht="13" customHeight="1" s="189"/>
    <row r="1159" ht="13" customHeight="1" s="189"/>
    <row r="1160" ht="13" customHeight="1" s="189"/>
    <row r="1161" ht="13" customHeight="1" s="189"/>
    <row r="1162" ht="13" customHeight="1" s="189"/>
    <row r="1163" ht="13" customHeight="1" s="189"/>
    <row r="1164" ht="13" customHeight="1" s="189"/>
    <row r="1165" ht="13" customHeight="1" s="189"/>
    <row r="1166" ht="13" customHeight="1" s="189"/>
    <row r="1167" ht="13" customHeight="1" s="189"/>
    <row r="1168" ht="13" customHeight="1" s="189"/>
    <row r="1169" ht="13" customHeight="1" s="189"/>
    <row r="1170" ht="13" customHeight="1" s="189"/>
    <row r="1171" ht="13" customHeight="1" s="189"/>
    <row r="1172" ht="13" customHeight="1" s="189"/>
    <row r="1173" ht="13" customHeight="1" s="189"/>
    <row r="1174" ht="13" customHeight="1" s="189"/>
    <row r="1175" ht="13" customHeight="1" s="189"/>
    <row r="1176" ht="13" customHeight="1" s="189"/>
    <row r="1177" ht="13" customHeight="1" s="189"/>
    <row r="1178" ht="13" customHeight="1" s="189"/>
    <row r="1179" ht="13" customHeight="1" s="189"/>
    <row r="1180" ht="13" customHeight="1" s="189"/>
    <row r="1181" ht="13" customHeight="1" s="189"/>
    <row r="1182" ht="13" customHeight="1" s="189"/>
    <row r="1183" ht="13" customHeight="1" s="189"/>
    <row r="1184" ht="13" customHeight="1" s="189"/>
    <row r="1185" ht="13" customHeight="1" s="189"/>
    <row r="1186" ht="13" customHeight="1" s="189"/>
    <row r="1187" ht="13" customHeight="1" s="189"/>
    <row r="1188" ht="13" customHeight="1" s="189"/>
    <row r="1189" ht="13" customHeight="1" s="189"/>
    <row r="1190" ht="13" customHeight="1" s="189"/>
    <row r="1191" ht="13" customHeight="1" s="189"/>
    <row r="1192" ht="13" customHeight="1" s="189"/>
    <row r="1193" ht="13" customHeight="1" s="189"/>
    <row r="1194" ht="13" customHeight="1" s="189"/>
    <row r="1195" ht="13" customHeight="1" s="189"/>
    <row r="1196" ht="13" customHeight="1" s="189"/>
    <row r="1197" ht="13" customHeight="1" s="189"/>
    <row r="1198" ht="13" customHeight="1" s="189"/>
    <row r="1199" ht="13" customHeight="1" s="189"/>
    <row r="1200" ht="13" customHeight="1" s="189"/>
    <row r="1201" ht="13" customHeight="1" s="189"/>
    <row r="1202" ht="13" customHeight="1" s="189"/>
    <row r="1203" ht="13" customHeight="1" s="189"/>
    <row r="1204" ht="13" customHeight="1" s="189"/>
    <row r="1205" ht="13" customHeight="1" s="189"/>
    <row r="1206" ht="13" customHeight="1" s="189"/>
    <row r="1207" ht="13" customHeight="1" s="189"/>
    <row r="1208" ht="13" customHeight="1" s="189"/>
    <row r="1209" ht="13" customHeight="1" s="189"/>
    <row r="1210" ht="13" customHeight="1" s="189"/>
    <row r="1211" ht="13" customHeight="1" s="189"/>
    <row r="1212" ht="13" customHeight="1" s="189"/>
    <row r="1213" ht="13" customHeight="1" s="189"/>
    <row r="1214" ht="13" customHeight="1" s="189"/>
    <row r="1215" ht="13" customHeight="1" s="189"/>
    <row r="1216" ht="13" customHeight="1" s="189"/>
    <row r="1217" ht="13" customHeight="1" s="189"/>
    <row r="1218" ht="13" customHeight="1" s="189"/>
    <row r="1219" ht="13" customHeight="1" s="189"/>
    <row r="1220" ht="13" customHeight="1" s="189"/>
    <row r="1221" ht="13" customHeight="1" s="189"/>
    <row r="1222" ht="13" customHeight="1" s="189"/>
    <row r="1223" ht="13" customHeight="1" s="189"/>
    <row r="1224" ht="13" customHeight="1" s="189"/>
    <row r="1225" ht="13" customHeight="1" s="189"/>
    <row r="1226" ht="13" customHeight="1" s="189"/>
    <row r="1227" ht="13" customHeight="1" s="189"/>
    <row r="1228" ht="13" customHeight="1" s="189"/>
    <row r="1229" ht="13" customHeight="1" s="189"/>
    <row r="1230" ht="13" customHeight="1" s="189"/>
    <row r="1231" ht="13" customHeight="1" s="189"/>
    <row r="1232" ht="13" customHeight="1" s="189"/>
    <row r="1233" ht="13" customHeight="1" s="189"/>
    <row r="1234" ht="13" customHeight="1" s="189"/>
    <row r="1235" ht="13" customHeight="1" s="189"/>
    <row r="1236" ht="13" customHeight="1" s="189"/>
    <row r="1237" ht="13" customHeight="1" s="189"/>
    <row r="1238" ht="13" customHeight="1" s="189"/>
    <row r="1239" ht="13" customHeight="1" s="189"/>
    <row r="1240" ht="13" customHeight="1" s="189"/>
    <row r="1241" ht="13" customHeight="1" s="189"/>
    <row r="1242" ht="13" customHeight="1" s="189"/>
    <row r="1243" ht="13" customHeight="1" s="189"/>
    <row r="1244" ht="13" customHeight="1" s="189"/>
    <row r="1245" ht="13" customHeight="1" s="189"/>
    <row r="1246" ht="13" customHeight="1" s="189"/>
    <row r="1247" ht="13" customHeight="1" s="189"/>
    <row r="1248" ht="13" customHeight="1" s="189"/>
    <row r="1249" ht="13" customHeight="1" s="189"/>
  </sheetData>
  <mergeCells count="11">
    <mergeCell ref="A4:B4"/>
    <mergeCell ref="A2:B2"/>
    <mergeCell ref="C2:D2"/>
    <mergeCell ref="A5:I5"/>
    <mergeCell ref="F3:I3"/>
    <mergeCell ref="F4:I4"/>
    <mergeCell ref="F2:I2"/>
    <mergeCell ref="A1:I1"/>
    <mergeCell ref="C3:D3"/>
    <mergeCell ref="A3:B3"/>
    <mergeCell ref="C4:D4"/>
  </mergeCells>
  <printOptions horizontalCentered="0" verticalCentered="0" headings="0" gridLines="1" gridLinesSet="1"/>
  <pageMargins left="0.75" right="0.75" top="1" bottom="1"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H1024"/>
  <sheetViews>
    <sheetView showFormulas="0" showGridLines="1" showRowColHeaders="1" showZeros="1" rightToLeft="0" tabSelected="0" showOutlineSymbols="1" defaultGridColor="1" view="normal" topLeftCell="A10" colorId="64" zoomScale="100" zoomScaleNormal="100" zoomScalePageLayoutView="100" workbookViewId="0">
      <selection pane="topLeft" activeCell="H24" activeCellId="0" sqref="H24"/>
    </sheetView>
  </sheetViews>
  <sheetFormatPr baseColWidth="8" defaultColWidth="9.0546875" defaultRowHeight="12.5" zeroHeight="0" outlineLevelRow="0"/>
  <cols>
    <col width="3.17" customWidth="1" style="287" min="1" max="1"/>
    <col width="40.72" customWidth="1" style="188" min="2" max="2"/>
    <col width="12.17" customWidth="1" style="293" min="3" max="3"/>
    <col width="9.17" customWidth="1" style="293" min="4" max="5"/>
    <col width="11.72" customWidth="1" style="293" min="6" max="7"/>
    <col width="25.81" customWidth="1" style="188" min="8" max="8"/>
  </cols>
  <sheetData>
    <row r="1" ht="15.5" customHeight="1" s="189">
      <c r="A1" s="243" t="inlineStr">
        <is>
          <t>Action Items</t>
        </is>
      </c>
      <c r="B1" s="213" t="n"/>
      <c r="C1" s="213" t="n"/>
      <c r="D1" s="213" t="n"/>
      <c r="E1" s="213" t="n"/>
      <c r="F1" s="213" t="n"/>
      <c r="G1" s="213" t="n"/>
      <c r="H1" s="214" t="n"/>
    </row>
    <row r="2" ht="13" customHeight="1" s="189">
      <c r="A2" s="266" t="inlineStr">
        <is>
          <t>Project</t>
        </is>
      </c>
      <c r="B2" s="214" t="n"/>
      <c r="C2" s="294">
        <f>Data!B1</f>
        <v/>
      </c>
      <c r="D2" s="213" t="n"/>
      <c r="E2" s="214" t="n"/>
      <c r="F2" s="266" t="inlineStr">
        <is>
          <t>Project #</t>
        </is>
      </c>
      <c r="G2" s="294">
        <f>Data!B2</f>
        <v/>
      </c>
      <c r="H2" s="214" t="n"/>
    </row>
    <row r="3" ht="13" customHeight="1" s="189">
      <c r="A3" s="266" t="inlineStr">
        <is>
          <t>Project manager</t>
        </is>
      </c>
      <c r="B3" s="214" t="n"/>
      <c r="C3" s="294">
        <f>Data!B3</f>
        <v/>
      </c>
      <c r="D3" s="213" t="n"/>
      <c r="E3" s="214" t="n"/>
      <c r="F3" s="266" t="inlineStr">
        <is>
          <t>Sponsor</t>
        </is>
      </c>
      <c r="G3" s="294">
        <f>Data!B4</f>
        <v/>
      </c>
      <c r="H3" s="214" t="n"/>
    </row>
    <row r="4" ht="13" customHeight="1" s="189">
      <c r="A4" s="266" t="inlineStr">
        <is>
          <t>Project artifacts</t>
        </is>
      </c>
      <c r="B4" s="214" t="n"/>
      <c r="C4" s="294">
        <f>Data!B5</f>
        <v/>
      </c>
      <c r="D4" s="213" t="n"/>
      <c r="E4" s="214" t="n"/>
      <c r="F4" s="266" t="inlineStr">
        <is>
          <t>Updated</t>
        </is>
      </c>
      <c r="G4" s="294">
        <f>Data!B6</f>
        <v/>
      </c>
      <c r="H4" s="214" t="n"/>
    </row>
    <row r="5" ht="12.5" customHeight="1" s="189">
      <c r="A5" s="288" t="n"/>
      <c r="B5" s="213" t="n"/>
      <c r="C5" s="213" t="n"/>
      <c r="D5" s="213" t="n"/>
      <c r="E5" s="213" t="n"/>
      <c r="F5" s="213" t="n"/>
      <c r="G5" s="213" t="n"/>
      <c r="H5" s="214" t="n"/>
    </row>
    <row r="6" ht="61.5" customHeight="1" s="189">
      <c r="A6" s="281" t="inlineStr">
        <is>
          <t>ID</t>
        </is>
      </c>
      <c r="B6" s="281" t="inlineStr">
        <is>
          <t>Action Item</t>
        </is>
      </c>
      <c r="C6" s="281" t="inlineStr">
        <is>
          <t>Owner</t>
        </is>
      </c>
      <c r="D6" s="281" t="inlineStr">
        <is>
          <t xml:space="preserve">Status </t>
        </is>
      </c>
      <c r="E6" s="281" t="inlineStr">
        <is>
          <t>Date Entered</t>
        </is>
      </c>
      <c r="F6" s="281" t="inlineStr">
        <is>
          <t>Planned Completion</t>
        </is>
      </c>
      <c r="G6" s="281" t="inlineStr">
        <is>
          <t>Actual Completion</t>
        </is>
      </c>
      <c r="H6" s="281" t="inlineStr">
        <is>
          <t>Comments</t>
        </is>
      </c>
    </row>
    <row r="7" ht="24.75" customHeight="1" s="189">
      <c r="A7" s="272" t="n">
        <v>1</v>
      </c>
      <c r="B7" s="200" t="inlineStr">
        <is>
          <t>Define project scope and deliverables</t>
        </is>
      </c>
      <c r="C7" s="284" t="inlineStr">
        <is>
          <t>Mohammedreda El aroui</t>
        </is>
      </c>
      <c r="D7" s="272" t="inlineStr">
        <is>
          <t>Completed</t>
        </is>
      </c>
      <c r="E7" s="272" t="inlineStr">
        <is>
          <t>2026-01-15</t>
        </is>
      </c>
      <c r="F7" s="272" t="inlineStr">
        <is>
          <t>2026-01-20</t>
        </is>
      </c>
      <c r="G7" s="272" t="inlineStr">
        <is>
          <t>2026-01-20</t>
        </is>
      </c>
      <c r="H7" s="200" t="inlineStr">
        <is>
          <t>Approved by sponsor</t>
        </is>
      </c>
    </row>
    <row r="8" ht="21.75" customHeight="1" s="189">
      <c r="A8" s="272" t="n">
        <v>2</v>
      </c>
      <c r="B8" s="200" t="inlineStr">
        <is>
          <t>Set up development environment</t>
        </is>
      </c>
      <c r="C8" s="272" t="inlineStr">
        <is>
          <t>Dev Lead</t>
        </is>
      </c>
      <c r="D8" s="272" t="inlineStr">
        <is>
          <t>Completed</t>
        </is>
      </c>
      <c r="E8" s="272" t="inlineStr">
        <is>
          <t>2026-01-20</t>
        </is>
      </c>
      <c r="F8" s="272" t="inlineStr">
        <is>
          <t>2026-01-25</t>
        </is>
      </c>
      <c r="G8" s="272" t="inlineStr">
        <is>
          <t>2026-01-24</t>
        </is>
      </c>
      <c r="H8" s="200" t="inlineStr"/>
    </row>
    <row r="9" ht="21.75" customHeight="1" s="189">
      <c r="A9" s="272" t="n">
        <v>3</v>
      </c>
      <c r="B9" s="200" t="inlineStr">
        <is>
          <t>Research scanning libraries and tools</t>
        </is>
      </c>
      <c r="C9" s="272" t="inlineStr">
        <is>
          <t>Dev Lead</t>
        </is>
      </c>
      <c r="D9" s="272" t="inlineStr">
        <is>
          <t>Completed</t>
        </is>
      </c>
      <c r="E9" s="272" t="inlineStr">
        <is>
          <t>2026-01-25</t>
        </is>
      </c>
      <c r="F9" s="272" t="inlineStr">
        <is>
          <t>2026-02-01</t>
        </is>
      </c>
      <c r="G9" s="272" t="inlineStr">
        <is>
          <t>2026-02-01</t>
        </is>
      </c>
      <c r="H9" s="200" t="inlineStr">
        <is>
          <t>Selected nmap, bandit, zxcvbn</t>
        </is>
      </c>
    </row>
    <row r="10" ht="23.25" customHeight="1" s="189">
      <c r="A10" s="272" t="n">
        <v>4</v>
      </c>
      <c r="B10" s="200" t="inlineStr">
        <is>
          <t>Develop port scanning module</t>
        </is>
      </c>
      <c r="C10" s="272" t="inlineStr">
        <is>
          <t>Dev Team</t>
        </is>
      </c>
      <c r="D10" s="272" t="inlineStr">
        <is>
          <t>In Progress</t>
        </is>
      </c>
      <c r="E10" s="272" t="inlineStr">
        <is>
          <t>2026-02-01</t>
        </is>
      </c>
      <c r="F10" s="272" t="inlineStr">
        <is>
          <t>2026-02-20</t>
        </is>
      </c>
      <c r="G10" s="272" t="inlineStr"/>
      <c r="H10" s="200" t="inlineStr"/>
    </row>
    <row r="11" ht="21.75" customHeight="1" s="189">
      <c r="A11" s="272" t="n">
        <v>5</v>
      </c>
      <c r="B11" s="200" t="inlineStr">
        <is>
          <t>Develop password strength evaluator</t>
        </is>
      </c>
      <c r="C11" s="272" t="inlineStr">
        <is>
          <t>Dev Team</t>
        </is>
      </c>
      <c r="D11" s="272" t="inlineStr">
        <is>
          <t>In Progress</t>
        </is>
      </c>
      <c r="E11" s="272" t="inlineStr">
        <is>
          <t>2026-02-01</t>
        </is>
      </c>
      <c r="F11" s="272" t="inlineStr">
        <is>
          <t>2026-02-20</t>
        </is>
      </c>
      <c r="G11" s="272" t="inlineStr"/>
      <c r="H11" s="200" t="inlineStr"/>
    </row>
    <row r="12" ht="21.75" customHeight="1" s="189">
      <c r="A12" s="272" t="n">
        <v>6</v>
      </c>
      <c r="B12" s="200" t="inlineStr">
        <is>
          <t>Design risk scoring algorithm</t>
        </is>
      </c>
      <c r="C12" s="272" t="inlineStr">
        <is>
          <t>Dev Lead</t>
        </is>
      </c>
      <c r="D12" s="272" t="inlineStr">
        <is>
          <t>Not Started</t>
        </is>
      </c>
      <c r="E12" s="272" t="inlineStr">
        <is>
          <t>2026-02-10</t>
        </is>
      </c>
      <c r="F12" s="272" t="inlineStr">
        <is>
          <t>2026-02-28</t>
        </is>
      </c>
      <c r="G12" s="272" t="inlineStr"/>
      <c r="H12" s="200" t="inlineStr"/>
    </row>
    <row r="13" ht="21.75" customHeight="1" s="189">
      <c r="A13" s="272" t="n">
        <v>7</v>
      </c>
      <c r="B13" s="200" t="inlineStr">
        <is>
          <t>Create dashboard/report UI</t>
        </is>
      </c>
      <c r="C13" s="272" t="inlineStr">
        <is>
          <t>Dev Team</t>
        </is>
      </c>
      <c r="D13" s="272" t="inlineStr">
        <is>
          <t>Not Started</t>
        </is>
      </c>
      <c r="E13" s="272" t="inlineStr">
        <is>
          <t>2026-02-15</t>
        </is>
      </c>
      <c r="F13" s="272" t="inlineStr">
        <is>
          <t>2026-03-15</t>
        </is>
      </c>
      <c r="G13" s="272" t="inlineStr"/>
      <c r="H13" s="200" t="inlineStr"/>
    </row>
    <row r="14" ht="21.75" customHeight="1" s="189">
      <c r="A14" s="272" t="n">
        <v>8</v>
      </c>
      <c r="B14" s="200" t="inlineStr">
        <is>
          <t>Conduct internal QA testing</t>
        </is>
      </c>
      <c r="C14" s="272" t="inlineStr">
        <is>
          <t>QA Team</t>
        </is>
      </c>
      <c r="D14" s="272" t="inlineStr">
        <is>
          <t>Not Started</t>
        </is>
      </c>
      <c r="E14" s="272" t="inlineStr">
        <is>
          <t>2026-03-15</t>
        </is>
      </c>
      <c r="F14" s="272" t="inlineStr">
        <is>
          <t>2026-03-30</t>
        </is>
      </c>
      <c r="G14" s="272" t="inlineStr"/>
      <c r="H14" s="200" t="inlineStr"/>
    </row>
    <row r="15" ht="21.75" customHeight="1" s="189">
      <c r="A15" s="272" t="n">
        <v>9</v>
      </c>
      <c r="B15" s="200" t="inlineStr">
        <is>
          <t>Conduct beta user testing</t>
        </is>
      </c>
      <c r="C15" s="272" t="inlineStr">
        <is>
          <t>QA Team</t>
        </is>
      </c>
      <c r="D15" s="272" t="inlineStr">
        <is>
          <t>Not Started</t>
        </is>
      </c>
      <c r="E15" s="272" t="inlineStr">
        <is>
          <t>2026-04-01</t>
        </is>
      </c>
      <c r="F15" s="272" t="inlineStr">
        <is>
          <t>2026-04-15</t>
        </is>
      </c>
      <c r="G15" s="272" t="inlineStr"/>
      <c r="H15" s="200" t="inlineStr"/>
    </row>
    <row r="16" ht="21.75" customHeight="1" s="189">
      <c r="A16" s="272" t="n">
        <v>10</v>
      </c>
      <c r="B16" s="200" t="inlineStr">
        <is>
          <t>Legal/privacy compliance review</t>
        </is>
      </c>
      <c r="C16" s="272" t="inlineStr">
        <is>
          <t>Data Privacy Officer</t>
        </is>
      </c>
      <c r="D16" s="272" t="inlineStr">
        <is>
          <t>Not Started</t>
        </is>
      </c>
      <c r="E16" s="272" t="inlineStr">
        <is>
          <t>2026-03-01</t>
        </is>
      </c>
      <c r="F16" s="272" t="inlineStr">
        <is>
          <t>2026-03-20</t>
        </is>
      </c>
      <c r="G16" s="272" t="inlineStr"/>
      <c r="H16" s="200" t="inlineStr"/>
    </row>
    <row r="17" ht="21.75" customHeight="1" s="189">
      <c r="A17" s="272" t="n">
        <v>11</v>
      </c>
      <c r="B17" s="200" t="n"/>
      <c r="C17" s="272" t="n"/>
      <c r="D17" s="272" t="n"/>
      <c r="E17" s="272" t="n"/>
      <c r="F17" s="272" t="n"/>
      <c r="G17" s="272" t="n"/>
      <c r="H17" s="200" t="n"/>
    </row>
    <row r="18" ht="21.75" customHeight="1" s="189">
      <c r="A18" s="272" t="n">
        <v>12</v>
      </c>
      <c r="B18" s="200" t="n"/>
      <c r="C18" s="272" t="n"/>
      <c r="D18" s="272" t="n"/>
      <c r="E18" s="272" t="n"/>
      <c r="F18" s="272" t="n"/>
      <c r="G18" s="272" t="n"/>
      <c r="H18" s="200" t="n"/>
    </row>
    <row r="19" ht="26.25" customHeight="1" s="189">
      <c r="A19" s="272" t="n">
        <v>13</v>
      </c>
      <c r="B19" s="200" t="n"/>
      <c r="C19" s="272" t="n"/>
      <c r="D19" s="272" t="n"/>
      <c r="E19" s="272" t="n"/>
      <c r="F19" s="272" t="n"/>
      <c r="G19" s="272" t="n"/>
      <c r="H19" s="200" t="n"/>
    </row>
    <row r="20" ht="21.75" customHeight="1" s="189">
      <c r="A20" s="272" t="n">
        <v>14</v>
      </c>
      <c r="B20" s="200" t="n"/>
      <c r="C20" s="272" t="n"/>
      <c r="D20" s="272" t="n"/>
      <c r="E20" s="272" t="n"/>
      <c r="F20" s="272" t="n"/>
      <c r="G20" s="272" t="n"/>
      <c r="H20" s="200" t="n"/>
    </row>
    <row r="21" ht="21.75" customHeight="1" s="189">
      <c r="A21" s="272" t="n">
        <v>15</v>
      </c>
      <c r="B21" s="200" t="n"/>
      <c r="C21" s="272" t="n"/>
      <c r="D21" s="272" t="n"/>
      <c r="E21" s="272" t="n"/>
      <c r="F21" s="272" t="n"/>
      <c r="G21" s="272" t="n"/>
      <c r="H21" s="200" t="n"/>
    </row>
    <row r="22" ht="21.75" customHeight="1" s="189">
      <c r="A22" s="272" t="n"/>
      <c r="B22" s="200" t="n"/>
      <c r="C22" s="272" t="n"/>
      <c r="D22" s="272" t="n"/>
      <c r="E22" s="272" t="n"/>
      <c r="F22" s="272" t="n"/>
      <c r="G22" s="272" t="n"/>
      <c r="H22" s="200" t="n"/>
    </row>
    <row r="23" ht="21.75" customHeight="1" s="189">
      <c r="A23" s="289" t="n"/>
      <c r="B23" s="203" t="n"/>
      <c r="C23" s="289" t="n"/>
      <c r="D23" s="289" t="n"/>
      <c r="E23" s="289" t="n"/>
      <c r="F23" s="289" t="n"/>
      <c r="G23" s="289" t="n"/>
      <c r="H23" s="203" t="n"/>
    </row>
    <row r="24" ht="13" customHeight="1" s="189">
      <c r="A24" s="289" t="n"/>
      <c r="B24" s="203" t="n"/>
      <c r="C24" s="289" t="n"/>
      <c r="D24" s="289" t="n"/>
      <c r="E24" s="289" t="n"/>
      <c r="F24" s="289" t="n"/>
      <c r="G24" s="289" t="n"/>
      <c r="H24" s="201" t="inlineStr">
        <is>
          <t>© Global Knowledge Training LLC</t>
        </is>
      </c>
    </row>
    <row r="25" ht="21.75" customHeight="1" s="189">
      <c r="A25" s="289" t="n"/>
      <c r="B25" s="203" t="n"/>
      <c r="C25" s="289" t="n"/>
      <c r="D25" s="289" t="n"/>
      <c r="E25" s="289" t="n"/>
      <c r="F25" s="289" t="n"/>
      <c r="G25" s="289" t="n"/>
      <c r="H25" s="203" t="n"/>
    </row>
    <row r="26" ht="21.75" customHeight="1" s="189">
      <c r="A26" s="289" t="n"/>
      <c r="B26" s="203" t="n"/>
      <c r="C26" s="289" t="n"/>
      <c r="D26" s="289" t="n"/>
      <c r="E26" s="289" t="n"/>
      <c r="F26" s="289" t="n"/>
      <c r="G26" s="289" t="n"/>
      <c r="H26" s="203" t="n"/>
    </row>
    <row r="27" ht="13" customHeight="1" s="189">
      <c r="A27" s="289" t="n"/>
      <c r="B27" s="203" t="n"/>
      <c r="C27" s="289" t="n"/>
      <c r="D27" s="289" t="n"/>
      <c r="E27" s="289" t="n"/>
      <c r="F27" s="289" t="n"/>
      <c r="G27" s="289" t="n"/>
      <c r="H27" s="203" t="n"/>
    </row>
    <row r="28" ht="13" customHeight="1" s="189">
      <c r="A28" s="289" t="n"/>
      <c r="B28" s="203" t="n"/>
      <c r="C28" s="289" t="n"/>
      <c r="D28" s="289" t="n"/>
      <c r="E28" s="289" t="n"/>
      <c r="F28" s="289" t="n"/>
      <c r="G28" s="289" t="n"/>
      <c r="H28" s="203" t="n"/>
    </row>
    <row r="29" ht="13" customHeight="1" s="189">
      <c r="A29" s="289" t="n"/>
      <c r="B29" s="203" t="n"/>
      <c r="C29" s="289" t="n"/>
      <c r="D29" s="289" t="n"/>
      <c r="E29" s="289" t="n"/>
      <c r="F29" s="289" t="n"/>
      <c r="G29" s="289" t="n"/>
      <c r="H29" s="203" t="n"/>
    </row>
    <row r="30" ht="13" customHeight="1" s="189">
      <c r="A30" s="289" t="n"/>
      <c r="B30" s="203" t="n"/>
      <c r="C30" s="289" t="n"/>
      <c r="D30" s="289" t="n"/>
      <c r="E30" s="289" t="n"/>
      <c r="F30" s="289" t="n"/>
      <c r="G30" s="289" t="n"/>
      <c r="H30" s="203" t="n"/>
    </row>
    <row r="31" ht="13" customHeight="1" s="189">
      <c r="A31" s="289" t="n"/>
      <c r="B31" s="203" t="n"/>
      <c r="C31" s="289" t="n"/>
      <c r="D31" s="289" t="n"/>
      <c r="E31" s="289" t="n"/>
      <c r="F31" s="289" t="n"/>
      <c r="G31" s="289" t="n"/>
      <c r="H31" s="203" t="n"/>
    </row>
    <row r="32" ht="13" customHeight="1" s="189">
      <c r="A32" s="289" t="n"/>
      <c r="B32" s="203" t="n"/>
      <c r="C32" s="289" t="n"/>
      <c r="D32" s="289" t="n"/>
      <c r="E32" s="289" t="n"/>
      <c r="F32" s="289" t="n"/>
      <c r="G32" s="289" t="n"/>
      <c r="H32" s="203" t="n"/>
    </row>
    <row r="33" ht="13" customHeight="1" s="189">
      <c r="A33" s="289" t="n"/>
      <c r="B33" s="203" t="n"/>
      <c r="C33" s="289" t="n"/>
      <c r="D33" s="289" t="n"/>
      <c r="E33" s="289" t="n"/>
      <c r="F33" s="289" t="n"/>
      <c r="G33" s="289" t="n"/>
      <c r="H33" s="203" t="n"/>
    </row>
    <row r="34" ht="13" customHeight="1" s="189">
      <c r="A34" s="289" t="n"/>
      <c r="B34" s="203" t="n"/>
      <c r="C34" s="289" t="n"/>
      <c r="D34" s="289" t="n"/>
      <c r="E34" s="289" t="n"/>
      <c r="F34" s="289" t="n"/>
      <c r="G34" s="289" t="n"/>
      <c r="H34" s="203" t="n"/>
    </row>
    <row r="35" ht="13" customHeight="1" s="189">
      <c r="A35" s="289" t="n"/>
      <c r="B35" s="203" t="n"/>
      <c r="C35" s="289" t="n"/>
      <c r="D35" s="289" t="n"/>
      <c r="E35" s="289" t="n"/>
      <c r="F35" s="289" t="n"/>
      <c r="G35" s="289" t="n"/>
      <c r="H35" s="203" t="n"/>
    </row>
    <row r="36" ht="13" customHeight="1" s="189">
      <c r="A36" s="289" t="n"/>
      <c r="B36" s="203" t="n"/>
      <c r="C36" s="289" t="n"/>
      <c r="D36" s="289" t="n"/>
      <c r="E36" s="289" t="n"/>
      <c r="F36" s="289" t="n"/>
      <c r="G36" s="289" t="n"/>
      <c r="H36" s="203" t="n"/>
    </row>
    <row r="37" ht="13" customHeight="1" s="189">
      <c r="A37" s="289" t="n"/>
      <c r="B37" s="203" t="n"/>
      <c r="C37" s="289" t="n"/>
      <c r="D37" s="289" t="n"/>
      <c r="E37" s="289" t="n"/>
      <c r="F37" s="289" t="n"/>
      <c r="G37" s="289" t="n"/>
      <c r="H37" s="203" t="n"/>
    </row>
    <row r="38" ht="13" customHeight="1" s="189">
      <c r="A38" s="289" t="n"/>
      <c r="B38" s="203" t="n"/>
      <c r="C38" s="289" t="n"/>
      <c r="D38" s="289" t="n"/>
      <c r="E38" s="289" t="n"/>
      <c r="F38" s="289" t="n"/>
      <c r="G38" s="289" t="n"/>
      <c r="H38" s="203" t="n"/>
    </row>
    <row r="39" ht="13" customHeight="1" s="189">
      <c r="A39" s="289" t="n"/>
      <c r="B39" s="203" t="n"/>
      <c r="C39" s="289" t="n"/>
      <c r="D39" s="289" t="n"/>
      <c r="E39" s="289" t="n"/>
      <c r="F39" s="289" t="n"/>
      <c r="G39" s="289" t="n"/>
      <c r="H39" s="203" t="n"/>
    </row>
    <row r="40" ht="13" customHeight="1" s="189">
      <c r="A40" s="289" t="n"/>
      <c r="B40" s="203" t="n"/>
      <c r="C40" s="289" t="n"/>
      <c r="D40" s="289" t="n"/>
      <c r="E40" s="289" t="n"/>
      <c r="F40" s="289" t="n"/>
      <c r="G40" s="289" t="n"/>
      <c r="H40" s="203" t="n"/>
    </row>
    <row r="41" ht="13" customHeight="1" s="189">
      <c r="A41" s="289" t="n"/>
      <c r="B41" s="203" t="n"/>
      <c r="C41" s="289" t="n"/>
      <c r="D41" s="289" t="n"/>
      <c r="E41" s="289" t="n"/>
      <c r="F41" s="289" t="n"/>
      <c r="G41" s="289" t="n"/>
      <c r="H41" s="203" t="n"/>
    </row>
    <row r="42" ht="13" customHeight="1" s="189">
      <c r="A42" s="289" t="n"/>
      <c r="B42" s="203" t="n"/>
      <c r="C42" s="289" t="n"/>
      <c r="D42" s="289" t="n"/>
      <c r="E42" s="289" t="n"/>
      <c r="F42" s="289" t="n"/>
      <c r="G42" s="289" t="n"/>
      <c r="H42" s="203" t="n"/>
    </row>
    <row r="43" ht="13" customHeight="1" s="189">
      <c r="A43" s="289" t="n"/>
      <c r="B43" s="203" t="n"/>
      <c r="C43" s="289" t="n"/>
      <c r="D43" s="289" t="n"/>
      <c r="E43" s="289" t="n"/>
      <c r="F43" s="289" t="n"/>
      <c r="G43" s="289" t="n"/>
      <c r="H43" s="203" t="n"/>
    </row>
    <row r="44" ht="13" customHeight="1" s="189">
      <c r="A44" s="289" t="n"/>
      <c r="B44" s="203" t="n"/>
      <c r="C44" s="289" t="n"/>
      <c r="D44" s="289" t="n"/>
      <c r="E44" s="289" t="n"/>
      <c r="F44" s="289" t="n"/>
      <c r="G44" s="289" t="n"/>
      <c r="H44" s="203" t="n"/>
    </row>
    <row r="45" ht="13" customHeight="1" s="189">
      <c r="A45" s="289" t="n"/>
      <c r="B45" s="203" t="n"/>
      <c r="C45" s="289" t="n"/>
      <c r="D45" s="289" t="n"/>
      <c r="E45" s="289" t="n"/>
      <c r="F45" s="289" t="n"/>
      <c r="G45" s="289" t="n"/>
      <c r="H45" s="203" t="n"/>
    </row>
    <row r="46" ht="13" customHeight="1" s="189">
      <c r="A46" s="289" t="n"/>
      <c r="B46" s="203" t="n"/>
      <c r="C46" s="289" t="n"/>
      <c r="D46" s="289" t="n"/>
      <c r="E46" s="289" t="n"/>
      <c r="F46" s="289" t="n"/>
      <c r="G46" s="289" t="n"/>
      <c r="H46" s="203" t="n"/>
    </row>
    <row r="47" ht="13" customHeight="1" s="189">
      <c r="A47" s="289" t="n"/>
      <c r="B47" s="203" t="n"/>
      <c r="C47" s="289" t="n"/>
      <c r="D47" s="289" t="n"/>
      <c r="E47" s="289" t="n"/>
      <c r="F47" s="289" t="n"/>
      <c r="G47" s="289" t="n"/>
      <c r="H47" s="203" t="n"/>
    </row>
    <row r="48" ht="13" customHeight="1" s="189">
      <c r="A48" s="289" t="n"/>
      <c r="B48" s="203" t="n"/>
      <c r="C48" s="289" t="n"/>
      <c r="D48" s="289" t="n"/>
      <c r="E48" s="289" t="n"/>
      <c r="F48" s="289" t="n"/>
      <c r="G48" s="289" t="n"/>
      <c r="H48" s="203" t="n"/>
    </row>
    <row r="49" ht="13" customHeight="1" s="189">
      <c r="A49" s="289" t="n"/>
      <c r="B49" s="203" t="n"/>
      <c r="C49" s="289" t="n"/>
      <c r="D49" s="289" t="n"/>
      <c r="E49" s="289" t="n"/>
      <c r="F49" s="289" t="n"/>
      <c r="G49" s="289" t="n"/>
      <c r="H49" s="203" t="n"/>
    </row>
    <row r="50" ht="13" customHeight="1" s="189">
      <c r="A50" s="289" t="n"/>
      <c r="B50" s="203" t="n"/>
      <c r="C50" s="289" t="n"/>
      <c r="D50" s="289" t="n"/>
      <c r="E50" s="289" t="n"/>
      <c r="F50" s="289" t="n"/>
      <c r="G50" s="289" t="n"/>
      <c r="H50" s="203" t="n"/>
    </row>
    <row r="51" ht="13" customHeight="1" s="189">
      <c r="A51" s="289" t="n"/>
      <c r="B51" s="203" t="n"/>
      <c r="C51" s="289" t="n"/>
      <c r="D51" s="289" t="n"/>
      <c r="E51" s="289" t="n"/>
      <c r="F51" s="289" t="n"/>
      <c r="G51" s="289" t="n"/>
      <c r="H51" s="203" t="n"/>
    </row>
    <row r="52" ht="13" customHeight="1" s="189">
      <c r="A52" s="289" t="n"/>
      <c r="B52" s="203" t="n"/>
      <c r="C52" s="289" t="n"/>
      <c r="D52" s="289" t="n"/>
      <c r="E52" s="289" t="n"/>
      <c r="F52" s="289" t="n"/>
      <c r="G52" s="289" t="n"/>
      <c r="H52" s="203" t="n"/>
    </row>
    <row r="53" ht="13" customHeight="1" s="189">
      <c r="A53" s="289" t="n"/>
      <c r="B53" s="203" t="n"/>
      <c r="C53" s="289" t="n"/>
      <c r="D53" s="289" t="n"/>
      <c r="E53" s="289" t="n"/>
      <c r="F53" s="289" t="n"/>
      <c r="G53" s="289" t="n"/>
      <c r="H53" s="203" t="n"/>
    </row>
    <row r="54" ht="13" customHeight="1" s="189">
      <c r="A54" s="289" t="n"/>
      <c r="B54" s="203" t="n"/>
      <c r="C54" s="289" t="n"/>
      <c r="D54" s="289" t="n"/>
      <c r="E54" s="289" t="n"/>
      <c r="F54" s="289" t="n"/>
      <c r="G54" s="289" t="n"/>
      <c r="H54" s="203" t="n"/>
    </row>
    <row r="55" ht="13" customHeight="1" s="189">
      <c r="A55" s="289" t="n"/>
      <c r="B55" s="203" t="n"/>
      <c r="C55" s="289" t="n"/>
      <c r="D55" s="289" t="n"/>
      <c r="E55" s="289" t="n"/>
      <c r="F55" s="289" t="n"/>
      <c r="G55" s="289" t="n"/>
      <c r="H55" s="203" t="n"/>
    </row>
    <row r="56" ht="13" customHeight="1" s="189">
      <c r="A56" s="289" t="n"/>
      <c r="B56" s="203" t="n"/>
      <c r="C56" s="289" t="n"/>
      <c r="D56" s="289" t="n"/>
      <c r="E56" s="289" t="n"/>
      <c r="F56" s="289" t="n"/>
      <c r="G56" s="289" t="n"/>
      <c r="H56" s="203" t="n"/>
    </row>
    <row r="57" ht="13" customHeight="1" s="189">
      <c r="A57" s="289" t="n"/>
      <c r="B57" s="203" t="n"/>
      <c r="C57" s="289" t="n"/>
      <c r="D57" s="289" t="n"/>
      <c r="E57" s="289" t="n"/>
      <c r="F57" s="289" t="n"/>
      <c r="G57" s="289" t="n"/>
      <c r="H57" s="203" t="n"/>
    </row>
    <row r="58" ht="13" customHeight="1" s="189">
      <c r="A58" s="289" t="n"/>
      <c r="B58" s="203" t="n"/>
      <c r="C58" s="289" t="n"/>
      <c r="D58" s="289" t="n"/>
      <c r="E58" s="289" t="n"/>
      <c r="F58" s="289" t="n"/>
      <c r="G58" s="289" t="n"/>
      <c r="H58" s="203" t="n"/>
    </row>
    <row r="59" ht="13" customHeight="1" s="189">
      <c r="A59" s="289" t="n"/>
      <c r="B59" s="203" t="n"/>
      <c r="C59" s="289" t="n"/>
      <c r="D59" s="289" t="n"/>
      <c r="E59" s="289" t="n"/>
      <c r="F59" s="289" t="n"/>
      <c r="G59" s="289" t="n"/>
      <c r="H59" s="203" t="n"/>
    </row>
    <row r="60" ht="13" customHeight="1" s="189">
      <c r="A60" s="289" t="n"/>
      <c r="B60" s="203" t="n"/>
      <c r="C60" s="289" t="n"/>
      <c r="D60" s="289" t="n"/>
      <c r="E60" s="289" t="n"/>
      <c r="F60" s="289" t="n"/>
      <c r="G60" s="289" t="n"/>
      <c r="H60" s="203" t="n"/>
    </row>
    <row r="61" ht="13" customHeight="1" s="189">
      <c r="A61" s="289" t="n"/>
      <c r="B61" s="203" t="n"/>
      <c r="C61" s="289" t="n"/>
      <c r="D61" s="289" t="n"/>
      <c r="E61" s="289" t="n"/>
      <c r="F61" s="289" t="n"/>
      <c r="G61" s="289" t="n"/>
      <c r="H61" s="203" t="n"/>
    </row>
    <row r="62" ht="13" customHeight="1" s="189">
      <c r="A62" s="289" t="n"/>
      <c r="B62" s="203" t="n"/>
      <c r="C62" s="289" t="n"/>
      <c r="D62" s="289" t="n"/>
      <c r="E62" s="289" t="n"/>
      <c r="F62" s="289" t="n"/>
      <c r="G62" s="289" t="n"/>
      <c r="H62" s="203" t="n"/>
    </row>
    <row r="63" ht="13" customHeight="1" s="189">
      <c r="A63" s="289" t="n"/>
      <c r="B63" s="203" t="n"/>
      <c r="C63" s="289" t="n"/>
      <c r="D63" s="289" t="n"/>
      <c r="E63" s="289" t="n"/>
      <c r="F63" s="289" t="n"/>
      <c r="G63" s="289" t="n"/>
      <c r="H63" s="203" t="n"/>
    </row>
    <row r="64" ht="13" customHeight="1" s="189">
      <c r="A64" s="289" t="n"/>
      <c r="B64" s="203" t="n"/>
      <c r="C64" s="289" t="n"/>
      <c r="D64" s="289" t="n"/>
      <c r="E64" s="289" t="n"/>
      <c r="F64" s="289" t="n"/>
      <c r="G64" s="289" t="n"/>
      <c r="H64" s="203" t="n"/>
    </row>
    <row r="65" ht="13" customHeight="1" s="189">
      <c r="A65" s="289" t="n"/>
      <c r="B65" s="203" t="n"/>
      <c r="C65" s="289" t="n"/>
      <c r="D65" s="289" t="n"/>
      <c r="E65" s="289" t="n"/>
      <c r="F65" s="289" t="n"/>
      <c r="G65" s="289" t="n"/>
      <c r="H65" s="203" t="n"/>
    </row>
    <row r="66" ht="13" customHeight="1" s="189">
      <c r="A66" s="289" t="n"/>
      <c r="B66" s="203" t="n"/>
      <c r="C66" s="289" t="n"/>
      <c r="D66" s="289" t="n"/>
      <c r="E66" s="289" t="n"/>
      <c r="F66" s="289" t="n"/>
      <c r="G66" s="289" t="n"/>
      <c r="H66" s="203" t="n"/>
    </row>
    <row r="67" ht="13" customHeight="1" s="189">
      <c r="A67" s="289" t="n"/>
      <c r="B67" s="203" t="n"/>
      <c r="C67" s="289" t="n"/>
      <c r="D67" s="289" t="n"/>
      <c r="E67" s="289" t="n"/>
      <c r="F67" s="289" t="n"/>
      <c r="G67" s="289" t="n"/>
      <c r="H67" s="203" t="n"/>
    </row>
    <row r="68" ht="13" customHeight="1" s="189">
      <c r="A68" s="289" t="n"/>
      <c r="B68" s="203" t="n"/>
      <c r="C68" s="289" t="n"/>
      <c r="D68" s="289" t="n"/>
      <c r="E68" s="289" t="n"/>
      <c r="F68" s="289" t="n"/>
      <c r="G68" s="289" t="n"/>
      <c r="H68" s="203" t="n"/>
    </row>
    <row r="69" ht="13" customHeight="1" s="189">
      <c r="A69" s="289" t="n"/>
      <c r="B69" s="203" t="n"/>
      <c r="C69" s="289" t="n"/>
      <c r="D69" s="289" t="n"/>
      <c r="E69" s="289" t="n"/>
      <c r="F69" s="289" t="n"/>
      <c r="G69" s="289" t="n"/>
      <c r="H69" s="203" t="n"/>
    </row>
    <row r="70" ht="13" customHeight="1" s="189">
      <c r="A70" s="289" t="n"/>
      <c r="B70" s="203" t="n"/>
      <c r="C70" s="289" t="n"/>
      <c r="D70" s="289" t="n"/>
      <c r="E70" s="289" t="n"/>
      <c r="F70" s="289" t="n"/>
      <c r="G70" s="289" t="n"/>
      <c r="H70" s="203" t="n"/>
    </row>
    <row r="71" ht="13" customHeight="1" s="189">
      <c r="A71" s="289" t="n"/>
      <c r="B71" s="203" t="n"/>
      <c r="C71" s="289" t="n"/>
      <c r="D71" s="289" t="n"/>
      <c r="E71" s="289" t="n"/>
      <c r="F71" s="289" t="n"/>
      <c r="G71" s="289" t="n"/>
      <c r="H71" s="203" t="n"/>
    </row>
    <row r="72" ht="13" customHeight="1" s="189">
      <c r="A72" s="289" t="n"/>
      <c r="B72" s="203" t="n"/>
      <c r="C72" s="289" t="n"/>
      <c r="D72" s="289" t="n"/>
      <c r="E72" s="289" t="n"/>
      <c r="F72" s="289" t="n"/>
      <c r="G72" s="289" t="n"/>
      <c r="H72" s="203" t="n"/>
    </row>
    <row r="73" ht="13" customHeight="1" s="189">
      <c r="A73" s="289" t="n"/>
      <c r="B73" s="203" t="n"/>
      <c r="C73" s="289" t="n"/>
      <c r="D73" s="289" t="n"/>
      <c r="E73" s="289" t="n"/>
      <c r="F73" s="289" t="n"/>
      <c r="G73" s="289" t="n"/>
      <c r="H73" s="203" t="n"/>
    </row>
    <row r="74" ht="13" customHeight="1" s="189">
      <c r="A74" s="289" t="n"/>
      <c r="B74" s="203" t="n"/>
      <c r="C74" s="289" t="n"/>
      <c r="D74" s="289" t="n"/>
      <c r="E74" s="289" t="n"/>
      <c r="F74" s="289" t="n"/>
      <c r="G74" s="289" t="n"/>
      <c r="H74" s="203" t="n"/>
    </row>
    <row r="75" ht="13" customHeight="1" s="189">
      <c r="A75" s="289" t="n"/>
      <c r="B75" s="203" t="n"/>
      <c r="C75" s="289" t="n"/>
      <c r="D75" s="289" t="n"/>
      <c r="E75" s="289" t="n"/>
      <c r="F75" s="289" t="n"/>
      <c r="G75" s="289" t="n"/>
      <c r="H75" s="203" t="n"/>
    </row>
    <row r="76" ht="13" customHeight="1" s="189">
      <c r="A76" s="289" t="n"/>
      <c r="B76" s="203" t="n"/>
      <c r="C76" s="289" t="n"/>
      <c r="D76" s="289" t="n"/>
      <c r="E76" s="289" t="n"/>
      <c r="F76" s="289" t="n"/>
      <c r="G76" s="289" t="n"/>
      <c r="H76" s="203" t="n"/>
    </row>
    <row r="77" ht="13" customHeight="1" s="189">
      <c r="A77" s="289" t="n"/>
      <c r="B77" s="203" t="n"/>
      <c r="C77" s="289" t="n"/>
      <c r="D77" s="289" t="n"/>
      <c r="E77" s="289" t="n"/>
      <c r="F77" s="289" t="n"/>
      <c r="G77" s="289" t="n"/>
      <c r="H77" s="203" t="n"/>
    </row>
    <row r="78" ht="13" customHeight="1" s="189">
      <c r="A78" s="289" t="n"/>
      <c r="B78" s="203" t="n"/>
      <c r="C78" s="289" t="n"/>
      <c r="D78" s="289" t="n"/>
      <c r="E78" s="289" t="n"/>
      <c r="F78" s="289" t="n"/>
      <c r="G78" s="289" t="n"/>
      <c r="H78" s="203" t="n"/>
    </row>
    <row r="79" ht="13" customHeight="1" s="189">
      <c r="A79" s="289" t="n"/>
      <c r="B79" s="203" t="n"/>
      <c r="C79" s="289" t="n"/>
      <c r="D79" s="289" t="n"/>
      <c r="E79" s="289" t="n"/>
      <c r="F79" s="289" t="n"/>
      <c r="G79" s="289" t="n"/>
      <c r="H79" s="203" t="n"/>
    </row>
    <row r="80" ht="13" customHeight="1" s="189">
      <c r="A80" s="289" t="n"/>
      <c r="B80" s="203" t="n"/>
      <c r="C80" s="289" t="n"/>
      <c r="D80" s="289" t="n"/>
      <c r="E80" s="289" t="n"/>
      <c r="F80" s="289" t="n"/>
      <c r="G80" s="289" t="n"/>
      <c r="H80" s="203" t="n"/>
    </row>
    <row r="81" ht="13" customHeight="1" s="189">
      <c r="A81" s="289" t="n"/>
      <c r="B81" s="203" t="n"/>
      <c r="C81" s="289" t="n"/>
      <c r="D81" s="289" t="n"/>
      <c r="E81" s="289" t="n"/>
      <c r="F81" s="289" t="n"/>
      <c r="G81" s="289" t="n"/>
      <c r="H81" s="203" t="n"/>
    </row>
    <row r="82" ht="13" customHeight="1" s="189">
      <c r="A82" s="289" t="n"/>
      <c r="B82" s="203" t="n"/>
      <c r="C82" s="289" t="n"/>
      <c r="D82" s="289" t="n"/>
      <c r="E82" s="289" t="n"/>
      <c r="F82" s="289" t="n"/>
      <c r="G82" s="289" t="n"/>
      <c r="H82" s="203" t="n"/>
    </row>
    <row r="83" ht="13" customHeight="1" s="189">
      <c r="A83" s="289" t="n"/>
      <c r="B83" s="203" t="n"/>
      <c r="C83" s="289" t="n"/>
      <c r="D83" s="289" t="n"/>
      <c r="E83" s="289" t="n"/>
      <c r="F83" s="289" t="n"/>
      <c r="G83" s="289" t="n"/>
      <c r="H83" s="203" t="n"/>
    </row>
    <row r="84" ht="13" customHeight="1" s="189">
      <c r="A84" s="289" t="n"/>
      <c r="B84" s="203" t="n"/>
      <c r="C84" s="289" t="n"/>
      <c r="D84" s="289" t="n"/>
      <c r="E84" s="289" t="n"/>
      <c r="F84" s="289" t="n"/>
      <c r="G84" s="289" t="n"/>
      <c r="H84" s="203" t="n"/>
    </row>
    <row r="85" ht="13" customHeight="1" s="189">
      <c r="A85" s="289" t="n"/>
      <c r="B85" s="203" t="n"/>
      <c r="C85" s="289" t="n"/>
      <c r="D85" s="289" t="n"/>
      <c r="E85" s="289" t="n"/>
      <c r="F85" s="289" t="n"/>
      <c r="G85" s="289" t="n"/>
      <c r="H85" s="203" t="n"/>
    </row>
    <row r="86" ht="13" customHeight="1" s="189">
      <c r="A86" s="289" t="n"/>
      <c r="B86" s="203" t="n"/>
      <c r="C86" s="289" t="n"/>
      <c r="D86" s="289" t="n"/>
      <c r="E86" s="289" t="n"/>
      <c r="F86" s="289" t="n"/>
      <c r="G86" s="289" t="n"/>
      <c r="H86" s="203" t="n"/>
    </row>
    <row r="87" ht="13" customHeight="1" s="189">
      <c r="A87" s="289" t="n"/>
      <c r="B87" s="203" t="n"/>
      <c r="C87" s="289" t="n"/>
      <c r="D87" s="289" t="n"/>
      <c r="E87" s="289" t="n"/>
      <c r="F87" s="289" t="n"/>
      <c r="G87" s="289" t="n"/>
      <c r="H87" s="203" t="n"/>
    </row>
    <row r="88" ht="13" customHeight="1" s="189">
      <c r="A88" s="289" t="n"/>
      <c r="B88" s="203" t="n"/>
      <c r="C88" s="289" t="n"/>
      <c r="D88" s="289" t="n"/>
      <c r="E88" s="289" t="n"/>
      <c r="F88" s="289" t="n"/>
      <c r="G88" s="289" t="n"/>
      <c r="H88" s="203" t="n"/>
    </row>
    <row r="89" ht="13" customHeight="1" s="189">
      <c r="A89" s="289" t="n"/>
      <c r="B89" s="203" t="n"/>
      <c r="C89" s="289" t="n"/>
      <c r="D89" s="289" t="n"/>
      <c r="E89" s="289" t="n"/>
      <c r="F89" s="289" t="n"/>
      <c r="G89" s="289" t="n"/>
      <c r="H89" s="203" t="n"/>
    </row>
    <row r="90" ht="13" customHeight="1" s="189">
      <c r="A90" s="289" t="n"/>
      <c r="B90" s="203" t="n"/>
      <c r="C90" s="289" t="n"/>
      <c r="D90" s="289" t="n"/>
      <c r="E90" s="289" t="n"/>
      <c r="F90" s="289" t="n"/>
      <c r="G90" s="289" t="n"/>
      <c r="H90" s="203" t="n"/>
    </row>
    <row r="91" ht="13" customHeight="1" s="189">
      <c r="A91" s="289" t="n"/>
      <c r="B91" s="203" t="n"/>
      <c r="C91" s="289" t="n"/>
      <c r="D91" s="289" t="n"/>
      <c r="E91" s="289" t="n"/>
      <c r="F91" s="289" t="n"/>
      <c r="G91" s="289" t="n"/>
      <c r="H91" s="203" t="n"/>
    </row>
    <row r="92" ht="13" customHeight="1" s="189">
      <c r="A92" s="289" t="n"/>
      <c r="B92" s="203" t="n"/>
      <c r="C92" s="289" t="n"/>
      <c r="D92" s="289" t="n"/>
      <c r="E92" s="289" t="n"/>
      <c r="F92" s="289" t="n"/>
      <c r="G92" s="289" t="n"/>
      <c r="H92" s="203" t="n"/>
    </row>
    <row r="93" ht="13" customHeight="1" s="189">
      <c r="A93" s="289" t="n"/>
      <c r="B93" s="203" t="n"/>
      <c r="C93" s="289" t="n"/>
      <c r="D93" s="289" t="n"/>
      <c r="E93" s="289" t="n"/>
      <c r="F93" s="289" t="n"/>
      <c r="G93" s="289" t="n"/>
      <c r="H93" s="203" t="n"/>
    </row>
    <row r="94" ht="13" customHeight="1" s="189">
      <c r="A94" s="289" t="n"/>
      <c r="B94" s="203" t="n"/>
      <c r="C94" s="289" t="n"/>
      <c r="D94" s="289" t="n"/>
      <c r="E94" s="289" t="n"/>
      <c r="F94" s="289" t="n"/>
      <c r="G94" s="289" t="n"/>
      <c r="H94" s="203" t="n"/>
    </row>
    <row r="95" ht="13" customHeight="1" s="189">
      <c r="A95" s="289" t="n"/>
      <c r="B95" s="203" t="n"/>
      <c r="C95" s="289" t="n"/>
      <c r="D95" s="289" t="n"/>
      <c r="E95" s="289" t="n"/>
      <c r="F95" s="289" t="n"/>
      <c r="G95" s="289" t="n"/>
      <c r="H95" s="203" t="n"/>
    </row>
    <row r="96" ht="13" customHeight="1" s="189">
      <c r="A96" s="289" t="n"/>
      <c r="B96" s="203" t="n"/>
      <c r="C96" s="289" t="n"/>
      <c r="D96" s="289" t="n"/>
      <c r="E96" s="289" t="n"/>
      <c r="F96" s="289" t="n"/>
      <c r="G96" s="289" t="n"/>
      <c r="H96" s="203" t="n"/>
    </row>
    <row r="97" ht="13" customHeight="1" s="189">
      <c r="A97" s="289" t="n"/>
      <c r="B97" s="203" t="n"/>
      <c r="C97" s="289" t="n"/>
      <c r="D97" s="289" t="n"/>
      <c r="E97" s="289" t="n"/>
      <c r="F97" s="289" t="n"/>
      <c r="G97" s="289" t="n"/>
      <c r="H97" s="203" t="n"/>
    </row>
    <row r="98" ht="13" customHeight="1" s="189">
      <c r="A98" s="289" t="n"/>
      <c r="B98" s="203" t="n"/>
      <c r="C98" s="289" t="n"/>
      <c r="D98" s="289" t="n"/>
      <c r="E98" s="289" t="n"/>
      <c r="F98" s="289" t="n"/>
      <c r="G98" s="289" t="n"/>
      <c r="H98" s="203" t="n"/>
    </row>
    <row r="99" ht="13" customHeight="1" s="189">
      <c r="A99" s="289" t="n"/>
      <c r="B99" s="203" t="n"/>
      <c r="C99" s="289" t="n"/>
      <c r="D99" s="289" t="n"/>
      <c r="E99" s="289" t="n"/>
      <c r="F99" s="289" t="n"/>
      <c r="G99" s="289" t="n"/>
      <c r="H99" s="203" t="n"/>
    </row>
    <row r="100" ht="13" customHeight="1" s="189">
      <c r="A100" s="289" t="n"/>
      <c r="B100" s="203" t="n"/>
      <c r="C100" s="289" t="n"/>
      <c r="D100" s="289" t="n"/>
      <c r="E100" s="289" t="n"/>
      <c r="F100" s="289" t="n"/>
      <c r="G100" s="289" t="n"/>
      <c r="H100" s="203" t="n"/>
    </row>
    <row r="101" ht="13" customHeight="1" s="189">
      <c r="A101" s="289" t="n"/>
      <c r="B101" s="203" t="n"/>
      <c r="C101" s="289" t="n"/>
      <c r="D101" s="289" t="n"/>
      <c r="E101" s="289" t="n"/>
      <c r="F101" s="289" t="n"/>
      <c r="G101" s="289" t="n"/>
      <c r="H101" s="203" t="n"/>
    </row>
    <row r="102" ht="13" customHeight="1" s="189">
      <c r="A102" s="289" t="n"/>
      <c r="B102" s="203" t="n"/>
      <c r="C102" s="289" t="n"/>
      <c r="D102" s="289" t="n"/>
      <c r="E102" s="289" t="n"/>
      <c r="F102" s="289" t="n"/>
      <c r="G102" s="289" t="n"/>
      <c r="H102" s="203" t="n"/>
    </row>
    <row r="103" ht="13" customHeight="1" s="189">
      <c r="A103" s="289" t="n"/>
      <c r="B103" s="203" t="n"/>
      <c r="C103" s="289" t="n"/>
      <c r="D103" s="289" t="n"/>
      <c r="E103" s="289" t="n"/>
      <c r="F103" s="289" t="n"/>
      <c r="G103" s="289" t="n"/>
      <c r="H103" s="203" t="n"/>
    </row>
    <row r="104" ht="13" customHeight="1" s="189">
      <c r="A104" s="289" t="n"/>
      <c r="B104" s="203" t="n"/>
      <c r="C104" s="289" t="n"/>
      <c r="D104" s="289" t="n"/>
      <c r="E104" s="289" t="n"/>
      <c r="F104" s="289" t="n"/>
      <c r="G104" s="289" t="n"/>
      <c r="H104" s="203" t="n"/>
    </row>
    <row r="105" ht="13" customHeight="1" s="189">
      <c r="A105" s="289" t="n"/>
      <c r="B105" s="203" t="n"/>
      <c r="C105" s="289" t="n"/>
      <c r="D105" s="289" t="n"/>
      <c r="E105" s="289" t="n"/>
      <c r="F105" s="289" t="n"/>
      <c r="G105" s="289" t="n"/>
      <c r="H105" s="203" t="n"/>
    </row>
    <row r="106" ht="13" customHeight="1" s="189">
      <c r="A106" s="289" t="n"/>
      <c r="B106" s="203" t="n"/>
      <c r="C106" s="289" t="n"/>
      <c r="D106" s="289" t="n"/>
      <c r="E106" s="289" t="n"/>
      <c r="F106" s="289" t="n"/>
      <c r="G106" s="289" t="n"/>
      <c r="H106" s="203" t="n"/>
    </row>
    <row r="107" ht="13" customHeight="1" s="189">
      <c r="A107" s="289" t="n"/>
      <c r="B107" s="203" t="n"/>
      <c r="C107" s="289" t="n"/>
      <c r="D107" s="289" t="n"/>
      <c r="E107" s="289" t="n"/>
      <c r="F107" s="289" t="n"/>
      <c r="G107" s="289" t="n"/>
      <c r="H107" s="203" t="n"/>
    </row>
    <row r="108" ht="13" customHeight="1" s="189">
      <c r="A108" s="289" t="n"/>
      <c r="B108" s="203" t="n"/>
      <c r="C108" s="289" t="n"/>
      <c r="D108" s="289" t="n"/>
      <c r="E108" s="289" t="n"/>
      <c r="F108" s="289" t="n"/>
      <c r="G108" s="289" t="n"/>
      <c r="H108" s="203" t="n"/>
    </row>
    <row r="109" ht="13" customHeight="1" s="189">
      <c r="A109" s="289" t="n"/>
      <c r="B109" s="203" t="n"/>
      <c r="C109" s="289" t="n"/>
      <c r="D109" s="289" t="n"/>
      <c r="E109" s="289" t="n"/>
      <c r="F109" s="289" t="n"/>
      <c r="G109" s="289" t="n"/>
      <c r="H109" s="203" t="n"/>
    </row>
    <row r="110" ht="13" customHeight="1" s="189">
      <c r="A110" s="289" t="n"/>
      <c r="B110" s="203" t="n"/>
      <c r="C110" s="289" t="n"/>
      <c r="D110" s="289" t="n"/>
      <c r="E110" s="289" t="n"/>
      <c r="F110" s="289" t="n"/>
      <c r="G110" s="289" t="n"/>
      <c r="H110" s="203" t="n"/>
    </row>
    <row r="111" ht="13" customHeight="1" s="189">
      <c r="A111" s="289" t="n"/>
      <c r="B111" s="203" t="n"/>
      <c r="C111" s="289" t="n"/>
      <c r="D111" s="289" t="n"/>
      <c r="E111" s="289" t="n"/>
      <c r="F111" s="289" t="n"/>
      <c r="G111" s="289" t="n"/>
      <c r="H111" s="203" t="n"/>
    </row>
    <row r="112" ht="13" customHeight="1" s="189">
      <c r="A112" s="289" t="n"/>
      <c r="B112" s="203" t="n"/>
      <c r="C112" s="289" t="n"/>
      <c r="D112" s="289" t="n"/>
      <c r="E112" s="289" t="n"/>
      <c r="F112" s="289" t="n"/>
      <c r="G112" s="289" t="n"/>
      <c r="H112" s="203" t="n"/>
    </row>
    <row r="113" ht="13" customHeight="1" s="189">
      <c r="A113" s="289" t="n"/>
      <c r="B113" s="203" t="n"/>
      <c r="C113" s="289" t="n"/>
      <c r="D113" s="289" t="n"/>
      <c r="E113" s="289" t="n"/>
      <c r="F113" s="289" t="n"/>
      <c r="G113" s="289" t="n"/>
      <c r="H113" s="203" t="n"/>
    </row>
    <row r="114" ht="13" customHeight="1" s="189">
      <c r="A114" s="289" t="n"/>
      <c r="B114" s="203" t="n"/>
      <c r="C114" s="289" t="n"/>
      <c r="D114" s="289" t="n"/>
      <c r="E114" s="289" t="n"/>
      <c r="F114" s="289" t="n"/>
      <c r="G114" s="289" t="n"/>
      <c r="H114" s="203" t="n"/>
    </row>
    <row r="115" ht="13" customHeight="1" s="189">
      <c r="A115" s="289" t="n"/>
      <c r="B115" s="203" t="n"/>
      <c r="C115" s="289" t="n"/>
      <c r="D115" s="289" t="n"/>
      <c r="E115" s="289" t="n"/>
      <c r="F115" s="289" t="n"/>
      <c r="G115" s="289" t="n"/>
      <c r="H115" s="203" t="n"/>
    </row>
    <row r="116" ht="13" customHeight="1" s="189">
      <c r="A116" s="289" t="n"/>
      <c r="B116" s="203" t="n"/>
      <c r="C116" s="289" t="n"/>
      <c r="D116" s="289" t="n"/>
      <c r="E116" s="289" t="n"/>
      <c r="F116" s="289" t="n"/>
      <c r="G116" s="289" t="n"/>
      <c r="H116" s="203" t="n"/>
    </row>
    <row r="117" ht="13" customHeight="1" s="189">
      <c r="A117" s="289" t="n"/>
      <c r="B117" s="203" t="n"/>
      <c r="C117" s="289" t="n"/>
      <c r="D117" s="289" t="n"/>
      <c r="E117" s="289" t="n"/>
      <c r="F117" s="289" t="n"/>
      <c r="G117" s="289" t="n"/>
      <c r="H117" s="203" t="n"/>
    </row>
    <row r="118" ht="13" customHeight="1" s="189">
      <c r="A118" s="289" t="n"/>
      <c r="B118" s="203" t="n"/>
      <c r="C118" s="289" t="n"/>
      <c r="D118" s="289" t="n"/>
      <c r="E118" s="289" t="n"/>
      <c r="F118" s="289" t="n"/>
      <c r="G118" s="289" t="n"/>
      <c r="H118" s="203" t="n"/>
    </row>
    <row r="119" ht="13" customHeight="1" s="189">
      <c r="A119" s="289" t="n"/>
      <c r="B119" s="203" t="n"/>
      <c r="C119" s="289" t="n"/>
      <c r="D119" s="289" t="n"/>
      <c r="E119" s="289" t="n"/>
      <c r="F119" s="289" t="n"/>
      <c r="G119" s="289" t="n"/>
      <c r="H119" s="203" t="n"/>
    </row>
    <row r="120" ht="13" customHeight="1" s="189">
      <c r="A120" s="289" t="n"/>
      <c r="B120" s="203" t="n"/>
      <c r="C120" s="289" t="n"/>
      <c r="D120" s="289" t="n"/>
      <c r="E120" s="289" t="n"/>
      <c r="F120" s="289" t="n"/>
      <c r="G120" s="289" t="n"/>
      <c r="H120" s="203" t="n"/>
    </row>
    <row r="121" ht="13" customHeight="1" s="189">
      <c r="A121" s="289" t="n"/>
      <c r="B121" s="203" t="n"/>
      <c r="C121" s="289" t="n"/>
      <c r="D121" s="289" t="n"/>
      <c r="E121" s="289" t="n"/>
      <c r="F121" s="289" t="n"/>
      <c r="G121" s="289" t="n"/>
      <c r="H121" s="203" t="n"/>
    </row>
    <row r="122" ht="13" customHeight="1" s="189">
      <c r="A122" s="289" t="n"/>
      <c r="B122" s="203" t="n"/>
      <c r="C122" s="289" t="n"/>
      <c r="D122" s="289" t="n"/>
      <c r="E122" s="289" t="n"/>
      <c r="F122" s="289" t="n"/>
      <c r="G122" s="289" t="n"/>
      <c r="H122" s="203" t="n"/>
    </row>
    <row r="123" ht="13" customHeight="1" s="189">
      <c r="A123" s="289" t="n"/>
      <c r="B123" s="203" t="n"/>
      <c r="C123" s="289" t="n"/>
      <c r="D123" s="289" t="n"/>
      <c r="E123" s="289" t="n"/>
      <c r="F123" s="289" t="n"/>
      <c r="G123" s="289" t="n"/>
      <c r="H123" s="203" t="n"/>
    </row>
    <row r="124" ht="13" customHeight="1" s="189">
      <c r="A124" s="289" t="n"/>
      <c r="B124" s="203" t="n"/>
      <c r="C124" s="289" t="n"/>
      <c r="D124" s="289" t="n"/>
      <c r="E124" s="289" t="n"/>
      <c r="F124" s="289" t="n"/>
      <c r="G124" s="289" t="n"/>
      <c r="H124" s="203" t="n"/>
    </row>
    <row r="125" ht="13" customHeight="1" s="189">
      <c r="A125" s="289" t="n"/>
      <c r="B125" s="203" t="n"/>
      <c r="C125" s="289" t="n"/>
      <c r="D125" s="289" t="n"/>
      <c r="E125" s="289" t="n"/>
      <c r="F125" s="289" t="n"/>
      <c r="G125" s="289" t="n"/>
      <c r="H125" s="203" t="n"/>
    </row>
    <row r="126" ht="13" customHeight="1" s="189">
      <c r="A126" s="289" t="n"/>
      <c r="B126" s="203" t="n"/>
      <c r="C126" s="289" t="n"/>
      <c r="D126" s="289" t="n"/>
      <c r="E126" s="289" t="n"/>
      <c r="F126" s="289" t="n"/>
      <c r="G126" s="289" t="n"/>
      <c r="H126" s="203" t="n"/>
    </row>
    <row r="127" ht="13" customHeight="1" s="189">
      <c r="A127" s="289" t="n"/>
      <c r="B127" s="203" t="n"/>
      <c r="C127" s="289" t="n"/>
      <c r="D127" s="289" t="n"/>
      <c r="E127" s="289" t="n"/>
      <c r="F127" s="289" t="n"/>
      <c r="G127" s="289" t="n"/>
      <c r="H127" s="203" t="n"/>
    </row>
    <row r="128" ht="13" customHeight="1" s="189">
      <c r="A128" s="289" t="n"/>
      <c r="B128" s="203" t="n"/>
      <c r="C128" s="289" t="n"/>
      <c r="D128" s="289" t="n"/>
      <c r="E128" s="289" t="n"/>
      <c r="F128" s="289" t="n"/>
      <c r="G128" s="289" t="n"/>
      <c r="H128" s="203" t="n"/>
    </row>
    <row r="129" ht="13" customHeight="1" s="189">
      <c r="A129" s="289" t="n"/>
      <c r="B129" s="203" t="n"/>
      <c r="C129" s="289" t="n"/>
      <c r="D129" s="289" t="n"/>
      <c r="E129" s="289" t="n"/>
      <c r="F129" s="289" t="n"/>
      <c r="G129" s="289" t="n"/>
      <c r="H129" s="203" t="n"/>
    </row>
    <row r="130" ht="13" customHeight="1" s="189">
      <c r="A130" s="289" t="n"/>
      <c r="B130" s="203" t="n"/>
      <c r="C130" s="289" t="n"/>
      <c r="D130" s="289" t="n"/>
      <c r="E130" s="289" t="n"/>
      <c r="F130" s="289" t="n"/>
      <c r="G130" s="289" t="n"/>
      <c r="H130" s="203" t="n"/>
    </row>
    <row r="131" ht="13" customHeight="1" s="189">
      <c r="A131" s="289" t="n"/>
      <c r="B131" s="203" t="n"/>
      <c r="C131" s="289" t="n"/>
      <c r="D131" s="289" t="n"/>
      <c r="E131" s="289" t="n"/>
      <c r="F131" s="289" t="n"/>
      <c r="G131" s="289" t="n"/>
      <c r="H131" s="203" t="n"/>
    </row>
    <row r="132" ht="13" customHeight="1" s="189">
      <c r="A132" s="289" t="n"/>
      <c r="B132" s="203" t="n"/>
      <c r="C132" s="289" t="n"/>
      <c r="D132" s="289" t="n"/>
      <c r="E132" s="289" t="n"/>
      <c r="F132" s="289" t="n"/>
      <c r="G132" s="289" t="n"/>
      <c r="H132" s="203" t="n"/>
    </row>
    <row r="133" ht="13" customHeight="1" s="189">
      <c r="A133" s="289" t="n"/>
      <c r="B133" s="203" t="n"/>
      <c r="C133" s="289" t="n"/>
      <c r="D133" s="289" t="n"/>
      <c r="E133" s="289" t="n"/>
      <c r="F133" s="289" t="n"/>
      <c r="G133" s="289" t="n"/>
      <c r="H133" s="203" t="n"/>
    </row>
    <row r="134" ht="13" customHeight="1" s="189">
      <c r="A134" s="289" t="n"/>
      <c r="B134" s="203" t="n"/>
      <c r="C134" s="289" t="n"/>
      <c r="D134" s="289" t="n"/>
      <c r="E134" s="289" t="n"/>
      <c r="F134" s="289" t="n"/>
      <c r="G134" s="289" t="n"/>
      <c r="H134" s="203" t="n"/>
    </row>
    <row r="135" ht="13" customHeight="1" s="189">
      <c r="A135" s="289" t="n"/>
      <c r="B135" s="203" t="n"/>
      <c r="C135" s="289" t="n"/>
      <c r="D135" s="289" t="n"/>
      <c r="E135" s="289" t="n"/>
      <c r="F135" s="289" t="n"/>
      <c r="G135" s="289" t="n"/>
      <c r="H135" s="203" t="n"/>
    </row>
    <row r="136" ht="13" customHeight="1" s="189">
      <c r="A136" s="289" t="n"/>
      <c r="B136" s="203" t="n"/>
      <c r="C136" s="289" t="n"/>
      <c r="D136" s="289" t="n"/>
      <c r="E136" s="289" t="n"/>
      <c r="F136" s="289" t="n"/>
      <c r="G136" s="289" t="n"/>
      <c r="H136" s="203" t="n"/>
    </row>
    <row r="137" ht="13" customHeight="1" s="189">
      <c r="A137" s="289" t="n"/>
      <c r="B137" s="203" t="n"/>
      <c r="C137" s="289" t="n"/>
      <c r="D137" s="289" t="n"/>
      <c r="E137" s="289" t="n"/>
      <c r="F137" s="289" t="n"/>
      <c r="G137" s="289" t="n"/>
      <c r="H137" s="203" t="n"/>
    </row>
    <row r="138" ht="13" customHeight="1" s="189">
      <c r="A138" s="289" t="n"/>
      <c r="B138" s="203" t="n"/>
      <c r="C138" s="289" t="n"/>
      <c r="D138" s="289" t="n"/>
      <c r="E138" s="289" t="n"/>
      <c r="F138" s="289" t="n"/>
      <c r="G138" s="289" t="n"/>
      <c r="H138" s="203" t="n"/>
    </row>
    <row r="139" ht="13" customHeight="1" s="189">
      <c r="A139" s="289" t="n"/>
      <c r="B139" s="203" t="n"/>
      <c r="C139" s="289" t="n"/>
      <c r="D139" s="289" t="n"/>
      <c r="E139" s="289" t="n"/>
      <c r="F139" s="289" t="n"/>
      <c r="G139" s="289" t="n"/>
      <c r="H139" s="203" t="n"/>
    </row>
    <row r="140" ht="13" customHeight="1" s="189">
      <c r="A140" s="289" t="n"/>
      <c r="B140" s="203" t="n"/>
      <c r="C140" s="289" t="n"/>
      <c r="D140" s="289" t="n"/>
      <c r="E140" s="289" t="n"/>
      <c r="F140" s="289" t="n"/>
      <c r="G140" s="289" t="n"/>
      <c r="H140" s="203" t="n"/>
    </row>
    <row r="141" ht="13" customHeight="1" s="189">
      <c r="A141" s="289" t="n"/>
      <c r="B141" s="203" t="n"/>
      <c r="C141" s="289" t="n"/>
      <c r="D141" s="289" t="n"/>
      <c r="E141" s="289" t="n"/>
      <c r="F141" s="289" t="n"/>
      <c r="G141" s="289" t="n"/>
      <c r="H141" s="203" t="n"/>
    </row>
    <row r="142" ht="13" customHeight="1" s="189">
      <c r="A142" s="289" t="n"/>
      <c r="B142" s="203" t="n"/>
      <c r="C142" s="289" t="n"/>
      <c r="D142" s="289" t="n"/>
      <c r="E142" s="289" t="n"/>
      <c r="F142" s="289" t="n"/>
      <c r="G142" s="289" t="n"/>
      <c r="H142" s="203" t="n"/>
    </row>
    <row r="143" ht="13" customHeight="1" s="189">
      <c r="A143" s="289" t="n"/>
      <c r="B143" s="203" t="n"/>
      <c r="C143" s="289" t="n"/>
      <c r="D143" s="289" t="n"/>
      <c r="E143" s="289" t="n"/>
      <c r="F143" s="289" t="n"/>
      <c r="G143" s="289" t="n"/>
      <c r="H143" s="203" t="n"/>
    </row>
    <row r="144" ht="13" customHeight="1" s="189">
      <c r="A144" s="289" t="n"/>
      <c r="B144" s="203" t="n"/>
      <c r="C144" s="289" t="n"/>
      <c r="D144" s="289" t="n"/>
      <c r="E144" s="289" t="n"/>
      <c r="F144" s="289" t="n"/>
      <c r="G144" s="289" t="n"/>
      <c r="H144" s="203" t="n"/>
    </row>
    <row r="145" ht="13" customHeight="1" s="189">
      <c r="A145" s="289" t="n"/>
      <c r="B145" s="203" t="n"/>
      <c r="C145" s="289" t="n"/>
      <c r="D145" s="289" t="n"/>
      <c r="E145" s="289" t="n"/>
      <c r="F145" s="289" t="n"/>
      <c r="G145" s="289" t="n"/>
      <c r="H145" s="203" t="n"/>
    </row>
    <row r="146" ht="13" customHeight="1" s="189">
      <c r="A146" s="289" t="n"/>
      <c r="B146" s="203" t="n"/>
      <c r="C146" s="289" t="n"/>
      <c r="D146" s="289" t="n"/>
      <c r="E146" s="289" t="n"/>
      <c r="F146" s="289" t="n"/>
      <c r="G146" s="289" t="n"/>
      <c r="H146" s="203" t="n"/>
    </row>
    <row r="147" ht="13" customHeight="1" s="189">
      <c r="A147" s="289" t="n"/>
      <c r="B147" s="203" t="n"/>
      <c r="C147" s="289" t="n"/>
      <c r="D147" s="289" t="n"/>
      <c r="E147" s="289" t="n"/>
      <c r="F147" s="289" t="n"/>
      <c r="G147" s="289" t="n"/>
      <c r="H147" s="203" t="n"/>
    </row>
    <row r="148" ht="13" customHeight="1" s="189">
      <c r="A148" s="289" t="n"/>
      <c r="B148" s="203" t="n"/>
      <c r="C148" s="289" t="n"/>
      <c r="D148" s="289" t="n"/>
      <c r="E148" s="289" t="n"/>
      <c r="F148" s="289" t="n"/>
      <c r="G148" s="289" t="n"/>
      <c r="H148" s="203" t="n"/>
    </row>
    <row r="149" ht="13" customHeight="1" s="189">
      <c r="A149" s="289" t="n"/>
      <c r="B149" s="203" t="n"/>
      <c r="C149" s="289" t="n"/>
      <c r="D149" s="289" t="n"/>
      <c r="E149" s="289" t="n"/>
      <c r="F149" s="289" t="n"/>
      <c r="G149" s="289" t="n"/>
      <c r="H149" s="203" t="n"/>
    </row>
    <row r="150" ht="13" customHeight="1" s="189">
      <c r="A150" s="289" t="n"/>
      <c r="B150" s="203" t="n"/>
      <c r="C150" s="289" t="n"/>
      <c r="D150" s="289" t="n"/>
      <c r="E150" s="289" t="n"/>
      <c r="F150" s="289" t="n"/>
      <c r="G150" s="289" t="n"/>
      <c r="H150" s="203" t="n"/>
    </row>
    <row r="151" ht="13" customHeight="1" s="189">
      <c r="A151" s="289" t="n"/>
      <c r="B151" s="203" t="n"/>
      <c r="C151" s="289" t="n"/>
      <c r="D151" s="289" t="n"/>
      <c r="E151" s="289" t="n"/>
      <c r="F151" s="289" t="n"/>
      <c r="G151" s="289" t="n"/>
      <c r="H151" s="203" t="n"/>
    </row>
    <row r="152" ht="13" customHeight="1" s="189">
      <c r="A152" s="289" t="n"/>
      <c r="B152" s="203" t="n"/>
      <c r="C152" s="289" t="n"/>
      <c r="D152" s="289" t="n"/>
      <c r="E152" s="289" t="n"/>
      <c r="F152" s="289" t="n"/>
      <c r="G152" s="289" t="n"/>
      <c r="H152" s="203" t="n"/>
    </row>
    <row r="153" ht="13" customHeight="1" s="189">
      <c r="A153" s="289" t="n"/>
      <c r="B153" s="203" t="n"/>
      <c r="C153" s="289" t="n"/>
      <c r="D153" s="289" t="n"/>
      <c r="E153" s="289" t="n"/>
      <c r="F153" s="289" t="n"/>
      <c r="G153" s="289" t="n"/>
      <c r="H153" s="203" t="n"/>
    </row>
    <row r="154" ht="13" customHeight="1" s="189">
      <c r="A154" s="289" t="n"/>
      <c r="B154" s="203" t="n"/>
      <c r="C154" s="289" t="n"/>
      <c r="D154" s="289" t="n"/>
      <c r="E154" s="289" t="n"/>
      <c r="F154" s="289" t="n"/>
      <c r="G154" s="289" t="n"/>
      <c r="H154" s="203" t="n"/>
    </row>
    <row r="155" ht="13" customHeight="1" s="189">
      <c r="A155" s="289" t="n"/>
      <c r="B155" s="203" t="n"/>
      <c r="C155" s="289" t="n"/>
      <c r="D155" s="289" t="n"/>
      <c r="E155" s="289" t="n"/>
      <c r="F155" s="289" t="n"/>
      <c r="G155" s="289" t="n"/>
      <c r="H155" s="203" t="n"/>
    </row>
    <row r="156" ht="13" customHeight="1" s="189">
      <c r="A156" s="289" t="n"/>
      <c r="B156" s="203" t="n"/>
      <c r="C156" s="289" t="n"/>
      <c r="D156" s="289" t="n"/>
      <c r="E156" s="289" t="n"/>
      <c r="F156" s="289" t="n"/>
      <c r="G156" s="289" t="n"/>
      <c r="H156" s="203" t="n"/>
    </row>
    <row r="157" ht="13" customHeight="1" s="189">
      <c r="A157" s="289" t="n"/>
      <c r="B157" s="203" t="n"/>
      <c r="C157" s="289" t="n"/>
      <c r="D157" s="289" t="n"/>
      <c r="E157" s="289" t="n"/>
      <c r="F157" s="289" t="n"/>
      <c r="G157" s="289" t="n"/>
      <c r="H157" s="203" t="n"/>
    </row>
    <row r="158" ht="13" customHeight="1" s="189">
      <c r="A158" s="289" t="n"/>
      <c r="B158" s="203" t="n"/>
      <c r="C158" s="289" t="n"/>
      <c r="D158" s="289" t="n"/>
      <c r="E158" s="289" t="n"/>
      <c r="F158" s="289" t="n"/>
      <c r="G158" s="289" t="n"/>
      <c r="H158" s="203" t="n"/>
    </row>
    <row r="159" ht="13" customHeight="1" s="189">
      <c r="A159" s="289" t="n"/>
      <c r="B159" s="203" t="n"/>
      <c r="C159" s="289" t="n"/>
      <c r="D159" s="289" t="n"/>
      <c r="E159" s="289" t="n"/>
      <c r="F159" s="289" t="n"/>
      <c r="G159" s="289" t="n"/>
      <c r="H159" s="203" t="n"/>
    </row>
    <row r="160" ht="13" customHeight="1" s="189">
      <c r="A160" s="289" t="n"/>
      <c r="B160" s="203" t="n"/>
      <c r="C160" s="289" t="n"/>
      <c r="D160" s="289" t="n"/>
      <c r="E160" s="289" t="n"/>
      <c r="F160" s="289" t="n"/>
      <c r="G160" s="289" t="n"/>
      <c r="H160" s="203" t="n"/>
    </row>
    <row r="161" ht="13" customHeight="1" s="189">
      <c r="A161" s="289" t="n"/>
      <c r="B161" s="203" t="n"/>
      <c r="C161" s="289" t="n"/>
      <c r="D161" s="289" t="n"/>
      <c r="E161" s="289" t="n"/>
      <c r="F161" s="289" t="n"/>
      <c r="G161" s="289" t="n"/>
      <c r="H161" s="203" t="n"/>
    </row>
    <row r="162" ht="13" customHeight="1" s="189">
      <c r="A162" s="289" t="n"/>
      <c r="B162" s="203" t="n"/>
      <c r="C162" s="289" t="n"/>
      <c r="D162" s="289" t="n"/>
      <c r="E162" s="289" t="n"/>
      <c r="F162" s="289" t="n"/>
      <c r="G162" s="289" t="n"/>
      <c r="H162" s="203" t="n"/>
    </row>
    <row r="163" ht="13" customHeight="1" s="189">
      <c r="A163" s="289" t="n"/>
      <c r="B163" s="203" t="n"/>
      <c r="C163" s="289" t="n"/>
      <c r="D163" s="289" t="n"/>
      <c r="E163" s="289" t="n"/>
      <c r="F163" s="289" t="n"/>
      <c r="G163" s="289" t="n"/>
      <c r="H163" s="203" t="n"/>
    </row>
    <row r="164" ht="13" customHeight="1" s="189">
      <c r="A164" s="289" t="n"/>
      <c r="B164" s="203" t="n"/>
      <c r="C164" s="289" t="n"/>
      <c r="D164" s="289" t="n"/>
      <c r="E164" s="289" t="n"/>
      <c r="F164" s="289" t="n"/>
      <c r="G164" s="289" t="n"/>
      <c r="H164" s="203" t="n"/>
    </row>
    <row r="165" ht="13" customHeight="1" s="189">
      <c r="A165" s="289" t="n"/>
      <c r="B165" s="203" t="n"/>
      <c r="C165" s="289" t="n"/>
      <c r="D165" s="289" t="n"/>
      <c r="E165" s="289" t="n"/>
      <c r="F165" s="289" t="n"/>
      <c r="G165" s="289" t="n"/>
      <c r="H165" s="203" t="n"/>
    </row>
    <row r="166" ht="13" customHeight="1" s="189">
      <c r="A166" s="289" t="n"/>
      <c r="B166" s="203" t="n"/>
      <c r="C166" s="289" t="n"/>
      <c r="D166" s="289" t="n"/>
      <c r="E166" s="289" t="n"/>
      <c r="F166" s="289" t="n"/>
      <c r="G166" s="289" t="n"/>
      <c r="H166" s="203" t="n"/>
    </row>
    <row r="167" ht="13" customHeight="1" s="189">
      <c r="A167" s="289" t="n"/>
      <c r="B167" s="203" t="n"/>
      <c r="C167" s="289" t="n"/>
      <c r="D167" s="289" t="n"/>
      <c r="E167" s="289" t="n"/>
      <c r="F167" s="289" t="n"/>
      <c r="G167" s="289" t="n"/>
      <c r="H167" s="203" t="n"/>
    </row>
    <row r="168" ht="13" customHeight="1" s="189">
      <c r="A168" s="289" t="n"/>
      <c r="B168" s="203" t="n"/>
      <c r="C168" s="289" t="n"/>
      <c r="D168" s="289" t="n"/>
      <c r="E168" s="289" t="n"/>
      <c r="F168" s="289" t="n"/>
      <c r="G168" s="289" t="n"/>
      <c r="H168" s="203" t="n"/>
    </row>
    <row r="169" ht="13" customHeight="1" s="189">
      <c r="A169" s="289" t="n"/>
      <c r="B169" s="203" t="n"/>
      <c r="C169" s="289" t="n"/>
      <c r="D169" s="289" t="n"/>
      <c r="E169" s="289" t="n"/>
      <c r="F169" s="289" t="n"/>
      <c r="G169" s="289" t="n"/>
      <c r="H169" s="203" t="n"/>
    </row>
    <row r="170" ht="13" customHeight="1" s="189">
      <c r="A170" s="289" t="n"/>
      <c r="B170" s="203" t="n"/>
      <c r="C170" s="289" t="n"/>
      <c r="D170" s="289" t="n"/>
      <c r="E170" s="289" t="n"/>
      <c r="F170" s="289" t="n"/>
      <c r="G170" s="289" t="n"/>
      <c r="H170" s="203" t="n"/>
    </row>
    <row r="171" ht="13" customHeight="1" s="189">
      <c r="A171" s="289" t="n"/>
      <c r="B171" s="203" t="n"/>
      <c r="C171" s="289" t="n"/>
      <c r="D171" s="289" t="n"/>
      <c r="E171" s="289" t="n"/>
      <c r="F171" s="289" t="n"/>
      <c r="G171" s="289" t="n"/>
      <c r="H171" s="203" t="n"/>
    </row>
    <row r="172" ht="13" customHeight="1" s="189">
      <c r="A172" s="289" t="n"/>
      <c r="B172" s="203" t="n"/>
      <c r="C172" s="289" t="n"/>
      <c r="D172" s="289" t="n"/>
      <c r="E172" s="289" t="n"/>
      <c r="F172" s="289" t="n"/>
      <c r="G172" s="289" t="n"/>
      <c r="H172" s="203" t="n"/>
    </row>
    <row r="173" ht="13" customHeight="1" s="189">
      <c r="A173" s="289" t="n"/>
      <c r="B173" s="203" t="n"/>
      <c r="C173" s="289" t="n"/>
      <c r="D173" s="289" t="n"/>
      <c r="E173" s="289" t="n"/>
      <c r="F173" s="289" t="n"/>
      <c r="G173" s="289" t="n"/>
      <c r="H173" s="203" t="n"/>
    </row>
    <row r="174" ht="13" customHeight="1" s="189">
      <c r="A174" s="289" t="n"/>
      <c r="B174" s="203" t="n"/>
      <c r="C174" s="289" t="n"/>
      <c r="D174" s="289" t="n"/>
      <c r="E174" s="289" t="n"/>
      <c r="F174" s="289" t="n"/>
      <c r="G174" s="289" t="n"/>
      <c r="H174" s="203" t="n"/>
    </row>
    <row r="175" ht="13" customHeight="1" s="189">
      <c r="A175" s="289" t="n"/>
      <c r="B175" s="203" t="n"/>
      <c r="C175" s="289" t="n"/>
      <c r="D175" s="289" t="n"/>
      <c r="E175" s="289" t="n"/>
      <c r="F175" s="289" t="n"/>
      <c r="G175" s="289" t="n"/>
      <c r="H175" s="203" t="n"/>
    </row>
    <row r="176" ht="13" customHeight="1" s="189">
      <c r="A176" s="289" t="n"/>
      <c r="B176" s="203" t="n"/>
      <c r="C176" s="289" t="n"/>
      <c r="D176" s="289" t="n"/>
      <c r="E176" s="289" t="n"/>
      <c r="F176" s="289" t="n"/>
      <c r="G176" s="289" t="n"/>
      <c r="H176" s="203" t="n"/>
    </row>
    <row r="177" ht="13" customHeight="1" s="189">
      <c r="A177" s="289" t="n"/>
      <c r="B177" s="203" t="n"/>
      <c r="C177" s="289" t="n"/>
      <c r="D177" s="289" t="n"/>
      <c r="E177" s="289" t="n"/>
      <c r="F177" s="289" t="n"/>
      <c r="G177" s="289" t="n"/>
      <c r="H177" s="203" t="n"/>
    </row>
    <row r="178" ht="13" customHeight="1" s="189">
      <c r="A178" s="289" t="n"/>
      <c r="B178" s="203" t="n"/>
      <c r="C178" s="289" t="n"/>
      <c r="D178" s="289" t="n"/>
      <c r="E178" s="289" t="n"/>
      <c r="F178" s="289" t="n"/>
      <c r="G178" s="289" t="n"/>
      <c r="H178" s="203" t="n"/>
    </row>
    <row r="179" ht="13" customHeight="1" s="189">
      <c r="A179" s="289" t="n"/>
      <c r="B179" s="203" t="n"/>
      <c r="C179" s="289" t="n"/>
      <c r="D179" s="289" t="n"/>
      <c r="E179" s="289" t="n"/>
      <c r="F179" s="289" t="n"/>
      <c r="G179" s="289" t="n"/>
      <c r="H179" s="203" t="n"/>
    </row>
    <row r="180" ht="13" customHeight="1" s="189">
      <c r="A180" s="289" t="n"/>
      <c r="B180" s="203" t="n"/>
      <c r="C180" s="289" t="n"/>
      <c r="D180" s="289" t="n"/>
      <c r="E180" s="289" t="n"/>
      <c r="F180" s="289" t="n"/>
      <c r="G180" s="289" t="n"/>
      <c r="H180" s="203" t="n"/>
    </row>
    <row r="181" ht="13" customHeight="1" s="189">
      <c r="A181" s="289" t="n"/>
      <c r="B181" s="203" t="n"/>
      <c r="C181" s="289" t="n"/>
      <c r="D181" s="289" t="n"/>
      <c r="E181" s="289" t="n"/>
      <c r="F181" s="289" t="n"/>
      <c r="G181" s="289" t="n"/>
      <c r="H181" s="203" t="n"/>
    </row>
    <row r="182" ht="13" customHeight="1" s="189">
      <c r="A182" s="289" t="n"/>
      <c r="B182" s="203" t="n"/>
      <c r="C182" s="289" t="n"/>
      <c r="D182" s="289" t="n"/>
      <c r="E182" s="289" t="n"/>
      <c r="F182" s="289" t="n"/>
      <c r="G182" s="289" t="n"/>
      <c r="H182" s="203" t="n"/>
    </row>
    <row r="183" ht="13" customHeight="1" s="189">
      <c r="A183" s="289" t="n"/>
      <c r="B183" s="203" t="n"/>
      <c r="C183" s="289" t="n"/>
      <c r="D183" s="289" t="n"/>
      <c r="E183" s="289" t="n"/>
      <c r="F183" s="289" t="n"/>
      <c r="G183" s="289" t="n"/>
      <c r="H183" s="203" t="n"/>
    </row>
    <row r="184" ht="13" customHeight="1" s="189">
      <c r="A184" s="289" t="n"/>
      <c r="B184" s="203" t="n"/>
      <c r="C184" s="289" t="n"/>
      <c r="D184" s="289" t="n"/>
      <c r="E184" s="289" t="n"/>
      <c r="F184" s="289" t="n"/>
      <c r="G184" s="289" t="n"/>
      <c r="H184" s="203" t="n"/>
    </row>
    <row r="185" ht="13" customHeight="1" s="189">
      <c r="A185" s="289" t="n"/>
      <c r="B185" s="203" t="n"/>
      <c r="C185" s="289" t="n"/>
      <c r="D185" s="289" t="n"/>
      <c r="E185" s="289" t="n"/>
      <c r="F185" s="289" t="n"/>
      <c r="G185" s="289" t="n"/>
      <c r="H185" s="203" t="n"/>
    </row>
    <row r="186" ht="13" customHeight="1" s="189">
      <c r="A186" s="289" t="n"/>
      <c r="B186" s="203" t="n"/>
      <c r="C186" s="289" t="n"/>
      <c r="D186" s="289" t="n"/>
      <c r="E186" s="289" t="n"/>
      <c r="F186" s="289" t="n"/>
      <c r="G186" s="289" t="n"/>
      <c r="H186" s="203" t="n"/>
    </row>
    <row r="187" ht="13" customHeight="1" s="189">
      <c r="A187" s="289" t="n"/>
      <c r="B187" s="203" t="n"/>
      <c r="C187" s="289" t="n"/>
      <c r="D187" s="289" t="n"/>
      <c r="E187" s="289" t="n"/>
      <c r="F187" s="289" t="n"/>
      <c r="G187" s="289" t="n"/>
      <c r="H187" s="203" t="n"/>
    </row>
    <row r="188" ht="13" customHeight="1" s="189">
      <c r="A188" s="289" t="n"/>
      <c r="B188" s="203" t="n"/>
      <c r="C188" s="289" t="n"/>
      <c r="D188" s="289" t="n"/>
      <c r="E188" s="289" t="n"/>
      <c r="F188" s="289" t="n"/>
      <c r="G188" s="289" t="n"/>
      <c r="H188" s="203" t="n"/>
    </row>
    <row r="189" ht="13" customHeight="1" s="189">
      <c r="A189" s="289" t="n"/>
      <c r="B189" s="203" t="n"/>
      <c r="C189" s="289" t="n"/>
      <c r="D189" s="289" t="n"/>
      <c r="E189" s="289" t="n"/>
      <c r="F189" s="289" t="n"/>
      <c r="G189" s="289" t="n"/>
      <c r="H189" s="203" t="n"/>
    </row>
    <row r="190" ht="13" customHeight="1" s="189">
      <c r="A190" s="289" t="n"/>
      <c r="B190" s="203" t="n"/>
      <c r="C190" s="289" t="n"/>
      <c r="D190" s="289" t="n"/>
      <c r="E190" s="289" t="n"/>
      <c r="F190" s="289" t="n"/>
      <c r="G190" s="289" t="n"/>
      <c r="H190" s="203" t="n"/>
    </row>
    <row r="191" ht="13" customHeight="1" s="189">
      <c r="A191" s="289" t="n"/>
      <c r="B191" s="203" t="n"/>
      <c r="C191" s="289" t="n"/>
      <c r="D191" s="289" t="n"/>
      <c r="E191" s="289" t="n"/>
      <c r="F191" s="289" t="n"/>
      <c r="G191" s="289" t="n"/>
      <c r="H191" s="203" t="n"/>
    </row>
    <row r="192" ht="13" customHeight="1" s="189">
      <c r="A192" s="289" t="n"/>
      <c r="B192" s="203" t="n"/>
      <c r="C192" s="289" t="n"/>
      <c r="D192" s="289" t="n"/>
      <c r="E192" s="289" t="n"/>
      <c r="F192" s="289" t="n"/>
      <c r="G192" s="289" t="n"/>
      <c r="H192" s="203" t="n"/>
    </row>
    <row r="193" ht="13" customHeight="1" s="189">
      <c r="A193" s="289" t="n"/>
      <c r="B193" s="203" t="n"/>
      <c r="C193" s="289" t="n"/>
      <c r="D193" s="289" t="n"/>
      <c r="E193" s="289" t="n"/>
      <c r="F193" s="289" t="n"/>
      <c r="G193" s="289" t="n"/>
      <c r="H193" s="203" t="n"/>
    </row>
    <row r="194" ht="13" customHeight="1" s="189">
      <c r="A194" s="289" t="n"/>
      <c r="B194" s="203" t="n"/>
      <c r="C194" s="289" t="n"/>
      <c r="D194" s="289" t="n"/>
      <c r="E194" s="289" t="n"/>
      <c r="F194" s="289" t="n"/>
      <c r="G194" s="289" t="n"/>
      <c r="H194" s="203" t="n"/>
    </row>
    <row r="195" ht="13" customHeight="1" s="189">
      <c r="A195" s="289" t="n"/>
      <c r="B195" s="203" t="n"/>
      <c r="C195" s="289" t="n"/>
      <c r="D195" s="289" t="n"/>
      <c r="E195" s="289" t="n"/>
      <c r="F195" s="289" t="n"/>
      <c r="G195" s="289" t="n"/>
      <c r="H195" s="203" t="n"/>
    </row>
    <row r="196" ht="13" customHeight="1" s="189">
      <c r="A196" s="289" t="n"/>
      <c r="B196" s="203" t="n"/>
      <c r="C196" s="289" t="n"/>
      <c r="D196" s="289" t="n"/>
      <c r="E196" s="289" t="n"/>
      <c r="F196" s="289" t="n"/>
      <c r="G196" s="289" t="n"/>
      <c r="H196" s="203" t="n"/>
    </row>
    <row r="197" ht="13" customHeight="1" s="189">
      <c r="A197" s="289" t="n"/>
      <c r="B197" s="203" t="n"/>
      <c r="C197" s="289" t="n"/>
      <c r="D197" s="289" t="n"/>
      <c r="E197" s="289" t="n"/>
      <c r="F197" s="289" t="n"/>
      <c r="G197" s="289" t="n"/>
      <c r="H197" s="203" t="n"/>
    </row>
    <row r="198" ht="13" customHeight="1" s="189">
      <c r="A198" s="289" t="n"/>
      <c r="B198" s="203" t="n"/>
      <c r="C198" s="289" t="n"/>
      <c r="D198" s="289" t="n"/>
      <c r="E198" s="289" t="n"/>
      <c r="F198" s="289" t="n"/>
      <c r="G198" s="289" t="n"/>
      <c r="H198" s="203" t="n"/>
    </row>
    <row r="199" ht="13" customHeight="1" s="189">
      <c r="A199" s="289" t="n"/>
      <c r="B199" s="203" t="n"/>
      <c r="C199" s="289" t="n"/>
      <c r="D199" s="289" t="n"/>
      <c r="E199" s="289" t="n"/>
      <c r="F199" s="289" t="n"/>
      <c r="G199" s="289" t="n"/>
      <c r="H199" s="203" t="n"/>
    </row>
    <row r="200" ht="13" customHeight="1" s="189">
      <c r="A200" s="289" t="n"/>
      <c r="B200" s="203" t="n"/>
      <c r="C200" s="289" t="n"/>
      <c r="D200" s="289" t="n"/>
      <c r="E200" s="289" t="n"/>
      <c r="F200" s="289" t="n"/>
      <c r="G200" s="289" t="n"/>
      <c r="H200" s="203" t="n"/>
    </row>
    <row r="201" ht="13" customHeight="1" s="189">
      <c r="A201" s="289" t="n"/>
      <c r="B201" s="203" t="n"/>
      <c r="C201" s="289" t="n"/>
      <c r="D201" s="289" t="n"/>
      <c r="E201" s="289" t="n"/>
      <c r="F201" s="289" t="n"/>
      <c r="G201" s="289" t="n"/>
      <c r="H201" s="203" t="n"/>
    </row>
    <row r="202" ht="13" customHeight="1" s="189">
      <c r="A202" s="289" t="n"/>
      <c r="B202" s="203" t="n"/>
      <c r="C202" s="289" t="n"/>
      <c r="D202" s="289" t="n"/>
      <c r="E202" s="289" t="n"/>
      <c r="F202" s="289" t="n"/>
      <c r="G202" s="289" t="n"/>
      <c r="H202" s="203" t="n"/>
    </row>
    <row r="203" ht="13" customHeight="1" s="189">
      <c r="A203" s="289" t="n"/>
      <c r="B203" s="203" t="n"/>
      <c r="C203" s="289" t="n"/>
      <c r="D203" s="289" t="n"/>
      <c r="E203" s="289" t="n"/>
      <c r="F203" s="289" t="n"/>
      <c r="G203" s="289" t="n"/>
      <c r="H203" s="203" t="n"/>
    </row>
    <row r="204" ht="13" customHeight="1" s="189">
      <c r="A204" s="289" t="n"/>
      <c r="B204" s="203" t="n"/>
      <c r="C204" s="289" t="n"/>
      <c r="D204" s="289" t="n"/>
      <c r="E204" s="289" t="n"/>
      <c r="F204" s="289" t="n"/>
      <c r="G204" s="289" t="n"/>
      <c r="H204" s="203" t="n"/>
    </row>
    <row r="205" ht="13" customHeight="1" s="189">
      <c r="A205" s="289" t="n"/>
      <c r="B205" s="203" t="n"/>
      <c r="C205" s="289" t="n"/>
      <c r="D205" s="289" t="n"/>
      <c r="E205" s="289" t="n"/>
      <c r="F205" s="289" t="n"/>
      <c r="G205" s="289" t="n"/>
      <c r="H205" s="203" t="n"/>
    </row>
    <row r="206" ht="13" customHeight="1" s="189">
      <c r="A206" s="289" t="n"/>
      <c r="B206" s="203" t="n"/>
      <c r="C206" s="289" t="n"/>
      <c r="D206" s="289" t="n"/>
      <c r="E206" s="289" t="n"/>
      <c r="F206" s="289" t="n"/>
      <c r="G206" s="289" t="n"/>
      <c r="H206" s="203" t="n"/>
    </row>
    <row r="207" ht="13" customHeight="1" s="189">
      <c r="A207" s="289" t="n"/>
      <c r="B207" s="203" t="n"/>
      <c r="C207" s="289" t="n"/>
      <c r="D207" s="289" t="n"/>
      <c r="E207" s="289" t="n"/>
      <c r="F207" s="289" t="n"/>
      <c r="G207" s="289" t="n"/>
      <c r="H207" s="203" t="n"/>
    </row>
    <row r="208" ht="13" customHeight="1" s="189">
      <c r="A208" s="289" t="n"/>
      <c r="B208" s="203" t="n"/>
      <c r="C208" s="289" t="n"/>
      <c r="D208" s="289" t="n"/>
      <c r="E208" s="289" t="n"/>
      <c r="F208" s="289" t="n"/>
      <c r="G208" s="289" t="n"/>
      <c r="H208" s="203" t="n"/>
    </row>
    <row r="209" ht="13" customHeight="1" s="189">
      <c r="A209" s="289" t="n"/>
      <c r="B209" s="203" t="n"/>
      <c r="C209" s="289" t="n"/>
      <c r="D209" s="289" t="n"/>
      <c r="E209" s="289" t="n"/>
      <c r="F209" s="289" t="n"/>
      <c r="G209" s="289" t="n"/>
      <c r="H209" s="203" t="n"/>
    </row>
    <row r="210" ht="13" customHeight="1" s="189">
      <c r="A210" s="289" t="n"/>
      <c r="B210" s="203" t="n"/>
      <c r="C210" s="289" t="n"/>
      <c r="D210" s="289" t="n"/>
      <c r="E210" s="289" t="n"/>
      <c r="F210" s="289" t="n"/>
      <c r="G210" s="289" t="n"/>
      <c r="H210" s="203" t="n"/>
    </row>
    <row r="211" ht="13" customHeight="1" s="189">
      <c r="A211" s="289" t="n"/>
      <c r="B211" s="203" t="n"/>
      <c r="C211" s="289" t="n"/>
      <c r="D211" s="289" t="n"/>
      <c r="E211" s="289" t="n"/>
      <c r="F211" s="289" t="n"/>
      <c r="G211" s="289" t="n"/>
      <c r="H211" s="203" t="n"/>
    </row>
    <row r="212" ht="13" customHeight="1" s="189">
      <c r="A212" s="289" t="n"/>
      <c r="B212" s="203" t="n"/>
      <c r="C212" s="289" t="n"/>
      <c r="D212" s="289" t="n"/>
      <c r="E212" s="289" t="n"/>
      <c r="F212" s="289" t="n"/>
      <c r="G212" s="289" t="n"/>
      <c r="H212" s="203" t="n"/>
    </row>
    <row r="213" ht="13" customHeight="1" s="189">
      <c r="A213" s="289" t="n"/>
      <c r="B213" s="203" t="n"/>
      <c r="C213" s="289" t="n"/>
      <c r="D213" s="289" t="n"/>
      <c r="E213" s="289" t="n"/>
      <c r="F213" s="289" t="n"/>
      <c r="G213" s="289" t="n"/>
      <c r="H213" s="203" t="n"/>
    </row>
    <row r="214" ht="13" customHeight="1" s="189">
      <c r="A214" s="289" t="n"/>
      <c r="B214" s="203" t="n"/>
      <c r="C214" s="289" t="n"/>
      <c r="D214" s="289" t="n"/>
      <c r="E214" s="289" t="n"/>
      <c r="F214" s="289" t="n"/>
      <c r="G214" s="289" t="n"/>
      <c r="H214" s="203" t="n"/>
    </row>
    <row r="215" ht="13" customHeight="1" s="189">
      <c r="A215" s="289" t="n"/>
      <c r="B215" s="203" t="n"/>
      <c r="C215" s="289" t="n"/>
      <c r="D215" s="289" t="n"/>
      <c r="E215" s="289" t="n"/>
      <c r="F215" s="289" t="n"/>
      <c r="G215" s="289" t="n"/>
      <c r="H215" s="203" t="n"/>
    </row>
    <row r="216" ht="13" customHeight="1" s="189">
      <c r="A216" s="289" t="n"/>
      <c r="B216" s="203" t="n"/>
      <c r="C216" s="289" t="n"/>
      <c r="D216" s="289" t="n"/>
      <c r="E216" s="289" t="n"/>
      <c r="F216" s="289" t="n"/>
      <c r="G216" s="289" t="n"/>
      <c r="H216" s="203" t="n"/>
    </row>
    <row r="217" ht="13" customHeight="1" s="189">
      <c r="A217" s="289" t="n"/>
      <c r="B217" s="203" t="n"/>
      <c r="C217" s="289" t="n"/>
      <c r="D217" s="289" t="n"/>
      <c r="E217" s="289" t="n"/>
      <c r="F217" s="289" t="n"/>
      <c r="G217" s="289" t="n"/>
      <c r="H217" s="203" t="n"/>
    </row>
    <row r="218" ht="13" customHeight="1" s="189">
      <c r="A218" s="289" t="n"/>
      <c r="B218" s="203" t="n"/>
      <c r="C218" s="289" t="n"/>
      <c r="D218" s="289" t="n"/>
      <c r="E218" s="289" t="n"/>
      <c r="F218" s="289" t="n"/>
      <c r="G218" s="289" t="n"/>
      <c r="H218" s="203" t="n"/>
    </row>
    <row r="219" ht="13" customHeight="1" s="189">
      <c r="A219" s="289" t="n"/>
      <c r="B219" s="203" t="n"/>
      <c r="C219" s="289" t="n"/>
      <c r="D219" s="289" t="n"/>
      <c r="E219" s="289" t="n"/>
      <c r="F219" s="289" t="n"/>
      <c r="G219" s="289" t="n"/>
      <c r="H219" s="203" t="n"/>
    </row>
    <row r="220" ht="13" customHeight="1" s="189">
      <c r="A220" s="289" t="n"/>
      <c r="B220" s="203" t="n"/>
      <c r="C220" s="289" t="n"/>
      <c r="D220" s="289" t="n"/>
      <c r="E220" s="289" t="n"/>
      <c r="F220" s="289" t="n"/>
      <c r="G220" s="289" t="n"/>
      <c r="H220" s="203" t="n"/>
    </row>
    <row r="221" ht="13" customHeight="1" s="189">
      <c r="A221" s="289" t="n"/>
      <c r="B221" s="203" t="n"/>
      <c r="C221" s="289" t="n"/>
      <c r="D221" s="289" t="n"/>
      <c r="E221" s="289" t="n"/>
      <c r="F221" s="289" t="n"/>
      <c r="G221" s="289" t="n"/>
      <c r="H221" s="203" t="n"/>
    </row>
    <row r="222" ht="13" customHeight="1" s="189">
      <c r="A222" s="289" t="n"/>
      <c r="B222" s="203" t="n"/>
      <c r="C222" s="289" t="n"/>
      <c r="D222" s="289" t="n"/>
      <c r="E222" s="289" t="n"/>
      <c r="F222" s="289" t="n"/>
      <c r="G222" s="289" t="n"/>
      <c r="H222" s="203" t="n"/>
    </row>
    <row r="223" ht="13" customHeight="1" s="189">
      <c r="A223" s="289" t="n"/>
      <c r="B223" s="203" t="n"/>
      <c r="C223" s="289" t="n"/>
      <c r="D223" s="289" t="n"/>
      <c r="E223" s="289" t="n"/>
      <c r="F223" s="289" t="n"/>
      <c r="G223" s="289" t="n"/>
      <c r="H223" s="203" t="n"/>
    </row>
    <row r="224" ht="13" customHeight="1" s="189">
      <c r="A224" s="289" t="n"/>
      <c r="B224" s="203" t="n"/>
      <c r="C224" s="289" t="n"/>
      <c r="D224" s="289" t="n"/>
      <c r="E224" s="289" t="n"/>
      <c r="F224" s="289" t="n"/>
      <c r="G224" s="289" t="n"/>
      <c r="H224" s="203" t="n"/>
    </row>
    <row r="225" ht="13" customHeight="1" s="189">
      <c r="A225" s="289" t="n"/>
      <c r="B225" s="203" t="n"/>
      <c r="C225" s="289" t="n"/>
      <c r="D225" s="289" t="n"/>
      <c r="E225" s="289" t="n"/>
      <c r="F225" s="289" t="n"/>
      <c r="G225" s="289" t="n"/>
      <c r="H225" s="203" t="n"/>
    </row>
    <row r="226" ht="13" customHeight="1" s="189">
      <c r="A226" s="289" t="n"/>
      <c r="B226" s="203" t="n"/>
      <c r="C226" s="289" t="n"/>
      <c r="D226" s="289" t="n"/>
      <c r="E226" s="289" t="n"/>
      <c r="F226" s="289" t="n"/>
      <c r="G226" s="289" t="n"/>
      <c r="H226" s="203" t="n"/>
    </row>
    <row r="227" ht="13" customHeight="1" s="189">
      <c r="A227" s="289" t="n"/>
      <c r="B227" s="203" t="n"/>
      <c r="C227" s="289" t="n"/>
      <c r="D227" s="289" t="n"/>
      <c r="E227" s="289" t="n"/>
      <c r="F227" s="289" t="n"/>
      <c r="G227" s="289" t="n"/>
      <c r="H227" s="203" t="n"/>
    </row>
    <row r="228" ht="13" customHeight="1" s="189">
      <c r="A228" s="289" t="n"/>
      <c r="B228" s="203" t="n"/>
      <c r="C228" s="289" t="n"/>
      <c r="D228" s="289" t="n"/>
      <c r="E228" s="289" t="n"/>
      <c r="F228" s="289" t="n"/>
      <c r="G228" s="289" t="n"/>
      <c r="H228" s="203" t="n"/>
    </row>
    <row r="229" ht="13" customHeight="1" s="189">
      <c r="A229" s="289" t="n"/>
      <c r="B229" s="203" t="n"/>
      <c r="C229" s="289" t="n"/>
      <c r="D229" s="289" t="n"/>
      <c r="E229" s="289" t="n"/>
      <c r="F229" s="289" t="n"/>
      <c r="G229" s="289" t="n"/>
      <c r="H229" s="203" t="n"/>
    </row>
    <row r="230" ht="13" customHeight="1" s="189">
      <c r="A230" s="289" t="n"/>
      <c r="B230" s="203" t="n"/>
      <c r="C230" s="289" t="n"/>
      <c r="D230" s="289" t="n"/>
      <c r="E230" s="289" t="n"/>
      <c r="F230" s="289" t="n"/>
      <c r="G230" s="289" t="n"/>
      <c r="H230" s="203" t="n"/>
    </row>
    <row r="231" ht="13" customHeight="1" s="189">
      <c r="A231" s="289" t="n"/>
      <c r="B231" s="203" t="n"/>
      <c r="C231" s="289" t="n"/>
      <c r="D231" s="289" t="n"/>
      <c r="E231" s="289" t="n"/>
      <c r="F231" s="289" t="n"/>
      <c r="G231" s="289" t="n"/>
      <c r="H231" s="203" t="n"/>
    </row>
    <row r="232" ht="13" customHeight="1" s="189">
      <c r="A232" s="289" t="n"/>
      <c r="B232" s="203" t="n"/>
      <c r="C232" s="289" t="n"/>
      <c r="D232" s="289" t="n"/>
      <c r="E232" s="289" t="n"/>
      <c r="F232" s="289" t="n"/>
      <c r="G232" s="289" t="n"/>
      <c r="H232" s="203" t="n"/>
    </row>
    <row r="233" ht="13" customHeight="1" s="189">
      <c r="A233" s="289" t="n"/>
      <c r="B233" s="203" t="n"/>
      <c r="C233" s="289" t="n"/>
      <c r="D233" s="289" t="n"/>
      <c r="E233" s="289" t="n"/>
      <c r="F233" s="289" t="n"/>
      <c r="G233" s="289" t="n"/>
      <c r="H233" s="203" t="n"/>
    </row>
    <row r="234" ht="13" customHeight="1" s="189">
      <c r="A234" s="289" t="n"/>
      <c r="B234" s="203" t="n"/>
      <c r="C234" s="289" t="n"/>
      <c r="D234" s="289" t="n"/>
      <c r="E234" s="289" t="n"/>
      <c r="F234" s="289" t="n"/>
      <c r="G234" s="289" t="n"/>
      <c r="H234" s="203" t="n"/>
    </row>
    <row r="235" ht="13" customHeight="1" s="189">
      <c r="A235" s="289" t="n"/>
      <c r="B235" s="203" t="n"/>
      <c r="C235" s="289" t="n"/>
      <c r="D235" s="289" t="n"/>
      <c r="E235" s="289" t="n"/>
      <c r="F235" s="289" t="n"/>
      <c r="G235" s="289" t="n"/>
      <c r="H235" s="203" t="n"/>
    </row>
    <row r="236" ht="13" customHeight="1" s="189">
      <c r="A236" s="289" t="n"/>
      <c r="B236" s="203" t="n"/>
      <c r="C236" s="289" t="n"/>
      <c r="D236" s="289" t="n"/>
      <c r="E236" s="289" t="n"/>
      <c r="F236" s="289" t="n"/>
      <c r="G236" s="289" t="n"/>
      <c r="H236" s="203" t="n"/>
    </row>
    <row r="237" ht="13" customHeight="1" s="189">
      <c r="A237" s="289" t="n"/>
      <c r="B237" s="203" t="n"/>
      <c r="C237" s="289" t="n"/>
      <c r="D237" s="289" t="n"/>
      <c r="E237" s="289" t="n"/>
      <c r="F237" s="289" t="n"/>
      <c r="G237" s="289" t="n"/>
      <c r="H237" s="203" t="n"/>
    </row>
    <row r="238" ht="13" customHeight="1" s="189">
      <c r="A238" s="289" t="n"/>
      <c r="B238" s="203" t="n"/>
      <c r="C238" s="289" t="n"/>
      <c r="D238" s="289" t="n"/>
      <c r="E238" s="289" t="n"/>
      <c r="F238" s="289" t="n"/>
      <c r="G238" s="289" t="n"/>
      <c r="H238" s="203" t="n"/>
    </row>
    <row r="239" ht="13" customHeight="1" s="189">
      <c r="A239" s="289" t="n"/>
      <c r="B239" s="203" t="n"/>
      <c r="C239" s="289" t="n"/>
      <c r="D239" s="289" t="n"/>
      <c r="E239" s="289" t="n"/>
      <c r="F239" s="289" t="n"/>
      <c r="G239" s="289" t="n"/>
      <c r="H239" s="203" t="n"/>
    </row>
    <row r="240" ht="13" customHeight="1" s="189">
      <c r="A240" s="289" t="n"/>
      <c r="B240" s="203" t="n"/>
      <c r="C240" s="289" t="n"/>
      <c r="D240" s="289" t="n"/>
      <c r="E240" s="289" t="n"/>
      <c r="F240" s="289" t="n"/>
      <c r="G240" s="289" t="n"/>
      <c r="H240" s="203" t="n"/>
    </row>
    <row r="241" ht="13" customHeight="1" s="189">
      <c r="A241" s="289" t="n"/>
      <c r="B241" s="203" t="n"/>
      <c r="C241" s="289" t="n"/>
      <c r="D241" s="289" t="n"/>
      <c r="E241" s="289" t="n"/>
      <c r="F241" s="289" t="n"/>
      <c r="G241" s="289" t="n"/>
      <c r="H241" s="203" t="n"/>
    </row>
    <row r="242" ht="13" customHeight="1" s="189">
      <c r="A242" s="289" t="n"/>
      <c r="B242" s="203" t="n"/>
      <c r="C242" s="289" t="n"/>
      <c r="D242" s="289" t="n"/>
      <c r="E242" s="289" t="n"/>
      <c r="F242" s="289" t="n"/>
      <c r="G242" s="289" t="n"/>
      <c r="H242" s="203" t="n"/>
    </row>
    <row r="243" ht="13" customHeight="1" s="189">
      <c r="A243" s="289" t="n"/>
      <c r="B243" s="203" t="n"/>
      <c r="C243" s="289" t="n"/>
      <c r="D243" s="289" t="n"/>
      <c r="E243" s="289" t="n"/>
      <c r="F243" s="289" t="n"/>
      <c r="G243" s="289" t="n"/>
      <c r="H243" s="203" t="n"/>
    </row>
    <row r="244" ht="13" customHeight="1" s="189">
      <c r="A244" s="289" t="n"/>
      <c r="B244" s="203" t="n"/>
      <c r="C244" s="289" t="n"/>
      <c r="D244" s="289" t="n"/>
      <c r="E244" s="289" t="n"/>
      <c r="F244" s="289" t="n"/>
      <c r="G244" s="289" t="n"/>
      <c r="H244" s="203" t="n"/>
    </row>
    <row r="245" ht="13" customHeight="1" s="189">
      <c r="A245" s="289" t="n"/>
      <c r="B245" s="203" t="n"/>
      <c r="C245" s="289" t="n"/>
      <c r="D245" s="289" t="n"/>
      <c r="E245" s="289" t="n"/>
      <c r="F245" s="289" t="n"/>
      <c r="G245" s="289" t="n"/>
      <c r="H245" s="203" t="n"/>
    </row>
    <row r="246" ht="13" customHeight="1" s="189">
      <c r="A246" s="289" t="n"/>
      <c r="B246" s="203" t="n"/>
      <c r="C246" s="289" t="n"/>
      <c r="D246" s="289" t="n"/>
      <c r="E246" s="289" t="n"/>
      <c r="F246" s="289" t="n"/>
      <c r="G246" s="289" t="n"/>
      <c r="H246" s="203" t="n"/>
    </row>
    <row r="247" ht="13" customHeight="1" s="189">
      <c r="A247" s="289" t="n"/>
      <c r="B247" s="203" t="n"/>
      <c r="C247" s="289" t="n"/>
      <c r="D247" s="289" t="n"/>
      <c r="E247" s="289" t="n"/>
      <c r="F247" s="289" t="n"/>
      <c r="G247" s="289" t="n"/>
      <c r="H247" s="203" t="n"/>
    </row>
    <row r="248" ht="13" customHeight="1" s="189">
      <c r="A248" s="289" t="n"/>
      <c r="B248" s="203" t="n"/>
      <c r="C248" s="289" t="n"/>
      <c r="D248" s="289" t="n"/>
      <c r="E248" s="289" t="n"/>
      <c r="F248" s="289" t="n"/>
      <c r="G248" s="289" t="n"/>
      <c r="H248" s="203" t="n"/>
    </row>
    <row r="249" ht="13" customHeight="1" s="189">
      <c r="A249" s="289" t="n"/>
      <c r="B249" s="203" t="n"/>
      <c r="C249" s="289" t="n"/>
      <c r="D249" s="289" t="n"/>
      <c r="E249" s="289" t="n"/>
      <c r="F249" s="289" t="n"/>
      <c r="G249" s="289" t="n"/>
      <c r="H249" s="203" t="n"/>
    </row>
    <row r="250" ht="13" customHeight="1" s="189">
      <c r="A250" s="289" t="n"/>
      <c r="B250" s="203" t="n"/>
      <c r="C250" s="289" t="n"/>
      <c r="D250" s="289" t="n"/>
      <c r="E250" s="289" t="n"/>
      <c r="F250" s="289" t="n"/>
      <c r="G250" s="289" t="n"/>
      <c r="H250" s="203" t="n"/>
    </row>
    <row r="251" ht="13" customHeight="1" s="189">
      <c r="A251" s="289" t="n"/>
      <c r="B251" s="203" t="n"/>
      <c r="C251" s="289" t="n"/>
      <c r="D251" s="289" t="n"/>
      <c r="E251" s="289" t="n"/>
      <c r="F251" s="289" t="n"/>
      <c r="G251" s="289" t="n"/>
      <c r="H251" s="203" t="n"/>
    </row>
    <row r="252" ht="13" customHeight="1" s="189">
      <c r="A252" s="289" t="n"/>
      <c r="B252" s="203" t="n"/>
      <c r="C252" s="289" t="n"/>
      <c r="D252" s="289" t="n"/>
      <c r="E252" s="289" t="n"/>
      <c r="F252" s="289" t="n"/>
      <c r="G252" s="289" t="n"/>
      <c r="H252" s="203" t="n"/>
    </row>
    <row r="253" ht="13" customHeight="1" s="189">
      <c r="A253" s="289" t="n"/>
      <c r="B253" s="203" t="n"/>
      <c r="C253" s="289" t="n"/>
      <c r="D253" s="289" t="n"/>
      <c r="E253" s="289" t="n"/>
      <c r="F253" s="289" t="n"/>
      <c r="G253" s="289" t="n"/>
      <c r="H253" s="203" t="n"/>
    </row>
    <row r="254" ht="13" customHeight="1" s="189">
      <c r="A254" s="289" t="n"/>
      <c r="B254" s="203" t="n"/>
      <c r="C254" s="289" t="n"/>
      <c r="D254" s="289" t="n"/>
      <c r="E254" s="289" t="n"/>
      <c r="F254" s="289" t="n"/>
      <c r="G254" s="289" t="n"/>
      <c r="H254" s="203" t="n"/>
    </row>
    <row r="255" ht="13" customHeight="1" s="189">
      <c r="A255" s="289" t="n"/>
      <c r="B255" s="203" t="n"/>
      <c r="C255" s="289" t="n"/>
      <c r="D255" s="289" t="n"/>
      <c r="E255" s="289" t="n"/>
      <c r="F255" s="289" t="n"/>
      <c r="G255" s="289" t="n"/>
      <c r="H255" s="203" t="n"/>
    </row>
    <row r="256" ht="13" customHeight="1" s="189">
      <c r="A256" s="289" t="n"/>
      <c r="B256" s="203" t="n"/>
      <c r="C256" s="289" t="n"/>
      <c r="D256" s="289" t="n"/>
      <c r="E256" s="289" t="n"/>
      <c r="F256" s="289" t="n"/>
      <c r="G256" s="289" t="n"/>
      <c r="H256" s="203" t="n"/>
    </row>
    <row r="257" ht="13" customHeight="1" s="189">
      <c r="A257" s="289" t="n"/>
      <c r="B257" s="203" t="n"/>
      <c r="C257" s="289" t="n"/>
      <c r="D257" s="289" t="n"/>
      <c r="E257" s="289" t="n"/>
      <c r="F257" s="289" t="n"/>
      <c r="G257" s="289" t="n"/>
      <c r="H257" s="203" t="n"/>
    </row>
    <row r="258" ht="13" customHeight="1" s="189">
      <c r="A258" s="289" t="n"/>
      <c r="B258" s="203" t="n"/>
      <c r="C258" s="289" t="n"/>
      <c r="D258" s="289" t="n"/>
      <c r="E258" s="289" t="n"/>
      <c r="F258" s="289" t="n"/>
      <c r="G258" s="289" t="n"/>
      <c r="H258" s="203" t="n"/>
    </row>
    <row r="259" ht="13" customHeight="1" s="189">
      <c r="A259" s="289" t="n"/>
      <c r="B259" s="203" t="n"/>
      <c r="C259" s="289" t="n"/>
      <c r="D259" s="289" t="n"/>
      <c r="E259" s="289" t="n"/>
      <c r="F259" s="289" t="n"/>
      <c r="G259" s="289" t="n"/>
      <c r="H259" s="203" t="n"/>
    </row>
    <row r="260" ht="13" customHeight="1" s="189">
      <c r="A260" s="289" t="n"/>
      <c r="B260" s="203" t="n"/>
      <c r="C260" s="289" t="n"/>
      <c r="D260" s="289" t="n"/>
      <c r="E260" s="289" t="n"/>
      <c r="F260" s="289" t="n"/>
      <c r="G260" s="289" t="n"/>
      <c r="H260" s="203" t="n"/>
    </row>
    <row r="261" ht="13" customHeight="1" s="189">
      <c r="A261" s="289" t="n"/>
      <c r="B261" s="203" t="n"/>
      <c r="C261" s="289" t="n"/>
      <c r="D261" s="289" t="n"/>
      <c r="E261" s="289" t="n"/>
      <c r="F261" s="289" t="n"/>
      <c r="G261" s="289" t="n"/>
      <c r="H261" s="203" t="n"/>
    </row>
    <row r="262" ht="13" customHeight="1" s="189">
      <c r="A262" s="289" t="n"/>
      <c r="B262" s="203" t="n"/>
      <c r="C262" s="289" t="n"/>
      <c r="D262" s="289" t="n"/>
      <c r="E262" s="289" t="n"/>
      <c r="F262" s="289" t="n"/>
      <c r="G262" s="289" t="n"/>
      <c r="H262" s="203" t="n"/>
    </row>
    <row r="263" ht="13" customHeight="1" s="189">
      <c r="A263" s="289" t="n"/>
      <c r="B263" s="203" t="n"/>
      <c r="C263" s="289" t="n"/>
      <c r="D263" s="289" t="n"/>
      <c r="E263" s="289" t="n"/>
      <c r="F263" s="289" t="n"/>
      <c r="G263" s="289" t="n"/>
      <c r="H263" s="203" t="n"/>
    </row>
    <row r="264" ht="13" customHeight="1" s="189">
      <c r="A264" s="289" t="n"/>
      <c r="B264" s="203" t="n"/>
      <c r="C264" s="289" t="n"/>
      <c r="D264" s="289" t="n"/>
      <c r="E264" s="289" t="n"/>
      <c r="F264" s="289" t="n"/>
      <c r="G264" s="289" t="n"/>
      <c r="H264" s="203" t="n"/>
    </row>
    <row r="265" ht="13" customHeight="1" s="189">
      <c r="A265" s="289" t="n"/>
      <c r="B265" s="203" t="n"/>
      <c r="C265" s="289" t="n"/>
      <c r="D265" s="289" t="n"/>
      <c r="E265" s="289" t="n"/>
      <c r="F265" s="289" t="n"/>
      <c r="G265" s="289" t="n"/>
      <c r="H265" s="203" t="n"/>
    </row>
    <row r="266" ht="13" customHeight="1" s="189">
      <c r="A266" s="289" t="n"/>
      <c r="B266" s="203" t="n"/>
      <c r="C266" s="289" t="n"/>
      <c r="D266" s="289" t="n"/>
      <c r="E266" s="289" t="n"/>
      <c r="F266" s="289" t="n"/>
      <c r="G266" s="289" t="n"/>
      <c r="H266" s="203" t="n"/>
    </row>
    <row r="267" ht="13" customHeight="1" s="189">
      <c r="A267" s="289" t="n"/>
      <c r="B267" s="203" t="n"/>
      <c r="C267" s="289" t="n"/>
      <c r="D267" s="289" t="n"/>
      <c r="E267" s="289" t="n"/>
      <c r="F267" s="289" t="n"/>
      <c r="G267" s="289" t="n"/>
      <c r="H267" s="203" t="n"/>
    </row>
    <row r="268" ht="13" customHeight="1" s="189">
      <c r="A268" s="289" t="n"/>
      <c r="B268" s="203" t="n"/>
      <c r="C268" s="289" t="n"/>
      <c r="D268" s="289" t="n"/>
      <c r="E268" s="289" t="n"/>
      <c r="F268" s="289" t="n"/>
      <c r="G268" s="289" t="n"/>
      <c r="H268" s="203" t="n"/>
    </row>
    <row r="269" ht="13" customHeight="1" s="189">
      <c r="A269" s="289" t="n"/>
      <c r="B269" s="203" t="n"/>
      <c r="C269" s="289" t="n"/>
      <c r="D269" s="289" t="n"/>
      <c r="E269" s="289" t="n"/>
      <c r="F269" s="289" t="n"/>
      <c r="G269" s="289" t="n"/>
      <c r="H269" s="203" t="n"/>
    </row>
    <row r="270" ht="13" customHeight="1" s="189">
      <c r="A270" s="289" t="n"/>
      <c r="B270" s="203" t="n"/>
      <c r="C270" s="289" t="n"/>
      <c r="D270" s="289" t="n"/>
      <c r="E270" s="289" t="n"/>
      <c r="F270" s="289" t="n"/>
      <c r="G270" s="289" t="n"/>
      <c r="H270" s="203" t="n"/>
    </row>
    <row r="271" ht="13" customHeight="1" s="189">
      <c r="A271" s="289" t="n"/>
      <c r="B271" s="203" t="n"/>
      <c r="C271" s="289" t="n"/>
      <c r="D271" s="289" t="n"/>
      <c r="E271" s="289" t="n"/>
      <c r="F271" s="289" t="n"/>
      <c r="G271" s="289" t="n"/>
      <c r="H271" s="203" t="n"/>
    </row>
    <row r="272" ht="13" customHeight="1" s="189">
      <c r="A272" s="289" t="n"/>
      <c r="B272" s="203" t="n"/>
      <c r="C272" s="289" t="n"/>
      <c r="D272" s="289" t="n"/>
      <c r="E272" s="289" t="n"/>
      <c r="F272" s="289" t="n"/>
      <c r="G272" s="289" t="n"/>
      <c r="H272" s="203" t="n"/>
    </row>
    <row r="273" ht="13" customHeight="1" s="189">
      <c r="A273" s="289" t="n"/>
      <c r="B273" s="203" t="n"/>
      <c r="C273" s="289" t="n"/>
      <c r="D273" s="289" t="n"/>
      <c r="E273" s="289" t="n"/>
      <c r="F273" s="289" t="n"/>
      <c r="G273" s="289" t="n"/>
      <c r="H273" s="203" t="n"/>
    </row>
    <row r="274" ht="13" customHeight="1" s="189">
      <c r="A274" s="289" t="n"/>
      <c r="B274" s="203" t="n"/>
      <c r="C274" s="289" t="n"/>
      <c r="D274" s="289" t="n"/>
      <c r="E274" s="289" t="n"/>
      <c r="F274" s="289" t="n"/>
      <c r="G274" s="289" t="n"/>
      <c r="H274" s="203" t="n"/>
    </row>
    <row r="275" ht="13" customHeight="1" s="189">
      <c r="A275" s="289" t="n"/>
      <c r="B275" s="203" t="n"/>
      <c r="C275" s="289" t="n"/>
      <c r="D275" s="289" t="n"/>
      <c r="E275" s="289" t="n"/>
      <c r="F275" s="289" t="n"/>
      <c r="G275" s="289" t="n"/>
      <c r="H275" s="203" t="n"/>
    </row>
    <row r="276" ht="13" customHeight="1" s="189">
      <c r="A276" s="289" t="n"/>
      <c r="B276" s="203" t="n"/>
      <c r="C276" s="289" t="n"/>
      <c r="D276" s="289" t="n"/>
      <c r="E276" s="289" t="n"/>
      <c r="F276" s="289" t="n"/>
      <c r="G276" s="289" t="n"/>
      <c r="H276" s="203" t="n"/>
    </row>
    <row r="277" ht="13" customHeight="1" s="189">
      <c r="A277" s="289" t="n"/>
      <c r="B277" s="203" t="n"/>
      <c r="C277" s="289" t="n"/>
      <c r="D277" s="289" t="n"/>
      <c r="E277" s="289" t="n"/>
      <c r="F277" s="289" t="n"/>
      <c r="G277" s="289" t="n"/>
      <c r="H277" s="203" t="n"/>
    </row>
    <row r="278" ht="13" customHeight="1" s="189">
      <c r="A278" s="289" t="n"/>
      <c r="B278" s="203" t="n"/>
      <c r="C278" s="289" t="n"/>
      <c r="D278" s="289" t="n"/>
      <c r="E278" s="289" t="n"/>
      <c r="F278" s="289" t="n"/>
      <c r="G278" s="289" t="n"/>
      <c r="H278" s="203" t="n"/>
    </row>
    <row r="279" ht="13" customHeight="1" s="189">
      <c r="A279" s="289" t="n"/>
      <c r="B279" s="203" t="n"/>
      <c r="C279" s="289" t="n"/>
      <c r="D279" s="289" t="n"/>
      <c r="E279" s="289" t="n"/>
      <c r="F279" s="289" t="n"/>
      <c r="G279" s="289" t="n"/>
      <c r="H279" s="203" t="n"/>
    </row>
    <row r="280" ht="13" customHeight="1" s="189">
      <c r="A280" s="289" t="n"/>
      <c r="B280" s="203" t="n"/>
      <c r="C280" s="289" t="n"/>
      <c r="D280" s="289" t="n"/>
      <c r="E280" s="289" t="n"/>
      <c r="F280" s="289" t="n"/>
      <c r="G280" s="289" t="n"/>
      <c r="H280" s="203" t="n"/>
    </row>
    <row r="281" ht="13" customHeight="1" s="189">
      <c r="A281" s="289" t="n"/>
      <c r="B281" s="203" t="n"/>
      <c r="C281" s="289" t="n"/>
      <c r="D281" s="289" t="n"/>
      <c r="E281" s="289" t="n"/>
      <c r="F281" s="289" t="n"/>
      <c r="G281" s="289" t="n"/>
      <c r="H281" s="203" t="n"/>
    </row>
    <row r="282" ht="13" customHeight="1" s="189">
      <c r="A282" s="289" t="n"/>
      <c r="B282" s="203" t="n"/>
      <c r="C282" s="289" t="n"/>
      <c r="D282" s="289" t="n"/>
      <c r="E282" s="289" t="n"/>
      <c r="F282" s="289" t="n"/>
      <c r="G282" s="289" t="n"/>
      <c r="H282" s="203" t="n"/>
    </row>
    <row r="283" ht="13" customHeight="1" s="189">
      <c r="A283" s="289" t="n"/>
      <c r="B283" s="203" t="n"/>
      <c r="C283" s="289" t="n"/>
      <c r="D283" s="289" t="n"/>
      <c r="E283" s="289" t="n"/>
      <c r="F283" s="289" t="n"/>
      <c r="G283" s="289" t="n"/>
      <c r="H283" s="203" t="n"/>
    </row>
    <row r="284" ht="13" customHeight="1" s="189">
      <c r="A284" s="289" t="n"/>
      <c r="B284" s="203" t="n"/>
      <c r="C284" s="289" t="n"/>
      <c r="D284" s="289" t="n"/>
      <c r="E284" s="289" t="n"/>
      <c r="F284" s="289" t="n"/>
      <c r="G284" s="289" t="n"/>
      <c r="H284" s="203" t="n"/>
    </row>
    <row r="285" ht="13" customHeight="1" s="189">
      <c r="A285" s="289" t="n"/>
      <c r="B285" s="203" t="n"/>
      <c r="C285" s="289" t="n"/>
      <c r="D285" s="289" t="n"/>
      <c r="E285" s="289" t="n"/>
      <c r="F285" s="289" t="n"/>
      <c r="G285" s="289" t="n"/>
      <c r="H285" s="203" t="n"/>
    </row>
    <row r="286" ht="13" customHeight="1" s="189">
      <c r="A286" s="289" t="n"/>
      <c r="B286" s="203" t="n"/>
      <c r="C286" s="289" t="n"/>
      <c r="D286" s="289" t="n"/>
      <c r="E286" s="289" t="n"/>
      <c r="F286" s="289" t="n"/>
      <c r="G286" s="289" t="n"/>
      <c r="H286" s="203" t="n"/>
    </row>
    <row r="287" ht="13" customHeight="1" s="189">
      <c r="A287" s="289" t="n"/>
      <c r="B287" s="203" t="n"/>
      <c r="C287" s="289" t="n"/>
      <c r="D287" s="289" t="n"/>
      <c r="E287" s="289" t="n"/>
      <c r="F287" s="289" t="n"/>
      <c r="G287" s="289" t="n"/>
      <c r="H287" s="203" t="n"/>
    </row>
    <row r="288" ht="13" customHeight="1" s="189">
      <c r="A288" s="289" t="n"/>
      <c r="B288" s="203" t="n"/>
      <c r="C288" s="289" t="n"/>
      <c r="D288" s="289" t="n"/>
      <c r="E288" s="289" t="n"/>
      <c r="F288" s="289" t="n"/>
      <c r="G288" s="289" t="n"/>
      <c r="H288" s="203" t="n"/>
    </row>
    <row r="289" ht="13" customHeight="1" s="189">
      <c r="A289" s="289" t="n"/>
      <c r="B289" s="203" t="n"/>
      <c r="C289" s="289" t="n"/>
      <c r="D289" s="289" t="n"/>
      <c r="E289" s="289" t="n"/>
      <c r="F289" s="289" t="n"/>
      <c r="G289" s="289" t="n"/>
      <c r="H289" s="203" t="n"/>
    </row>
    <row r="290" ht="13" customHeight="1" s="189">
      <c r="A290" s="289" t="n"/>
      <c r="B290" s="203" t="n"/>
      <c r="C290" s="289" t="n"/>
      <c r="D290" s="289" t="n"/>
      <c r="E290" s="289" t="n"/>
      <c r="F290" s="289" t="n"/>
      <c r="G290" s="289" t="n"/>
      <c r="H290" s="203" t="n"/>
    </row>
    <row r="291" ht="13" customHeight="1" s="189">
      <c r="A291" s="289" t="n"/>
      <c r="B291" s="203" t="n"/>
      <c r="C291" s="289" t="n"/>
      <c r="D291" s="289" t="n"/>
      <c r="E291" s="289" t="n"/>
      <c r="F291" s="289" t="n"/>
      <c r="G291" s="289" t="n"/>
      <c r="H291" s="203" t="n"/>
    </row>
    <row r="292" ht="13" customHeight="1" s="189">
      <c r="A292" s="289" t="n"/>
      <c r="B292" s="203" t="n"/>
      <c r="C292" s="289" t="n"/>
      <c r="D292" s="289" t="n"/>
      <c r="E292" s="289" t="n"/>
      <c r="F292" s="289" t="n"/>
      <c r="G292" s="289" t="n"/>
      <c r="H292" s="203" t="n"/>
    </row>
    <row r="293" ht="13" customHeight="1" s="189">
      <c r="A293" s="289" t="n"/>
      <c r="B293" s="203" t="n"/>
      <c r="C293" s="289" t="n"/>
      <c r="D293" s="289" t="n"/>
      <c r="E293" s="289" t="n"/>
      <c r="F293" s="289" t="n"/>
      <c r="G293" s="289" t="n"/>
      <c r="H293" s="203" t="n"/>
    </row>
    <row r="294" ht="13" customHeight="1" s="189">
      <c r="A294" s="289" t="n"/>
      <c r="B294" s="203" t="n"/>
      <c r="C294" s="289" t="n"/>
      <c r="D294" s="289" t="n"/>
      <c r="E294" s="289" t="n"/>
      <c r="F294" s="289" t="n"/>
      <c r="G294" s="289" t="n"/>
      <c r="H294" s="203" t="n"/>
    </row>
    <row r="295" ht="13" customHeight="1" s="189">
      <c r="A295" s="289" t="n"/>
      <c r="B295" s="203" t="n"/>
      <c r="C295" s="289" t="n"/>
      <c r="D295" s="289" t="n"/>
      <c r="E295" s="289" t="n"/>
      <c r="F295" s="289" t="n"/>
      <c r="G295" s="289" t="n"/>
      <c r="H295" s="203" t="n"/>
    </row>
    <row r="296" ht="13" customHeight="1" s="189">
      <c r="A296" s="289" t="n"/>
      <c r="B296" s="203" t="n"/>
      <c r="C296" s="289" t="n"/>
      <c r="D296" s="289" t="n"/>
      <c r="E296" s="289" t="n"/>
      <c r="F296" s="289" t="n"/>
      <c r="G296" s="289" t="n"/>
      <c r="H296" s="203" t="n"/>
    </row>
    <row r="297" ht="13" customHeight="1" s="189">
      <c r="A297" s="289" t="n"/>
      <c r="B297" s="203" t="n"/>
      <c r="C297" s="289" t="n"/>
      <c r="D297" s="289" t="n"/>
      <c r="E297" s="289" t="n"/>
      <c r="F297" s="289" t="n"/>
      <c r="G297" s="289" t="n"/>
      <c r="H297" s="203" t="n"/>
    </row>
    <row r="298" ht="13" customHeight="1" s="189">
      <c r="A298" s="289" t="n"/>
      <c r="B298" s="203" t="n"/>
      <c r="C298" s="289" t="n"/>
      <c r="D298" s="289" t="n"/>
      <c r="E298" s="289" t="n"/>
      <c r="F298" s="289" t="n"/>
      <c r="G298" s="289" t="n"/>
      <c r="H298" s="203" t="n"/>
    </row>
    <row r="299" ht="13" customHeight="1" s="189">
      <c r="A299" s="289" t="n"/>
      <c r="B299" s="203" t="n"/>
      <c r="C299" s="289" t="n"/>
      <c r="D299" s="289" t="n"/>
      <c r="E299" s="289" t="n"/>
      <c r="F299" s="289" t="n"/>
      <c r="G299" s="289" t="n"/>
      <c r="H299" s="203" t="n"/>
    </row>
    <row r="300" ht="13" customHeight="1" s="189">
      <c r="A300" s="289" t="n"/>
      <c r="B300" s="203" t="n"/>
      <c r="C300" s="289" t="n"/>
      <c r="D300" s="289" t="n"/>
      <c r="E300" s="289" t="n"/>
      <c r="F300" s="289" t="n"/>
      <c r="G300" s="289" t="n"/>
      <c r="H300" s="203" t="n"/>
    </row>
    <row r="301" ht="13" customHeight="1" s="189">
      <c r="A301" s="289" t="n"/>
      <c r="B301" s="203" t="n"/>
      <c r="C301" s="289" t="n"/>
      <c r="D301" s="289" t="n"/>
      <c r="E301" s="289" t="n"/>
      <c r="F301" s="289" t="n"/>
      <c r="G301" s="289" t="n"/>
      <c r="H301" s="203" t="n"/>
    </row>
    <row r="302" ht="13" customHeight="1" s="189">
      <c r="A302" s="289" t="n"/>
      <c r="B302" s="203" t="n"/>
      <c r="C302" s="289" t="n"/>
      <c r="D302" s="289" t="n"/>
      <c r="E302" s="289" t="n"/>
      <c r="F302" s="289" t="n"/>
      <c r="G302" s="289" t="n"/>
      <c r="H302" s="203" t="n"/>
    </row>
    <row r="303" ht="13" customHeight="1" s="189">
      <c r="A303" s="289" t="n"/>
      <c r="B303" s="203" t="n"/>
      <c r="C303" s="289" t="n"/>
      <c r="D303" s="289" t="n"/>
      <c r="E303" s="289" t="n"/>
      <c r="F303" s="289" t="n"/>
      <c r="G303" s="289" t="n"/>
      <c r="H303" s="203" t="n"/>
    </row>
    <row r="304" ht="13" customHeight="1" s="189">
      <c r="A304" s="289" t="n"/>
      <c r="B304" s="203" t="n"/>
      <c r="C304" s="289" t="n"/>
      <c r="D304" s="289" t="n"/>
      <c r="E304" s="289" t="n"/>
      <c r="F304" s="289" t="n"/>
      <c r="G304" s="289" t="n"/>
      <c r="H304" s="203" t="n"/>
    </row>
    <row r="305" ht="13" customHeight="1" s="189">
      <c r="A305" s="289" t="n"/>
      <c r="B305" s="203" t="n"/>
      <c r="C305" s="289" t="n"/>
      <c r="D305" s="289" t="n"/>
      <c r="E305" s="289" t="n"/>
      <c r="F305" s="289" t="n"/>
      <c r="G305" s="289" t="n"/>
      <c r="H305" s="203" t="n"/>
    </row>
    <row r="306" ht="13" customHeight="1" s="189">
      <c r="A306" s="289" t="n"/>
      <c r="B306" s="203" t="n"/>
      <c r="C306" s="289" t="n"/>
      <c r="D306" s="289" t="n"/>
      <c r="E306" s="289" t="n"/>
      <c r="F306" s="289" t="n"/>
      <c r="G306" s="289" t="n"/>
      <c r="H306" s="203" t="n"/>
    </row>
    <row r="307" ht="13" customHeight="1" s="189">
      <c r="A307" s="289" t="n"/>
      <c r="B307" s="203" t="n"/>
      <c r="C307" s="289" t="n"/>
      <c r="D307" s="289" t="n"/>
      <c r="E307" s="289" t="n"/>
      <c r="F307" s="289" t="n"/>
      <c r="G307" s="289" t="n"/>
      <c r="H307" s="203" t="n"/>
    </row>
    <row r="308" ht="13" customHeight="1" s="189">
      <c r="A308" s="289" t="n"/>
      <c r="B308" s="203" t="n"/>
      <c r="C308" s="289" t="n"/>
      <c r="D308" s="289" t="n"/>
      <c r="E308" s="289" t="n"/>
      <c r="F308" s="289" t="n"/>
      <c r="G308" s="289" t="n"/>
      <c r="H308" s="203" t="n"/>
    </row>
    <row r="309" ht="13" customHeight="1" s="189">
      <c r="A309" s="289" t="n"/>
      <c r="B309" s="203" t="n"/>
      <c r="C309" s="289" t="n"/>
      <c r="D309" s="289" t="n"/>
      <c r="E309" s="289" t="n"/>
      <c r="F309" s="289" t="n"/>
      <c r="G309" s="289" t="n"/>
      <c r="H309" s="203" t="n"/>
    </row>
    <row r="310" ht="13" customHeight="1" s="189">
      <c r="A310" s="289" t="n"/>
      <c r="B310" s="203" t="n"/>
      <c r="C310" s="289" t="n"/>
      <c r="D310" s="289" t="n"/>
      <c r="E310" s="289" t="n"/>
      <c r="F310" s="289" t="n"/>
      <c r="G310" s="289" t="n"/>
      <c r="H310" s="203" t="n"/>
    </row>
    <row r="311" ht="13" customHeight="1" s="189">
      <c r="A311" s="289" t="n"/>
      <c r="B311" s="203" t="n"/>
      <c r="C311" s="289" t="n"/>
      <c r="D311" s="289" t="n"/>
      <c r="E311" s="289" t="n"/>
      <c r="F311" s="289" t="n"/>
      <c r="G311" s="289" t="n"/>
      <c r="H311" s="203" t="n"/>
    </row>
    <row r="312" ht="13" customHeight="1" s="189">
      <c r="A312" s="289" t="n"/>
      <c r="B312" s="203" t="n"/>
      <c r="C312" s="289" t="n"/>
      <c r="D312" s="289" t="n"/>
      <c r="E312" s="289" t="n"/>
      <c r="F312" s="289" t="n"/>
      <c r="G312" s="289" t="n"/>
      <c r="H312" s="203" t="n"/>
    </row>
    <row r="313" ht="13" customHeight="1" s="189">
      <c r="A313" s="289" t="n"/>
      <c r="B313" s="203" t="n"/>
      <c r="C313" s="289" t="n"/>
      <c r="D313" s="289" t="n"/>
      <c r="E313" s="289" t="n"/>
      <c r="F313" s="289" t="n"/>
      <c r="G313" s="289" t="n"/>
      <c r="H313" s="203" t="n"/>
    </row>
    <row r="314" ht="13" customHeight="1" s="189">
      <c r="A314" s="289" t="n"/>
      <c r="B314" s="203" t="n"/>
      <c r="C314" s="289" t="n"/>
      <c r="D314" s="289" t="n"/>
      <c r="E314" s="289" t="n"/>
      <c r="F314" s="289" t="n"/>
      <c r="G314" s="289" t="n"/>
      <c r="H314" s="203" t="n"/>
    </row>
    <row r="315" ht="13" customHeight="1" s="189">
      <c r="A315" s="289" t="n"/>
      <c r="B315" s="203" t="n"/>
      <c r="C315" s="289" t="n"/>
      <c r="D315" s="289" t="n"/>
      <c r="E315" s="289" t="n"/>
      <c r="F315" s="289" t="n"/>
      <c r="G315" s="289" t="n"/>
      <c r="H315" s="203" t="n"/>
    </row>
    <row r="316" ht="13" customHeight="1" s="189">
      <c r="A316" s="289" t="n"/>
      <c r="B316" s="203" t="n"/>
      <c r="C316" s="289" t="n"/>
      <c r="D316" s="289" t="n"/>
      <c r="E316" s="289" t="n"/>
      <c r="F316" s="289" t="n"/>
      <c r="G316" s="289" t="n"/>
      <c r="H316" s="203" t="n"/>
    </row>
    <row r="317" ht="13" customHeight="1" s="189">
      <c r="A317" s="289" t="n"/>
      <c r="B317" s="203" t="n"/>
      <c r="C317" s="289" t="n"/>
      <c r="D317" s="289" t="n"/>
      <c r="E317" s="289" t="n"/>
      <c r="F317" s="289" t="n"/>
      <c r="G317" s="289" t="n"/>
      <c r="H317" s="203" t="n"/>
    </row>
    <row r="318" ht="13" customHeight="1" s="189">
      <c r="A318" s="289" t="n"/>
      <c r="B318" s="203" t="n"/>
      <c r="C318" s="289" t="n"/>
      <c r="D318" s="289" t="n"/>
      <c r="E318" s="289" t="n"/>
      <c r="F318" s="289" t="n"/>
      <c r="G318" s="289" t="n"/>
      <c r="H318" s="203" t="n"/>
    </row>
    <row r="319" ht="13" customHeight="1" s="189">
      <c r="A319" s="289" t="n"/>
      <c r="B319" s="203" t="n"/>
      <c r="C319" s="289" t="n"/>
      <c r="D319" s="289" t="n"/>
      <c r="E319" s="289" t="n"/>
      <c r="F319" s="289" t="n"/>
      <c r="G319" s="289" t="n"/>
      <c r="H319" s="203" t="n"/>
    </row>
    <row r="320" ht="13" customHeight="1" s="189">
      <c r="A320" s="289" t="n"/>
      <c r="B320" s="203" t="n"/>
      <c r="C320" s="289" t="n"/>
      <c r="D320" s="289" t="n"/>
      <c r="E320" s="289" t="n"/>
      <c r="F320" s="289" t="n"/>
      <c r="G320" s="289" t="n"/>
      <c r="H320" s="203" t="n"/>
    </row>
    <row r="321" ht="13" customHeight="1" s="189">
      <c r="A321" s="289" t="n"/>
      <c r="B321" s="203" t="n"/>
      <c r="C321" s="289" t="n"/>
      <c r="D321" s="289" t="n"/>
      <c r="E321" s="289" t="n"/>
      <c r="F321" s="289" t="n"/>
      <c r="G321" s="289" t="n"/>
      <c r="H321" s="203" t="n"/>
    </row>
    <row r="322" ht="13" customHeight="1" s="189">
      <c r="A322" s="289" t="n"/>
      <c r="B322" s="203" t="n"/>
      <c r="C322" s="289" t="n"/>
      <c r="D322" s="289" t="n"/>
      <c r="E322" s="289" t="n"/>
      <c r="F322" s="289" t="n"/>
      <c r="G322" s="289" t="n"/>
      <c r="H322" s="203" t="n"/>
    </row>
    <row r="323" ht="13" customHeight="1" s="189">
      <c r="A323" s="289" t="n"/>
      <c r="B323" s="203" t="n"/>
      <c r="C323" s="289" t="n"/>
      <c r="D323" s="289" t="n"/>
      <c r="E323" s="289" t="n"/>
      <c r="F323" s="289" t="n"/>
      <c r="G323" s="289" t="n"/>
      <c r="H323" s="203" t="n"/>
    </row>
    <row r="324" ht="13" customHeight="1" s="189">
      <c r="A324" s="289" t="n"/>
      <c r="B324" s="203" t="n"/>
      <c r="C324" s="289" t="n"/>
      <c r="D324" s="289" t="n"/>
      <c r="E324" s="289" t="n"/>
      <c r="F324" s="289" t="n"/>
      <c r="G324" s="289" t="n"/>
      <c r="H324" s="203" t="n"/>
    </row>
    <row r="325" ht="13" customHeight="1" s="189">
      <c r="A325" s="289" t="n"/>
      <c r="B325" s="203" t="n"/>
      <c r="C325" s="289" t="n"/>
      <c r="D325" s="289" t="n"/>
      <c r="E325" s="289" t="n"/>
      <c r="F325" s="289" t="n"/>
      <c r="G325" s="289" t="n"/>
      <c r="H325" s="203" t="n"/>
    </row>
    <row r="326" ht="13" customHeight="1" s="189">
      <c r="A326" s="289" t="n"/>
      <c r="B326" s="203" t="n"/>
      <c r="C326" s="289" t="n"/>
      <c r="D326" s="289" t="n"/>
      <c r="E326" s="289" t="n"/>
      <c r="F326" s="289" t="n"/>
      <c r="G326" s="289" t="n"/>
      <c r="H326" s="203" t="n"/>
    </row>
    <row r="327" ht="13" customHeight="1" s="189">
      <c r="A327" s="289" t="n"/>
      <c r="B327" s="203" t="n"/>
      <c r="C327" s="289" t="n"/>
      <c r="D327" s="289" t="n"/>
      <c r="E327" s="289" t="n"/>
      <c r="F327" s="289" t="n"/>
      <c r="G327" s="289" t="n"/>
      <c r="H327" s="203" t="n"/>
    </row>
    <row r="328" ht="13" customHeight="1" s="189">
      <c r="A328" s="289" t="n"/>
      <c r="B328" s="203" t="n"/>
      <c r="C328" s="289" t="n"/>
      <c r="D328" s="289" t="n"/>
      <c r="E328" s="289" t="n"/>
      <c r="F328" s="289" t="n"/>
      <c r="G328" s="289" t="n"/>
      <c r="H328" s="203" t="n"/>
    </row>
    <row r="329" ht="13" customHeight="1" s="189">
      <c r="A329" s="289" t="n"/>
      <c r="B329" s="203" t="n"/>
      <c r="C329" s="289" t="n"/>
      <c r="D329" s="289" t="n"/>
      <c r="E329" s="289" t="n"/>
      <c r="F329" s="289" t="n"/>
      <c r="G329" s="289" t="n"/>
      <c r="H329" s="203" t="n"/>
    </row>
    <row r="330" ht="13" customHeight="1" s="189">
      <c r="A330" s="289" t="n"/>
      <c r="B330" s="203" t="n"/>
      <c r="C330" s="289" t="n"/>
      <c r="D330" s="289" t="n"/>
      <c r="E330" s="289" t="n"/>
      <c r="F330" s="289" t="n"/>
      <c r="G330" s="289" t="n"/>
      <c r="H330" s="203" t="n"/>
    </row>
    <row r="331" ht="13" customHeight="1" s="189">
      <c r="A331" s="289" t="n"/>
      <c r="B331" s="203" t="n"/>
      <c r="C331" s="289" t="n"/>
      <c r="D331" s="289" t="n"/>
      <c r="E331" s="289" t="n"/>
      <c r="F331" s="289" t="n"/>
      <c r="G331" s="289" t="n"/>
      <c r="H331" s="203" t="n"/>
    </row>
    <row r="332" ht="13" customHeight="1" s="189">
      <c r="A332" s="289" t="n"/>
      <c r="B332" s="203" t="n"/>
      <c r="C332" s="289" t="n"/>
      <c r="D332" s="289" t="n"/>
      <c r="E332" s="289" t="n"/>
      <c r="F332" s="289" t="n"/>
      <c r="G332" s="289" t="n"/>
      <c r="H332" s="203" t="n"/>
    </row>
    <row r="333" ht="13" customHeight="1" s="189">
      <c r="A333" s="289" t="n"/>
      <c r="B333" s="203" t="n"/>
      <c r="C333" s="289" t="n"/>
      <c r="D333" s="289" t="n"/>
      <c r="E333" s="289" t="n"/>
      <c r="F333" s="289" t="n"/>
      <c r="G333" s="289" t="n"/>
      <c r="H333" s="203" t="n"/>
    </row>
    <row r="334" ht="13" customHeight="1" s="189">
      <c r="A334" s="289" t="n"/>
      <c r="B334" s="203" t="n"/>
      <c r="C334" s="289" t="n"/>
      <c r="D334" s="289" t="n"/>
      <c r="E334" s="289" t="n"/>
      <c r="F334" s="289" t="n"/>
      <c r="G334" s="289" t="n"/>
      <c r="H334" s="203" t="n"/>
    </row>
    <row r="335" ht="13" customHeight="1" s="189">
      <c r="A335" s="289" t="n"/>
      <c r="B335" s="203" t="n"/>
      <c r="C335" s="289" t="n"/>
      <c r="D335" s="289" t="n"/>
      <c r="E335" s="289" t="n"/>
      <c r="F335" s="289" t="n"/>
      <c r="G335" s="289" t="n"/>
      <c r="H335" s="203" t="n"/>
    </row>
    <row r="336" ht="13" customHeight="1" s="189">
      <c r="A336" s="289" t="n"/>
      <c r="B336" s="203" t="n"/>
      <c r="C336" s="289" t="n"/>
      <c r="D336" s="289" t="n"/>
      <c r="E336" s="289" t="n"/>
      <c r="F336" s="289" t="n"/>
      <c r="G336" s="289" t="n"/>
      <c r="H336" s="203" t="n"/>
    </row>
    <row r="337" ht="13" customHeight="1" s="189">
      <c r="A337" s="289" t="n"/>
      <c r="B337" s="203" t="n"/>
      <c r="C337" s="289" t="n"/>
      <c r="D337" s="289" t="n"/>
      <c r="E337" s="289" t="n"/>
      <c r="F337" s="289" t="n"/>
      <c r="G337" s="289" t="n"/>
      <c r="H337" s="203" t="n"/>
    </row>
    <row r="338" ht="13" customHeight="1" s="189">
      <c r="A338" s="289" t="n"/>
      <c r="B338" s="203" t="n"/>
      <c r="C338" s="289" t="n"/>
      <c r="D338" s="289" t="n"/>
      <c r="E338" s="289" t="n"/>
      <c r="F338" s="289" t="n"/>
      <c r="G338" s="289" t="n"/>
      <c r="H338" s="203" t="n"/>
    </row>
    <row r="339" ht="13" customHeight="1" s="189">
      <c r="A339" s="289" t="n"/>
      <c r="B339" s="203" t="n"/>
      <c r="C339" s="289" t="n"/>
      <c r="D339" s="289" t="n"/>
      <c r="E339" s="289" t="n"/>
      <c r="F339" s="289" t="n"/>
      <c r="G339" s="289" t="n"/>
      <c r="H339" s="203" t="n"/>
    </row>
    <row r="340" ht="13" customHeight="1" s="189">
      <c r="A340" s="289" t="n"/>
      <c r="B340" s="203" t="n"/>
      <c r="C340" s="289" t="n"/>
      <c r="D340" s="289" t="n"/>
      <c r="E340" s="289" t="n"/>
      <c r="F340" s="289" t="n"/>
      <c r="G340" s="289" t="n"/>
      <c r="H340" s="203" t="n"/>
    </row>
    <row r="341" ht="13" customHeight="1" s="189">
      <c r="A341" s="289" t="n"/>
      <c r="B341" s="203" t="n"/>
      <c r="C341" s="289" t="n"/>
      <c r="D341" s="289" t="n"/>
      <c r="E341" s="289" t="n"/>
      <c r="F341" s="289" t="n"/>
      <c r="G341" s="289" t="n"/>
      <c r="H341" s="203" t="n"/>
    </row>
    <row r="342" ht="13" customHeight="1" s="189">
      <c r="A342" s="289" t="n"/>
      <c r="B342" s="203" t="n"/>
      <c r="C342" s="289" t="n"/>
      <c r="D342" s="289" t="n"/>
      <c r="E342" s="289" t="n"/>
      <c r="F342" s="289" t="n"/>
      <c r="G342" s="289" t="n"/>
      <c r="H342" s="203" t="n"/>
    </row>
    <row r="343" ht="13" customHeight="1" s="189">
      <c r="A343" s="289" t="n"/>
      <c r="B343" s="203" t="n"/>
      <c r="C343" s="289" t="n"/>
      <c r="D343" s="289" t="n"/>
      <c r="E343" s="289" t="n"/>
      <c r="F343" s="289" t="n"/>
      <c r="G343" s="289" t="n"/>
      <c r="H343" s="203" t="n"/>
    </row>
    <row r="344" ht="13" customHeight="1" s="189">
      <c r="A344" s="289" t="n"/>
      <c r="B344" s="203" t="n"/>
      <c r="C344" s="289" t="n"/>
      <c r="D344" s="289" t="n"/>
      <c r="E344" s="289" t="n"/>
      <c r="F344" s="289" t="n"/>
      <c r="G344" s="289" t="n"/>
      <c r="H344" s="203" t="n"/>
    </row>
    <row r="345" ht="13" customHeight="1" s="189">
      <c r="A345" s="289" t="n"/>
      <c r="B345" s="203" t="n"/>
      <c r="C345" s="289" t="n"/>
      <c r="D345" s="289" t="n"/>
      <c r="E345" s="289" t="n"/>
      <c r="F345" s="289" t="n"/>
      <c r="G345" s="289" t="n"/>
      <c r="H345" s="203" t="n"/>
    </row>
    <row r="346" ht="13" customHeight="1" s="189">
      <c r="A346" s="289" t="n"/>
      <c r="B346" s="203" t="n"/>
      <c r="C346" s="289" t="n"/>
      <c r="D346" s="289" t="n"/>
      <c r="E346" s="289" t="n"/>
      <c r="F346" s="289" t="n"/>
      <c r="G346" s="289" t="n"/>
      <c r="H346" s="203" t="n"/>
    </row>
    <row r="347" ht="13" customHeight="1" s="189">
      <c r="A347" s="289" t="n"/>
      <c r="B347" s="203" t="n"/>
      <c r="C347" s="289" t="n"/>
      <c r="D347" s="289" t="n"/>
      <c r="E347" s="289" t="n"/>
      <c r="F347" s="289" t="n"/>
      <c r="G347" s="289" t="n"/>
      <c r="H347" s="203" t="n"/>
    </row>
    <row r="348" ht="13" customHeight="1" s="189">
      <c r="A348" s="289" t="n"/>
      <c r="B348" s="203" t="n"/>
      <c r="C348" s="289" t="n"/>
      <c r="D348" s="289" t="n"/>
      <c r="E348" s="289" t="n"/>
      <c r="F348" s="289" t="n"/>
      <c r="G348" s="289" t="n"/>
      <c r="H348" s="203" t="n"/>
    </row>
    <row r="349" ht="13" customHeight="1" s="189">
      <c r="A349" s="289" t="n"/>
      <c r="B349" s="203" t="n"/>
      <c r="C349" s="289" t="n"/>
      <c r="D349" s="289" t="n"/>
      <c r="E349" s="289" t="n"/>
      <c r="F349" s="289" t="n"/>
      <c r="G349" s="289" t="n"/>
      <c r="H349" s="203" t="n"/>
    </row>
    <row r="350" ht="13" customHeight="1" s="189">
      <c r="A350" s="289" t="n"/>
      <c r="B350" s="203" t="n"/>
      <c r="C350" s="289" t="n"/>
      <c r="D350" s="289" t="n"/>
      <c r="E350" s="289" t="n"/>
      <c r="F350" s="289" t="n"/>
      <c r="G350" s="289" t="n"/>
      <c r="H350" s="203" t="n"/>
    </row>
    <row r="351" ht="13" customHeight="1" s="189">
      <c r="A351" s="289" t="n"/>
      <c r="B351" s="203" t="n"/>
      <c r="C351" s="289" t="n"/>
      <c r="D351" s="289" t="n"/>
      <c r="E351" s="289" t="n"/>
      <c r="F351" s="289" t="n"/>
      <c r="G351" s="289" t="n"/>
      <c r="H351" s="203" t="n"/>
    </row>
    <row r="352" ht="13" customHeight="1" s="189">
      <c r="A352" s="289" t="n"/>
      <c r="B352" s="203" t="n"/>
      <c r="C352" s="289" t="n"/>
      <c r="D352" s="289" t="n"/>
      <c r="E352" s="289" t="n"/>
      <c r="F352" s="289" t="n"/>
      <c r="G352" s="289" t="n"/>
      <c r="H352" s="203" t="n"/>
    </row>
    <row r="353" ht="13" customHeight="1" s="189">
      <c r="A353" s="289" t="n"/>
      <c r="B353" s="203" t="n"/>
      <c r="C353" s="289" t="n"/>
      <c r="D353" s="289" t="n"/>
      <c r="E353" s="289" t="n"/>
      <c r="F353" s="289" t="n"/>
      <c r="G353" s="289" t="n"/>
      <c r="H353" s="203" t="n"/>
    </row>
    <row r="354" ht="13" customHeight="1" s="189">
      <c r="A354" s="289" t="n"/>
      <c r="B354" s="203" t="n"/>
      <c r="C354" s="289" t="n"/>
      <c r="D354" s="289" t="n"/>
      <c r="E354" s="289" t="n"/>
      <c r="F354" s="289" t="n"/>
      <c r="G354" s="289" t="n"/>
      <c r="H354" s="203" t="n"/>
    </row>
    <row r="355" ht="13" customHeight="1" s="189">
      <c r="A355" s="289" t="n"/>
      <c r="B355" s="203" t="n"/>
      <c r="C355" s="289" t="n"/>
      <c r="D355" s="289" t="n"/>
      <c r="E355" s="289" t="n"/>
      <c r="F355" s="289" t="n"/>
      <c r="G355" s="289" t="n"/>
      <c r="H355" s="203" t="n"/>
    </row>
    <row r="356" ht="13" customHeight="1" s="189">
      <c r="A356" s="289" t="n"/>
      <c r="B356" s="203" t="n"/>
      <c r="C356" s="289" t="n"/>
      <c r="D356" s="289" t="n"/>
      <c r="E356" s="289" t="n"/>
      <c r="F356" s="289" t="n"/>
      <c r="G356" s="289" t="n"/>
      <c r="H356" s="203" t="n"/>
    </row>
    <row r="357" ht="13" customHeight="1" s="189">
      <c r="A357" s="289" t="n"/>
      <c r="B357" s="203" t="n"/>
      <c r="C357" s="289" t="n"/>
      <c r="D357" s="289" t="n"/>
      <c r="E357" s="289" t="n"/>
      <c r="F357" s="289" t="n"/>
      <c r="G357" s="289" t="n"/>
      <c r="H357" s="203" t="n"/>
    </row>
    <row r="358" ht="13" customHeight="1" s="189">
      <c r="A358" s="289" t="n"/>
      <c r="B358" s="203" t="n"/>
      <c r="C358" s="289" t="n"/>
      <c r="D358" s="289" t="n"/>
      <c r="E358" s="289" t="n"/>
      <c r="F358" s="289" t="n"/>
      <c r="G358" s="289" t="n"/>
      <c r="H358" s="203" t="n"/>
    </row>
    <row r="359" ht="13" customHeight="1" s="189">
      <c r="A359" s="289" t="n"/>
      <c r="B359" s="203" t="n"/>
      <c r="C359" s="289" t="n"/>
      <c r="D359" s="289" t="n"/>
      <c r="E359" s="289" t="n"/>
      <c r="F359" s="289" t="n"/>
      <c r="G359" s="289" t="n"/>
      <c r="H359" s="203" t="n"/>
    </row>
    <row r="360" ht="13" customHeight="1" s="189">
      <c r="A360" s="289" t="n"/>
      <c r="B360" s="203" t="n"/>
      <c r="C360" s="289" t="n"/>
      <c r="D360" s="289" t="n"/>
      <c r="E360" s="289" t="n"/>
      <c r="F360" s="289" t="n"/>
      <c r="G360" s="289" t="n"/>
      <c r="H360" s="203" t="n"/>
    </row>
    <row r="361" ht="13" customHeight="1" s="189">
      <c r="A361" s="289" t="n"/>
      <c r="B361" s="203" t="n"/>
      <c r="C361" s="289" t="n"/>
      <c r="D361" s="289" t="n"/>
      <c r="E361" s="289" t="n"/>
      <c r="F361" s="289" t="n"/>
      <c r="G361" s="289" t="n"/>
      <c r="H361" s="203" t="n"/>
    </row>
    <row r="362" ht="13" customHeight="1" s="189">
      <c r="A362" s="289" t="n"/>
      <c r="B362" s="203" t="n"/>
      <c r="C362" s="289" t="n"/>
      <c r="D362" s="289" t="n"/>
      <c r="E362" s="289" t="n"/>
      <c r="F362" s="289" t="n"/>
      <c r="G362" s="289" t="n"/>
      <c r="H362" s="203" t="n"/>
    </row>
    <row r="363" ht="13" customHeight="1" s="189">
      <c r="A363" s="289" t="n"/>
      <c r="B363" s="203" t="n"/>
      <c r="C363" s="289" t="n"/>
      <c r="D363" s="289" t="n"/>
      <c r="E363" s="289" t="n"/>
      <c r="F363" s="289" t="n"/>
      <c r="G363" s="289" t="n"/>
      <c r="H363" s="203" t="n"/>
    </row>
    <row r="364" ht="13" customHeight="1" s="189">
      <c r="A364" s="289" t="n"/>
      <c r="B364" s="203" t="n"/>
      <c r="C364" s="289" t="n"/>
      <c r="D364" s="289" t="n"/>
      <c r="E364" s="289" t="n"/>
      <c r="F364" s="289" t="n"/>
      <c r="G364" s="289" t="n"/>
      <c r="H364" s="203" t="n"/>
    </row>
    <row r="365" ht="13" customHeight="1" s="189">
      <c r="A365" s="289" t="n"/>
      <c r="B365" s="203" t="n"/>
      <c r="C365" s="289" t="n"/>
      <c r="D365" s="289" t="n"/>
      <c r="E365" s="289" t="n"/>
      <c r="F365" s="289" t="n"/>
      <c r="G365" s="289" t="n"/>
      <c r="H365" s="203" t="n"/>
    </row>
    <row r="366" ht="13" customHeight="1" s="189">
      <c r="A366" s="289" t="n"/>
      <c r="B366" s="203" t="n"/>
      <c r="C366" s="289" t="n"/>
      <c r="D366" s="289" t="n"/>
      <c r="E366" s="289" t="n"/>
      <c r="F366" s="289" t="n"/>
      <c r="G366" s="289" t="n"/>
      <c r="H366" s="203" t="n"/>
    </row>
    <row r="367" ht="13" customHeight="1" s="189">
      <c r="A367" s="289" t="n"/>
      <c r="B367" s="203" t="n"/>
      <c r="C367" s="289" t="n"/>
      <c r="D367" s="289" t="n"/>
      <c r="E367" s="289" t="n"/>
      <c r="F367" s="289" t="n"/>
      <c r="G367" s="289" t="n"/>
      <c r="H367" s="203" t="n"/>
    </row>
    <row r="368" ht="13" customHeight="1" s="189">
      <c r="A368" s="289" t="n"/>
      <c r="B368" s="203" t="n"/>
      <c r="C368" s="289" t="n"/>
      <c r="D368" s="289" t="n"/>
      <c r="E368" s="289" t="n"/>
      <c r="F368" s="289" t="n"/>
      <c r="G368" s="289" t="n"/>
      <c r="H368" s="203" t="n"/>
    </row>
    <row r="369" ht="13" customHeight="1" s="189">
      <c r="A369" s="289" t="n"/>
      <c r="B369" s="203" t="n"/>
      <c r="C369" s="289" t="n"/>
      <c r="D369" s="289" t="n"/>
      <c r="E369" s="289" t="n"/>
      <c r="F369" s="289" t="n"/>
      <c r="G369" s="289" t="n"/>
      <c r="H369" s="203" t="n"/>
    </row>
    <row r="370" ht="13" customHeight="1" s="189">
      <c r="A370" s="289" t="n"/>
      <c r="B370" s="203" t="n"/>
      <c r="C370" s="289" t="n"/>
      <c r="D370" s="289" t="n"/>
      <c r="E370" s="289" t="n"/>
      <c r="F370" s="289" t="n"/>
      <c r="G370" s="289" t="n"/>
      <c r="H370" s="203" t="n"/>
    </row>
    <row r="371" ht="13" customHeight="1" s="189">
      <c r="A371" s="289" t="n"/>
      <c r="B371" s="203" t="n"/>
      <c r="C371" s="289" t="n"/>
      <c r="D371" s="289" t="n"/>
      <c r="E371" s="289" t="n"/>
      <c r="F371" s="289" t="n"/>
      <c r="G371" s="289" t="n"/>
      <c r="H371" s="203" t="n"/>
    </row>
    <row r="372" ht="13" customHeight="1" s="189">
      <c r="A372" s="289" t="n"/>
      <c r="B372" s="203" t="n"/>
      <c r="C372" s="289" t="n"/>
      <c r="D372" s="289" t="n"/>
      <c r="E372" s="289" t="n"/>
      <c r="F372" s="289" t="n"/>
      <c r="G372" s="289" t="n"/>
      <c r="H372" s="203" t="n"/>
    </row>
    <row r="373" ht="13" customHeight="1" s="189">
      <c r="A373" s="289" t="n"/>
      <c r="B373" s="203" t="n"/>
      <c r="C373" s="289" t="n"/>
      <c r="D373" s="289" t="n"/>
      <c r="E373" s="289" t="n"/>
      <c r="F373" s="289" t="n"/>
      <c r="G373" s="289" t="n"/>
      <c r="H373" s="203" t="n"/>
    </row>
    <row r="374" ht="13" customHeight="1" s="189">
      <c r="A374" s="289" t="n"/>
      <c r="B374" s="203" t="n"/>
      <c r="C374" s="289" t="n"/>
      <c r="D374" s="289" t="n"/>
      <c r="E374" s="289" t="n"/>
      <c r="F374" s="289" t="n"/>
      <c r="G374" s="289" t="n"/>
      <c r="H374" s="203" t="n"/>
    </row>
    <row r="375" ht="13" customHeight="1" s="189">
      <c r="A375" s="289" t="n"/>
      <c r="B375" s="203" t="n"/>
      <c r="C375" s="289" t="n"/>
      <c r="D375" s="289" t="n"/>
      <c r="E375" s="289" t="n"/>
      <c r="F375" s="289" t="n"/>
      <c r="G375" s="289" t="n"/>
      <c r="H375" s="203" t="n"/>
    </row>
    <row r="376" ht="13" customHeight="1" s="189">
      <c r="A376" s="289" t="n"/>
      <c r="B376" s="203" t="n"/>
      <c r="C376" s="289" t="n"/>
      <c r="D376" s="289" t="n"/>
      <c r="E376" s="289" t="n"/>
      <c r="F376" s="289" t="n"/>
      <c r="G376" s="289" t="n"/>
      <c r="H376" s="203" t="n"/>
    </row>
    <row r="377" ht="13" customHeight="1" s="189">
      <c r="A377" s="289" t="n"/>
      <c r="B377" s="203" t="n"/>
      <c r="C377" s="289" t="n"/>
      <c r="D377" s="289" t="n"/>
      <c r="E377" s="289" t="n"/>
      <c r="F377" s="289" t="n"/>
      <c r="G377" s="289" t="n"/>
      <c r="H377" s="203" t="n"/>
    </row>
    <row r="378" ht="13" customHeight="1" s="189">
      <c r="A378" s="289" t="n"/>
      <c r="B378" s="203" t="n"/>
      <c r="C378" s="289" t="n"/>
      <c r="D378" s="289" t="n"/>
      <c r="E378" s="289" t="n"/>
      <c r="F378" s="289" t="n"/>
      <c r="G378" s="289" t="n"/>
      <c r="H378" s="203" t="n"/>
    </row>
    <row r="379" ht="13" customHeight="1" s="189">
      <c r="A379" s="289" t="n"/>
      <c r="B379" s="203" t="n"/>
      <c r="C379" s="289" t="n"/>
      <c r="D379" s="289" t="n"/>
      <c r="E379" s="289" t="n"/>
      <c r="F379" s="289" t="n"/>
      <c r="G379" s="289" t="n"/>
      <c r="H379" s="203" t="n"/>
    </row>
    <row r="380" ht="13" customHeight="1" s="189">
      <c r="A380" s="289" t="n"/>
      <c r="B380" s="203" t="n"/>
      <c r="C380" s="289" t="n"/>
      <c r="D380" s="289" t="n"/>
      <c r="E380" s="289" t="n"/>
      <c r="F380" s="289" t="n"/>
      <c r="G380" s="289" t="n"/>
      <c r="H380" s="203" t="n"/>
    </row>
    <row r="381" ht="13" customHeight="1" s="189">
      <c r="A381" s="289" t="n"/>
      <c r="B381" s="203" t="n"/>
      <c r="C381" s="289" t="n"/>
      <c r="D381" s="289" t="n"/>
      <c r="E381" s="289" t="n"/>
      <c r="F381" s="289" t="n"/>
      <c r="G381" s="289" t="n"/>
      <c r="H381" s="203" t="n"/>
    </row>
    <row r="382" ht="13" customHeight="1" s="189">
      <c r="A382" s="289" t="n"/>
      <c r="B382" s="203" t="n"/>
      <c r="C382" s="289" t="n"/>
      <c r="D382" s="289" t="n"/>
      <c r="E382" s="289" t="n"/>
      <c r="F382" s="289" t="n"/>
      <c r="G382" s="289" t="n"/>
      <c r="H382" s="203" t="n"/>
    </row>
    <row r="383" ht="13" customHeight="1" s="189">
      <c r="A383" s="289" t="n"/>
      <c r="B383" s="203" t="n"/>
      <c r="C383" s="289" t="n"/>
      <c r="D383" s="289" t="n"/>
      <c r="E383" s="289" t="n"/>
      <c r="F383" s="289" t="n"/>
      <c r="G383" s="289" t="n"/>
      <c r="H383" s="203" t="n"/>
    </row>
    <row r="384" ht="13" customHeight="1" s="189">
      <c r="A384" s="289" t="n"/>
      <c r="B384" s="203" t="n"/>
      <c r="C384" s="289" t="n"/>
      <c r="D384" s="289" t="n"/>
      <c r="E384" s="289" t="n"/>
      <c r="F384" s="289" t="n"/>
      <c r="G384" s="289" t="n"/>
      <c r="H384" s="203" t="n"/>
    </row>
    <row r="385" ht="13" customHeight="1" s="189">
      <c r="A385" s="289" t="n"/>
      <c r="B385" s="203" t="n"/>
      <c r="C385" s="289" t="n"/>
      <c r="D385" s="289" t="n"/>
      <c r="E385" s="289" t="n"/>
      <c r="F385" s="289" t="n"/>
      <c r="G385" s="289" t="n"/>
      <c r="H385" s="203" t="n"/>
    </row>
    <row r="386" ht="13" customHeight="1" s="189">
      <c r="A386" s="289" t="n"/>
      <c r="B386" s="203" t="n"/>
      <c r="C386" s="289" t="n"/>
      <c r="D386" s="289" t="n"/>
      <c r="E386" s="289" t="n"/>
      <c r="F386" s="289" t="n"/>
      <c r="G386" s="289" t="n"/>
      <c r="H386" s="203" t="n"/>
    </row>
    <row r="387" ht="13" customHeight="1" s="189">
      <c r="A387" s="289" t="n"/>
      <c r="B387" s="203" t="n"/>
      <c r="C387" s="289" t="n"/>
      <c r="D387" s="289" t="n"/>
      <c r="E387" s="289" t="n"/>
      <c r="F387" s="289" t="n"/>
      <c r="G387" s="289" t="n"/>
      <c r="H387" s="203" t="n"/>
    </row>
    <row r="388" ht="13" customHeight="1" s="189">
      <c r="A388" s="289" t="n"/>
      <c r="B388" s="203" t="n"/>
      <c r="C388" s="289" t="n"/>
      <c r="D388" s="289" t="n"/>
      <c r="E388" s="289" t="n"/>
      <c r="F388" s="289" t="n"/>
      <c r="G388" s="289" t="n"/>
      <c r="H388" s="203" t="n"/>
    </row>
    <row r="389" ht="13" customHeight="1" s="189">
      <c r="A389" s="289" t="n"/>
      <c r="B389" s="203" t="n"/>
      <c r="C389" s="289" t="n"/>
      <c r="D389" s="289" t="n"/>
      <c r="E389" s="289" t="n"/>
      <c r="F389" s="289" t="n"/>
      <c r="G389" s="289" t="n"/>
      <c r="H389" s="203" t="n"/>
    </row>
    <row r="390" ht="13" customHeight="1" s="189">
      <c r="A390" s="289" t="n"/>
      <c r="B390" s="203" t="n"/>
      <c r="C390" s="289" t="n"/>
      <c r="D390" s="289" t="n"/>
      <c r="E390" s="289" t="n"/>
      <c r="F390" s="289" t="n"/>
      <c r="G390" s="289" t="n"/>
      <c r="H390" s="203" t="n"/>
    </row>
    <row r="391" ht="13" customHeight="1" s="189">
      <c r="A391" s="289" t="n"/>
      <c r="B391" s="203" t="n"/>
      <c r="C391" s="289" t="n"/>
      <c r="D391" s="289" t="n"/>
      <c r="E391" s="289" t="n"/>
      <c r="F391" s="289" t="n"/>
      <c r="G391" s="289" t="n"/>
      <c r="H391" s="203" t="n"/>
    </row>
    <row r="392" ht="13" customHeight="1" s="189">
      <c r="A392" s="289" t="n"/>
      <c r="B392" s="203" t="n"/>
      <c r="C392" s="289" t="n"/>
      <c r="D392" s="289" t="n"/>
      <c r="E392" s="289" t="n"/>
      <c r="F392" s="289" t="n"/>
      <c r="G392" s="289" t="n"/>
      <c r="H392" s="203" t="n"/>
    </row>
    <row r="393" ht="13" customHeight="1" s="189">
      <c r="A393" s="289" t="n"/>
      <c r="B393" s="203" t="n"/>
      <c r="C393" s="289" t="n"/>
      <c r="D393" s="289" t="n"/>
      <c r="E393" s="289" t="n"/>
      <c r="F393" s="289" t="n"/>
      <c r="G393" s="289" t="n"/>
      <c r="H393" s="203" t="n"/>
    </row>
    <row r="394" ht="13" customHeight="1" s="189">
      <c r="A394" s="289" t="n"/>
      <c r="B394" s="203" t="n"/>
      <c r="C394" s="289" t="n"/>
      <c r="D394" s="289" t="n"/>
      <c r="E394" s="289" t="n"/>
      <c r="F394" s="289" t="n"/>
      <c r="G394" s="289" t="n"/>
      <c r="H394" s="203" t="n"/>
    </row>
    <row r="395" ht="13" customHeight="1" s="189">
      <c r="A395" s="289" t="n"/>
      <c r="B395" s="203" t="n"/>
      <c r="C395" s="289" t="n"/>
      <c r="D395" s="289" t="n"/>
      <c r="E395" s="289" t="n"/>
      <c r="F395" s="289" t="n"/>
      <c r="G395" s="289" t="n"/>
      <c r="H395" s="203" t="n"/>
    </row>
    <row r="396" ht="13" customHeight="1" s="189">
      <c r="A396" s="289" t="n"/>
      <c r="B396" s="203" t="n"/>
      <c r="C396" s="289" t="n"/>
      <c r="D396" s="289" t="n"/>
      <c r="E396" s="289" t="n"/>
      <c r="F396" s="289" t="n"/>
      <c r="G396" s="289" t="n"/>
      <c r="H396" s="203" t="n"/>
    </row>
    <row r="397" ht="13" customHeight="1" s="189">
      <c r="A397" s="289" t="n"/>
      <c r="B397" s="203" t="n"/>
      <c r="C397" s="289" t="n"/>
      <c r="D397" s="289" t="n"/>
      <c r="E397" s="289" t="n"/>
      <c r="F397" s="289" t="n"/>
      <c r="G397" s="289" t="n"/>
      <c r="H397" s="203" t="n"/>
    </row>
    <row r="398" ht="13" customHeight="1" s="189">
      <c r="A398" s="289" t="n"/>
      <c r="B398" s="203" t="n"/>
      <c r="C398" s="289" t="n"/>
      <c r="D398" s="289" t="n"/>
      <c r="E398" s="289" t="n"/>
      <c r="F398" s="289" t="n"/>
      <c r="G398" s="289" t="n"/>
      <c r="H398" s="203" t="n"/>
    </row>
    <row r="399" ht="13" customHeight="1" s="189">
      <c r="A399" s="289" t="n"/>
      <c r="B399" s="203" t="n"/>
      <c r="C399" s="289" t="n"/>
      <c r="D399" s="289" t="n"/>
      <c r="E399" s="289" t="n"/>
      <c r="F399" s="289" t="n"/>
      <c r="G399" s="289" t="n"/>
      <c r="H399" s="203" t="n"/>
    </row>
    <row r="400" ht="13" customHeight="1" s="189">
      <c r="A400" s="289" t="n"/>
      <c r="B400" s="203" t="n"/>
      <c r="C400" s="289" t="n"/>
      <c r="D400" s="289" t="n"/>
      <c r="E400" s="289" t="n"/>
      <c r="F400" s="289" t="n"/>
      <c r="G400" s="289" t="n"/>
      <c r="H400" s="203" t="n"/>
    </row>
    <row r="401" ht="13" customHeight="1" s="189">
      <c r="A401" s="289" t="n"/>
      <c r="B401" s="203" t="n"/>
      <c r="C401" s="289" t="n"/>
      <c r="D401" s="289" t="n"/>
      <c r="E401" s="289" t="n"/>
      <c r="F401" s="289" t="n"/>
      <c r="G401" s="289" t="n"/>
      <c r="H401" s="203" t="n"/>
    </row>
    <row r="402" ht="13" customHeight="1" s="189">
      <c r="A402" s="289" t="n"/>
      <c r="B402" s="203" t="n"/>
      <c r="C402" s="289" t="n"/>
      <c r="D402" s="289" t="n"/>
      <c r="E402" s="289" t="n"/>
      <c r="F402" s="289" t="n"/>
      <c r="G402" s="289" t="n"/>
      <c r="H402" s="203" t="n"/>
    </row>
    <row r="403" ht="13" customHeight="1" s="189">
      <c r="A403" s="289" t="n"/>
      <c r="B403" s="203" t="n"/>
      <c r="C403" s="289" t="n"/>
      <c r="D403" s="289" t="n"/>
      <c r="E403" s="289" t="n"/>
      <c r="F403" s="289" t="n"/>
      <c r="G403" s="289" t="n"/>
      <c r="H403" s="203" t="n"/>
    </row>
    <row r="404" ht="13" customHeight="1" s="189">
      <c r="A404" s="289" t="n"/>
      <c r="B404" s="203" t="n"/>
      <c r="C404" s="289" t="n"/>
      <c r="D404" s="289" t="n"/>
      <c r="E404" s="289" t="n"/>
      <c r="F404" s="289" t="n"/>
      <c r="G404" s="289" t="n"/>
      <c r="H404" s="203" t="n"/>
    </row>
    <row r="405" ht="13" customHeight="1" s="189">
      <c r="A405" s="289" t="n"/>
      <c r="B405" s="203" t="n"/>
      <c r="C405" s="289" t="n"/>
      <c r="D405" s="289" t="n"/>
      <c r="E405" s="289" t="n"/>
      <c r="F405" s="289" t="n"/>
      <c r="G405" s="289" t="n"/>
      <c r="H405" s="203" t="n"/>
    </row>
    <row r="406" ht="13" customHeight="1" s="189">
      <c r="A406" s="289" t="n"/>
      <c r="B406" s="203" t="n"/>
      <c r="C406" s="289" t="n"/>
      <c r="D406" s="289" t="n"/>
      <c r="E406" s="289" t="n"/>
      <c r="F406" s="289" t="n"/>
      <c r="G406" s="289" t="n"/>
      <c r="H406" s="203" t="n"/>
    </row>
    <row r="407" ht="13" customHeight="1" s="189">
      <c r="A407" s="289" t="n"/>
      <c r="B407" s="203" t="n"/>
      <c r="C407" s="289" t="n"/>
      <c r="D407" s="289" t="n"/>
      <c r="E407" s="289" t="n"/>
      <c r="F407" s="289" t="n"/>
      <c r="G407" s="289" t="n"/>
      <c r="H407" s="203" t="n"/>
    </row>
    <row r="408" ht="13" customHeight="1" s="189">
      <c r="A408" s="289" t="n"/>
      <c r="B408" s="203" t="n"/>
      <c r="C408" s="289" t="n"/>
      <c r="D408" s="289" t="n"/>
      <c r="E408" s="289" t="n"/>
      <c r="F408" s="289" t="n"/>
      <c r="G408" s="289" t="n"/>
      <c r="H408" s="203" t="n"/>
    </row>
    <row r="409" ht="13" customHeight="1" s="189">
      <c r="A409" s="289" t="n"/>
      <c r="B409" s="203" t="n"/>
      <c r="C409" s="289" t="n"/>
      <c r="D409" s="289" t="n"/>
      <c r="E409" s="289" t="n"/>
      <c r="F409" s="289" t="n"/>
      <c r="G409" s="289" t="n"/>
      <c r="H409" s="203" t="n"/>
    </row>
    <row r="410" ht="13" customHeight="1" s="189">
      <c r="A410" s="289" t="n"/>
      <c r="B410" s="203" t="n"/>
      <c r="C410" s="289" t="n"/>
      <c r="D410" s="289" t="n"/>
      <c r="E410" s="289" t="n"/>
      <c r="F410" s="289" t="n"/>
      <c r="G410" s="289" t="n"/>
      <c r="H410" s="203" t="n"/>
    </row>
    <row r="411" ht="13" customHeight="1" s="189">
      <c r="A411" s="289" t="n"/>
      <c r="B411" s="203" t="n"/>
      <c r="C411" s="289" t="n"/>
      <c r="D411" s="289" t="n"/>
      <c r="E411" s="289" t="n"/>
      <c r="F411" s="289" t="n"/>
      <c r="G411" s="289" t="n"/>
      <c r="H411" s="203" t="n"/>
    </row>
    <row r="412" ht="13" customHeight="1" s="189">
      <c r="A412" s="289" t="n"/>
      <c r="B412" s="203" t="n"/>
      <c r="C412" s="289" t="n"/>
      <c r="D412" s="289" t="n"/>
      <c r="E412" s="289" t="n"/>
      <c r="F412" s="289" t="n"/>
      <c r="G412" s="289" t="n"/>
      <c r="H412" s="203" t="n"/>
    </row>
    <row r="413" ht="13" customHeight="1" s="189">
      <c r="A413" s="289" t="n"/>
      <c r="B413" s="203" t="n"/>
      <c r="C413" s="289" t="n"/>
      <c r="D413" s="289" t="n"/>
      <c r="E413" s="289" t="n"/>
      <c r="F413" s="289" t="n"/>
      <c r="G413" s="289" t="n"/>
      <c r="H413" s="203" t="n"/>
    </row>
    <row r="414" ht="13" customHeight="1" s="189">
      <c r="A414" s="289" t="n"/>
      <c r="B414" s="203" t="n"/>
      <c r="C414" s="289" t="n"/>
      <c r="D414" s="289" t="n"/>
      <c r="E414" s="289" t="n"/>
      <c r="F414" s="289" t="n"/>
      <c r="G414" s="289" t="n"/>
      <c r="H414" s="203" t="n"/>
    </row>
    <row r="415" ht="13" customHeight="1" s="189">
      <c r="A415" s="289" t="n"/>
      <c r="B415" s="203" t="n"/>
      <c r="C415" s="289" t="n"/>
      <c r="D415" s="289" t="n"/>
      <c r="E415" s="289" t="n"/>
      <c r="F415" s="289" t="n"/>
      <c r="G415" s="289" t="n"/>
      <c r="H415" s="203" t="n"/>
    </row>
    <row r="416" ht="13" customHeight="1" s="189">
      <c r="A416" s="289" t="n"/>
      <c r="B416" s="203" t="n"/>
      <c r="C416" s="289" t="n"/>
      <c r="D416" s="289" t="n"/>
      <c r="E416" s="289" t="n"/>
      <c r="F416" s="289" t="n"/>
      <c r="G416" s="289" t="n"/>
      <c r="H416" s="203" t="n"/>
    </row>
    <row r="417" ht="13" customHeight="1" s="189">
      <c r="A417" s="289" t="n"/>
      <c r="B417" s="203" t="n"/>
      <c r="C417" s="289" t="n"/>
      <c r="D417" s="289" t="n"/>
      <c r="E417" s="289" t="n"/>
      <c r="F417" s="289" t="n"/>
      <c r="G417" s="289" t="n"/>
      <c r="H417" s="203" t="n"/>
    </row>
    <row r="418" ht="13" customHeight="1" s="189">
      <c r="A418" s="289" t="n"/>
      <c r="B418" s="203" t="n"/>
      <c r="C418" s="289" t="n"/>
      <c r="D418" s="289" t="n"/>
      <c r="E418" s="289" t="n"/>
      <c r="F418" s="289" t="n"/>
      <c r="G418" s="289" t="n"/>
      <c r="H418" s="203" t="n"/>
    </row>
    <row r="419" ht="13" customHeight="1" s="189">
      <c r="A419" s="289" t="n"/>
      <c r="B419" s="203" t="n"/>
      <c r="C419" s="289" t="n"/>
      <c r="D419" s="289" t="n"/>
      <c r="E419" s="289" t="n"/>
      <c r="F419" s="289" t="n"/>
      <c r="G419" s="289" t="n"/>
      <c r="H419" s="203" t="n"/>
    </row>
    <row r="420" ht="13" customHeight="1" s="189">
      <c r="A420" s="289" t="n"/>
      <c r="B420" s="203" t="n"/>
      <c r="C420" s="289" t="n"/>
      <c r="D420" s="289" t="n"/>
      <c r="E420" s="289" t="n"/>
      <c r="F420" s="289" t="n"/>
      <c r="G420" s="289" t="n"/>
      <c r="H420" s="203" t="n"/>
    </row>
    <row r="421" ht="13" customHeight="1" s="189">
      <c r="A421" s="289" t="n"/>
      <c r="B421" s="203" t="n"/>
      <c r="C421" s="289" t="n"/>
      <c r="D421" s="289" t="n"/>
      <c r="E421" s="289" t="n"/>
      <c r="F421" s="289" t="n"/>
      <c r="G421" s="289" t="n"/>
      <c r="H421" s="203" t="n"/>
    </row>
    <row r="422" ht="13" customHeight="1" s="189">
      <c r="A422" s="289" t="n"/>
      <c r="B422" s="203" t="n"/>
      <c r="C422" s="289" t="n"/>
      <c r="D422" s="289" t="n"/>
      <c r="E422" s="289" t="n"/>
      <c r="F422" s="289" t="n"/>
      <c r="G422" s="289" t="n"/>
      <c r="H422" s="203" t="n"/>
    </row>
    <row r="423" ht="13" customHeight="1" s="189">
      <c r="A423" s="289" t="n"/>
      <c r="B423" s="203" t="n"/>
      <c r="C423" s="289" t="n"/>
      <c r="D423" s="289" t="n"/>
      <c r="E423" s="289" t="n"/>
      <c r="F423" s="289" t="n"/>
      <c r="G423" s="289" t="n"/>
      <c r="H423" s="203" t="n"/>
    </row>
    <row r="424" ht="13" customHeight="1" s="189">
      <c r="A424" s="289" t="n"/>
      <c r="B424" s="203" t="n"/>
      <c r="C424" s="289" t="n"/>
      <c r="D424" s="289" t="n"/>
      <c r="E424" s="289" t="n"/>
      <c r="F424" s="289" t="n"/>
      <c r="G424" s="289" t="n"/>
      <c r="H424" s="203" t="n"/>
    </row>
    <row r="425" ht="13" customHeight="1" s="189">
      <c r="A425" s="289" t="n"/>
      <c r="B425" s="203" t="n"/>
      <c r="C425" s="289" t="n"/>
      <c r="D425" s="289" t="n"/>
      <c r="E425" s="289" t="n"/>
      <c r="F425" s="289" t="n"/>
      <c r="G425" s="289" t="n"/>
      <c r="H425" s="203" t="n"/>
    </row>
    <row r="426" ht="13" customHeight="1" s="189">
      <c r="A426" s="289" t="n"/>
      <c r="B426" s="203" t="n"/>
      <c r="C426" s="289" t="n"/>
      <c r="D426" s="289" t="n"/>
      <c r="E426" s="289" t="n"/>
      <c r="F426" s="289" t="n"/>
      <c r="G426" s="289" t="n"/>
      <c r="H426" s="203" t="n"/>
    </row>
    <row r="427" ht="13" customHeight="1" s="189">
      <c r="A427" s="289" t="n"/>
      <c r="B427" s="203" t="n"/>
      <c r="C427" s="289" t="n"/>
      <c r="D427" s="289" t="n"/>
      <c r="E427" s="289" t="n"/>
      <c r="F427" s="289" t="n"/>
      <c r="G427" s="289" t="n"/>
      <c r="H427" s="203" t="n"/>
    </row>
    <row r="428" ht="13" customHeight="1" s="189">
      <c r="A428" s="289" t="n"/>
      <c r="B428" s="203" t="n"/>
      <c r="C428" s="289" t="n"/>
      <c r="D428" s="289" t="n"/>
      <c r="E428" s="289" t="n"/>
      <c r="F428" s="289" t="n"/>
      <c r="G428" s="289" t="n"/>
      <c r="H428" s="203" t="n"/>
    </row>
    <row r="429" ht="13" customHeight="1" s="189">
      <c r="A429" s="289" t="n"/>
      <c r="B429" s="203" t="n"/>
      <c r="C429" s="289" t="n"/>
      <c r="D429" s="289" t="n"/>
      <c r="E429" s="289" t="n"/>
      <c r="F429" s="289" t="n"/>
      <c r="G429" s="289" t="n"/>
      <c r="H429" s="203" t="n"/>
    </row>
    <row r="430" ht="13" customHeight="1" s="189">
      <c r="A430" s="289" t="n"/>
      <c r="B430" s="203" t="n"/>
      <c r="C430" s="289" t="n"/>
      <c r="D430" s="289" t="n"/>
      <c r="E430" s="289" t="n"/>
      <c r="F430" s="289" t="n"/>
      <c r="G430" s="289" t="n"/>
      <c r="H430" s="203" t="n"/>
    </row>
    <row r="431" ht="13" customHeight="1" s="189">
      <c r="A431" s="289" t="n"/>
      <c r="B431" s="203" t="n"/>
      <c r="C431" s="289" t="n"/>
      <c r="D431" s="289" t="n"/>
      <c r="E431" s="289" t="n"/>
      <c r="F431" s="289" t="n"/>
      <c r="G431" s="289" t="n"/>
      <c r="H431" s="203" t="n"/>
    </row>
    <row r="432" ht="13" customHeight="1" s="189">
      <c r="A432" s="289" t="n"/>
      <c r="B432" s="203" t="n"/>
      <c r="C432" s="289" t="n"/>
      <c r="D432" s="289" t="n"/>
      <c r="E432" s="289" t="n"/>
      <c r="F432" s="289" t="n"/>
      <c r="G432" s="289" t="n"/>
      <c r="H432" s="203" t="n"/>
    </row>
    <row r="433" ht="13" customHeight="1" s="189">
      <c r="A433" s="289" t="n"/>
      <c r="B433" s="203" t="n"/>
      <c r="C433" s="289" t="n"/>
      <c r="D433" s="289" t="n"/>
      <c r="E433" s="289" t="n"/>
      <c r="F433" s="289" t="n"/>
      <c r="G433" s="289" t="n"/>
      <c r="H433" s="203" t="n"/>
    </row>
    <row r="434" ht="13" customHeight="1" s="189">
      <c r="A434" s="289" t="n"/>
      <c r="B434" s="203" t="n"/>
      <c r="C434" s="289" t="n"/>
      <c r="D434" s="289" t="n"/>
      <c r="E434" s="289" t="n"/>
      <c r="F434" s="289" t="n"/>
      <c r="G434" s="289" t="n"/>
      <c r="H434" s="203" t="n"/>
    </row>
    <row r="435" ht="13" customHeight="1" s="189">
      <c r="A435" s="289" t="n"/>
      <c r="B435" s="203" t="n"/>
      <c r="C435" s="289" t="n"/>
      <c r="D435" s="289" t="n"/>
      <c r="E435" s="289" t="n"/>
      <c r="F435" s="289" t="n"/>
      <c r="G435" s="289" t="n"/>
      <c r="H435" s="203" t="n"/>
    </row>
    <row r="436" ht="13" customHeight="1" s="189">
      <c r="A436" s="289" t="n"/>
      <c r="B436" s="203" t="n"/>
      <c r="C436" s="289" t="n"/>
      <c r="D436" s="289" t="n"/>
      <c r="E436" s="289" t="n"/>
      <c r="F436" s="289" t="n"/>
      <c r="G436" s="289" t="n"/>
      <c r="H436" s="203" t="n"/>
    </row>
    <row r="437" ht="13" customHeight="1" s="189">
      <c r="A437" s="289" t="n"/>
      <c r="B437" s="203" t="n"/>
      <c r="C437" s="289" t="n"/>
      <c r="D437" s="289" t="n"/>
      <c r="E437" s="289" t="n"/>
      <c r="F437" s="289" t="n"/>
      <c r="G437" s="289" t="n"/>
      <c r="H437" s="203" t="n"/>
    </row>
    <row r="438" ht="13" customHeight="1" s="189">
      <c r="A438" s="289" t="n"/>
      <c r="B438" s="203" t="n"/>
      <c r="C438" s="289" t="n"/>
      <c r="D438" s="289" t="n"/>
      <c r="E438" s="289" t="n"/>
      <c r="F438" s="289" t="n"/>
      <c r="G438" s="289" t="n"/>
      <c r="H438" s="203" t="n"/>
    </row>
    <row r="439" ht="13" customHeight="1" s="189">
      <c r="A439" s="289" t="n"/>
      <c r="B439" s="203" t="n"/>
      <c r="C439" s="289" t="n"/>
      <c r="D439" s="289" t="n"/>
      <c r="E439" s="289" t="n"/>
      <c r="F439" s="289" t="n"/>
      <c r="G439" s="289" t="n"/>
      <c r="H439" s="203" t="n"/>
    </row>
    <row r="440" ht="13" customHeight="1" s="189">
      <c r="A440" s="289" t="n"/>
      <c r="B440" s="203" t="n"/>
      <c r="C440" s="289" t="n"/>
      <c r="D440" s="289" t="n"/>
      <c r="E440" s="289" t="n"/>
      <c r="F440" s="289" t="n"/>
      <c r="G440" s="289" t="n"/>
      <c r="H440" s="203" t="n"/>
    </row>
    <row r="441" ht="13" customHeight="1" s="189">
      <c r="A441" s="289" t="n"/>
      <c r="B441" s="203" t="n"/>
      <c r="C441" s="289" t="n"/>
      <c r="D441" s="289" t="n"/>
      <c r="E441" s="289" t="n"/>
      <c r="F441" s="289" t="n"/>
      <c r="G441" s="289" t="n"/>
      <c r="H441" s="203" t="n"/>
    </row>
    <row r="442" ht="13" customHeight="1" s="189">
      <c r="A442" s="289" t="n"/>
      <c r="B442" s="203" t="n"/>
      <c r="C442" s="289" t="n"/>
      <c r="D442" s="289" t="n"/>
      <c r="E442" s="289" t="n"/>
      <c r="F442" s="289" t="n"/>
      <c r="G442" s="289" t="n"/>
      <c r="H442" s="203" t="n"/>
    </row>
    <row r="443" ht="13" customHeight="1" s="189">
      <c r="A443" s="289" t="n"/>
      <c r="B443" s="203" t="n"/>
      <c r="C443" s="289" t="n"/>
      <c r="D443" s="289" t="n"/>
      <c r="E443" s="289" t="n"/>
      <c r="F443" s="289" t="n"/>
      <c r="G443" s="289" t="n"/>
      <c r="H443" s="203" t="n"/>
    </row>
    <row r="444" ht="13" customHeight="1" s="189">
      <c r="A444" s="289" t="n"/>
      <c r="B444" s="203" t="n"/>
      <c r="C444" s="289" t="n"/>
      <c r="D444" s="289" t="n"/>
      <c r="E444" s="289" t="n"/>
      <c r="F444" s="289" t="n"/>
      <c r="G444" s="289" t="n"/>
      <c r="H444" s="203" t="n"/>
    </row>
    <row r="445" ht="13" customHeight="1" s="189">
      <c r="A445" s="289" t="n"/>
      <c r="B445" s="203" t="n"/>
      <c r="C445" s="289" t="n"/>
      <c r="D445" s="289" t="n"/>
      <c r="E445" s="289" t="n"/>
      <c r="F445" s="289" t="n"/>
      <c r="G445" s="289" t="n"/>
      <c r="H445" s="203" t="n"/>
    </row>
    <row r="446" ht="13" customHeight="1" s="189">
      <c r="A446" s="289" t="n"/>
      <c r="B446" s="203" t="n"/>
      <c r="C446" s="289" t="n"/>
      <c r="D446" s="289" t="n"/>
      <c r="E446" s="289" t="n"/>
      <c r="F446" s="289" t="n"/>
      <c r="G446" s="289" t="n"/>
      <c r="H446" s="203" t="n"/>
    </row>
    <row r="447" ht="13" customHeight="1" s="189">
      <c r="A447" s="289" t="n"/>
      <c r="B447" s="203" t="n"/>
      <c r="C447" s="289" t="n"/>
      <c r="D447" s="289" t="n"/>
      <c r="E447" s="289" t="n"/>
      <c r="F447" s="289" t="n"/>
      <c r="G447" s="289" t="n"/>
      <c r="H447" s="203" t="n"/>
    </row>
    <row r="448" ht="13" customHeight="1" s="189">
      <c r="A448" s="289" t="n"/>
      <c r="B448" s="203" t="n"/>
      <c r="C448" s="289" t="n"/>
      <c r="D448" s="289" t="n"/>
      <c r="E448" s="289" t="n"/>
      <c r="F448" s="289" t="n"/>
      <c r="G448" s="289" t="n"/>
      <c r="H448" s="203" t="n"/>
    </row>
    <row r="449" ht="13" customHeight="1" s="189">
      <c r="A449" s="289" t="n"/>
      <c r="B449" s="203" t="n"/>
      <c r="C449" s="289" t="n"/>
      <c r="D449" s="289" t="n"/>
      <c r="E449" s="289" t="n"/>
      <c r="F449" s="289" t="n"/>
      <c r="G449" s="289" t="n"/>
      <c r="H449" s="203" t="n"/>
    </row>
    <row r="450" ht="13" customHeight="1" s="189">
      <c r="A450" s="289" t="n"/>
      <c r="B450" s="203" t="n"/>
      <c r="C450" s="289" t="n"/>
      <c r="D450" s="289" t="n"/>
      <c r="E450" s="289" t="n"/>
      <c r="F450" s="289" t="n"/>
      <c r="G450" s="289" t="n"/>
      <c r="H450" s="203" t="n"/>
    </row>
    <row r="451" ht="13" customHeight="1" s="189">
      <c r="A451" s="289" t="n"/>
      <c r="B451" s="203" t="n"/>
      <c r="C451" s="289" t="n"/>
      <c r="D451" s="289" t="n"/>
      <c r="E451" s="289" t="n"/>
      <c r="F451" s="289" t="n"/>
      <c r="G451" s="289" t="n"/>
      <c r="H451" s="203" t="n"/>
    </row>
    <row r="452" ht="13" customHeight="1" s="189">
      <c r="A452" s="289" t="n"/>
      <c r="B452" s="203" t="n"/>
      <c r="C452" s="289" t="n"/>
      <c r="D452" s="289" t="n"/>
      <c r="E452" s="289" t="n"/>
      <c r="F452" s="289" t="n"/>
      <c r="G452" s="289" t="n"/>
      <c r="H452" s="203" t="n"/>
    </row>
    <row r="453" ht="13" customHeight="1" s="189">
      <c r="A453" s="289" t="n"/>
      <c r="B453" s="203" t="n"/>
      <c r="C453" s="289" t="n"/>
      <c r="D453" s="289" t="n"/>
      <c r="E453" s="289" t="n"/>
      <c r="F453" s="289" t="n"/>
      <c r="G453" s="289" t="n"/>
      <c r="H453" s="203" t="n"/>
    </row>
    <row r="454" ht="13" customHeight="1" s="189">
      <c r="A454" s="289" t="n"/>
      <c r="B454" s="203" t="n"/>
      <c r="C454" s="289" t="n"/>
      <c r="D454" s="289" t="n"/>
      <c r="E454" s="289" t="n"/>
      <c r="F454" s="289" t="n"/>
      <c r="G454" s="289" t="n"/>
      <c r="H454" s="203" t="n"/>
    </row>
    <row r="455" ht="13" customHeight="1" s="189">
      <c r="A455" s="289" t="n"/>
      <c r="B455" s="203" t="n"/>
      <c r="C455" s="289" t="n"/>
      <c r="D455" s="289" t="n"/>
      <c r="E455" s="289" t="n"/>
      <c r="F455" s="289" t="n"/>
      <c r="G455" s="289" t="n"/>
      <c r="H455" s="203" t="n"/>
    </row>
    <row r="456" ht="13" customHeight="1" s="189">
      <c r="A456" s="289" t="n"/>
      <c r="B456" s="203" t="n"/>
      <c r="C456" s="289" t="n"/>
      <c r="D456" s="289" t="n"/>
      <c r="E456" s="289" t="n"/>
      <c r="F456" s="289" t="n"/>
      <c r="G456" s="289" t="n"/>
      <c r="H456" s="203" t="n"/>
    </row>
    <row r="457" ht="13" customHeight="1" s="189">
      <c r="A457" s="289" t="n"/>
      <c r="B457" s="203" t="n"/>
      <c r="C457" s="289" t="n"/>
      <c r="D457" s="289" t="n"/>
      <c r="E457" s="289" t="n"/>
      <c r="F457" s="289" t="n"/>
      <c r="G457" s="289" t="n"/>
      <c r="H457" s="203" t="n"/>
    </row>
    <row r="458" ht="13" customHeight="1" s="189">
      <c r="A458" s="289" t="n"/>
      <c r="B458" s="203" t="n"/>
      <c r="C458" s="289" t="n"/>
      <c r="D458" s="289" t="n"/>
      <c r="E458" s="289" t="n"/>
      <c r="F458" s="289" t="n"/>
      <c r="G458" s="289" t="n"/>
      <c r="H458" s="203" t="n"/>
    </row>
    <row r="459" ht="13" customHeight="1" s="189">
      <c r="A459" s="289" t="n"/>
      <c r="B459" s="203" t="n"/>
      <c r="C459" s="289" t="n"/>
      <c r="D459" s="289" t="n"/>
      <c r="E459" s="289" t="n"/>
      <c r="F459" s="289" t="n"/>
      <c r="G459" s="289" t="n"/>
      <c r="H459" s="203" t="n"/>
    </row>
    <row r="460" ht="13" customHeight="1" s="189">
      <c r="A460" s="289" t="n"/>
      <c r="B460" s="203" t="n"/>
      <c r="C460" s="289" t="n"/>
      <c r="D460" s="289" t="n"/>
      <c r="E460" s="289" t="n"/>
      <c r="F460" s="289" t="n"/>
      <c r="G460" s="289" t="n"/>
      <c r="H460" s="203" t="n"/>
    </row>
    <row r="461" ht="13" customHeight="1" s="189">
      <c r="A461" s="289" t="n"/>
      <c r="B461" s="203" t="n"/>
      <c r="C461" s="289" t="n"/>
      <c r="D461" s="289" t="n"/>
      <c r="E461" s="289" t="n"/>
      <c r="F461" s="289" t="n"/>
      <c r="G461" s="289" t="n"/>
      <c r="H461" s="203" t="n"/>
    </row>
    <row r="462" ht="13" customHeight="1" s="189">
      <c r="A462" s="289" t="n"/>
      <c r="B462" s="203" t="n"/>
      <c r="C462" s="289" t="n"/>
      <c r="D462" s="289" t="n"/>
      <c r="E462" s="289" t="n"/>
      <c r="F462" s="289" t="n"/>
      <c r="G462" s="289" t="n"/>
      <c r="H462" s="203" t="n"/>
    </row>
    <row r="463" ht="13" customHeight="1" s="189">
      <c r="A463" s="289" t="n"/>
      <c r="B463" s="203" t="n"/>
      <c r="C463" s="289" t="n"/>
      <c r="D463" s="289" t="n"/>
      <c r="E463" s="289" t="n"/>
      <c r="F463" s="289" t="n"/>
      <c r="G463" s="289" t="n"/>
      <c r="H463" s="203" t="n"/>
    </row>
    <row r="464" ht="13" customHeight="1" s="189">
      <c r="A464" s="289" t="n"/>
      <c r="B464" s="203" t="n"/>
      <c r="C464" s="289" t="n"/>
      <c r="D464" s="289" t="n"/>
      <c r="E464" s="289" t="n"/>
      <c r="F464" s="289" t="n"/>
      <c r="G464" s="289" t="n"/>
      <c r="H464" s="203" t="n"/>
    </row>
    <row r="465" ht="13" customHeight="1" s="189">
      <c r="A465" s="289" t="n"/>
      <c r="B465" s="203" t="n"/>
      <c r="C465" s="289" t="n"/>
      <c r="D465" s="289" t="n"/>
      <c r="E465" s="289" t="n"/>
      <c r="F465" s="289" t="n"/>
      <c r="G465" s="289" t="n"/>
      <c r="H465" s="203" t="n"/>
    </row>
    <row r="466" ht="13" customHeight="1" s="189">
      <c r="A466" s="289" t="n"/>
      <c r="B466" s="203" t="n"/>
      <c r="C466" s="289" t="n"/>
      <c r="D466" s="289" t="n"/>
      <c r="E466" s="289" t="n"/>
      <c r="F466" s="289" t="n"/>
      <c r="G466" s="289" t="n"/>
      <c r="H466" s="203" t="n"/>
    </row>
    <row r="467" ht="13" customHeight="1" s="189">
      <c r="A467" s="289" t="n"/>
      <c r="B467" s="203" t="n"/>
      <c r="C467" s="289" t="n"/>
      <c r="D467" s="289" t="n"/>
      <c r="E467" s="289" t="n"/>
      <c r="F467" s="289" t="n"/>
      <c r="G467" s="289" t="n"/>
      <c r="H467" s="203" t="n"/>
    </row>
    <row r="468" ht="13" customHeight="1" s="189">
      <c r="A468" s="289" t="n"/>
      <c r="B468" s="203" t="n"/>
      <c r="C468" s="289" t="n"/>
      <c r="D468" s="289" t="n"/>
      <c r="E468" s="289" t="n"/>
      <c r="F468" s="289" t="n"/>
      <c r="G468" s="289" t="n"/>
      <c r="H468" s="203" t="n"/>
    </row>
    <row r="469" ht="13" customHeight="1" s="189">
      <c r="A469" s="289" t="n"/>
      <c r="B469" s="203" t="n"/>
      <c r="C469" s="289" t="n"/>
      <c r="D469" s="289" t="n"/>
      <c r="E469" s="289" t="n"/>
      <c r="F469" s="289" t="n"/>
      <c r="G469" s="289" t="n"/>
      <c r="H469" s="203" t="n"/>
    </row>
    <row r="470" ht="13" customHeight="1" s="189">
      <c r="A470" s="289" t="n"/>
      <c r="B470" s="203" t="n"/>
      <c r="C470" s="289" t="n"/>
      <c r="D470" s="289" t="n"/>
      <c r="E470" s="289" t="n"/>
      <c r="F470" s="289" t="n"/>
      <c r="G470" s="289" t="n"/>
      <c r="H470" s="203" t="n"/>
    </row>
    <row r="471" ht="13" customHeight="1" s="189">
      <c r="A471" s="289" t="n"/>
      <c r="B471" s="203" t="n"/>
      <c r="C471" s="289" t="n"/>
      <c r="D471" s="289" t="n"/>
      <c r="E471" s="289" t="n"/>
      <c r="F471" s="289" t="n"/>
      <c r="G471" s="289" t="n"/>
      <c r="H471" s="203" t="n"/>
    </row>
    <row r="472" ht="13" customHeight="1" s="189">
      <c r="A472" s="289" t="n"/>
      <c r="B472" s="203" t="n"/>
      <c r="C472" s="289" t="n"/>
      <c r="D472" s="289" t="n"/>
      <c r="E472" s="289" t="n"/>
      <c r="F472" s="289" t="n"/>
      <c r="G472" s="289" t="n"/>
      <c r="H472" s="203" t="n"/>
    </row>
    <row r="473" ht="13" customHeight="1" s="189">
      <c r="A473" s="289" t="n"/>
      <c r="B473" s="203" t="n"/>
      <c r="C473" s="289" t="n"/>
      <c r="D473" s="289" t="n"/>
      <c r="E473" s="289" t="n"/>
      <c r="F473" s="289" t="n"/>
      <c r="G473" s="289" t="n"/>
      <c r="H473" s="203" t="n"/>
    </row>
    <row r="474" ht="13" customHeight="1" s="189">
      <c r="A474" s="289" t="n"/>
      <c r="B474" s="203" t="n"/>
      <c r="C474" s="289" t="n"/>
      <c r="D474" s="289" t="n"/>
      <c r="E474" s="289" t="n"/>
      <c r="F474" s="289" t="n"/>
      <c r="G474" s="289" t="n"/>
      <c r="H474" s="203" t="n"/>
    </row>
    <row r="475" ht="13" customHeight="1" s="189">
      <c r="A475" s="289" t="n"/>
      <c r="B475" s="203" t="n"/>
      <c r="C475" s="289" t="n"/>
      <c r="D475" s="289" t="n"/>
      <c r="E475" s="289" t="n"/>
      <c r="F475" s="289" t="n"/>
      <c r="G475" s="289" t="n"/>
      <c r="H475" s="203" t="n"/>
    </row>
    <row r="476" ht="13" customHeight="1" s="189">
      <c r="A476" s="289" t="n"/>
      <c r="B476" s="203" t="n"/>
      <c r="C476" s="289" t="n"/>
      <c r="D476" s="289" t="n"/>
      <c r="E476" s="289" t="n"/>
      <c r="F476" s="289" t="n"/>
      <c r="G476" s="289" t="n"/>
      <c r="H476" s="203" t="n"/>
    </row>
    <row r="477" ht="13" customHeight="1" s="189">
      <c r="A477" s="289" t="n"/>
      <c r="B477" s="203" t="n"/>
      <c r="C477" s="289" t="n"/>
      <c r="D477" s="289" t="n"/>
      <c r="E477" s="289" t="n"/>
      <c r="F477" s="289" t="n"/>
      <c r="G477" s="289" t="n"/>
      <c r="H477" s="203" t="n"/>
    </row>
    <row r="478" ht="13" customHeight="1" s="189">
      <c r="A478" s="289" t="n"/>
      <c r="B478" s="203" t="n"/>
      <c r="C478" s="289" t="n"/>
      <c r="D478" s="289" t="n"/>
      <c r="E478" s="289" t="n"/>
      <c r="F478" s="289" t="n"/>
      <c r="G478" s="289" t="n"/>
      <c r="H478" s="203" t="n"/>
    </row>
    <row r="479" ht="13" customHeight="1" s="189">
      <c r="A479" s="289" t="n"/>
      <c r="B479" s="203" t="n"/>
      <c r="C479" s="289" t="n"/>
      <c r="D479" s="289" t="n"/>
      <c r="E479" s="289" t="n"/>
      <c r="F479" s="289" t="n"/>
      <c r="G479" s="289" t="n"/>
      <c r="H479" s="203" t="n"/>
    </row>
    <row r="480" ht="13" customHeight="1" s="189">
      <c r="A480" s="289" t="n"/>
      <c r="B480" s="203" t="n"/>
      <c r="C480" s="289" t="n"/>
      <c r="D480" s="289" t="n"/>
      <c r="E480" s="289" t="n"/>
      <c r="F480" s="289" t="n"/>
      <c r="G480" s="289" t="n"/>
      <c r="H480" s="203" t="n"/>
    </row>
    <row r="481" ht="13" customHeight="1" s="189">
      <c r="A481" s="289" t="n"/>
      <c r="B481" s="203" t="n"/>
      <c r="C481" s="289" t="n"/>
      <c r="D481" s="289" t="n"/>
      <c r="E481" s="289" t="n"/>
      <c r="F481" s="289" t="n"/>
      <c r="G481" s="289" t="n"/>
      <c r="H481" s="203" t="n"/>
    </row>
    <row r="482" ht="13" customHeight="1" s="189">
      <c r="A482" s="289" t="n"/>
      <c r="B482" s="203" t="n"/>
      <c r="C482" s="289" t="n"/>
      <c r="D482" s="289" t="n"/>
      <c r="E482" s="289" t="n"/>
      <c r="F482" s="289" t="n"/>
      <c r="G482" s="289" t="n"/>
      <c r="H482" s="203" t="n"/>
    </row>
    <row r="483" ht="13" customHeight="1" s="189">
      <c r="A483" s="289" t="n"/>
      <c r="B483" s="203" t="n"/>
      <c r="C483" s="289" t="n"/>
      <c r="D483" s="289" t="n"/>
      <c r="E483" s="289" t="n"/>
      <c r="F483" s="289" t="n"/>
      <c r="G483" s="289" t="n"/>
      <c r="H483" s="203" t="n"/>
    </row>
    <row r="484" ht="13" customHeight="1" s="189">
      <c r="A484" s="289" t="n"/>
      <c r="B484" s="203" t="n"/>
      <c r="C484" s="289" t="n"/>
      <c r="D484" s="289" t="n"/>
      <c r="E484" s="289" t="n"/>
      <c r="F484" s="289" t="n"/>
      <c r="G484" s="289" t="n"/>
      <c r="H484" s="203" t="n"/>
    </row>
    <row r="485" ht="13" customHeight="1" s="189">
      <c r="A485" s="289" t="n"/>
      <c r="B485" s="203" t="n"/>
      <c r="C485" s="289" t="n"/>
      <c r="D485" s="289" t="n"/>
      <c r="E485" s="289" t="n"/>
      <c r="F485" s="289" t="n"/>
      <c r="G485" s="289" t="n"/>
      <c r="H485" s="203" t="n"/>
    </row>
    <row r="486" ht="13" customHeight="1" s="189">
      <c r="A486" s="289" t="n"/>
      <c r="B486" s="203" t="n"/>
      <c r="C486" s="289" t="n"/>
      <c r="D486" s="289" t="n"/>
      <c r="E486" s="289" t="n"/>
      <c r="F486" s="289" t="n"/>
      <c r="G486" s="289" t="n"/>
      <c r="H486" s="203" t="n"/>
    </row>
    <row r="487" ht="13" customHeight="1" s="189">
      <c r="A487" s="289" t="n"/>
      <c r="B487" s="203" t="n"/>
      <c r="C487" s="289" t="n"/>
      <c r="D487" s="289" t="n"/>
      <c r="E487" s="289" t="n"/>
      <c r="F487" s="289" t="n"/>
      <c r="G487" s="289" t="n"/>
      <c r="H487" s="203" t="n"/>
    </row>
    <row r="488" ht="13" customHeight="1" s="189">
      <c r="A488" s="289" t="n"/>
      <c r="B488" s="203" t="n"/>
      <c r="C488" s="289" t="n"/>
      <c r="D488" s="289" t="n"/>
      <c r="E488" s="289" t="n"/>
      <c r="F488" s="289" t="n"/>
      <c r="G488" s="289" t="n"/>
      <c r="H488" s="203" t="n"/>
    </row>
    <row r="489" ht="13" customHeight="1" s="189">
      <c r="A489" s="289" t="n"/>
      <c r="B489" s="203" t="n"/>
      <c r="C489" s="289" t="n"/>
      <c r="D489" s="289" t="n"/>
      <c r="E489" s="289" t="n"/>
      <c r="F489" s="289" t="n"/>
      <c r="G489" s="289" t="n"/>
      <c r="H489" s="203" t="n"/>
    </row>
    <row r="490" ht="13" customHeight="1" s="189">
      <c r="A490" s="289" t="n"/>
      <c r="B490" s="203" t="n"/>
      <c r="C490" s="289" t="n"/>
      <c r="D490" s="289" t="n"/>
      <c r="E490" s="289" t="n"/>
      <c r="F490" s="289" t="n"/>
      <c r="G490" s="289" t="n"/>
      <c r="H490" s="203" t="n"/>
    </row>
    <row r="491" ht="13" customHeight="1" s="189">
      <c r="A491" s="289" t="n"/>
      <c r="B491" s="203" t="n"/>
      <c r="C491" s="289" t="n"/>
      <c r="D491" s="289" t="n"/>
      <c r="E491" s="289" t="n"/>
      <c r="F491" s="289" t="n"/>
      <c r="G491" s="289" t="n"/>
      <c r="H491" s="203" t="n"/>
    </row>
    <row r="492" ht="13" customHeight="1" s="189">
      <c r="A492" s="289" t="n"/>
      <c r="B492" s="203" t="n"/>
      <c r="C492" s="289" t="n"/>
      <c r="D492" s="289" t="n"/>
      <c r="E492" s="289" t="n"/>
      <c r="F492" s="289" t="n"/>
      <c r="G492" s="289" t="n"/>
      <c r="H492" s="203" t="n"/>
    </row>
    <row r="493" ht="13" customHeight="1" s="189">
      <c r="A493" s="289" t="n"/>
      <c r="B493" s="203" t="n"/>
      <c r="C493" s="289" t="n"/>
      <c r="D493" s="289" t="n"/>
      <c r="E493" s="289" t="n"/>
      <c r="F493" s="289" t="n"/>
      <c r="G493" s="289" t="n"/>
      <c r="H493" s="203" t="n"/>
    </row>
    <row r="494" ht="13" customHeight="1" s="189">
      <c r="A494" s="289" t="n"/>
      <c r="B494" s="203" t="n"/>
      <c r="C494" s="289" t="n"/>
      <c r="D494" s="289" t="n"/>
      <c r="E494" s="289" t="n"/>
      <c r="F494" s="289" t="n"/>
      <c r="G494" s="289" t="n"/>
      <c r="H494" s="203" t="n"/>
    </row>
    <row r="495" ht="13" customHeight="1" s="189">
      <c r="A495" s="289" t="n"/>
      <c r="B495" s="203" t="n"/>
      <c r="C495" s="289" t="n"/>
      <c r="D495" s="289" t="n"/>
      <c r="E495" s="289" t="n"/>
      <c r="F495" s="289" t="n"/>
      <c r="G495" s="289" t="n"/>
      <c r="H495" s="203" t="n"/>
    </row>
    <row r="496" ht="13" customHeight="1" s="189">
      <c r="A496" s="289" t="n"/>
      <c r="B496" s="203" t="n"/>
      <c r="C496" s="289" t="n"/>
      <c r="D496" s="289" t="n"/>
      <c r="E496" s="289" t="n"/>
      <c r="F496" s="289" t="n"/>
      <c r="G496" s="289" t="n"/>
      <c r="H496" s="203" t="n"/>
    </row>
    <row r="497" ht="13" customHeight="1" s="189">
      <c r="A497" s="289" t="n"/>
      <c r="B497" s="203" t="n"/>
      <c r="C497" s="289" t="n"/>
      <c r="D497" s="289" t="n"/>
      <c r="E497" s="289" t="n"/>
      <c r="F497" s="289" t="n"/>
      <c r="G497" s="289" t="n"/>
      <c r="H497" s="203" t="n"/>
    </row>
    <row r="498" ht="13" customHeight="1" s="189">
      <c r="A498" s="289" t="n"/>
      <c r="B498" s="203" t="n"/>
      <c r="C498" s="289" t="n"/>
      <c r="D498" s="289" t="n"/>
      <c r="E498" s="289" t="n"/>
      <c r="F498" s="289" t="n"/>
      <c r="G498" s="289" t="n"/>
      <c r="H498" s="203" t="n"/>
    </row>
    <row r="499" ht="13" customHeight="1" s="189">
      <c r="A499" s="289" t="n"/>
      <c r="B499" s="203" t="n"/>
      <c r="C499" s="289" t="n"/>
      <c r="D499" s="289" t="n"/>
      <c r="E499" s="289" t="n"/>
      <c r="F499" s="289" t="n"/>
      <c r="G499" s="289" t="n"/>
      <c r="H499" s="203" t="n"/>
    </row>
    <row r="500" ht="13" customHeight="1" s="189">
      <c r="A500" s="289" t="n"/>
      <c r="B500" s="203" t="n"/>
      <c r="C500" s="289" t="n"/>
      <c r="D500" s="289" t="n"/>
      <c r="E500" s="289" t="n"/>
      <c r="F500" s="289" t="n"/>
      <c r="G500" s="289" t="n"/>
      <c r="H500" s="203" t="n"/>
    </row>
    <row r="501" ht="13" customHeight="1" s="189">
      <c r="A501" s="289" t="n"/>
      <c r="B501" s="203" t="n"/>
      <c r="C501" s="289" t="n"/>
      <c r="D501" s="289" t="n"/>
      <c r="E501" s="289" t="n"/>
      <c r="F501" s="289" t="n"/>
      <c r="G501" s="289" t="n"/>
      <c r="H501" s="203" t="n"/>
    </row>
    <row r="502" ht="13" customHeight="1" s="189">
      <c r="A502" s="289" t="n"/>
      <c r="B502" s="203" t="n"/>
      <c r="C502" s="289" t="n"/>
      <c r="D502" s="289" t="n"/>
      <c r="E502" s="289" t="n"/>
      <c r="F502" s="289" t="n"/>
      <c r="G502" s="289" t="n"/>
      <c r="H502" s="203" t="n"/>
    </row>
    <row r="503" ht="13" customHeight="1" s="189">
      <c r="A503" s="289" t="n"/>
      <c r="B503" s="203" t="n"/>
      <c r="C503" s="289" t="n"/>
      <c r="D503" s="289" t="n"/>
      <c r="E503" s="289" t="n"/>
      <c r="F503" s="289" t="n"/>
      <c r="G503" s="289" t="n"/>
      <c r="H503" s="203" t="n"/>
    </row>
    <row r="504" ht="13" customHeight="1" s="189">
      <c r="A504" s="289" t="n"/>
      <c r="B504" s="203" t="n"/>
      <c r="C504" s="289" t="n"/>
      <c r="D504" s="289" t="n"/>
      <c r="E504" s="289" t="n"/>
      <c r="F504" s="289" t="n"/>
      <c r="G504" s="289" t="n"/>
      <c r="H504" s="203" t="n"/>
    </row>
    <row r="505" ht="13" customHeight="1" s="189">
      <c r="A505" s="289" t="n"/>
      <c r="B505" s="203" t="n"/>
      <c r="C505" s="289" t="n"/>
      <c r="D505" s="289" t="n"/>
      <c r="E505" s="289" t="n"/>
      <c r="F505" s="289" t="n"/>
      <c r="G505" s="289" t="n"/>
      <c r="H505" s="203" t="n"/>
    </row>
    <row r="506" ht="13" customHeight="1" s="189">
      <c r="A506" s="289" t="n"/>
      <c r="B506" s="203" t="n"/>
      <c r="C506" s="289" t="n"/>
      <c r="D506" s="289" t="n"/>
      <c r="E506" s="289" t="n"/>
      <c r="F506" s="289" t="n"/>
      <c r="G506" s="289" t="n"/>
      <c r="H506" s="203" t="n"/>
    </row>
    <row r="507" ht="13" customHeight="1" s="189">
      <c r="A507" s="289" t="n"/>
      <c r="B507" s="203" t="n"/>
      <c r="C507" s="289" t="n"/>
      <c r="D507" s="289" t="n"/>
      <c r="E507" s="289" t="n"/>
      <c r="F507" s="289" t="n"/>
      <c r="G507" s="289" t="n"/>
      <c r="H507" s="203" t="n"/>
    </row>
    <row r="508" ht="13" customHeight="1" s="189">
      <c r="A508" s="289" t="n"/>
      <c r="B508" s="203" t="n"/>
      <c r="C508" s="289" t="n"/>
      <c r="D508" s="289" t="n"/>
      <c r="E508" s="289" t="n"/>
      <c r="F508" s="289" t="n"/>
      <c r="G508" s="289" t="n"/>
      <c r="H508" s="203" t="n"/>
    </row>
    <row r="509" ht="13" customHeight="1" s="189">
      <c r="A509" s="289" t="n"/>
      <c r="B509" s="203" t="n"/>
      <c r="C509" s="289" t="n"/>
      <c r="D509" s="289" t="n"/>
      <c r="E509" s="289" t="n"/>
      <c r="F509" s="289" t="n"/>
      <c r="G509" s="289" t="n"/>
      <c r="H509" s="203" t="n"/>
    </row>
    <row r="510" ht="13" customHeight="1" s="189">
      <c r="A510" s="289" t="n"/>
      <c r="B510" s="203" t="n"/>
      <c r="C510" s="289" t="n"/>
      <c r="D510" s="289" t="n"/>
      <c r="E510" s="289" t="n"/>
      <c r="F510" s="289" t="n"/>
      <c r="G510" s="289" t="n"/>
      <c r="H510" s="203" t="n"/>
    </row>
    <row r="511" ht="13" customHeight="1" s="189">
      <c r="A511" s="289" t="n"/>
      <c r="B511" s="203" t="n"/>
      <c r="C511" s="289" t="n"/>
      <c r="D511" s="289" t="n"/>
      <c r="E511" s="289" t="n"/>
      <c r="F511" s="289" t="n"/>
      <c r="G511" s="289" t="n"/>
      <c r="H511" s="203" t="n"/>
    </row>
    <row r="512" ht="13" customHeight="1" s="189">
      <c r="A512" s="289" t="n"/>
      <c r="B512" s="203" t="n"/>
      <c r="C512" s="289" t="n"/>
      <c r="D512" s="289" t="n"/>
      <c r="E512" s="289" t="n"/>
      <c r="F512" s="289" t="n"/>
      <c r="G512" s="289" t="n"/>
      <c r="H512" s="203" t="n"/>
    </row>
    <row r="513" ht="13" customHeight="1" s="189">
      <c r="A513" s="289" t="n"/>
      <c r="B513" s="203" t="n"/>
      <c r="C513" s="289" t="n"/>
      <c r="D513" s="289" t="n"/>
      <c r="E513" s="289" t="n"/>
      <c r="F513" s="289" t="n"/>
      <c r="G513" s="289" t="n"/>
      <c r="H513" s="203" t="n"/>
    </row>
    <row r="514" ht="13" customHeight="1" s="189">
      <c r="A514" s="289" t="n"/>
      <c r="B514" s="203" t="n"/>
      <c r="C514" s="289" t="n"/>
      <c r="D514" s="289" t="n"/>
      <c r="E514" s="289" t="n"/>
      <c r="F514" s="289" t="n"/>
      <c r="G514" s="289" t="n"/>
      <c r="H514" s="203" t="n"/>
    </row>
    <row r="515" ht="13" customHeight="1" s="189">
      <c r="A515" s="289" t="n"/>
      <c r="B515" s="203" t="n"/>
      <c r="C515" s="289" t="n"/>
      <c r="D515" s="289" t="n"/>
      <c r="E515" s="289" t="n"/>
      <c r="F515" s="289" t="n"/>
      <c r="G515" s="289" t="n"/>
      <c r="H515" s="203" t="n"/>
    </row>
    <row r="516" ht="13" customHeight="1" s="189">
      <c r="A516" s="289" t="n"/>
      <c r="B516" s="203" t="n"/>
      <c r="C516" s="289" t="n"/>
      <c r="D516" s="289" t="n"/>
      <c r="E516" s="289" t="n"/>
      <c r="F516" s="289" t="n"/>
      <c r="G516" s="289" t="n"/>
      <c r="H516" s="203" t="n"/>
    </row>
    <row r="517" ht="13" customHeight="1" s="189">
      <c r="A517" s="289" t="n"/>
      <c r="B517" s="203" t="n"/>
      <c r="C517" s="289" t="n"/>
      <c r="D517" s="289" t="n"/>
      <c r="E517" s="289" t="n"/>
      <c r="F517" s="289" t="n"/>
      <c r="G517" s="289" t="n"/>
      <c r="H517" s="203" t="n"/>
    </row>
    <row r="518" ht="13" customHeight="1" s="189">
      <c r="A518" s="289" t="n"/>
      <c r="B518" s="203" t="n"/>
      <c r="C518" s="289" t="n"/>
      <c r="D518" s="289" t="n"/>
      <c r="E518" s="289" t="n"/>
      <c r="F518" s="289" t="n"/>
      <c r="G518" s="289" t="n"/>
      <c r="H518" s="203" t="n"/>
    </row>
    <row r="519" ht="13" customHeight="1" s="189">
      <c r="A519" s="289" t="n"/>
      <c r="B519" s="203" t="n"/>
      <c r="C519" s="289" t="n"/>
      <c r="D519" s="289" t="n"/>
      <c r="E519" s="289" t="n"/>
      <c r="F519" s="289" t="n"/>
      <c r="G519" s="289" t="n"/>
      <c r="H519" s="203" t="n"/>
    </row>
    <row r="520" ht="13" customHeight="1" s="189">
      <c r="A520" s="289" t="n"/>
      <c r="B520" s="203" t="n"/>
      <c r="C520" s="289" t="n"/>
      <c r="D520" s="289" t="n"/>
      <c r="E520" s="289" t="n"/>
      <c r="F520" s="289" t="n"/>
      <c r="G520" s="289" t="n"/>
      <c r="H520" s="203" t="n"/>
    </row>
    <row r="521" ht="13" customHeight="1" s="189">
      <c r="A521" s="289" t="n"/>
      <c r="B521" s="203" t="n"/>
      <c r="C521" s="289" t="n"/>
      <c r="D521" s="289" t="n"/>
      <c r="E521" s="289" t="n"/>
      <c r="F521" s="289" t="n"/>
      <c r="G521" s="289" t="n"/>
      <c r="H521" s="203" t="n"/>
    </row>
    <row r="522" ht="13" customHeight="1" s="189">
      <c r="A522" s="289" t="n"/>
      <c r="B522" s="203" t="n"/>
      <c r="C522" s="289" t="n"/>
      <c r="D522" s="289" t="n"/>
      <c r="E522" s="289" t="n"/>
      <c r="F522" s="289" t="n"/>
      <c r="G522" s="289" t="n"/>
      <c r="H522" s="203" t="n"/>
    </row>
    <row r="523" ht="13" customHeight="1" s="189">
      <c r="A523" s="289" t="n"/>
      <c r="B523" s="203" t="n"/>
      <c r="C523" s="289" t="n"/>
      <c r="D523" s="289" t="n"/>
      <c r="E523" s="289" t="n"/>
      <c r="F523" s="289" t="n"/>
      <c r="G523" s="289" t="n"/>
      <c r="H523" s="203" t="n"/>
    </row>
    <row r="524" ht="13" customHeight="1" s="189">
      <c r="A524" s="289" t="n"/>
      <c r="B524" s="203" t="n"/>
      <c r="C524" s="289" t="n"/>
      <c r="D524" s="289" t="n"/>
      <c r="E524" s="289" t="n"/>
      <c r="F524" s="289" t="n"/>
      <c r="G524" s="289" t="n"/>
      <c r="H524" s="203" t="n"/>
    </row>
    <row r="525" ht="13" customHeight="1" s="189">
      <c r="A525" s="289" t="n"/>
      <c r="B525" s="203" t="n"/>
      <c r="C525" s="289" t="n"/>
      <c r="D525" s="289" t="n"/>
      <c r="E525" s="289" t="n"/>
      <c r="F525" s="289" t="n"/>
      <c r="G525" s="289" t="n"/>
      <c r="H525" s="203" t="n"/>
    </row>
    <row r="526" ht="13" customHeight="1" s="189">
      <c r="A526" s="289" t="n"/>
      <c r="B526" s="203" t="n"/>
      <c r="C526" s="289" t="n"/>
      <c r="D526" s="289" t="n"/>
      <c r="E526" s="289" t="n"/>
      <c r="F526" s="289" t="n"/>
      <c r="G526" s="289" t="n"/>
      <c r="H526" s="203" t="n"/>
    </row>
    <row r="527" ht="13" customHeight="1" s="189">
      <c r="A527" s="289" t="n"/>
      <c r="B527" s="203" t="n"/>
      <c r="C527" s="289" t="n"/>
      <c r="D527" s="289" t="n"/>
      <c r="E527" s="289" t="n"/>
      <c r="F527" s="289" t="n"/>
      <c r="G527" s="289" t="n"/>
      <c r="H527" s="203" t="n"/>
    </row>
    <row r="528" ht="13" customHeight="1" s="189">
      <c r="A528" s="289" t="n"/>
      <c r="B528" s="203" t="n"/>
      <c r="C528" s="289" t="n"/>
      <c r="D528" s="289" t="n"/>
      <c r="E528" s="289" t="n"/>
      <c r="F528" s="289" t="n"/>
      <c r="G528" s="289" t="n"/>
      <c r="H528" s="203" t="n"/>
    </row>
    <row r="529" ht="13" customHeight="1" s="189">
      <c r="A529" s="289" t="n"/>
      <c r="B529" s="203" t="n"/>
      <c r="C529" s="289" t="n"/>
      <c r="D529" s="289" t="n"/>
      <c r="E529" s="289" t="n"/>
      <c r="F529" s="289" t="n"/>
      <c r="G529" s="289" t="n"/>
      <c r="H529" s="203" t="n"/>
    </row>
    <row r="530" ht="13" customHeight="1" s="189">
      <c r="A530" s="289" t="n"/>
      <c r="B530" s="203" t="n"/>
      <c r="C530" s="289" t="n"/>
      <c r="D530" s="289" t="n"/>
      <c r="E530" s="289" t="n"/>
      <c r="F530" s="289" t="n"/>
      <c r="G530" s="289" t="n"/>
      <c r="H530" s="203" t="n"/>
    </row>
    <row r="531" ht="13" customHeight="1" s="189">
      <c r="A531" s="289" t="n"/>
      <c r="B531" s="203" t="n"/>
      <c r="C531" s="289" t="n"/>
      <c r="D531" s="289" t="n"/>
      <c r="E531" s="289" t="n"/>
      <c r="F531" s="289" t="n"/>
      <c r="G531" s="289" t="n"/>
      <c r="H531" s="203" t="n"/>
    </row>
    <row r="532" ht="13" customHeight="1" s="189">
      <c r="A532" s="289" t="n"/>
      <c r="B532" s="203" t="n"/>
      <c r="C532" s="289" t="n"/>
      <c r="D532" s="289" t="n"/>
      <c r="E532" s="289" t="n"/>
      <c r="F532" s="289" t="n"/>
      <c r="G532" s="289" t="n"/>
      <c r="H532" s="203" t="n"/>
    </row>
    <row r="533" ht="13" customHeight="1" s="189">
      <c r="A533" s="289" t="n"/>
      <c r="B533" s="203" t="n"/>
      <c r="C533" s="289" t="n"/>
      <c r="D533" s="289" t="n"/>
      <c r="E533" s="289" t="n"/>
      <c r="F533" s="289" t="n"/>
      <c r="G533" s="289" t="n"/>
      <c r="H533" s="203" t="n"/>
    </row>
    <row r="534" ht="13" customHeight="1" s="189">
      <c r="A534" s="289" t="n"/>
      <c r="B534" s="203" t="n"/>
      <c r="C534" s="289" t="n"/>
      <c r="D534" s="289" t="n"/>
      <c r="E534" s="289" t="n"/>
      <c r="F534" s="289" t="n"/>
      <c r="G534" s="289" t="n"/>
      <c r="H534" s="203" t="n"/>
    </row>
    <row r="535" ht="13" customHeight="1" s="189">
      <c r="A535" s="289" t="n"/>
      <c r="B535" s="203" t="n"/>
      <c r="C535" s="289" t="n"/>
      <c r="D535" s="289" t="n"/>
      <c r="E535" s="289" t="n"/>
      <c r="F535" s="289" t="n"/>
      <c r="G535" s="289" t="n"/>
      <c r="H535" s="203" t="n"/>
    </row>
    <row r="536" ht="13" customHeight="1" s="189">
      <c r="A536" s="289" t="n"/>
      <c r="B536" s="203" t="n"/>
      <c r="C536" s="289" t="n"/>
      <c r="D536" s="289" t="n"/>
      <c r="E536" s="289" t="n"/>
      <c r="F536" s="289" t="n"/>
      <c r="G536" s="289" t="n"/>
      <c r="H536" s="203" t="n"/>
    </row>
    <row r="537" ht="13" customHeight="1" s="189">
      <c r="A537" s="289" t="n"/>
      <c r="B537" s="203" t="n"/>
      <c r="C537" s="289" t="n"/>
      <c r="D537" s="289" t="n"/>
      <c r="E537" s="289" t="n"/>
      <c r="F537" s="289" t="n"/>
      <c r="G537" s="289" t="n"/>
      <c r="H537" s="203" t="n"/>
    </row>
    <row r="538" ht="13" customHeight="1" s="189">
      <c r="A538" s="289" t="n"/>
      <c r="B538" s="203" t="n"/>
      <c r="C538" s="289" t="n"/>
      <c r="D538" s="289" t="n"/>
      <c r="E538" s="289" t="n"/>
      <c r="F538" s="289" t="n"/>
      <c r="G538" s="289" t="n"/>
      <c r="H538" s="203" t="n"/>
    </row>
    <row r="539" ht="13" customHeight="1" s="189">
      <c r="A539" s="289" t="n"/>
      <c r="B539" s="203" t="n"/>
      <c r="C539" s="289" t="n"/>
      <c r="D539" s="289" t="n"/>
      <c r="E539" s="289" t="n"/>
      <c r="F539" s="289" t="n"/>
      <c r="G539" s="289" t="n"/>
      <c r="H539" s="203" t="n"/>
    </row>
    <row r="540" ht="13" customHeight="1" s="189">
      <c r="A540" s="289" t="n"/>
      <c r="B540" s="203" t="n"/>
      <c r="C540" s="289" t="n"/>
      <c r="D540" s="289" t="n"/>
      <c r="E540" s="289" t="n"/>
      <c r="F540" s="289" t="n"/>
      <c r="G540" s="289" t="n"/>
      <c r="H540" s="203" t="n"/>
    </row>
    <row r="541" ht="13" customHeight="1" s="189">
      <c r="A541" s="289" t="n"/>
      <c r="B541" s="203" t="n"/>
      <c r="C541" s="289" t="n"/>
      <c r="D541" s="289" t="n"/>
      <c r="E541" s="289" t="n"/>
      <c r="F541" s="289" t="n"/>
      <c r="G541" s="289" t="n"/>
      <c r="H541" s="203" t="n"/>
    </row>
    <row r="542" ht="13" customHeight="1" s="189">
      <c r="A542" s="289" t="n"/>
      <c r="B542" s="203" t="n"/>
      <c r="C542" s="289" t="n"/>
      <c r="D542" s="289" t="n"/>
      <c r="E542" s="289" t="n"/>
      <c r="F542" s="289" t="n"/>
      <c r="G542" s="289" t="n"/>
      <c r="H542" s="203" t="n"/>
    </row>
    <row r="543" ht="13" customHeight="1" s="189">
      <c r="A543" s="289" t="n"/>
      <c r="B543" s="203" t="n"/>
      <c r="C543" s="289" t="n"/>
      <c r="D543" s="289" t="n"/>
      <c r="E543" s="289" t="n"/>
      <c r="F543" s="289" t="n"/>
      <c r="G543" s="289" t="n"/>
      <c r="H543" s="203" t="n"/>
    </row>
    <row r="544" ht="13" customHeight="1" s="189">
      <c r="A544" s="289" t="n"/>
      <c r="B544" s="203" t="n"/>
      <c r="C544" s="289" t="n"/>
      <c r="D544" s="289" t="n"/>
      <c r="E544" s="289" t="n"/>
      <c r="F544" s="289" t="n"/>
      <c r="G544" s="289" t="n"/>
      <c r="H544" s="203" t="n"/>
    </row>
    <row r="545" ht="13" customHeight="1" s="189">
      <c r="A545" s="289" t="n"/>
      <c r="B545" s="203" t="n"/>
      <c r="C545" s="289" t="n"/>
      <c r="D545" s="289" t="n"/>
      <c r="E545" s="289" t="n"/>
      <c r="F545" s="289" t="n"/>
      <c r="G545" s="289" t="n"/>
      <c r="H545" s="203" t="n"/>
    </row>
    <row r="546" ht="13" customHeight="1" s="189">
      <c r="A546" s="289" t="n"/>
      <c r="B546" s="203" t="n"/>
      <c r="C546" s="289" t="n"/>
      <c r="D546" s="289" t="n"/>
      <c r="E546" s="289" t="n"/>
      <c r="F546" s="289" t="n"/>
      <c r="G546" s="289" t="n"/>
      <c r="H546" s="203" t="n"/>
    </row>
    <row r="547" ht="13" customHeight="1" s="189">
      <c r="A547" s="289" t="n"/>
      <c r="B547" s="203" t="n"/>
      <c r="C547" s="289" t="n"/>
      <c r="D547" s="289" t="n"/>
      <c r="E547" s="289" t="n"/>
      <c r="F547" s="289" t="n"/>
      <c r="G547" s="289" t="n"/>
      <c r="H547" s="203" t="n"/>
    </row>
    <row r="548" ht="13" customHeight="1" s="189">
      <c r="A548" s="289" t="n"/>
      <c r="B548" s="203" t="n"/>
      <c r="C548" s="289" t="n"/>
      <c r="D548" s="289" t="n"/>
      <c r="E548" s="289" t="n"/>
      <c r="F548" s="289" t="n"/>
      <c r="G548" s="289" t="n"/>
      <c r="H548" s="203" t="n"/>
    </row>
    <row r="549" ht="13" customHeight="1" s="189">
      <c r="A549" s="289" t="n"/>
      <c r="B549" s="203" t="n"/>
      <c r="C549" s="289" t="n"/>
      <c r="D549" s="289" t="n"/>
      <c r="E549" s="289" t="n"/>
      <c r="F549" s="289" t="n"/>
      <c r="G549" s="289" t="n"/>
      <c r="H549" s="203" t="n"/>
    </row>
    <row r="550" ht="13" customHeight="1" s="189">
      <c r="A550" s="289" t="n"/>
      <c r="B550" s="203" t="n"/>
      <c r="C550" s="289" t="n"/>
      <c r="D550" s="289" t="n"/>
      <c r="E550" s="289" t="n"/>
      <c r="F550" s="289" t="n"/>
      <c r="G550" s="289" t="n"/>
      <c r="H550" s="203" t="n"/>
    </row>
    <row r="551" ht="13" customHeight="1" s="189">
      <c r="A551" s="289" t="n"/>
      <c r="B551" s="203" t="n"/>
      <c r="C551" s="289" t="n"/>
      <c r="D551" s="289" t="n"/>
      <c r="E551" s="289" t="n"/>
      <c r="F551" s="289" t="n"/>
      <c r="G551" s="289" t="n"/>
      <c r="H551" s="203" t="n"/>
    </row>
    <row r="552" ht="13" customHeight="1" s="189">
      <c r="A552" s="289" t="n"/>
      <c r="B552" s="203" t="n"/>
      <c r="C552" s="289" t="n"/>
      <c r="D552" s="289" t="n"/>
      <c r="E552" s="289" t="n"/>
      <c r="F552" s="289" t="n"/>
      <c r="G552" s="289" t="n"/>
      <c r="H552" s="203" t="n"/>
    </row>
    <row r="553" ht="13" customHeight="1" s="189">
      <c r="A553" s="289" t="n"/>
      <c r="B553" s="203" t="n"/>
      <c r="C553" s="289" t="n"/>
      <c r="D553" s="289" t="n"/>
      <c r="E553" s="289" t="n"/>
      <c r="F553" s="289" t="n"/>
      <c r="G553" s="289" t="n"/>
      <c r="H553" s="203" t="n"/>
    </row>
    <row r="554" ht="13" customHeight="1" s="189">
      <c r="A554" s="289" t="n"/>
      <c r="B554" s="203" t="n"/>
      <c r="C554" s="289" t="n"/>
      <c r="D554" s="289" t="n"/>
      <c r="E554" s="289" t="n"/>
      <c r="F554" s="289" t="n"/>
      <c r="G554" s="289" t="n"/>
      <c r="H554" s="203" t="n"/>
    </row>
    <row r="555" ht="13" customHeight="1" s="189">
      <c r="A555" s="289" t="n"/>
      <c r="B555" s="203" t="n"/>
      <c r="C555" s="289" t="n"/>
      <c r="D555" s="289" t="n"/>
      <c r="E555" s="289" t="n"/>
      <c r="F555" s="289" t="n"/>
      <c r="G555" s="289" t="n"/>
      <c r="H555" s="203" t="n"/>
    </row>
    <row r="556" ht="13" customHeight="1" s="189">
      <c r="A556" s="289" t="n"/>
      <c r="B556" s="203" t="n"/>
      <c r="C556" s="289" t="n"/>
      <c r="D556" s="289" t="n"/>
      <c r="E556" s="289" t="n"/>
      <c r="F556" s="289" t="n"/>
      <c r="G556" s="289" t="n"/>
      <c r="H556" s="203" t="n"/>
    </row>
    <row r="557" ht="13" customHeight="1" s="189">
      <c r="A557" s="289" t="n"/>
      <c r="B557" s="203" t="n"/>
      <c r="C557" s="289" t="n"/>
      <c r="D557" s="289" t="n"/>
      <c r="E557" s="289" t="n"/>
      <c r="F557" s="289" t="n"/>
      <c r="G557" s="289" t="n"/>
      <c r="H557" s="203" t="n"/>
    </row>
    <row r="558" ht="13" customHeight="1" s="189">
      <c r="A558" s="289" t="n"/>
      <c r="B558" s="203" t="n"/>
      <c r="C558" s="289" t="n"/>
      <c r="D558" s="289" t="n"/>
      <c r="E558" s="289" t="n"/>
      <c r="F558" s="289" t="n"/>
      <c r="G558" s="289" t="n"/>
      <c r="H558" s="203" t="n"/>
    </row>
    <row r="559" ht="13" customHeight="1" s="189">
      <c r="A559" s="289" t="n"/>
      <c r="B559" s="203" t="n"/>
      <c r="C559" s="289" t="n"/>
      <c r="D559" s="289" t="n"/>
      <c r="E559" s="289" t="n"/>
      <c r="F559" s="289" t="n"/>
      <c r="G559" s="289" t="n"/>
      <c r="H559" s="203" t="n"/>
    </row>
    <row r="560" ht="13" customHeight="1" s="189">
      <c r="A560" s="289" t="n"/>
      <c r="B560" s="203" t="n"/>
      <c r="C560" s="289" t="n"/>
      <c r="D560" s="289" t="n"/>
      <c r="E560" s="289" t="n"/>
      <c r="F560" s="289" t="n"/>
      <c r="G560" s="289" t="n"/>
      <c r="H560" s="203" t="n"/>
    </row>
    <row r="561" ht="13" customHeight="1" s="189">
      <c r="A561" s="289" t="n"/>
      <c r="B561" s="203" t="n"/>
      <c r="C561" s="289" t="n"/>
      <c r="D561" s="289" t="n"/>
      <c r="E561" s="289" t="n"/>
      <c r="F561" s="289" t="n"/>
      <c r="G561" s="289" t="n"/>
      <c r="H561" s="203" t="n"/>
    </row>
    <row r="562" ht="13" customHeight="1" s="189">
      <c r="A562" s="289" t="n"/>
      <c r="B562" s="203" t="n"/>
      <c r="C562" s="289" t="n"/>
      <c r="D562" s="289" t="n"/>
      <c r="E562" s="289" t="n"/>
      <c r="F562" s="289" t="n"/>
      <c r="G562" s="289" t="n"/>
      <c r="H562" s="203" t="n"/>
    </row>
    <row r="563" ht="13" customHeight="1" s="189">
      <c r="A563" s="289" t="n"/>
      <c r="B563" s="203" t="n"/>
      <c r="C563" s="289" t="n"/>
      <c r="D563" s="289" t="n"/>
      <c r="E563" s="289" t="n"/>
      <c r="F563" s="289" t="n"/>
      <c r="G563" s="289" t="n"/>
      <c r="H563" s="203" t="n"/>
    </row>
    <row r="564" ht="13" customHeight="1" s="189">
      <c r="A564" s="289" t="n"/>
      <c r="B564" s="203" t="n"/>
      <c r="C564" s="289" t="n"/>
      <c r="D564" s="289" t="n"/>
      <c r="E564" s="289" t="n"/>
      <c r="F564" s="289" t="n"/>
      <c r="G564" s="289" t="n"/>
      <c r="H564" s="203" t="n"/>
    </row>
    <row r="565" ht="13" customHeight="1" s="189">
      <c r="A565" s="289" t="n"/>
      <c r="B565" s="203" t="n"/>
      <c r="C565" s="289" t="n"/>
      <c r="D565" s="289" t="n"/>
      <c r="E565" s="289" t="n"/>
      <c r="F565" s="289" t="n"/>
      <c r="G565" s="289" t="n"/>
      <c r="H565" s="203" t="n"/>
    </row>
    <row r="566" ht="13" customHeight="1" s="189">
      <c r="A566" s="289" t="n"/>
      <c r="B566" s="203" t="n"/>
      <c r="C566" s="289" t="n"/>
      <c r="D566" s="289" t="n"/>
      <c r="E566" s="289" t="n"/>
      <c r="F566" s="289" t="n"/>
      <c r="G566" s="289" t="n"/>
      <c r="H566" s="203" t="n"/>
    </row>
    <row r="567" ht="13" customHeight="1" s="189">
      <c r="A567" s="289" t="n"/>
      <c r="B567" s="203" t="n"/>
      <c r="C567" s="289" t="n"/>
      <c r="D567" s="289" t="n"/>
      <c r="E567" s="289" t="n"/>
      <c r="F567" s="289" t="n"/>
      <c r="G567" s="289" t="n"/>
      <c r="H567" s="203" t="n"/>
    </row>
    <row r="568" ht="13" customHeight="1" s="189">
      <c r="A568" s="289" t="n"/>
      <c r="B568" s="203" t="n"/>
      <c r="C568" s="289" t="n"/>
      <c r="D568" s="289" t="n"/>
      <c r="E568" s="289" t="n"/>
      <c r="F568" s="289" t="n"/>
      <c r="G568" s="289" t="n"/>
      <c r="H568" s="203" t="n"/>
    </row>
    <row r="569" ht="13" customHeight="1" s="189">
      <c r="A569" s="289" t="n"/>
      <c r="B569" s="203" t="n"/>
      <c r="C569" s="289" t="n"/>
      <c r="D569" s="289" t="n"/>
      <c r="E569" s="289" t="n"/>
      <c r="F569" s="289" t="n"/>
      <c r="G569" s="289" t="n"/>
      <c r="H569" s="203" t="n"/>
    </row>
    <row r="570" ht="13" customHeight="1" s="189">
      <c r="A570" s="289" t="n"/>
      <c r="B570" s="203" t="n"/>
      <c r="C570" s="289" t="n"/>
      <c r="D570" s="289" t="n"/>
      <c r="E570" s="289" t="n"/>
      <c r="F570" s="289" t="n"/>
      <c r="G570" s="289" t="n"/>
      <c r="H570" s="203" t="n"/>
    </row>
    <row r="571" ht="13" customHeight="1" s="189">
      <c r="A571" s="289" t="n"/>
      <c r="B571" s="203" t="n"/>
      <c r="C571" s="289" t="n"/>
      <c r="D571" s="289" t="n"/>
      <c r="E571" s="289" t="n"/>
      <c r="F571" s="289" t="n"/>
      <c r="G571" s="289" t="n"/>
      <c r="H571" s="203" t="n"/>
    </row>
    <row r="572" ht="13" customHeight="1" s="189">
      <c r="A572" s="289" t="n"/>
      <c r="B572" s="203" t="n"/>
      <c r="C572" s="289" t="n"/>
      <c r="D572" s="289" t="n"/>
      <c r="E572" s="289" t="n"/>
      <c r="F572" s="289" t="n"/>
      <c r="G572" s="289" t="n"/>
      <c r="H572" s="203" t="n"/>
    </row>
    <row r="573" ht="13" customHeight="1" s="189">
      <c r="A573" s="289" t="n"/>
      <c r="B573" s="203" t="n"/>
      <c r="C573" s="289" t="n"/>
      <c r="D573" s="289" t="n"/>
      <c r="E573" s="289" t="n"/>
      <c r="F573" s="289" t="n"/>
      <c r="G573" s="289" t="n"/>
      <c r="H573" s="203" t="n"/>
    </row>
    <row r="574" ht="13" customHeight="1" s="189">
      <c r="A574" s="289" t="n"/>
      <c r="B574" s="203" t="n"/>
      <c r="C574" s="289" t="n"/>
      <c r="D574" s="289" t="n"/>
      <c r="E574" s="289" t="n"/>
      <c r="F574" s="289" t="n"/>
      <c r="G574" s="289" t="n"/>
      <c r="H574" s="203" t="n"/>
    </row>
    <row r="575" ht="13" customHeight="1" s="189">
      <c r="A575" s="289" t="n"/>
      <c r="B575" s="203" t="n"/>
      <c r="C575" s="289" t="n"/>
      <c r="D575" s="289" t="n"/>
      <c r="E575" s="289" t="n"/>
      <c r="F575" s="289" t="n"/>
      <c r="G575" s="289" t="n"/>
      <c r="H575" s="203" t="n"/>
    </row>
    <row r="576" ht="13" customHeight="1" s="189">
      <c r="A576" s="289" t="n"/>
      <c r="B576" s="203" t="n"/>
      <c r="C576" s="289" t="n"/>
      <c r="D576" s="289" t="n"/>
      <c r="E576" s="289" t="n"/>
      <c r="F576" s="289" t="n"/>
      <c r="G576" s="289" t="n"/>
      <c r="H576" s="203" t="n"/>
    </row>
    <row r="577" ht="13" customHeight="1" s="189">
      <c r="A577" s="289" t="n"/>
      <c r="B577" s="203" t="n"/>
      <c r="C577" s="289" t="n"/>
      <c r="D577" s="289" t="n"/>
      <c r="E577" s="289" t="n"/>
      <c r="F577" s="289" t="n"/>
      <c r="G577" s="289" t="n"/>
      <c r="H577" s="203" t="n"/>
    </row>
    <row r="578" ht="13" customHeight="1" s="189">
      <c r="A578" s="289" t="n"/>
      <c r="B578" s="203" t="n"/>
      <c r="C578" s="289" t="n"/>
      <c r="D578" s="289" t="n"/>
      <c r="E578" s="289" t="n"/>
      <c r="F578" s="289" t="n"/>
      <c r="G578" s="289" t="n"/>
      <c r="H578" s="203" t="n"/>
    </row>
    <row r="579" ht="13" customHeight="1" s="189">
      <c r="A579" s="289" t="n"/>
      <c r="B579" s="203" t="n"/>
      <c r="C579" s="289" t="n"/>
      <c r="D579" s="289" t="n"/>
      <c r="E579" s="289" t="n"/>
      <c r="F579" s="289" t="n"/>
      <c r="G579" s="289" t="n"/>
      <c r="H579" s="203" t="n"/>
    </row>
    <row r="580" ht="13" customHeight="1" s="189">
      <c r="A580" s="289" t="n"/>
      <c r="B580" s="203" t="n"/>
      <c r="C580" s="289" t="n"/>
      <c r="D580" s="289" t="n"/>
      <c r="E580" s="289" t="n"/>
      <c r="F580" s="289" t="n"/>
      <c r="G580" s="289" t="n"/>
      <c r="H580" s="203" t="n"/>
    </row>
    <row r="581" ht="13" customHeight="1" s="189">
      <c r="A581" s="289" t="n"/>
      <c r="B581" s="203" t="n"/>
      <c r="C581" s="289" t="n"/>
      <c r="D581" s="289" t="n"/>
      <c r="E581" s="289" t="n"/>
      <c r="F581" s="289" t="n"/>
      <c r="G581" s="289" t="n"/>
      <c r="H581" s="203" t="n"/>
    </row>
    <row r="582" ht="13" customHeight="1" s="189">
      <c r="A582" s="289" t="n"/>
      <c r="B582" s="203" t="n"/>
      <c r="C582" s="289" t="n"/>
      <c r="D582" s="289" t="n"/>
      <c r="E582" s="289" t="n"/>
      <c r="F582" s="289" t="n"/>
      <c r="G582" s="289" t="n"/>
      <c r="H582" s="203" t="n"/>
    </row>
    <row r="583" ht="13" customHeight="1" s="189">
      <c r="A583" s="289" t="n"/>
      <c r="B583" s="203" t="n"/>
      <c r="C583" s="289" t="n"/>
      <c r="D583" s="289" t="n"/>
      <c r="E583" s="289" t="n"/>
      <c r="F583" s="289" t="n"/>
      <c r="G583" s="289" t="n"/>
      <c r="H583" s="203" t="n"/>
    </row>
    <row r="584" ht="13" customHeight="1" s="189">
      <c r="A584" s="289" t="n"/>
      <c r="B584" s="203" t="n"/>
      <c r="C584" s="289" t="n"/>
      <c r="D584" s="289" t="n"/>
      <c r="E584" s="289" t="n"/>
      <c r="F584" s="289" t="n"/>
      <c r="G584" s="289" t="n"/>
      <c r="H584" s="203" t="n"/>
    </row>
    <row r="585" ht="13" customHeight="1" s="189">
      <c r="A585" s="289" t="n"/>
      <c r="B585" s="203" t="n"/>
      <c r="C585" s="289" t="n"/>
      <c r="D585" s="289" t="n"/>
      <c r="E585" s="289" t="n"/>
      <c r="F585" s="289" t="n"/>
      <c r="G585" s="289" t="n"/>
      <c r="H585" s="203" t="n"/>
    </row>
    <row r="586" ht="13" customHeight="1" s="189">
      <c r="A586" s="289" t="n"/>
      <c r="B586" s="203" t="n"/>
      <c r="C586" s="289" t="n"/>
      <c r="D586" s="289" t="n"/>
      <c r="E586" s="289" t="n"/>
      <c r="F586" s="289" t="n"/>
      <c r="G586" s="289" t="n"/>
      <c r="H586" s="203" t="n"/>
    </row>
    <row r="587" ht="13" customHeight="1" s="189">
      <c r="A587" s="289" t="n"/>
      <c r="B587" s="203" t="n"/>
      <c r="C587" s="289" t="n"/>
      <c r="D587" s="289" t="n"/>
      <c r="E587" s="289" t="n"/>
      <c r="F587" s="289" t="n"/>
      <c r="G587" s="289" t="n"/>
      <c r="H587" s="203" t="n"/>
    </row>
    <row r="588" ht="13" customHeight="1" s="189">
      <c r="A588" s="289" t="n"/>
      <c r="B588" s="203" t="n"/>
      <c r="C588" s="289" t="n"/>
      <c r="D588" s="289" t="n"/>
      <c r="E588" s="289" t="n"/>
      <c r="F588" s="289" t="n"/>
      <c r="G588" s="289" t="n"/>
      <c r="H588" s="203" t="n"/>
    </row>
    <row r="589" ht="13" customHeight="1" s="189">
      <c r="A589" s="289" t="n"/>
      <c r="B589" s="203" t="n"/>
      <c r="C589" s="289" t="n"/>
      <c r="D589" s="289" t="n"/>
      <c r="E589" s="289" t="n"/>
      <c r="F589" s="289" t="n"/>
      <c r="G589" s="289" t="n"/>
      <c r="H589" s="203" t="n"/>
    </row>
    <row r="590" ht="13" customHeight="1" s="189">
      <c r="A590" s="289" t="n"/>
      <c r="B590" s="203" t="n"/>
      <c r="C590" s="289" t="n"/>
      <c r="D590" s="289" t="n"/>
      <c r="E590" s="289" t="n"/>
      <c r="F590" s="289" t="n"/>
      <c r="G590" s="289" t="n"/>
      <c r="H590" s="203" t="n"/>
    </row>
    <row r="591" ht="13" customHeight="1" s="189">
      <c r="A591" s="289" t="n"/>
      <c r="B591" s="203" t="n"/>
      <c r="C591" s="289" t="n"/>
      <c r="D591" s="289" t="n"/>
      <c r="E591" s="289" t="n"/>
      <c r="F591" s="289" t="n"/>
      <c r="G591" s="289" t="n"/>
      <c r="H591" s="203" t="n"/>
    </row>
    <row r="592" ht="13" customHeight="1" s="189">
      <c r="A592" s="289" t="n"/>
      <c r="B592" s="203" t="n"/>
      <c r="C592" s="289" t="n"/>
      <c r="D592" s="289" t="n"/>
      <c r="E592" s="289" t="n"/>
      <c r="F592" s="289" t="n"/>
      <c r="G592" s="289" t="n"/>
      <c r="H592" s="203" t="n"/>
    </row>
    <row r="593" ht="13" customHeight="1" s="189">
      <c r="A593" s="289" t="n"/>
      <c r="B593" s="203" t="n"/>
      <c r="C593" s="289" t="n"/>
      <c r="D593" s="289" t="n"/>
      <c r="E593" s="289" t="n"/>
      <c r="F593" s="289" t="n"/>
      <c r="G593" s="289" t="n"/>
      <c r="H593" s="203" t="n"/>
    </row>
    <row r="594" ht="13" customHeight="1" s="189">
      <c r="A594" s="289" t="n"/>
      <c r="B594" s="203" t="n"/>
      <c r="C594" s="289" t="n"/>
      <c r="D594" s="289" t="n"/>
      <c r="E594" s="289" t="n"/>
      <c r="F594" s="289" t="n"/>
      <c r="G594" s="289" t="n"/>
      <c r="H594" s="203" t="n"/>
    </row>
    <row r="595" ht="13" customHeight="1" s="189">
      <c r="A595" s="289" t="n"/>
      <c r="B595" s="203" t="n"/>
      <c r="C595" s="289" t="n"/>
      <c r="D595" s="289" t="n"/>
      <c r="E595" s="289" t="n"/>
      <c r="F595" s="289" t="n"/>
      <c r="G595" s="289" t="n"/>
      <c r="H595" s="203" t="n"/>
    </row>
    <row r="596" ht="13" customHeight="1" s="189">
      <c r="A596" s="289" t="n"/>
      <c r="B596" s="203" t="n"/>
      <c r="C596" s="289" t="n"/>
      <c r="D596" s="289" t="n"/>
      <c r="E596" s="289" t="n"/>
      <c r="F596" s="289" t="n"/>
      <c r="G596" s="289" t="n"/>
      <c r="H596" s="203" t="n"/>
    </row>
    <row r="597" ht="13" customHeight="1" s="189">
      <c r="A597" s="289" t="n"/>
      <c r="B597" s="203" t="n"/>
      <c r="C597" s="289" t="n"/>
      <c r="D597" s="289" t="n"/>
      <c r="E597" s="289" t="n"/>
      <c r="F597" s="289" t="n"/>
      <c r="G597" s="289" t="n"/>
      <c r="H597" s="203" t="n"/>
    </row>
    <row r="598" ht="13" customHeight="1" s="189">
      <c r="A598" s="289" t="n"/>
      <c r="B598" s="203" t="n"/>
      <c r="C598" s="289" t="n"/>
      <c r="D598" s="289" t="n"/>
      <c r="E598" s="289" t="n"/>
      <c r="F598" s="289" t="n"/>
      <c r="G598" s="289" t="n"/>
      <c r="H598" s="203" t="n"/>
    </row>
    <row r="599" ht="13" customHeight="1" s="189">
      <c r="A599" s="289" t="n"/>
      <c r="B599" s="203" t="n"/>
      <c r="C599" s="289" t="n"/>
      <c r="D599" s="289" t="n"/>
      <c r="E599" s="289" t="n"/>
      <c r="F599" s="289" t="n"/>
      <c r="G599" s="289" t="n"/>
      <c r="H599" s="203" t="n"/>
    </row>
    <row r="600" ht="13" customHeight="1" s="189">
      <c r="A600" s="289" t="n"/>
      <c r="B600" s="203" t="n"/>
      <c r="C600" s="289" t="n"/>
      <c r="D600" s="289" t="n"/>
      <c r="E600" s="289" t="n"/>
      <c r="F600" s="289" t="n"/>
      <c r="G600" s="289" t="n"/>
      <c r="H600" s="203" t="n"/>
    </row>
    <row r="601" ht="13" customHeight="1" s="189">
      <c r="A601" s="289" t="n"/>
      <c r="B601" s="203" t="n"/>
      <c r="C601" s="289" t="n"/>
      <c r="D601" s="289" t="n"/>
      <c r="E601" s="289" t="n"/>
      <c r="F601" s="289" t="n"/>
      <c r="G601" s="289" t="n"/>
      <c r="H601" s="203" t="n"/>
    </row>
    <row r="602" ht="13" customHeight="1" s="189">
      <c r="A602" s="289" t="n"/>
      <c r="B602" s="203" t="n"/>
      <c r="C602" s="289" t="n"/>
      <c r="D602" s="289" t="n"/>
      <c r="E602" s="289" t="n"/>
      <c r="F602" s="289" t="n"/>
      <c r="G602" s="289" t="n"/>
      <c r="H602" s="203" t="n"/>
    </row>
    <row r="603" ht="13" customHeight="1" s="189">
      <c r="A603" s="289" t="n"/>
      <c r="B603" s="203" t="n"/>
      <c r="C603" s="289" t="n"/>
      <c r="D603" s="289" t="n"/>
      <c r="E603" s="289" t="n"/>
      <c r="F603" s="289" t="n"/>
      <c r="G603" s="289" t="n"/>
      <c r="H603" s="203" t="n"/>
    </row>
    <row r="604" ht="13" customHeight="1" s="189">
      <c r="A604" s="289" t="n"/>
      <c r="B604" s="203" t="n"/>
      <c r="C604" s="289" t="n"/>
      <c r="D604" s="289" t="n"/>
      <c r="E604" s="289" t="n"/>
      <c r="F604" s="289" t="n"/>
      <c r="G604" s="289" t="n"/>
      <c r="H604" s="203" t="n"/>
    </row>
    <row r="605" ht="13" customHeight="1" s="189">
      <c r="A605" s="289" t="n"/>
      <c r="B605" s="203" t="n"/>
      <c r="C605" s="289" t="n"/>
      <c r="D605" s="289" t="n"/>
      <c r="E605" s="289" t="n"/>
      <c r="F605" s="289" t="n"/>
      <c r="G605" s="289" t="n"/>
      <c r="H605" s="203" t="n"/>
    </row>
    <row r="606" ht="13" customHeight="1" s="189">
      <c r="A606" s="289" t="n"/>
      <c r="B606" s="203" t="n"/>
      <c r="C606" s="289" t="n"/>
      <c r="D606" s="289" t="n"/>
      <c r="E606" s="289" t="n"/>
      <c r="F606" s="289" t="n"/>
      <c r="G606" s="289" t="n"/>
      <c r="H606" s="203" t="n"/>
    </row>
    <row r="607" ht="13" customHeight="1" s="189">
      <c r="A607" s="289" t="n"/>
      <c r="B607" s="203" t="n"/>
      <c r="C607" s="289" t="n"/>
      <c r="D607" s="289" t="n"/>
      <c r="E607" s="289" t="n"/>
      <c r="F607" s="289" t="n"/>
      <c r="G607" s="289" t="n"/>
      <c r="H607" s="203" t="n"/>
    </row>
    <row r="608" ht="13" customHeight="1" s="189">
      <c r="A608" s="289" t="n"/>
      <c r="B608" s="203" t="n"/>
      <c r="C608" s="289" t="n"/>
      <c r="D608" s="289" t="n"/>
      <c r="E608" s="289" t="n"/>
      <c r="F608" s="289" t="n"/>
      <c r="G608" s="289" t="n"/>
      <c r="H608" s="203" t="n"/>
    </row>
    <row r="609" ht="13" customHeight="1" s="189">
      <c r="A609" s="289" t="n"/>
      <c r="B609" s="203" t="n"/>
      <c r="C609" s="289" t="n"/>
      <c r="D609" s="289" t="n"/>
      <c r="E609" s="289" t="n"/>
      <c r="F609" s="289" t="n"/>
      <c r="G609" s="289" t="n"/>
      <c r="H609" s="203" t="n"/>
    </row>
    <row r="610" ht="13" customHeight="1" s="189">
      <c r="A610" s="289" t="n"/>
      <c r="B610" s="203" t="n"/>
      <c r="C610" s="289" t="n"/>
      <c r="D610" s="289" t="n"/>
      <c r="E610" s="289" t="n"/>
      <c r="F610" s="289" t="n"/>
      <c r="G610" s="289" t="n"/>
      <c r="H610" s="203" t="n"/>
    </row>
    <row r="611" ht="13" customHeight="1" s="189">
      <c r="A611" s="289" t="n"/>
      <c r="B611" s="203" t="n"/>
      <c r="C611" s="289" t="n"/>
      <c r="D611" s="289" t="n"/>
      <c r="E611" s="289" t="n"/>
      <c r="F611" s="289" t="n"/>
      <c r="G611" s="289" t="n"/>
      <c r="H611" s="203" t="n"/>
    </row>
    <row r="612" ht="13" customHeight="1" s="189">
      <c r="A612" s="289" t="n"/>
      <c r="B612" s="203" t="n"/>
      <c r="C612" s="289" t="n"/>
      <c r="D612" s="289" t="n"/>
      <c r="E612" s="289" t="n"/>
      <c r="F612" s="289" t="n"/>
      <c r="G612" s="289" t="n"/>
      <c r="H612" s="203" t="n"/>
    </row>
    <row r="613" ht="13" customHeight="1" s="189">
      <c r="A613" s="289" t="n"/>
      <c r="B613" s="203" t="n"/>
      <c r="C613" s="289" t="n"/>
      <c r="D613" s="289" t="n"/>
      <c r="E613" s="289" t="n"/>
      <c r="F613" s="289" t="n"/>
      <c r="G613" s="289" t="n"/>
      <c r="H613" s="203" t="n"/>
    </row>
    <row r="614" ht="13" customHeight="1" s="189">
      <c r="A614" s="289" t="n"/>
      <c r="B614" s="203" t="n"/>
      <c r="C614" s="289" t="n"/>
      <c r="D614" s="289" t="n"/>
      <c r="E614" s="289" t="n"/>
      <c r="F614" s="289" t="n"/>
      <c r="G614" s="289" t="n"/>
      <c r="H614" s="203" t="n"/>
    </row>
    <row r="615" ht="13" customHeight="1" s="189">
      <c r="A615" s="289" t="n"/>
      <c r="B615" s="203" t="n"/>
      <c r="C615" s="289" t="n"/>
      <c r="D615" s="289" t="n"/>
      <c r="E615" s="289" t="n"/>
      <c r="F615" s="289" t="n"/>
      <c r="G615" s="289" t="n"/>
      <c r="H615" s="203" t="n"/>
    </row>
    <row r="616" ht="13" customHeight="1" s="189">
      <c r="A616" s="289" t="n"/>
      <c r="B616" s="203" t="n"/>
      <c r="C616" s="289" t="n"/>
      <c r="D616" s="289" t="n"/>
      <c r="E616" s="289" t="n"/>
      <c r="F616" s="289" t="n"/>
      <c r="G616" s="289" t="n"/>
      <c r="H616" s="203" t="n"/>
    </row>
    <row r="617" ht="13" customHeight="1" s="189">
      <c r="A617" s="289" t="n"/>
      <c r="B617" s="203" t="n"/>
      <c r="C617" s="289" t="n"/>
      <c r="D617" s="289" t="n"/>
      <c r="E617" s="289" t="n"/>
      <c r="F617" s="289" t="n"/>
      <c r="G617" s="289" t="n"/>
      <c r="H617" s="203" t="n"/>
    </row>
    <row r="618" ht="13" customHeight="1" s="189">
      <c r="A618" s="289" t="n"/>
      <c r="B618" s="203" t="n"/>
      <c r="C618" s="289" t="n"/>
      <c r="D618" s="289" t="n"/>
      <c r="E618" s="289" t="n"/>
      <c r="F618" s="289" t="n"/>
      <c r="G618" s="289" t="n"/>
      <c r="H618" s="203" t="n"/>
    </row>
    <row r="619" ht="13" customHeight="1" s="189">
      <c r="A619" s="289" t="n"/>
      <c r="B619" s="203" t="n"/>
      <c r="C619" s="289" t="n"/>
      <c r="D619" s="289" t="n"/>
      <c r="E619" s="289" t="n"/>
      <c r="F619" s="289" t="n"/>
      <c r="G619" s="289" t="n"/>
      <c r="H619" s="203" t="n"/>
    </row>
    <row r="620" ht="13" customHeight="1" s="189">
      <c r="A620" s="289" t="n"/>
      <c r="B620" s="203" t="n"/>
      <c r="C620" s="289" t="n"/>
      <c r="D620" s="289" t="n"/>
      <c r="E620" s="289" t="n"/>
      <c r="F620" s="289" t="n"/>
      <c r="G620" s="289" t="n"/>
      <c r="H620" s="203" t="n"/>
    </row>
    <row r="621" ht="13" customHeight="1" s="189">
      <c r="A621" s="289" t="n"/>
      <c r="B621" s="203" t="n"/>
      <c r="C621" s="289" t="n"/>
      <c r="D621" s="289" t="n"/>
      <c r="E621" s="289" t="n"/>
      <c r="F621" s="289" t="n"/>
      <c r="G621" s="289" t="n"/>
      <c r="H621" s="203" t="n"/>
    </row>
    <row r="622" ht="13" customHeight="1" s="189">
      <c r="A622" s="289" t="n"/>
      <c r="B622" s="203" t="n"/>
      <c r="C622" s="289" t="n"/>
      <c r="D622" s="289" t="n"/>
      <c r="E622" s="289" t="n"/>
      <c r="F622" s="289" t="n"/>
      <c r="G622" s="289" t="n"/>
      <c r="H622" s="203" t="n"/>
    </row>
    <row r="623" ht="13" customHeight="1" s="189">
      <c r="A623" s="289" t="n"/>
      <c r="B623" s="203" t="n"/>
      <c r="C623" s="289" t="n"/>
      <c r="D623" s="289" t="n"/>
      <c r="E623" s="289" t="n"/>
      <c r="F623" s="289" t="n"/>
      <c r="G623" s="289" t="n"/>
      <c r="H623" s="203" t="n"/>
    </row>
    <row r="624" ht="13" customHeight="1" s="189">
      <c r="A624" s="289" t="n"/>
      <c r="B624" s="203" t="n"/>
      <c r="C624" s="289" t="n"/>
      <c r="D624" s="289" t="n"/>
      <c r="E624" s="289" t="n"/>
      <c r="F624" s="289" t="n"/>
      <c r="G624" s="289" t="n"/>
      <c r="H624" s="203" t="n"/>
    </row>
    <row r="625" ht="13" customHeight="1" s="189">
      <c r="A625" s="289" t="n"/>
      <c r="B625" s="203" t="n"/>
      <c r="C625" s="289" t="n"/>
      <c r="D625" s="289" t="n"/>
      <c r="E625" s="289" t="n"/>
      <c r="F625" s="289" t="n"/>
      <c r="G625" s="289" t="n"/>
      <c r="H625" s="203" t="n"/>
    </row>
    <row r="626" ht="13" customHeight="1" s="189">
      <c r="A626" s="289" t="n"/>
      <c r="B626" s="203" t="n"/>
      <c r="C626" s="289" t="n"/>
      <c r="D626" s="289" t="n"/>
      <c r="E626" s="289" t="n"/>
      <c r="F626" s="289" t="n"/>
      <c r="G626" s="289" t="n"/>
      <c r="H626" s="203" t="n"/>
    </row>
    <row r="627" ht="13" customHeight="1" s="189">
      <c r="A627" s="289" t="n"/>
      <c r="B627" s="203" t="n"/>
      <c r="C627" s="289" t="n"/>
      <c r="D627" s="289" t="n"/>
      <c r="E627" s="289" t="n"/>
      <c r="F627" s="289" t="n"/>
      <c r="G627" s="289" t="n"/>
      <c r="H627" s="203" t="n"/>
    </row>
    <row r="628" ht="13" customHeight="1" s="189">
      <c r="A628" s="289" t="n"/>
      <c r="B628" s="203" t="n"/>
      <c r="C628" s="289" t="n"/>
      <c r="D628" s="289" t="n"/>
      <c r="E628" s="289" t="n"/>
      <c r="F628" s="289" t="n"/>
      <c r="G628" s="289" t="n"/>
      <c r="H628" s="203" t="n"/>
    </row>
    <row r="629" ht="13" customHeight="1" s="189">
      <c r="A629" s="289" t="n"/>
      <c r="B629" s="203" t="n"/>
      <c r="C629" s="289" t="n"/>
      <c r="D629" s="289" t="n"/>
      <c r="E629" s="289" t="n"/>
      <c r="F629" s="289" t="n"/>
      <c r="G629" s="289" t="n"/>
      <c r="H629" s="203" t="n"/>
    </row>
    <row r="630" ht="13" customHeight="1" s="189">
      <c r="A630" s="289" t="n"/>
      <c r="B630" s="203" t="n"/>
      <c r="C630" s="289" t="n"/>
      <c r="D630" s="289" t="n"/>
      <c r="E630" s="289" t="n"/>
      <c r="F630" s="289" t="n"/>
      <c r="G630" s="289" t="n"/>
      <c r="H630" s="203" t="n"/>
    </row>
    <row r="631" ht="13" customHeight="1" s="189">
      <c r="A631" s="289" t="n"/>
      <c r="B631" s="203" t="n"/>
      <c r="C631" s="289" t="n"/>
      <c r="D631" s="289" t="n"/>
      <c r="E631" s="289" t="n"/>
      <c r="F631" s="289" t="n"/>
      <c r="G631" s="289" t="n"/>
      <c r="H631" s="203" t="n"/>
    </row>
    <row r="632" ht="13" customHeight="1" s="189">
      <c r="A632" s="289" t="n"/>
      <c r="B632" s="203" t="n"/>
      <c r="C632" s="289" t="n"/>
      <c r="D632" s="289" t="n"/>
      <c r="E632" s="289" t="n"/>
      <c r="F632" s="289" t="n"/>
      <c r="G632" s="289" t="n"/>
      <c r="H632" s="203" t="n"/>
    </row>
    <row r="633" ht="13" customHeight="1" s="189">
      <c r="A633" s="289" t="n"/>
      <c r="B633" s="203" t="n"/>
      <c r="C633" s="289" t="n"/>
      <c r="D633" s="289" t="n"/>
      <c r="E633" s="289" t="n"/>
      <c r="F633" s="289" t="n"/>
      <c r="G633" s="289" t="n"/>
      <c r="H633" s="203" t="n"/>
    </row>
    <row r="634" ht="13" customHeight="1" s="189">
      <c r="A634" s="289" t="n"/>
      <c r="B634" s="203" t="n"/>
      <c r="C634" s="289" t="n"/>
      <c r="D634" s="289" t="n"/>
      <c r="E634" s="289" t="n"/>
      <c r="F634" s="289" t="n"/>
      <c r="G634" s="289" t="n"/>
      <c r="H634" s="203" t="n"/>
    </row>
    <row r="635" ht="13" customHeight="1" s="189">
      <c r="A635" s="289" t="n"/>
      <c r="B635" s="203" t="n"/>
      <c r="C635" s="289" t="n"/>
      <c r="D635" s="289" t="n"/>
      <c r="E635" s="289" t="n"/>
      <c r="F635" s="289" t="n"/>
      <c r="G635" s="289" t="n"/>
      <c r="H635" s="203" t="n"/>
    </row>
    <row r="636" ht="13" customHeight="1" s="189">
      <c r="A636" s="289" t="n"/>
      <c r="B636" s="203" t="n"/>
      <c r="C636" s="289" t="n"/>
      <c r="D636" s="289" t="n"/>
      <c r="E636" s="289" t="n"/>
      <c r="F636" s="289" t="n"/>
      <c r="G636" s="289" t="n"/>
      <c r="H636" s="203" t="n"/>
    </row>
    <row r="637" ht="13" customHeight="1" s="189">
      <c r="A637" s="289" t="n"/>
      <c r="B637" s="203" t="n"/>
      <c r="C637" s="289" t="n"/>
      <c r="D637" s="289" t="n"/>
      <c r="E637" s="289" t="n"/>
      <c r="F637" s="289" t="n"/>
      <c r="G637" s="289" t="n"/>
      <c r="H637" s="203" t="n"/>
    </row>
    <row r="638" ht="13" customHeight="1" s="189">
      <c r="A638" s="289" t="n"/>
      <c r="B638" s="203" t="n"/>
      <c r="C638" s="289" t="n"/>
      <c r="D638" s="289" t="n"/>
      <c r="E638" s="289" t="n"/>
      <c r="F638" s="289" t="n"/>
      <c r="G638" s="289" t="n"/>
      <c r="H638" s="203" t="n"/>
    </row>
    <row r="639" ht="13" customHeight="1" s="189">
      <c r="A639" s="289" t="n"/>
      <c r="B639" s="203" t="n"/>
      <c r="C639" s="289" t="n"/>
      <c r="D639" s="289" t="n"/>
      <c r="E639" s="289" t="n"/>
      <c r="F639" s="289" t="n"/>
      <c r="G639" s="289" t="n"/>
      <c r="H639" s="203" t="n"/>
    </row>
    <row r="640" ht="13" customHeight="1" s="189">
      <c r="A640" s="289" t="n"/>
      <c r="B640" s="203" t="n"/>
      <c r="C640" s="289" t="n"/>
      <c r="D640" s="289" t="n"/>
      <c r="E640" s="289" t="n"/>
      <c r="F640" s="289" t="n"/>
      <c r="G640" s="289" t="n"/>
      <c r="H640" s="203" t="n"/>
    </row>
    <row r="641" ht="13" customHeight="1" s="189">
      <c r="A641" s="289" t="n"/>
      <c r="B641" s="203" t="n"/>
      <c r="C641" s="289" t="n"/>
      <c r="D641" s="289" t="n"/>
      <c r="E641" s="289" t="n"/>
      <c r="F641" s="289" t="n"/>
      <c r="G641" s="289" t="n"/>
      <c r="H641" s="203" t="n"/>
    </row>
    <row r="642" ht="13" customHeight="1" s="189">
      <c r="A642" s="289" t="n"/>
      <c r="B642" s="203" t="n"/>
      <c r="C642" s="289" t="n"/>
      <c r="D642" s="289" t="n"/>
      <c r="E642" s="289" t="n"/>
      <c r="F642" s="289" t="n"/>
      <c r="G642" s="289" t="n"/>
      <c r="H642" s="203" t="n"/>
    </row>
    <row r="643" ht="13" customHeight="1" s="189">
      <c r="A643" s="289" t="n"/>
      <c r="B643" s="203" t="n"/>
      <c r="C643" s="289" t="n"/>
      <c r="D643" s="289" t="n"/>
      <c r="E643" s="289" t="n"/>
      <c r="F643" s="289" t="n"/>
      <c r="G643" s="289" t="n"/>
      <c r="H643" s="203" t="n"/>
    </row>
    <row r="644" ht="13" customHeight="1" s="189">
      <c r="A644" s="289" t="n"/>
      <c r="B644" s="203" t="n"/>
      <c r="C644" s="289" t="n"/>
      <c r="D644" s="289" t="n"/>
      <c r="E644" s="289" t="n"/>
      <c r="F644" s="289" t="n"/>
      <c r="G644" s="289" t="n"/>
      <c r="H644" s="203" t="n"/>
    </row>
    <row r="645" ht="13" customHeight="1" s="189">
      <c r="A645" s="289" t="n"/>
      <c r="B645" s="203" t="n"/>
      <c r="C645" s="289" t="n"/>
      <c r="D645" s="289" t="n"/>
      <c r="E645" s="289" t="n"/>
      <c r="F645" s="289" t="n"/>
      <c r="G645" s="289" t="n"/>
      <c r="H645" s="203" t="n"/>
    </row>
    <row r="646" ht="13" customHeight="1" s="189">
      <c r="A646" s="289" t="n"/>
      <c r="B646" s="203" t="n"/>
      <c r="C646" s="289" t="n"/>
      <c r="D646" s="289" t="n"/>
      <c r="E646" s="289" t="n"/>
      <c r="F646" s="289" t="n"/>
      <c r="G646" s="289" t="n"/>
      <c r="H646" s="203" t="n"/>
    </row>
    <row r="647" ht="13" customHeight="1" s="189">
      <c r="A647" s="289" t="n"/>
      <c r="B647" s="203" t="n"/>
      <c r="C647" s="289" t="n"/>
      <c r="D647" s="289" t="n"/>
      <c r="E647" s="289" t="n"/>
      <c r="F647" s="289" t="n"/>
      <c r="G647" s="289" t="n"/>
      <c r="H647" s="203" t="n"/>
    </row>
    <row r="648" ht="13" customHeight="1" s="189">
      <c r="A648" s="289" t="n"/>
      <c r="B648" s="203" t="n"/>
      <c r="C648" s="289" t="n"/>
      <c r="D648" s="289" t="n"/>
      <c r="E648" s="289" t="n"/>
      <c r="F648" s="289" t="n"/>
      <c r="G648" s="289" t="n"/>
      <c r="H648" s="203" t="n"/>
    </row>
    <row r="649" ht="13" customHeight="1" s="189">
      <c r="A649" s="289" t="n"/>
      <c r="B649" s="203" t="n"/>
      <c r="C649" s="289" t="n"/>
      <c r="D649" s="289" t="n"/>
      <c r="E649" s="289" t="n"/>
      <c r="F649" s="289" t="n"/>
      <c r="G649" s="289" t="n"/>
      <c r="H649" s="203" t="n"/>
    </row>
    <row r="650" ht="13" customHeight="1" s="189">
      <c r="A650" s="289" t="n"/>
      <c r="B650" s="203" t="n"/>
      <c r="C650" s="289" t="n"/>
      <c r="D650" s="289" t="n"/>
      <c r="E650" s="289" t="n"/>
      <c r="F650" s="289" t="n"/>
      <c r="G650" s="289" t="n"/>
      <c r="H650" s="203" t="n"/>
    </row>
    <row r="651" ht="13" customHeight="1" s="189">
      <c r="A651" s="289" t="n"/>
      <c r="B651" s="203" t="n"/>
      <c r="C651" s="289" t="n"/>
      <c r="D651" s="289" t="n"/>
      <c r="E651" s="289" t="n"/>
      <c r="F651" s="289" t="n"/>
      <c r="G651" s="289" t="n"/>
      <c r="H651" s="203" t="n"/>
    </row>
    <row r="652" ht="13" customHeight="1" s="189">
      <c r="A652" s="289" t="n"/>
      <c r="B652" s="203" t="n"/>
      <c r="C652" s="289" t="n"/>
      <c r="D652" s="289" t="n"/>
      <c r="E652" s="289" t="n"/>
      <c r="F652" s="289" t="n"/>
      <c r="G652" s="289" t="n"/>
      <c r="H652" s="203" t="n"/>
    </row>
    <row r="653" ht="13" customHeight="1" s="189">
      <c r="A653" s="289" t="n"/>
      <c r="B653" s="203" t="n"/>
      <c r="C653" s="289" t="n"/>
      <c r="D653" s="289" t="n"/>
      <c r="E653" s="289" t="n"/>
      <c r="F653" s="289" t="n"/>
      <c r="G653" s="289" t="n"/>
      <c r="H653" s="203" t="n"/>
    </row>
    <row r="654" ht="13" customHeight="1" s="189">
      <c r="A654" s="289" t="n"/>
      <c r="B654" s="203" t="n"/>
      <c r="C654" s="289" t="n"/>
      <c r="D654" s="289" t="n"/>
      <c r="E654" s="289" t="n"/>
      <c r="F654" s="289" t="n"/>
      <c r="G654" s="289" t="n"/>
      <c r="H654" s="203" t="n"/>
    </row>
    <row r="655" ht="13" customHeight="1" s="189">
      <c r="A655" s="289" t="n"/>
      <c r="B655" s="203" t="n"/>
      <c r="C655" s="289" t="n"/>
      <c r="D655" s="289" t="n"/>
      <c r="E655" s="289" t="n"/>
      <c r="F655" s="289" t="n"/>
      <c r="G655" s="289" t="n"/>
      <c r="H655" s="203" t="n"/>
    </row>
    <row r="656" ht="13" customHeight="1" s="189">
      <c r="A656" s="289" t="n"/>
      <c r="B656" s="203" t="n"/>
      <c r="C656" s="289" t="n"/>
      <c r="D656" s="289" t="n"/>
      <c r="E656" s="289" t="n"/>
      <c r="F656" s="289" t="n"/>
      <c r="G656" s="289" t="n"/>
      <c r="H656" s="203" t="n"/>
    </row>
    <row r="657" ht="13" customHeight="1" s="189">
      <c r="A657" s="289" t="n"/>
      <c r="B657" s="203" t="n"/>
      <c r="C657" s="289" t="n"/>
      <c r="D657" s="289" t="n"/>
      <c r="E657" s="289" t="n"/>
      <c r="F657" s="289" t="n"/>
      <c r="G657" s="289" t="n"/>
      <c r="H657" s="203" t="n"/>
    </row>
    <row r="658" ht="13" customHeight="1" s="189">
      <c r="A658" s="289" t="n"/>
      <c r="B658" s="203" t="n"/>
      <c r="C658" s="289" t="n"/>
      <c r="D658" s="289" t="n"/>
      <c r="E658" s="289" t="n"/>
      <c r="F658" s="289" t="n"/>
      <c r="G658" s="289" t="n"/>
      <c r="H658" s="203" t="n"/>
    </row>
    <row r="659" ht="13" customHeight="1" s="189">
      <c r="A659" s="289" t="n"/>
      <c r="B659" s="203" t="n"/>
      <c r="C659" s="289" t="n"/>
      <c r="D659" s="289" t="n"/>
      <c r="E659" s="289" t="n"/>
      <c r="F659" s="289" t="n"/>
      <c r="G659" s="289" t="n"/>
      <c r="H659" s="203" t="n"/>
    </row>
    <row r="660" ht="13" customHeight="1" s="189">
      <c r="A660" s="289" t="n"/>
      <c r="B660" s="203" t="n"/>
      <c r="C660" s="289" t="n"/>
      <c r="D660" s="289" t="n"/>
      <c r="E660" s="289" t="n"/>
      <c r="F660" s="289" t="n"/>
      <c r="G660" s="289" t="n"/>
      <c r="H660" s="203" t="n"/>
    </row>
    <row r="661" ht="13" customHeight="1" s="189">
      <c r="A661" s="289" t="n"/>
      <c r="B661" s="203" t="n"/>
      <c r="C661" s="289" t="n"/>
      <c r="D661" s="289" t="n"/>
      <c r="E661" s="289" t="n"/>
      <c r="F661" s="289" t="n"/>
      <c r="G661" s="289" t="n"/>
      <c r="H661" s="203" t="n"/>
    </row>
    <row r="662" ht="13" customHeight="1" s="189">
      <c r="A662" s="289" t="n"/>
      <c r="B662" s="203" t="n"/>
      <c r="C662" s="289" t="n"/>
      <c r="D662" s="289" t="n"/>
      <c r="E662" s="289" t="n"/>
      <c r="F662" s="289" t="n"/>
      <c r="G662" s="289" t="n"/>
      <c r="H662" s="203" t="n"/>
    </row>
    <row r="663" ht="13" customHeight="1" s="189">
      <c r="A663" s="289" t="n"/>
      <c r="B663" s="203" t="n"/>
      <c r="C663" s="289" t="n"/>
      <c r="D663" s="289" t="n"/>
      <c r="E663" s="289" t="n"/>
      <c r="F663" s="289" t="n"/>
      <c r="G663" s="289" t="n"/>
      <c r="H663" s="203" t="n"/>
    </row>
    <row r="664" ht="13" customHeight="1" s="189">
      <c r="A664" s="289" t="n"/>
      <c r="B664" s="203" t="n"/>
      <c r="C664" s="289" t="n"/>
      <c r="D664" s="289" t="n"/>
      <c r="E664" s="289" t="n"/>
      <c r="F664" s="289" t="n"/>
      <c r="G664" s="289" t="n"/>
      <c r="H664" s="203" t="n"/>
    </row>
    <row r="665" ht="13" customHeight="1" s="189">
      <c r="A665" s="289" t="n"/>
      <c r="B665" s="203" t="n"/>
      <c r="C665" s="289" t="n"/>
      <c r="D665" s="289" t="n"/>
      <c r="E665" s="289" t="n"/>
      <c r="F665" s="289" t="n"/>
      <c r="G665" s="289" t="n"/>
      <c r="H665" s="203" t="n"/>
    </row>
    <row r="666" ht="13" customHeight="1" s="189">
      <c r="A666" s="289" t="n"/>
      <c r="B666" s="203" t="n"/>
      <c r="C666" s="289" t="n"/>
      <c r="D666" s="289" t="n"/>
      <c r="E666" s="289" t="n"/>
      <c r="F666" s="289" t="n"/>
      <c r="G666" s="289" t="n"/>
      <c r="H666" s="203" t="n"/>
    </row>
    <row r="667" ht="13" customHeight="1" s="189">
      <c r="A667" s="289" t="n"/>
      <c r="B667" s="203" t="n"/>
      <c r="C667" s="289" t="n"/>
      <c r="D667" s="289" t="n"/>
      <c r="E667" s="289" t="n"/>
      <c r="F667" s="289" t="n"/>
      <c r="G667" s="289" t="n"/>
      <c r="H667" s="203" t="n"/>
    </row>
    <row r="668" ht="13" customHeight="1" s="189">
      <c r="A668" s="289" t="n"/>
      <c r="B668" s="203" t="n"/>
      <c r="C668" s="289" t="n"/>
      <c r="D668" s="289" t="n"/>
      <c r="E668" s="289" t="n"/>
      <c r="F668" s="289" t="n"/>
      <c r="G668" s="289" t="n"/>
      <c r="H668" s="203" t="n"/>
    </row>
    <row r="669" ht="13" customHeight="1" s="189">
      <c r="A669" s="289" t="n"/>
      <c r="B669" s="203" t="n"/>
      <c r="C669" s="289" t="n"/>
      <c r="D669" s="289" t="n"/>
      <c r="E669" s="289" t="n"/>
      <c r="F669" s="289" t="n"/>
      <c r="G669" s="289" t="n"/>
      <c r="H669" s="203" t="n"/>
    </row>
    <row r="670" ht="13" customHeight="1" s="189">
      <c r="A670" s="289" t="n"/>
      <c r="B670" s="203" t="n"/>
      <c r="C670" s="289" t="n"/>
      <c r="D670" s="289" t="n"/>
      <c r="E670" s="289" t="n"/>
      <c r="F670" s="289" t="n"/>
      <c r="G670" s="289" t="n"/>
      <c r="H670" s="203" t="n"/>
    </row>
    <row r="671" ht="13" customHeight="1" s="189">
      <c r="A671" s="289" t="n"/>
      <c r="B671" s="203" t="n"/>
      <c r="C671" s="289" t="n"/>
      <c r="D671" s="289" t="n"/>
      <c r="E671" s="289" t="n"/>
      <c r="F671" s="289" t="n"/>
      <c r="G671" s="289" t="n"/>
      <c r="H671" s="203" t="n"/>
    </row>
    <row r="672" ht="13" customHeight="1" s="189">
      <c r="A672" s="289" t="n"/>
      <c r="B672" s="203" t="n"/>
      <c r="C672" s="289" t="n"/>
      <c r="D672" s="289" t="n"/>
      <c r="E672" s="289" t="n"/>
      <c r="F672" s="289" t="n"/>
      <c r="G672" s="289" t="n"/>
      <c r="H672" s="203" t="n"/>
    </row>
    <row r="673" ht="13" customHeight="1" s="189">
      <c r="A673" s="289" t="n"/>
      <c r="B673" s="203" t="n"/>
      <c r="C673" s="289" t="n"/>
      <c r="D673" s="289" t="n"/>
      <c r="E673" s="289" t="n"/>
      <c r="F673" s="289" t="n"/>
      <c r="G673" s="289" t="n"/>
      <c r="H673" s="203" t="n"/>
    </row>
    <row r="674" ht="13" customHeight="1" s="189">
      <c r="A674" s="289" t="n"/>
      <c r="B674" s="203" t="n"/>
      <c r="C674" s="289" t="n"/>
      <c r="D674" s="289" t="n"/>
      <c r="E674" s="289" t="n"/>
      <c r="F674" s="289" t="n"/>
      <c r="G674" s="289" t="n"/>
      <c r="H674" s="203" t="n"/>
    </row>
    <row r="675" ht="13" customHeight="1" s="189">
      <c r="A675" s="289" t="n"/>
      <c r="B675" s="203" t="n"/>
      <c r="C675" s="289" t="n"/>
      <c r="D675" s="289" t="n"/>
      <c r="E675" s="289" t="n"/>
      <c r="F675" s="289" t="n"/>
      <c r="G675" s="289" t="n"/>
      <c r="H675" s="203" t="n"/>
    </row>
    <row r="676" ht="13" customHeight="1" s="189">
      <c r="A676" s="289" t="n"/>
      <c r="B676" s="203" t="n"/>
      <c r="C676" s="289" t="n"/>
      <c r="D676" s="289" t="n"/>
      <c r="E676" s="289" t="n"/>
      <c r="F676" s="289" t="n"/>
      <c r="G676" s="289" t="n"/>
      <c r="H676" s="203" t="n"/>
    </row>
    <row r="677" ht="13" customHeight="1" s="189">
      <c r="A677" s="289" t="n"/>
      <c r="B677" s="203" t="n"/>
      <c r="C677" s="289" t="n"/>
      <c r="D677" s="289" t="n"/>
      <c r="E677" s="289" t="n"/>
      <c r="F677" s="289" t="n"/>
      <c r="G677" s="289" t="n"/>
      <c r="H677" s="203" t="n"/>
    </row>
    <row r="678" ht="13" customHeight="1" s="189">
      <c r="A678" s="289" t="n"/>
      <c r="B678" s="203" t="n"/>
      <c r="C678" s="289" t="n"/>
      <c r="D678" s="289" t="n"/>
      <c r="E678" s="289" t="n"/>
      <c r="F678" s="289" t="n"/>
      <c r="G678" s="289" t="n"/>
      <c r="H678" s="203" t="n"/>
    </row>
    <row r="679" ht="13" customHeight="1" s="189">
      <c r="A679" s="289" t="n"/>
      <c r="B679" s="203" t="n"/>
      <c r="C679" s="289" t="n"/>
      <c r="D679" s="289" t="n"/>
      <c r="E679" s="289" t="n"/>
      <c r="F679" s="289" t="n"/>
      <c r="G679" s="289" t="n"/>
      <c r="H679" s="203" t="n"/>
    </row>
    <row r="680" ht="13" customHeight="1" s="189">
      <c r="A680" s="289" t="n"/>
      <c r="B680" s="203" t="n"/>
      <c r="C680" s="289" t="n"/>
      <c r="D680" s="289" t="n"/>
      <c r="E680" s="289" t="n"/>
      <c r="F680" s="289" t="n"/>
      <c r="G680" s="289" t="n"/>
      <c r="H680" s="203" t="n"/>
    </row>
    <row r="681" ht="13" customHeight="1" s="189">
      <c r="A681" s="289" t="n"/>
      <c r="B681" s="203" t="n"/>
      <c r="C681" s="289" t="n"/>
      <c r="D681" s="289" t="n"/>
      <c r="E681" s="289" t="n"/>
      <c r="F681" s="289" t="n"/>
      <c r="G681" s="289" t="n"/>
      <c r="H681" s="203" t="n"/>
    </row>
    <row r="682" ht="13" customHeight="1" s="189">
      <c r="A682" s="289" t="n"/>
      <c r="B682" s="203" t="n"/>
      <c r="C682" s="289" t="n"/>
      <c r="D682" s="289" t="n"/>
      <c r="E682" s="289" t="n"/>
      <c r="F682" s="289" t="n"/>
      <c r="G682" s="289" t="n"/>
      <c r="H682" s="203" t="n"/>
    </row>
    <row r="683" ht="13" customHeight="1" s="189">
      <c r="A683" s="289" t="n"/>
      <c r="B683" s="203" t="n"/>
      <c r="C683" s="289" t="n"/>
      <c r="D683" s="289" t="n"/>
      <c r="E683" s="289" t="n"/>
      <c r="F683" s="289" t="n"/>
      <c r="G683" s="289" t="n"/>
      <c r="H683" s="203" t="n"/>
    </row>
    <row r="684" ht="13" customHeight="1" s="189">
      <c r="A684" s="289" t="n"/>
      <c r="B684" s="203" t="n"/>
      <c r="C684" s="289" t="n"/>
      <c r="D684" s="289" t="n"/>
      <c r="E684" s="289" t="n"/>
      <c r="F684" s="289" t="n"/>
      <c r="G684" s="289" t="n"/>
      <c r="H684" s="203" t="n"/>
    </row>
    <row r="685" ht="13" customHeight="1" s="189">
      <c r="A685" s="289" t="n"/>
      <c r="B685" s="203" t="n"/>
      <c r="C685" s="289" t="n"/>
      <c r="D685" s="289" t="n"/>
      <c r="E685" s="289" t="n"/>
      <c r="F685" s="289" t="n"/>
      <c r="G685" s="289" t="n"/>
      <c r="H685" s="203" t="n"/>
    </row>
    <row r="686" ht="13" customHeight="1" s="189">
      <c r="A686" s="289" t="n"/>
      <c r="B686" s="203" t="n"/>
      <c r="C686" s="289" t="n"/>
      <c r="D686" s="289" t="n"/>
      <c r="E686" s="289" t="n"/>
      <c r="F686" s="289" t="n"/>
      <c r="G686" s="289" t="n"/>
      <c r="H686" s="203" t="n"/>
    </row>
    <row r="687" ht="13" customHeight="1" s="189">
      <c r="A687" s="289" t="n"/>
      <c r="B687" s="203" t="n"/>
      <c r="C687" s="289" t="n"/>
      <c r="D687" s="289" t="n"/>
      <c r="E687" s="289" t="n"/>
      <c r="F687" s="289" t="n"/>
      <c r="G687" s="289" t="n"/>
      <c r="H687" s="203" t="n"/>
    </row>
    <row r="688" ht="13" customHeight="1" s="189">
      <c r="A688" s="289" t="n"/>
      <c r="B688" s="203" t="n"/>
      <c r="C688" s="289" t="n"/>
      <c r="D688" s="289" t="n"/>
      <c r="E688" s="289" t="n"/>
      <c r="F688" s="289" t="n"/>
      <c r="G688" s="289" t="n"/>
      <c r="H688" s="203" t="n"/>
    </row>
    <row r="689" ht="13" customHeight="1" s="189">
      <c r="A689" s="289" t="n"/>
      <c r="B689" s="203" t="n"/>
      <c r="C689" s="289" t="n"/>
      <c r="D689" s="289" t="n"/>
      <c r="E689" s="289" t="n"/>
      <c r="F689" s="289" t="n"/>
      <c r="G689" s="289" t="n"/>
      <c r="H689" s="203" t="n"/>
    </row>
    <row r="690" ht="13" customHeight="1" s="189">
      <c r="A690" s="289" t="n"/>
      <c r="B690" s="203" t="n"/>
      <c r="C690" s="289" t="n"/>
      <c r="D690" s="289" t="n"/>
      <c r="E690" s="289" t="n"/>
      <c r="F690" s="289" t="n"/>
      <c r="G690" s="289" t="n"/>
      <c r="H690" s="203" t="n"/>
    </row>
    <row r="691" ht="13" customHeight="1" s="189">
      <c r="A691" s="289" t="n"/>
      <c r="B691" s="203" t="n"/>
      <c r="C691" s="289" t="n"/>
      <c r="D691" s="289" t="n"/>
      <c r="E691" s="289" t="n"/>
      <c r="F691" s="289" t="n"/>
      <c r="G691" s="289" t="n"/>
      <c r="H691" s="203" t="n"/>
    </row>
    <row r="692" ht="13" customHeight="1" s="189">
      <c r="A692" s="289" t="n"/>
      <c r="B692" s="203" t="n"/>
      <c r="C692" s="289" t="n"/>
      <c r="D692" s="289" t="n"/>
      <c r="E692" s="289" t="n"/>
      <c r="F692" s="289" t="n"/>
      <c r="G692" s="289" t="n"/>
      <c r="H692" s="203" t="n"/>
    </row>
    <row r="693" ht="13" customHeight="1" s="189">
      <c r="A693" s="289" t="n"/>
      <c r="B693" s="203" t="n"/>
      <c r="C693" s="289" t="n"/>
      <c r="D693" s="289" t="n"/>
      <c r="E693" s="289" t="n"/>
      <c r="F693" s="289" t="n"/>
      <c r="G693" s="289" t="n"/>
      <c r="H693" s="203" t="n"/>
    </row>
    <row r="694" ht="13" customHeight="1" s="189">
      <c r="A694" s="289" t="n"/>
      <c r="B694" s="203" t="n"/>
      <c r="C694" s="289" t="n"/>
      <c r="D694" s="289" t="n"/>
      <c r="E694" s="289" t="n"/>
      <c r="F694" s="289" t="n"/>
      <c r="G694" s="289" t="n"/>
      <c r="H694" s="203" t="n"/>
    </row>
    <row r="695" ht="13" customHeight="1" s="189">
      <c r="A695" s="289" t="n"/>
      <c r="B695" s="203" t="n"/>
      <c r="C695" s="289" t="n"/>
      <c r="D695" s="289" t="n"/>
      <c r="E695" s="289" t="n"/>
      <c r="F695" s="289" t="n"/>
      <c r="G695" s="289" t="n"/>
      <c r="H695" s="203" t="n"/>
    </row>
    <row r="696" ht="13" customHeight="1" s="189">
      <c r="A696" s="289" t="n"/>
      <c r="B696" s="203" t="n"/>
      <c r="C696" s="289" t="n"/>
      <c r="D696" s="289" t="n"/>
      <c r="E696" s="289" t="n"/>
      <c r="F696" s="289" t="n"/>
      <c r="G696" s="289" t="n"/>
      <c r="H696" s="203" t="n"/>
    </row>
    <row r="697" ht="13" customHeight="1" s="189">
      <c r="A697" s="289" t="n"/>
      <c r="B697" s="203" t="n"/>
      <c r="C697" s="289" t="n"/>
      <c r="D697" s="289" t="n"/>
      <c r="E697" s="289" t="n"/>
      <c r="F697" s="289" t="n"/>
      <c r="G697" s="289" t="n"/>
      <c r="H697" s="203" t="n"/>
    </row>
    <row r="698" ht="13" customHeight="1" s="189">
      <c r="A698" s="289" t="n"/>
      <c r="B698" s="203" t="n"/>
      <c r="C698" s="289" t="n"/>
      <c r="D698" s="289" t="n"/>
      <c r="E698" s="289" t="n"/>
      <c r="F698" s="289" t="n"/>
      <c r="G698" s="289" t="n"/>
      <c r="H698" s="203" t="n"/>
    </row>
    <row r="699" ht="13" customHeight="1" s="189">
      <c r="A699" s="289" t="n"/>
      <c r="B699" s="203" t="n"/>
      <c r="C699" s="289" t="n"/>
      <c r="D699" s="289" t="n"/>
      <c r="E699" s="289" t="n"/>
      <c r="F699" s="289" t="n"/>
      <c r="G699" s="289" t="n"/>
      <c r="H699" s="203" t="n"/>
    </row>
    <row r="700" ht="13" customHeight="1" s="189">
      <c r="A700" s="289" t="n"/>
      <c r="B700" s="203" t="n"/>
      <c r="C700" s="289" t="n"/>
      <c r="D700" s="289" t="n"/>
      <c r="E700" s="289" t="n"/>
      <c r="F700" s="289" t="n"/>
      <c r="G700" s="289" t="n"/>
      <c r="H700" s="203" t="n"/>
    </row>
    <row r="701" ht="13" customHeight="1" s="189">
      <c r="A701" s="289" t="n"/>
      <c r="B701" s="203" t="n"/>
      <c r="C701" s="289" t="n"/>
      <c r="D701" s="289" t="n"/>
      <c r="E701" s="289" t="n"/>
      <c r="F701" s="289" t="n"/>
      <c r="G701" s="289" t="n"/>
      <c r="H701" s="203" t="n"/>
    </row>
    <row r="702" ht="13" customHeight="1" s="189">
      <c r="A702" s="289" t="n"/>
      <c r="B702" s="203" t="n"/>
      <c r="C702" s="289" t="n"/>
      <c r="D702" s="289" t="n"/>
      <c r="E702" s="289" t="n"/>
      <c r="F702" s="289" t="n"/>
      <c r="G702" s="289" t="n"/>
      <c r="H702" s="203" t="n"/>
    </row>
    <row r="703" ht="13" customHeight="1" s="189">
      <c r="A703" s="289" t="n"/>
      <c r="B703" s="203" t="n"/>
      <c r="C703" s="289" t="n"/>
      <c r="D703" s="289" t="n"/>
      <c r="E703" s="289" t="n"/>
      <c r="F703" s="289" t="n"/>
      <c r="G703" s="289" t="n"/>
      <c r="H703" s="203" t="n"/>
    </row>
    <row r="704" ht="13" customHeight="1" s="189">
      <c r="A704" s="289" t="n"/>
      <c r="B704" s="203" t="n"/>
      <c r="C704" s="289" t="n"/>
      <c r="D704" s="289" t="n"/>
      <c r="E704" s="289" t="n"/>
      <c r="F704" s="289" t="n"/>
      <c r="G704" s="289" t="n"/>
      <c r="H704" s="203" t="n"/>
    </row>
    <row r="705" ht="13" customHeight="1" s="189">
      <c r="A705" s="289" t="n"/>
      <c r="B705" s="203" t="n"/>
      <c r="C705" s="289" t="n"/>
      <c r="D705" s="289" t="n"/>
      <c r="E705" s="289" t="n"/>
      <c r="F705" s="289" t="n"/>
      <c r="G705" s="289" t="n"/>
      <c r="H705" s="203" t="n"/>
    </row>
    <row r="706" ht="13" customHeight="1" s="189">
      <c r="A706" s="289" t="n"/>
      <c r="B706" s="203" t="n"/>
      <c r="C706" s="289" t="n"/>
      <c r="D706" s="289" t="n"/>
      <c r="E706" s="289" t="n"/>
      <c r="F706" s="289" t="n"/>
      <c r="G706" s="289" t="n"/>
      <c r="H706" s="203" t="n"/>
    </row>
    <row r="707" ht="13" customHeight="1" s="189">
      <c r="A707" s="289" t="n"/>
      <c r="B707" s="203" t="n"/>
      <c r="C707" s="289" t="n"/>
      <c r="D707" s="289" t="n"/>
      <c r="E707" s="289" t="n"/>
      <c r="F707" s="289" t="n"/>
      <c r="G707" s="289" t="n"/>
      <c r="H707" s="203" t="n"/>
    </row>
    <row r="708" ht="13" customHeight="1" s="189">
      <c r="A708" s="289" t="n"/>
      <c r="B708" s="203" t="n"/>
      <c r="C708" s="289" t="n"/>
      <c r="D708" s="289" t="n"/>
      <c r="E708" s="289" t="n"/>
      <c r="F708" s="289" t="n"/>
      <c r="G708" s="289" t="n"/>
      <c r="H708" s="203" t="n"/>
    </row>
    <row r="709" ht="13" customHeight="1" s="189">
      <c r="A709" s="289" t="n"/>
      <c r="B709" s="203" t="n"/>
      <c r="C709" s="289" t="n"/>
      <c r="D709" s="289" t="n"/>
      <c r="E709" s="289" t="n"/>
      <c r="F709" s="289" t="n"/>
      <c r="G709" s="289" t="n"/>
      <c r="H709" s="203" t="n"/>
    </row>
    <row r="710" ht="13" customHeight="1" s="189">
      <c r="A710" s="289" t="n"/>
      <c r="B710" s="203" t="n"/>
      <c r="C710" s="289" t="n"/>
      <c r="D710" s="289" t="n"/>
      <c r="E710" s="289" t="n"/>
      <c r="F710" s="289" t="n"/>
      <c r="G710" s="289" t="n"/>
      <c r="H710" s="203" t="n"/>
    </row>
    <row r="711" ht="13" customHeight="1" s="189">
      <c r="A711" s="289" t="n"/>
      <c r="B711" s="203" t="n"/>
      <c r="C711" s="289" t="n"/>
      <c r="D711" s="289" t="n"/>
      <c r="E711" s="289" t="n"/>
      <c r="F711" s="289" t="n"/>
      <c r="G711" s="289" t="n"/>
      <c r="H711" s="203" t="n"/>
    </row>
    <row r="712" ht="13" customHeight="1" s="189">
      <c r="A712" s="289" t="n"/>
      <c r="B712" s="203" t="n"/>
      <c r="C712" s="289" t="n"/>
      <c r="D712" s="289" t="n"/>
      <c r="E712" s="289" t="n"/>
      <c r="F712" s="289" t="n"/>
      <c r="G712" s="289" t="n"/>
      <c r="H712" s="203" t="n"/>
    </row>
    <row r="713" ht="13" customHeight="1" s="189">
      <c r="A713" s="289" t="n"/>
      <c r="B713" s="203" t="n"/>
      <c r="C713" s="289" t="n"/>
      <c r="D713" s="289" t="n"/>
      <c r="E713" s="289" t="n"/>
      <c r="F713" s="289" t="n"/>
      <c r="G713" s="289" t="n"/>
      <c r="H713" s="203" t="n"/>
    </row>
    <row r="714" ht="13" customHeight="1" s="189">
      <c r="A714" s="289" t="n"/>
      <c r="B714" s="203" t="n"/>
      <c r="C714" s="289" t="n"/>
      <c r="D714" s="289" t="n"/>
      <c r="E714" s="289" t="n"/>
      <c r="F714" s="289" t="n"/>
      <c r="G714" s="289" t="n"/>
      <c r="H714" s="203" t="n"/>
    </row>
    <row r="715" ht="13" customHeight="1" s="189">
      <c r="A715" s="289" t="n"/>
      <c r="B715" s="203" t="n"/>
      <c r="C715" s="289" t="n"/>
      <c r="D715" s="289" t="n"/>
      <c r="E715" s="289" t="n"/>
      <c r="F715" s="289" t="n"/>
      <c r="G715" s="289" t="n"/>
      <c r="H715" s="203" t="n"/>
    </row>
    <row r="716" ht="13" customHeight="1" s="189">
      <c r="A716" s="289" t="n"/>
      <c r="B716" s="203" t="n"/>
      <c r="C716" s="289" t="n"/>
      <c r="D716" s="289" t="n"/>
      <c r="E716" s="289" t="n"/>
      <c r="F716" s="289" t="n"/>
      <c r="G716" s="289" t="n"/>
      <c r="H716" s="203" t="n"/>
    </row>
    <row r="717" ht="13" customHeight="1" s="189">
      <c r="A717" s="289" t="n"/>
      <c r="B717" s="203" t="n"/>
      <c r="C717" s="289" t="n"/>
      <c r="D717" s="289" t="n"/>
      <c r="E717" s="289" t="n"/>
      <c r="F717" s="289" t="n"/>
      <c r="G717" s="289" t="n"/>
      <c r="H717" s="203" t="n"/>
    </row>
    <row r="718" ht="13" customHeight="1" s="189">
      <c r="A718" s="289" t="n"/>
      <c r="B718" s="203" t="n"/>
      <c r="C718" s="289" t="n"/>
      <c r="D718" s="289" t="n"/>
      <c r="E718" s="289" t="n"/>
      <c r="F718" s="289" t="n"/>
      <c r="G718" s="289" t="n"/>
      <c r="H718" s="203" t="n"/>
    </row>
    <row r="719" ht="13" customHeight="1" s="189">
      <c r="A719" s="289" t="n"/>
      <c r="B719" s="203" t="n"/>
      <c r="C719" s="289" t="n"/>
      <c r="D719" s="289" t="n"/>
      <c r="E719" s="289" t="n"/>
      <c r="F719" s="289" t="n"/>
      <c r="G719" s="289" t="n"/>
      <c r="H719" s="203" t="n"/>
    </row>
    <row r="720" ht="13" customHeight="1" s="189">
      <c r="A720" s="289" t="n"/>
      <c r="B720" s="203" t="n"/>
      <c r="C720" s="289" t="n"/>
      <c r="D720" s="289" t="n"/>
      <c r="E720" s="289" t="n"/>
      <c r="F720" s="289" t="n"/>
      <c r="G720" s="289" t="n"/>
      <c r="H720" s="203" t="n"/>
    </row>
    <row r="721" ht="13" customHeight="1" s="189">
      <c r="A721" s="289" t="n"/>
      <c r="B721" s="203" t="n"/>
      <c r="C721" s="289" t="n"/>
      <c r="D721" s="289" t="n"/>
      <c r="E721" s="289" t="n"/>
      <c r="F721" s="289" t="n"/>
      <c r="G721" s="289" t="n"/>
      <c r="H721" s="203" t="n"/>
    </row>
    <row r="722" ht="13" customHeight="1" s="189">
      <c r="A722" s="289" t="n"/>
      <c r="B722" s="203" t="n"/>
      <c r="C722" s="289" t="n"/>
      <c r="D722" s="289" t="n"/>
      <c r="E722" s="289" t="n"/>
      <c r="F722" s="289" t="n"/>
      <c r="G722" s="289" t="n"/>
      <c r="H722" s="203" t="n"/>
    </row>
    <row r="723" ht="13" customHeight="1" s="189">
      <c r="A723" s="289" t="n"/>
      <c r="B723" s="203" t="n"/>
      <c r="C723" s="289" t="n"/>
      <c r="D723" s="289" t="n"/>
      <c r="E723" s="289" t="n"/>
      <c r="F723" s="289" t="n"/>
      <c r="G723" s="289" t="n"/>
      <c r="H723" s="203" t="n"/>
    </row>
    <row r="724" ht="13" customHeight="1" s="189">
      <c r="A724" s="289" t="n"/>
      <c r="B724" s="203" t="n"/>
      <c r="C724" s="289" t="n"/>
      <c r="D724" s="289" t="n"/>
      <c r="E724" s="289" t="n"/>
      <c r="F724" s="289" t="n"/>
      <c r="G724" s="289" t="n"/>
      <c r="H724" s="203" t="n"/>
    </row>
    <row r="725" ht="13" customHeight="1" s="189">
      <c r="A725" s="289" t="n"/>
      <c r="B725" s="203" t="n"/>
      <c r="C725" s="289" t="n"/>
      <c r="D725" s="289" t="n"/>
      <c r="E725" s="289" t="n"/>
      <c r="F725" s="289" t="n"/>
      <c r="G725" s="289" t="n"/>
      <c r="H725" s="203" t="n"/>
    </row>
    <row r="726" ht="13" customHeight="1" s="189">
      <c r="A726" s="289" t="n"/>
      <c r="B726" s="203" t="n"/>
      <c r="C726" s="289" t="n"/>
      <c r="D726" s="289" t="n"/>
      <c r="E726" s="289" t="n"/>
      <c r="F726" s="289" t="n"/>
      <c r="G726" s="289" t="n"/>
      <c r="H726" s="203" t="n"/>
    </row>
    <row r="727" ht="13" customHeight="1" s="189">
      <c r="A727" s="289" t="n"/>
      <c r="B727" s="203" t="n"/>
      <c r="C727" s="289" t="n"/>
      <c r="D727" s="289" t="n"/>
      <c r="E727" s="289" t="n"/>
      <c r="F727" s="289" t="n"/>
      <c r="G727" s="289" t="n"/>
      <c r="H727" s="203" t="n"/>
    </row>
    <row r="728" ht="13" customHeight="1" s="189">
      <c r="A728" s="289" t="n"/>
      <c r="B728" s="203" t="n"/>
      <c r="C728" s="289" t="n"/>
      <c r="D728" s="289" t="n"/>
      <c r="E728" s="289" t="n"/>
      <c r="F728" s="289" t="n"/>
      <c r="G728" s="289" t="n"/>
      <c r="H728" s="203" t="n"/>
    </row>
    <row r="729" ht="13" customHeight="1" s="189">
      <c r="A729" s="289" t="n"/>
      <c r="B729" s="203" t="n"/>
      <c r="C729" s="289" t="n"/>
      <c r="D729" s="289" t="n"/>
      <c r="E729" s="289" t="n"/>
      <c r="F729" s="289" t="n"/>
      <c r="G729" s="289" t="n"/>
      <c r="H729" s="203" t="n"/>
    </row>
    <row r="730" ht="13" customHeight="1" s="189">
      <c r="A730" s="289" t="n"/>
      <c r="B730" s="203" t="n"/>
      <c r="C730" s="289" t="n"/>
      <c r="D730" s="289" t="n"/>
      <c r="E730" s="289" t="n"/>
      <c r="F730" s="289" t="n"/>
      <c r="G730" s="289" t="n"/>
      <c r="H730" s="203" t="n"/>
    </row>
    <row r="731" ht="13" customHeight="1" s="189">
      <c r="A731" s="289" t="n"/>
      <c r="B731" s="203" t="n"/>
      <c r="C731" s="289" t="n"/>
      <c r="D731" s="289" t="n"/>
      <c r="E731" s="289" t="n"/>
      <c r="F731" s="289" t="n"/>
      <c r="G731" s="289" t="n"/>
      <c r="H731" s="203" t="n"/>
    </row>
    <row r="732" ht="13" customHeight="1" s="189">
      <c r="A732" s="289" t="n"/>
      <c r="B732" s="203" t="n"/>
      <c r="C732" s="289" t="n"/>
      <c r="D732" s="289" t="n"/>
      <c r="E732" s="289" t="n"/>
      <c r="F732" s="289" t="n"/>
      <c r="G732" s="289" t="n"/>
      <c r="H732" s="203" t="n"/>
    </row>
    <row r="733" ht="13" customHeight="1" s="189">
      <c r="A733" s="289" t="n"/>
      <c r="B733" s="203" t="n"/>
      <c r="C733" s="289" t="n"/>
      <c r="D733" s="289" t="n"/>
      <c r="E733" s="289" t="n"/>
      <c r="F733" s="289" t="n"/>
      <c r="G733" s="289" t="n"/>
      <c r="H733" s="203" t="n"/>
    </row>
    <row r="734" ht="13" customHeight="1" s="189">
      <c r="A734" s="289" t="n"/>
      <c r="B734" s="203" t="n"/>
      <c r="C734" s="289" t="n"/>
      <c r="D734" s="289" t="n"/>
      <c r="E734" s="289" t="n"/>
      <c r="F734" s="289" t="n"/>
      <c r="G734" s="289" t="n"/>
      <c r="H734" s="203" t="n"/>
    </row>
    <row r="735" ht="13" customHeight="1" s="189">
      <c r="A735" s="289" t="n"/>
      <c r="B735" s="203" t="n"/>
      <c r="C735" s="289" t="n"/>
      <c r="D735" s="289" t="n"/>
      <c r="E735" s="289" t="n"/>
      <c r="F735" s="289" t="n"/>
      <c r="G735" s="289" t="n"/>
      <c r="H735" s="203" t="n"/>
    </row>
    <row r="736" ht="13" customHeight="1" s="189">
      <c r="A736" s="289" t="n"/>
      <c r="B736" s="203" t="n"/>
      <c r="C736" s="289" t="n"/>
      <c r="D736" s="289" t="n"/>
      <c r="E736" s="289" t="n"/>
      <c r="F736" s="289" t="n"/>
      <c r="G736" s="289" t="n"/>
      <c r="H736" s="203" t="n"/>
    </row>
    <row r="737" ht="13" customHeight="1" s="189">
      <c r="A737" s="289" t="n"/>
      <c r="B737" s="203" t="n"/>
      <c r="C737" s="289" t="n"/>
      <c r="D737" s="289" t="n"/>
      <c r="E737" s="289" t="n"/>
      <c r="F737" s="289" t="n"/>
      <c r="G737" s="289" t="n"/>
      <c r="H737" s="203" t="n"/>
    </row>
    <row r="738" ht="13" customHeight="1" s="189">
      <c r="A738" s="289" t="n"/>
      <c r="B738" s="203" t="n"/>
      <c r="C738" s="289" t="n"/>
      <c r="D738" s="289" t="n"/>
      <c r="E738" s="289" t="n"/>
      <c r="F738" s="289" t="n"/>
      <c r="G738" s="289" t="n"/>
      <c r="H738" s="203" t="n"/>
    </row>
    <row r="739" ht="13" customHeight="1" s="189">
      <c r="A739" s="289" t="n"/>
      <c r="B739" s="203" t="n"/>
      <c r="C739" s="289" t="n"/>
      <c r="D739" s="289" t="n"/>
      <c r="E739" s="289" t="n"/>
      <c r="F739" s="289" t="n"/>
      <c r="G739" s="289" t="n"/>
      <c r="H739" s="203" t="n"/>
    </row>
    <row r="740" ht="13" customHeight="1" s="189">
      <c r="A740" s="289" t="n"/>
      <c r="B740" s="203" t="n"/>
      <c r="C740" s="289" t="n"/>
      <c r="D740" s="289" t="n"/>
      <c r="E740" s="289" t="n"/>
      <c r="F740" s="289" t="n"/>
      <c r="G740" s="289" t="n"/>
      <c r="H740" s="203" t="n"/>
    </row>
    <row r="741" ht="13" customHeight="1" s="189">
      <c r="A741" s="289" t="n"/>
      <c r="B741" s="203" t="n"/>
      <c r="C741" s="289" t="n"/>
      <c r="D741" s="289" t="n"/>
      <c r="E741" s="289" t="n"/>
      <c r="F741" s="289" t="n"/>
      <c r="G741" s="289" t="n"/>
      <c r="H741" s="203" t="n"/>
    </row>
    <row r="742" ht="13" customHeight="1" s="189">
      <c r="A742" s="289" t="n"/>
      <c r="B742" s="203" t="n"/>
      <c r="C742" s="289" t="n"/>
      <c r="D742" s="289" t="n"/>
      <c r="E742" s="289" t="n"/>
      <c r="F742" s="289" t="n"/>
      <c r="G742" s="289" t="n"/>
      <c r="H742" s="203" t="n"/>
    </row>
    <row r="743" ht="13" customHeight="1" s="189">
      <c r="A743" s="289" t="n"/>
      <c r="B743" s="203" t="n"/>
      <c r="C743" s="289" t="n"/>
      <c r="D743" s="289" t="n"/>
      <c r="E743" s="289" t="n"/>
      <c r="F743" s="289" t="n"/>
      <c r="G743" s="289" t="n"/>
      <c r="H743" s="203" t="n"/>
    </row>
    <row r="744" ht="13" customHeight="1" s="189">
      <c r="A744" s="289" t="n"/>
      <c r="B744" s="203" t="n"/>
      <c r="C744" s="289" t="n"/>
      <c r="D744" s="289" t="n"/>
      <c r="E744" s="289" t="n"/>
      <c r="F744" s="289" t="n"/>
      <c r="G744" s="289" t="n"/>
      <c r="H744" s="203" t="n"/>
    </row>
    <row r="745" ht="13" customHeight="1" s="189">
      <c r="A745" s="289" t="n"/>
      <c r="B745" s="203" t="n"/>
      <c r="C745" s="289" t="n"/>
      <c r="D745" s="289" t="n"/>
      <c r="E745" s="289" t="n"/>
      <c r="F745" s="289" t="n"/>
      <c r="G745" s="289" t="n"/>
      <c r="H745" s="203" t="n"/>
    </row>
    <row r="746" ht="13" customHeight="1" s="189">
      <c r="A746" s="289" t="n"/>
      <c r="B746" s="203" t="n"/>
      <c r="C746" s="289" t="n"/>
      <c r="D746" s="289" t="n"/>
      <c r="E746" s="289" t="n"/>
      <c r="F746" s="289" t="n"/>
      <c r="G746" s="289" t="n"/>
      <c r="H746" s="203" t="n"/>
    </row>
    <row r="747" ht="13" customHeight="1" s="189">
      <c r="A747" s="289" t="n"/>
      <c r="B747" s="203" t="n"/>
      <c r="C747" s="289" t="n"/>
      <c r="D747" s="289" t="n"/>
      <c r="E747" s="289" t="n"/>
      <c r="F747" s="289" t="n"/>
      <c r="G747" s="289" t="n"/>
      <c r="H747" s="203" t="n"/>
    </row>
    <row r="748" ht="13" customHeight="1" s="189">
      <c r="A748" s="289" t="n"/>
      <c r="B748" s="203" t="n"/>
      <c r="C748" s="289" t="n"/>
      <c r="D748" s="289" t="n"/>
      <c r="E748" s="289" t="n"/>
      <c r="F748" s="289" t="n"/>
      <c r="G748" s="289" t="n"/>
      <c r="H748" s="203" t="n"/>
    </row>
    <row r="749" ht="13" customHeight="1" s="189">
      <c r="A749" s="289" t="n"/>
      <c r="B749" s="203" t="n"/>
      <c r="C749" s="289" t="n"/>
      <c r="D749" s="289" t="n"/>
      <c r="E749" s="289" t="n"/>
      <c r="F749" s="289" t="n"/>
      <c r="G749" s="289" t="n"/>
      <c r="H749" s="203" t="n"/>
    </row>
    <row r="750" ht="13" customHeight="1" s="189">
      <c r="A750" s="289" t="n"/>
      <c r="B750" s="203" t="n"/>
      <c r="C750" s="289" t="n"/>
      <c r="D750" s="289" t="n"/>
      <c r="E750" s="289" t="n"/>
      <c r="F750" s="289" t="n"/>
      <c r="G750" s="289" t="n"/>
      <c r="H750" s="203" t="n"/>
    </row>
    <row r="751" ht="13" customHeight="1" s="189">
      <c r="A751" s="289" t="n"/>
      <c r="B751" s="203" t="n"/>
      <c r="C751" s="289" t="n"/>
      <c r="D751" s="289" t="n"/>
      <c r="E751" s="289" t="n"/>
      <c r="F751" s="289" t="n"/>
      <c r="G751" s="289" t="n"/>
      <c r="H751" s="203" t="n"/>
    </row>
    <row r="752" ht="13" customHeight="1" s="189">
      <c r="A752" s="289" t="n"/>
      <c r="B752" s="203" t="n"/>
      <c r="C752" s="289" t="n"/>
      <c r="D752" s="289" t="n"/>
      <c r="E752" s="289" t="n"/>
      <c r="F752" s="289" t="n"/>
      <c r="G752" s="289" t="n"/>
      <c r="H752" s="203" t="n"/>
    </row>
    <row r="753" ht="13" customHeight="1" s="189">
      <c r="A753" s="289" t="n"/>
      <c r="B753" s="203" t="n"/>
      <c r="C753" s="289" t="n"/>
      <c r="D753" s="289" t="n"/>
      <c r="E753" s="289" t="n"/>
      <c r="F753" s="289" t="n"/>
      <c r="G753" s="289" t="n"/>
      <c r="H753" s="203" t="n"/>
    </row>
    <row r="754" ht="13" customHeight="1" s="189">
      <c r="A754" s="289" t="n"/>
      <c r="B754" s="203" t="n"/>
      <c r="C754" s="289" t="n"/>
      <c r="D754" s="289" t="n"/>
      <c r="E754" s="289" t="n"/>
      <c r="F754" s="289" t="n"/>
      <c r="G754" s="289" t="n"/>
      <c r="H754" s="203" t="n"/>
    </row>
    <row r="755" ht="13" customHeight="1" s="189">
      <c r="A755" s="289" t="n"/>
      <c r="B755" s="203" t="n"/>
      <c r="C755" s="289" t="n"/>
      <c r="D755" s="289" t="n"/>
      <c r="E755" s="289" t="n"/>
      <c r="F755" s="289" t="n"/>
      <c r="G755" s="289" t="n"/>
      <c r="H755" s="203" t="n"/>
    </row>
    <row r="756" ht="13" customHeight="1" s="189">
      <c r="A756" s="289" t="n"/>
      <c r="B756" s="203" t="n"/>
      <c r="C756" s="289" t="n"/>
      <c r="D756" s="289" t="n"/>
      <c r="E756" s="289" t="n"/>
      <c r="F756" s="289" t="n"/>
      <c r="G756" s="289" t="n"/>
      <c r="H756" s="203" t="n"/>
    </row>
    <row r="757" ht="13" customHeight="1" s="189">
      <c r="A757" s="289" t="n"/>
      <c r="B757" s="203" t="n"/>
      <c r="C757" s="289" t="n"/>
      <c r="D757" s="289" t="n"/>
      <c r="E757" s="289" t="n"/>
      <c r="F757" s="289" t="n"/>
      <c r="G757" s="289" t="n"/>
      <c r="H757" s="203" t="n"/>
    </row>
    <row r="758" ht="13" customHeight="1" s="189">
      <c r="A758" s="289" t="n"/>
      <c r="B758" s="203" t="n"/>
      <c r="C758" s="289" t="n"/>
      <c r="D758" s="289" t="n"/>
      <c r="E758" s="289" t="n"/>
      <c r="F758" s="289" t="n"/>
      <c r="G758" s="289" t="n"/>
      <c r="H758" s="203" t="n"/>
    </row>
    <row r="759" ht="13" customHeight="1" s="189">
      <c r="A759" s="289" t="n"/>
      <c r="B759" s="203" t="n"/>
      <c r="C759" s="289" t="n"/>
      <c r="D759" s="289" t="n"/>
      <c r="E759" s="289" t="n"/>
      <c r="F759" s="289" t="n"/>
      <c r="G759" s="289" t="n"/>
      <c r="H759" s="203" t="n"/>
    </row>
    <row r="760" ht="13" customHeight="1" s="189">
      <c r="A760" s="289" t="n"/>
      <c r="B760" s="203" t="n"/>
      <c r="C760" s="289" t="n"/>
      <c r="D760" s="289" t="n"/>
      <c r="E760" s="289" t="n"/>
      <c r="F760" s="289" t="n"/>
      <c r="G760" s="289" t="n"/>
      <c r="H760" s="203" t="n"/>
    </row>
    <row r="761" ht="13" customHeight="1" s="189">
      <c r="A761" s="289" t="n"/>
      <c r="B761" s="203" t="n"/>
      <c r="C761" s="289" t="n"/>
      <c r="D761" s="289" t="n"/>
      <c r="E761" s="289" t="n"/>
      <c r="F761" s="289" t="n"/>
      <c r="G761" s="289" t="n"/>
      <c r="H761" s="203" t="n"/>
    </row>
    <row r="762" ht="13" customHeight="1" s="189">
      <c r="A762" s="289" t="n"/>
      <c r="B762" s="203" t="n"/>
      <c r="C762" s="289" t="n"/>
      <c r="D762" s="289" t="n"/>
      <c r="E762" s="289" t="n"/>
      <c r="F762" s="289" t="n"/>
      <c r="G762" s="289" t="n"/>
      <c r="H762" s="203" t="n"/>
    </row>
    <row r="763" ht="13" customHeight="1" s="189">
      <c r="A763" s="289" t="n"/>
      <c r="B763" s="203" t="n"/>
      <c r="C763" s="289" t="n"/>
      <c r="D763" s="289" t="n"/>
      <c r="E763" s="289" t="n"/>
      <c r="F763" s="289" t="n"/>
      <c r="G763" s="289" t="n"/>
      <c r="H763" s="203" t="n"/>
    </row>
    <row r="764" ht="13" customHeight="1" s="189">
      <c r="A764" s="289" t="n"/>
      <c r="B764" s="203" t="n"/>
      <c r="C764" s="289" t="n"/>
      <c r="D764" s="289" t="n"/>
      <c r="E764" s="289" t="n"/>
      <c r="F764" s="289" t="n"/>
      <c r="G764" s="289" t="n"/>
      <c r="H764" s="203" t="n"/>
    </row>
    <row r="765" ht="13" customHeight="1" s="189">
      <c r="A765" s="289" t="n"/>
      <c r="B765" s="203" t="n"/>
      <c r="C765" s="289" t="n"/>
      <c r="D765" s="289" t="n"/>
      <c r="E765" s="289" t="n"/>
      <c r="F765" s="289" t="n"/>
      <c r="G765" s="289" t="n"/>
      <c r="H765" s="203" t="n"/>
    </row>
    <row r="766" ht="13" customHeight="1" s="189">
      <c r="A766" s="289" t="n"/>
      <c r="B766" s="203" t="n"/>
      <c r="C766" s="289" t="n"/>
      <c r="D766" s="289" t="n"/>
      <c r="E766" s="289" t="n"/>
      <c r="F766" s="289" t="n"/>
      <c r="G766" s="289" t="n"/>
      <c r="H766" s="203" t="n"/>
    </row>
    <row r="767" ht="13" customHeight="1" s="189">
      <c r="A767" s="289" t="n"/>
      <c r="B767" s="203" t="n"/>
      <c r="C767" s="289" t="n"/>
      <c r="D767" s="289" t="n"/>
      <c r="E767" s="289" t="n"/>
      <c r="F767" s="289" t="n"/>
      <c r="G767" s="289" t="n"/>
      <c r="H767" s="203" t="n"/>
    </row>
    <row r="768" ht="13" customHeight="1" s="189">
      <c r="A768" s="289" t="n"/>
      <c r="B768" s="203" t="n"/>
      <c r="C768" s="289" t="n"/>
      <c r="D768" s="289" t="n"/>
      <c r="E768" s="289" t="n"/>
      <c r="F768" s="289" t="n"/>
      <c r="G768" s="289" t="n"/>
      <c r="H768" s="203" t="n"/>
    </row>
    <row r="769" ht="13" customHeight="1" s="189">
      <c r="A769" s="289" t="n"/>
      <c r="B769" s="203" t="n"/>
      <c r="C769" s="289" t="n"/>
      <c r="D769" s="289" t="n"/>
      <c r="E769" s="289" t="n"/>
      <c r="F769" s="289" t="n"/>
      <c r="G769" s="289" t="n"/>
      <c r="H769" s="203" t="n"/>
    </row>
    <row r="770" ht="13" customHeight="1" s="189">
      <c r="A770" s="289" t="n"/>
      <c r="B770" s="203" t="n"/>
      <c r="C770" s="289" t="n"/>
      <c r="D770" s="289" t="n"/>
      <c r="E770" s="289" t="n"/>
      <c r="F770" s="289" t="n"/>
      <c r="G770" s="289" t="n"/>
      <c r="H770" s="203" t="n"/>
    </row>
    <row r="771" ht="13" customHeight="1" s="189">
      <c r="A771" s="289" t="n"/>
      <c r="B771" s="203" t="n"/>
      <c r="C771" s="289" t="n"/>
      <c r="D771" s="289" t="n"/>
      <c r="E771" s="289" t="n"/>
      <c r="F771" s="289" t="n"/>
      <c r="G771" s="289" t="n"/>
      <c r="H771" s="203" t="n"/>
    </row>
    <row r="772" ht="13" customHeight="1" s="189">
      <c r="A772" s="289" t="n"/>
      <c r="B772" s="203" t="n"/>
      <c r="C772" s="289" t="n"/>
      <c r="D772" s="289" t="n"/>
      <c r="E772" s="289" t="n"/>
      <c r="F772" s="289" t="n"/>
      <c r="G772" s="289" t="n"/>
      <c r="H772" s="203" t="n"/>
    </row>
    <row r="773" ht="13" customHeight="1" s="189">
      <c r="A773" s="289" t="n"/>
      <c r="B773" s="203" t="n"/>
      <c r="C773" s="289" t="n"/>
      <c r="D773" s="289" t="n"/>
      <c r="E773" s="289" t="n"/>
      <c r="F773" s="289" t="n"/>
      <c r="G773" s="289" t="n"/>
      <c r="H773" s="203" t="n"/>
    </row>
    <row r="774" ht="13" customHeight="1" s="189">
      <c r="A774" s="289" t="n"/>
      <c r="B774" s="203" t="n"/>
      <c r="C774" s="289" t="n"/>
      <c r="D774" s="289" t="n"/>
      <c r="E774" s="289" t="n"/>
      <c r="F774" s="289" t="n"/>
      <c r="G774" s="289" t="n"/>
      <c r="H774" s="203" t="n"/>
    </row>
    <row r="775" ht="13" customHeight="1" s="189">
      <c r="A775" s="289" t="n"/>
      <c r="B775" s="203" t="n"/>
      <c r="C775" s="289" t="n"/>
      <c r="D775" s="289" t="n"/>
      <c r="E775" s="289" t="n"/>
      <c r="F775" s="289" t="n"/>
      <c r="G775" s="289" t="n"/>
      <c r="H775" s="203" t="n"/>
    </row>
    <row r="776" ht="13" customHeight="1" s="189">
      <c r="A776" s="289" t="n"/>
      <c r="B776" s="203" t="n"/>
      <c r="C776" s="289" t="n"/>
      <c r="D776" s="289" t="n"/>
      <c r="E776" s="289" t="n"/>
      <c r="F776" s="289" t="n"/>
      <c r="G776" s="289" t="n"/>
      <c r="H776" s="203" t="n"/>
    </row>
    <row r="777" ht="13" customHeight="1" s="189">
      <c r="A777" s="289" t="n"/>
      <c r="B777" s="203" t="n"/>
      <c r="C777" s="289" t="n"/>
      <c r="D777" s="289" t="n"/>
      <c r="E777" s="289" t="n"/>
      <c r="F777" s="289" t="n"/>
      <c r="G777" s="289" t="n"/>
      <c r="H777" s="203" t="n"/>
    </row>
    <row r="778" ht="13" customHeight="1" s="189">
      <c r="A778" s="289" t="n"/>
      <c r="B778" s="203" t="n"/>
      <c r="C778" s="289" t="n"/>
      <c r="D778" s="289" t="n"/>
      <c r="E778" s="289" t="n"/>
      <c r="F778" s="289" t="n"/>
      <c r="G778" s="289" t="n"/>
      <c r="H778" s="203" t="n"/>
    </row>
    <row r="779" ht="13" customHeight="1" s="189">
      <c r="A779" s="289" t="n"/>
      <c r="B779" s="203" t="n"/>
      <c r="C779" s="289" t="n"/>
      <c r="D779" s="289" t="n"/>
      <c r="E779" s="289" t="n"/>
      <c r="F779" s="289" t="n"/>
      <c r="G779" s="289" t="n"/>
      <c r="H779" s="203" t="n"/>
    </row>
    <row r="780" ht="13" customHeight="1" s="189">
      <c r="A780" s="289" t="n"/>
      <c r="B780" s="203" t="n"/>
      <c r="C780" s="289" t="n"/>
      <c r="D780" s="289" t="n"/>
      <c r="E780" s="289" t="n"/>
      <c r="F780" s="289" t="n"/>
      <c r="G780" s="289" t="n"/>
      <c r="H780" s="203" t="n"/>
    </row>
    <row r="781" ht="13" customHeight="1" s="189">
      <c r="A781" s="289" t="n"/>
      <c r="B781" s="203" t="n"/>
      <c r="C781" s="289" t="n"/>
      <c r="D781" s="289" t="n"/>
      <c r="E781" s="289" t="n"/>
      <c r="F781" s="289" t="n"/>
      <c r="G781" s="289" t="n"/>
      <c r="H781" s="203" t="n"/>
    </row>
    <row r="782" ht="13" customHeight="1" s="189">
      <c r="A782" s="289" t="n"/>
      <c r="B782" s="203" t="n"/>
      <c r="C782" s="289" t="n"/>
      <c r="D782" s="289" t="n"/>
      <c r="E782" s="289" t="n"/>
      <c r="F782" s="289" t="n"/>
      <c r="G782" s="289" t="n"/>
      <c r="H782" s="203" t="n"/>
    </row>
    <row r="783" ht="13" customHeight="1" s="189">
      <c r="A783" s="289" t="n"/>
      <c r="B783" s="203" t="n"/>
      <c r="C783" s="289" t="n"/>
      <c r="D783" s="289" t="n"/>
      <c r="E783" s="289" t="n"/>
      <c r="F783" s="289" t="n"/>
      <c r="G783" s="289" t="n"/>
      <c r="H783" s="203" t="n"/>
    </row>
    <row r="784" ht="13" customHeight="1" s="189">
      <c r="A784" s="289" t="n"/>
      <c r="B784" s="203" t="n"/>
      <c r="C784" s="289" t="n"/>
      <c r="D784" s="289" t="n"/>
      <c r="E784" s="289" t="n"/>
      <c r="F784" s="289" t="n"/>
      <c r="G784" s="289" t="n"/>
      <c r="H784" s="203" t="n"/>
    </row>
    <row r="785" ht="13" customHeight="1" s="189">
      <c r="A785" s="289" t="n"/>
      <c r="B785" s="203" t="n"/>
      <c r="C785" s="289" t="n"/>
      <c r="D785" s="289" t="n"/>
      <c r="E785" s="289" t="n"/>
      <c r="F785" s="289" t="n"/>
      <c r="G785" s="289" t="n"/>
      <c r="H785" s="203" t="n"/>
    </row>
    <row r="786" ht="13" customHeight="1" s="189">
      <c r="A786" s="289" t="n"/>
      <c r="B786" s="203" t="n"/>
      <c r="C786" s="289" t="n"/>
      <c r="D786" s="289" t="n"/>
      <c r="E786" s="289" t="n"/>
      <c r="F786" s="289" t="n"/>
      <c r="G786" s="289" t="n"/>
      <c r="H786" s="203" t="n"/>
    </row>
    <row r="787" ht="13" customHeight="1" s="189">
      <c r="A787" s="289" t="n"/>
      <c r="B787" s="203" t="n"/>
      <c r="C787" s="289" t="n"/>
      <c r="D787" s="289" t="n"/>
      <c r="E787" s="289" t="n"/>
      <c r="F787" s="289" t="n"/>
      <c r="G787" s="289" t="n"/>
      <c r="H787" s="203" t="n"/>
    </row>
    <row r="788" ht="13" customHeight="1" s="189">
      <c r="A788" s="289" t="n"/>
      <c r="B788" s="203" t="n"/>
      <c r="C788" s="289" t="n"/>
      <c r="D788" s="289" t="n"/>
      <c r="E788" s="289" t="n"/>
      <c r="F788" s="289" t="n"/>
      <c r="G788" s="289" t="n"/>
      <c r="H788" s="203" t="n"/>
    </row>
    <row r="789" ht="13" customHeight="1" s="189">
      <c r="A789" s="289" t="n"/>
      <c r="B789" s="203" t="n"/>
      <c r="C789" s="289" t="n"/>
      <c r="D789" s="289" t="n"/>
      <c r="E789" s="289" t="n"/>
      <c r="F789" s="289" t="n"/>
      <c r="G789" s="289" t="n"/>
      <c r="H789" s="203" t="n"/>
    </row>
    <row r="790" ht="13" customHeight="1" s="189">
      <c r="A790" s="289" t="n"/>
      <c r="B790" s="203" t="n"/>
      <c r="C790" s="289" t="n"/>
      <c r="D790" s="289" t="n"/>
      <c r="E790" s="289" t="n"/>
      <c r="F790" s="289" t="n"/>
      <c r="G790" s="289" t="n"/>
      <c r="H790" s="203" t="n"/>
    </row>
    <row r="791" ht="13" customHeight="1" s="189">
      <c r="A791" s="289" t="n"/>
      <c r="B791" s="203" t="n"/>
      <c r="C791" s="289" t="n"/>
      <c r="D791" s="289" t="n"/>
      <c r="E791" s="289" t="n"/>
      <c r="F791" s="289" t="n"/>
      <c r="G791" s="289" t="n"/>
      <c r="H791" s="203" t="n"/>
    </row>
    <row r="792" ht="13" customHeight="1" s="189">
      <c r="A792" s="289" t="n"/>
      <c r="B792" s="203" t="n"/>
      <c r="C792" s="289" t="n"/>
      <c r="D792" s="289" t="n"/>
      <c r="E792" s="289" t="n"/>
      <c r="F792" s="289" t="n"/>
      <c r="G792" s="289" t="n"/>
      <c r="H792" s="203" t="n"/>
    </row>
    <row r="793" ht="13" customHeight="1" s="189">
      <c r="A793" s="289" t="n"/>
      <c r="B793" s="203" t="n"/>
      <c r="C793" s="289" t="n"/>
      <c r="D793" s="289" t="n"/>
      <c r="E793" s="289" t="n"/>
      <c r="F793" s="289" t="n"/>
      <c r="G793" s="289" t="n"/>
      <c r="H793" s="203" t="n"/>
    </row>
    <row r="794" ht="13" customHeight="1" s="189">
      <c r="A794" s="289" t="n"/>
      <c r="B794" s="203" t="n"/>
      <c r="C794" s="289" t="n"/>
      <c r="D794" s="289" t="n"/>
      <c r="E794" s="289" t="n"/>
      <c r="F794" s="289" t="n"/>
      <c r="G794" s="289" t="n"/>
      <c r="H794" s="203" t="n"/>
    </row>
    <row r="795" ht="13" customHeight="1" s="189">
      <c r="A795" s="289" t="n"/>
      <c r="B795" s="203" t="n"/>
      <c r="C795" s="289" t="n"/>
      <c r="D795" s="289" t="n"/>
      <c r="E795" s="289" t="n"/>
      <c r="F795" s="289" t="n"/>
      <c r="G795" s="289" t="n"/>
      <c r="H795" s="203" t="n"/>
    </row>
    <row r="796" ht="13" customHeight="1" s="189">
      <c r="A796" s="289" t="n"/>
      <c r="B796" s="203" t="n"/>
      <c r="C796" s="289" t="n"/>
      <c r="D796" s="289" t="n"/>
      <c r="E796" s="289" t="n"/>
      <c r="F796" s="289" t="n"/>
      <c r="G796" s="289" t="n"/>
      <c r="H796" s="203" t="n"/>
    </row>
    <row r="797" ht="13" customHeight="1" s="189">
      <c r="A797" s="289" t="n"/>
      <c r="B797" s="203" t="n"/>
      <c r="C797" s="289" t="n"/>
      <c r="D797" s="289" t="n"/>
      <c r="E797" s="289" t="n"/>
      <c r="F797" s="289" t="n"/>
      <c r="G797" s="289" t="n"/>
      <c r="H797" s="203" t="n"/>
    </row>
    <row r="798" ht="13" customHeight="1" s="189">
      <c r="A798" s="289" t="n"/>
      <c r="B798" s="203" t="n"/>
      <c r="C798" s="289" t="n"/>
      <c r="D798" s="289" t="n"/>
      <c r="E798" s="289" t="n"/>
      <c r="F798" s="289" t="n"/>
      <c r="G798" s="289" t="n"/>
      <c r="H798" s="203" t="n"/>
    </row>
    <row r="799" ht="13" customHeight="1" s="189">
      <c r="A799" s="289" t="n"/>
      <c r="B799" s="203" t="n"/>
      <c r="C799" s="289" t="n"/>
      <c r="D799" s="289" t="n"/>
      <c r="E799" s="289" t="n"/>
      <c r="F799" s="289" t="n"/>
      <c r="G799" s="289" t="n"/>
      <c r="H799" s="203" t="n"/>
    </row>
    <row r="800" ht="13" customHeight="1" s="189">
      <c r="A800" s="289" t="n"/>
      <c r="B800" s="203" t="n"/>
      <c r="C800" s="289" t="n"/>
      <c r="D800" s="289" t="n"/>
      <c r="E800" s="289" t="n"/>
      <c r="F800" s="289" t="n"/>
      <c r="G800" s="289" t="n"/>
      <c r="H800" s="203" t="n"/>
    </row>
    <row r="801" ht="13" customHeight="1" s="189">
      <c r="A801" s="289" t="n"/>
      <c r="B801" s="203" t="n"/>
      <c r="C801" s="289" t="n"/>
      <c r="D801" s="289" t="n"/>
      <c r="E801" s="289" t="n"/>
      <c r="F801" s="289" t="n"/>
      <c r="G801" s="289" t="n"/>
      <c r="H801" s="203" t="n"/>
    </row>
    <row r="802" ht="13" customHeight="1" s="189">
      <c r="A802" s="289" t="n"/>
      <c r="B802" s="203" t="n"/>
      <c r="C802" s="289" t="n"/>
      <c r="D802" s="289" t="n"/>
      <c r="E802" s="289" t="n"/>
      <c r="F802" s="289" t="n"/>
      <c r="G802" s="289" t="n"/>
      <c r="H802" s="203" t="n"/>
    </row>
    <row r="803" ht="13" customHeight="1" s="189">
      <c r="A803" s="289" t="n"/>
      <c r="B803" s="203" t="n"/>
      <c r="C803" s="289" t="n"/>
      <c r="D803" s="289" t="n"/>
      <c r="E803" s="289" t="n"/>
      <c r="F803" s="289" t="n"/>
      <c r="G803" s="289" t="n"/>
      <c r="H803" s="203" t="n"/>
    </row>
    <row r="804" ht="13" customHeight="1" s="189">
      <c r="A804" s="289" t="n"/>
      <c r="B804" s="203" t="n"/>
      <c r="C804" s="289" t="n"/>
      <c r="D804" s="289" t="n"/>
      <c r="E804" s="289" t="n"/>
      <c r="F804" s="289" t="n"/>
      <c r="G804" s="289" t="n"/>
      <c r="H804" s="203" t="n"/>
    </row>
    <row r="805" ht="13" customHeight="1" s="189">
      <c r="A805" s="289" t="n"/>
      <c r="B805" s="203" t="n"/>
      <c r="C805" s="289" t="n"/>
      <c r="D805" s="289" t="n"/>
      <c r="E805" s="289" t="n"/>
      <c r="F805" s="289" t="n"/>
      <c r="G805" s="289" t="n"/>
      <c r="H805" s="203" t="n"/>
    </row>
    <row r="806" ht="13" customHeight="1" s="189">
      <c r="A806" s="289" t="n"/>
      <c r="B806" s="203" t="n"/>
      <c r="C806" s="289" t="n"/>
      <c r="D806" s="289" t="n"/>
      <c r="E806" s="289" t="n"/>
      <c r="F806" s="289" t="n"/>
      <c r="G806" s="289" t="n"/>
      <c r="H806" s="203" t="n"/>
    </row>
    <row r="807" ht="13" customHeight="1" s="189">
      <c r="A807" s="289" t="n"/>
      <c r="B807" s="203" t="n"/>
      <c r="C807" s="289" t="n"/>
      <c r="D807" s="289" t="n"/>
      <c r="E807" s="289" t="n"/>
      <c r="F807" s="289" t="n"/>
      <c r="G807" s="289" t="n"/>
      <c r="H807" s="203" t="n"/>
    </row>
    <row r="808" ht="13" customHeight="1" s="189">
      <c r="A808" s="289" t="n"/>
      <c r="B808" s="203" t="n"/>
      <c r="C808" s="289" t="n"/>
      <c r="D808" s="289" t="n"/>
      <c r="E808" s="289" t="n"/>
      <c r="F808" s="289" t="n"/>
      <c r="G808" s="289" t="n"/>
      <c r="H808" s="203" t="n"/>
    </row>
    <row r="809" ht="13" customHeight="1" s="189">
      <c r="A809" s="289" t="n"/>
      <c r="B809" s="203" t="n"/>
      <c r="C809" s="289" t="n"/>
      <c r="D809" s="289" t="n"/>
      <c r="E809" s="289" t="n"/>
      <c r="F809" s="289" t="n"/>
      <c r="G809" s="289" t="n"/>
      <c r="H809" s="203" t="n"/>
    </row>
    <row r="810" ht="13" customHeight="1" s="189">
      <c r="A810" s="289" t="n"/>
      <c r="B810" s="203" t="n"/>
      <c r="C810" s="289" t="n"/>
      <c r="D810" s="289" t="n"/>
      <c r="E810" s="289" t="n"/>
      <c r="F810" s="289" t="n"/>
      <c r="G810" s="289" t="n"/>
      <c r="H810" s="203" t="n"/>
    </row>
    <row r="811" ht="13" customHeight="1" s="189">
      <c r="A811" s="289" t="n"/>
      <c r="B811" s="203" t="n"/>
      <c r="C811" s="289" t="n"/>
      <c r="D811" s="289" t="n"/>
      <c r="E811" s="289" t="n"/>
      <c r="F811" s="289" t="n"/>
      <c r="G811" s="289" t="n"/>
      <c r="H811" s="203" t="n"/>
    </row>
    <row r="812" ht="13" customHeight="1" s="189">
      <c r="A812" s="289" t="n"/>
      <c r="B812" s="203" t="n"/>
      <c r="C812" s="289" t="n"/>
      <c r="D812" s="289" t="n"/>
      <c r="E812" s="289" t="n"/>
      <c r="F812" s="289" t="n"/>
      <c r="G812" s="289" t="n"/>
      <c r="H812" s="203" t="n"/>
    </row>
    <row r="813" ht="13" customHeight="1" s="189">
      <c r="A813" s="289" t="n"/>
      <c r="B813" s="203" t="n"/>
      <c r="C813" s="289" t="n"/>
      <c r="D813" s="289" t="n"/>
      <c r="E813" s="289" t="n"/>
      <c r="F813" s="289" t="n"/>
      <c r="G813" s="289" t="n"/>
      <c r="H813" s="203" t="n"/>
    </row>
    <row r="814" ht="13" customHeight="1" s="189">
      <c r="A814" s="289" t="n"/>
      <c r="B814" s="203" t="n"/>
      <c r="C814" s="289" t="n"/>
      <c r="D814" s="289" t="n"/>
      <c r="E814" s="289" t="n"/>
      <c r="F814" s="289" t="n"/>
      <c r="G814" s="289" t="n"/>
      <c r="H814" s="203" t="n"/>
    </row>
    <row r="815" ht="13" customHeight="1" s="189">
      <c r="A815" s="289" t="n"/>
      <c r="B815" s="203" t="n"/>
      <c r="C815" s="289" t="n"/>
      <c r="D815" s="289" t="n"/>
      <c r="E815" s="289" t="n"/>
      <c r="F815" s="289" t="n"/>
      <c r="G815" s="289" t="n"/>
      <c r="H815" s="203" t="n"/>
    </row>
    <row r="816" ht="13" customHeight="1" s="189">
      <c r="A816" s="289" t="n"/>
      <c r="B816" s="203" t="n"/>
      <c r="C816" s="289" t="n"/>
      <c r="D816" s="289" t="n"/>
      <c r="E816" s="289" t="n"/>
      <c r="F816" s="289" t="n"/>
      <c r="G816" s="289" t="n"/>
      <c r="H816" s="203" t="n"/>
    </row>
    <row r="817" ht="13" customHeight="1" s="189">
      <c r="A817" s="289" t="n"/>
      <c r="B817" s="203" t="n"/>
      <c r="C817" s="289" t="n"/>
      <c r="D817" s="289" t="n"/>
      <c r="E817" s="289" t="n"/>
      <c r="F817" s="289" t="n"/>
      <c r="G817" s="289" t="n"/>
      <c r="H817" s="203" t="n"/>
    </row>
    <row r="818" ht="13" customHeight="1" s="189">
      <c r="A818" s="289" t="n"/>
      <c r="B818" s="203" t="n"/>
      <c r="C818" s="289" t="n"/>
      <c r="D818" s="289" t="n"/>
      <c r="E818" s="289" t="n"/>
      <c r="F818" s="289" t="n"/>
      <c r="G818" s="289" t="n"/>
      <c r="H818" s="203" t="n"/>
    </row>
    <row r="819" ht="13" customHeight="1" s="189">
      <c r="A819" s="289" t="n"/>
      <c r="B819" s="203" t="n"/>
      <c r="C819" s="289" t="n"/>
      <c r="D819" s="289" t="n"/>
      <c r="E819" s="289" t="n"/>
      <c r="F819" s="289" t="n"/>
      <c r="G819" s="289" t="n"/>
      <c r="H819" s="203" t="n"/>
    </row>
    <row r="820" ht="13" customHeight="1" s="189">
      <c r="A820" s="289" t="n"/>
      <c r="B820" s="203" t="n"/>
      <c r="C820" s="289" t="n"/>
      <c r="D820" s="289" t="n"/>
      <c r="E820" s="289" t="n"/>
      <c r="F820" s="289" t="n"/>
      <c r="G820" s="289" t="n"/>
      <c r="H820" s="203" t="n"/>
    </row>
    <row r="821" ht="13" customHeight="1" s="189">
      <c r="A821" s="289" t="n"/>
      <c r="B821" s="203" t="n"/>
      <c r="C821" s="289" t="n"/>
      <c r="D821" s="289" t="n"/>
      <c r="E821" s="289" t="n"/>
      <c r="F821" s="289" t="n"/>
      <c r="G821" s="289" t="n"/>
      <c r="H821" s="203" t="n"/>
    </row>
    <row r="822" ht="13" customHeight="1" s="189">
      <c r="A822" s="289" t="n"/>
      <c r="B822" s="203" t="n"/>
      <c r="C822" s="289" t="n"/>
      <c r="D822" s="289" t="n"/>
      <c r="E822" s="289" t="n"/>
      <c r="F822" s="289" t="n"/>
      <c r="G822" s="289" t="n"/>
      <c r="H822" s="203" t="n"/>
    </row>
    <row r="823" ht="13" customHeight="1" s="189">
      <c r="A823" s="289" t="n"/>
      <c r="B823" s="203" t="n"/>
      <c r="C823" s="289" t="n"/>
      <c r="D823" s="289" t="n"/>
      <c r="E823" s="289" t="n"/>
      <c r="F823" s="289" t="n"/>
      <c r="G823" s="289" t="n"/>
      <c r="H823" s="203" t="n"/>
    </row>
    <row r="824" ht="13" customHeight="1" s="189">
      <c r="A824" s="289" t="n"/>
      <c r="B824" s="203" t="n"/>
      <c r="C824" s="289" t="n"/>
      <c r="D824" s="289" t="n"/>
      <c r="E824" s="289" t="n"/>
      <c r="F824" s="289" t="n"/>
      <c r="G824" s="289" t="n"/>
      <c r="H824" s="203" t="n"/>
    </row>
    <row r="825" ht="13" customHeight="1" s="189">
      <c r="A825" s="289" t="n"/>
      <c r="B825" s="203" t="n"/>
      <c r="C825" s="289" t="n"/>
      <c r="D825" s="289" t="n"/>
      <c r="E825" s="289" t="n"/>
      <c r="F825" s="289" t="n"/>
      <c r="G825" s="289" t="n"/>
      <c r="H825" s="203" t="n"/>
    </row>
    <row r="826" ht="13" customHeight="1" s="189">
      <c r="A826" s="289" t="n"/>
      <c r="B826" s="203" t="n"/>
      <c r="C826" s="289" t="n"/>
      <c r="D826" s="289" t="n"/>
      <c r="E826" s="289" t="n"/>
      <c r="F826" s="289" t="n"/>
      <c r="G826" s="289" t="n"/>
      <c r="H826" s="203" t="n"/>
    </row>
    <row r="827" ht="13" customHeight="1" s="189">
      <c r="A827" s="289" t="n"/>
      <c r="B827" s="203" t="n"/>
      <c r="C827" s="289" t="n"/>
      <c r="D827" s="289" t="n"/>
      <c r="E827" s="289" t="n"/>
      <c r="F827" s="289" t="n"/>
      <c r="G827" s="289" t="n"/>
      <c r="H827" s="203" t="n"/>
    </row>
    <row r="828" ht="13" customHeight="1" s="189">
      <c r="A828" s="289" t="n"/>
      <c r="B828" s="203" t="n"/>
      <c r="C828" s="289" t="n"/>
      <c r="D828" s="289" t="n"/>
      <c r="E828" s="289" t="n"/>
      <c r="F828" s="289" t="n"/>
      <c r="G828" s="289" t="n"/>
      <c r="H828" s="203" t="n"/>
    </row>
    <row r="829" ht="13" customHeight="1" s="189">
      <c r="A829" s="289" t="n"/>
      <c r="B829" s="203" t="n"/>
      <c r="C829" s="289" t="n"/>
      <c r="D829" s="289" t="n"/>
      <c r="E829" s="289" t="n"/>
      <c r="F829" s="289" t="n"/>
      <c r="G829" s="289" t="n"/>
      <c r="H829" s="203" t="n"/>
    </row>
    <row r="830" ht="13" customHeight="1" s="189">
      <c r="A830" s="289" t="n"/>
      <c r="B830" s="203" t="n"/>
      <c r="C830" s="289" t="n"/>
      <c r="D830" s="289" t="n"/>
      <c r="E830" s="289" t="n"/>
      <c r="F830" s="289" t="n"/>
      <c r="G830" s="289" t="n"/>
      <c r="H830" s="203" t="n"/>
    </row>
    <row r="831" ht="13" customHeight="1" s="189">
      <c r="A831" s="289" t="n"/>
      <c r="B831" s="203" t="n"/>
      <c r="C831" s="289" t="n"/>
      <c r="D831" s="289" t="n"/>
      <c r="E831" s="289" t="n"/>
      <c r="F831" s="289" t="n"/>
      <c r="G831" s="289" t="n"/>
      <c r="H831" s="203" t="n"/>
    </row>
    <row r="832" ht="13" customHeight="1" s="189">
      <c r="A832" s="289" t="n"/>
      <c r="B832" s="203" t="n"/>
      <c r="C832" s="289" t="n"/>
      <c r="D832" s="289" t="n"/>
      <c r="E832" s="289" t="n"/>
      <c r="F832" s="289" t="n"/>
      <c r="G832" s="289" t="n"/>
      <c r="H832" s="203" t="n"/>
    </row>
    <row r="833" ht="13" customHeight="1" s="189">
      <c r="A833" s="289" t="n"/>
      <c r="B833" s="203" t="n"/>
      <c r="C833" s="289" t="n"/>
      <c r="D833" s="289" t="n"/>
      <c r="E833" s="289" t="n"/>
      <c r="F833" s="289" t="n"/>
      <c r="G833" s="289" t="n"/>
      <c r="H833" s="203" t="n"/>
    </row>
    <row r="834" ht="13" customHeight="1" s="189">
      <c r="A834" s="289" t="n"/>
      <c r="B834" s="203" t="n"/>
      <c r="C834" s="289" t="n"/>
      <c r="D834" s="289" t="n"/>
      <c r="E834" s="289" t="n"/>
      <c r="F834" s="289" t="n"/>
      <c r="G834" s="289" t="n"/>
      <c r="H834" s="203" t="n"/>
    </row>
    <row r="835" ht="13" customHeight="1" s="189">
      <c r="A835" s="289" t="n"/>
      <c r="B835" s="203" t="n"/>
      <c r="C835" s="289" t="n"/>
      <c r="D835" s="289" t="n"/>
      <c r="E835" s="289" t="n"/>
      <c r="F835" s="289" t="n"/>
      <c r="G835" s="289" t="n"/>
      <c r="H835" s="203" t="n"/>
    </row>
    <row r="836" ht="13" customHeight="1" s="189">
      <c r="A836" s="289" t="n"/>
      <c r="B836" s="203" t="n"/>
      <c r="C836" s="289" t="n"/>
      <c r="D836" s="289" t="n"/>
      <c r="E836" s="289" t="n"/>
      <c r="F836" s="289" t="n"/>
      <c r="G836" s="289" t="n"/>
      <c r="H836" s="203" t="n"/>
    </row>
    <row r="837" ht="13" customHeight="1" s="189">
      <c r="A837" s="289" t="n"/>
      <c r="B837" s="203" t="n"/>
      <c r="C837" s="289" t="n"/>
      <c r="D837" s="289" t="n"/>
      <c r="E837" s="289" t="n"/>
      <c r="F837" s="289" t="n"/>
      <c r="G837" s="289" t="n"/>
      <c r="H837" s="203" t="n"/>
    </row>
    <row r="838" ht="13" customHeight="1" s="189">
      <c r="A838" s="289" t="n"/>
      <c r="B838" s="203" t="n"/>
      <c r="C838" s="289" t="n"/>
      <c r="D838" s="289" t="n"/>
      <c r="E838" s="289" t="n"/>
      <c r="F838" s="289" t="n"/>
      <c r="G838" s="289" t="n"/>
      <c r="H838" s="203" t="n"/>
    </row>
    <row r="839" ht="13" customHeight="1" s="189">
      <c r="A839" s="289" t="n"/>
      <c r="B839" s="203" t="n"/>
      <c r="C839" s="289" t="n"/>
      <c r="D839" s="289" t="n"/>
      <c r="E839" s="289" t="n"/>
      <c r="F839" s="289" t="n"/>
      <c r="G839" s="289" t="n"/>
      <c r="H839" s="203" t="n"/>
    </row>
    <row r="840" ht="13" customHeight="1" s="189">
      <c r="A840" s="289" t="n"/>
      <c r="B840" s="203" t="n"/>
      <c r="C840" s="289" t="n"/>
      <c r="D840" s="289" t="n"/>
      <c r="E840" s="289" t="n"/>
      <c r="F840" s="289" t="n"/>
      <c r="G840" s="289" t="n"/>
      <c r="H840" s="203" t="n"/>
    </row>
    <row r="841" ht="13" customHeight="1" s="189">
      <c r="A841" s="289" t="n"/>
      <c r="B841" s="203" t="n"/>
      <c r="C841" s="289" t="n"/>
      <c r="D841" s="289" t="n"/>
      <c r="E841" s="289" t="n"/>
      <c r="F841" s="289" t="n"/>
      <c r="G841" s="289" t="n"/>
      <c r="H841" s="203" t="n"/>
    </row>
    <row r="842" ht="13" customHeight="1" s="189">
      <c r="A842" s="289" t="n"/>
      <c r="B842" s="203" t="n"/>
      <c r="C842" s="289" t="n"/>
      <c r="D842" s="289" t="n"/>
      <c r="E842" s="289" t="n"/>
      <c r="F842" s="289" t="n"/>
      <c r="G842" s="289" t="n"/>
      <c r="H842" s="203" t="n"/>
    </row>
    <row r="843" ht="13" customHeight="1" s="189">
      <c r="A843" s="289" t="n"/>
      <c r="B843" s="203" t="n"/>
      <c r="C843" s="289" t="n"/>
      <c r="D843" s="289" t="n"/>
      <c r="E843" s="289" t="n"/>
      <c r="F843" s="289" t="n"/>
      <c r="G843" s="289" t="n"/>
      <c r="H843" s="203" t="n"/>
    </row>
    <row r="844" ht="13" customHeight="1" s="189">
      <c r="A844" s="289" t="n"/>
      <c r="B844" s="203" t="n"/>
      <c r="C844" s="289" t="n"/>
      <c r="D844" s="289" t="n"/>
      <c r="E844" s="289" t="n"/>
      <c r="F844" s="289" t="n"/>
      <c r="G844" s="289" t="n"/>
      <c r="H844" s="203" t="n"/>
    </row>
    <row r="845" ht="13" customHeight="1" s="189">
      <c r="A845" s="289" t="n"/>
      <c r="B845" s="203" t="n"/>
      <c r="C845" s="289" t="n"/>
      <c r="D845" s="289" t="n"/>
      <c r="E845" s="289" t="n"/>
      <c r="F845" s="289" t="n"/>
      <c r="G845" s="289" t="n"/>
      <c r="H845" s="203" t="n"/>
    </row>
    <row r="846" ht="13" customHeight="1" s="189">
      <c r="A846" s="289" t="n"/>
      <c r="B846" s="203" t="n"/>
      <c r="C846" s="289" t="n"/>
      <c r="D846" s="289" t="n"/>
      <c r="E846" s="289" t="n"/>
      <c r="F846" s="289" t="n"/>
      <c r="G846" s="289" t="n"/>
      <c r="H846" s="203" t="n"/>
    </row>
    <row r="847" ht="13" customHeight="1" s="189">
      <c r="A847" s="289" t="n"/>
      <c r="B847" s="203" t="n"/>
      <c r="C847" s="289" t="n"/>
      <c r="D847" s="289" t="n"/>
      <c r="E847" s="289" t="n"/>
      <c r="F847" s="289" t="n"/>
      <c r="G847" s="289" t="n"/>
      <c r="H847" s="203" t="n"/>
    </row>
    <row r="848" ht="13" customHeight="1" s="189">
      <c r="A848" s="289" t="n"/>
      <c r="B848" s="203" t="n"/>
      <c r="C848" s="289" t="n"/>
      <c r="D848" s="289" t="n"/>
      <c r="E848" s="289" t="n"/>
      <c r="F848" s="289" t="n"/>
      <c r="G848" s="289" t="n"/>
      <c r="H848" s="203" t="n"/>
    </row>
    <row r="849" ht="13" customHeight="1" s="189">
      <c r="A849" s="289" t="n"/>
      <c r="B849" s="203" t="n"/>
      <c r="C849" s="289" t="n"/>
      <c r="D849" s="289" t="n"/>
      <c r="E849" s="289" t="n"/>
      <c r="F849" s="289" t="n"/>
      <c r="G849" s="289" t="n"/>
      <c r="H849" s="203" t="n"/>
    </row>
    <row r="850" ht="13" customHeight="1" s="189">
      <c r="A850" s="289" t="n"/>
      <c r="B850" s="203" t="n"/>
      <c r="C850" s="289" t="n"/>
      <c r="D850" s="289" t="n"/>
      <c r="E850" s="289" t="n"/>
      <c r="F850" s="289" t="n"/>
      <c r="G850" s="289" t="n"/>
      <c r="H850" s="203" t="n"/>
    </row>
    <row r="851" ht="13" customHeight="1" s="189">
      <c r="A851" s="289" t="n"/>
      <c r="B851" s="203" t="n"/>
      <c r="C851" s="289" t="n"/>
      <c r="D851" s="289" t="n"/>
      <c r="E851" s="289" t="n"/>
      <c r="F851" s="289" t="n"/>
      <c r="G851" s="289" t="n"/>
      <c r="H851" s="203" t="n"/>
    </row>
    <row r="852" ht="13" customHeight="1" s="189">
      <c r="A852" s="289" t="n"/>
      <c r="B852" s="203" t="n"/>
      <c r="C852" s="289" t="n"/>
      <c r="D852" s="289" t="n"/>
      <c r="E852" s="289" t="n"/>
      <c r="F852" s="289" t="n"/>
      <c r="G852" s="289" t="n"/>
      <c r="H852" s="203" t="n"/>
    </row>
    <row r="853" ht="13" customHeight="1" s="189">
      <c r="A853" s="289" t="n"/>
      <c r="B853" s="203" t="n"/>
      <c r="C853" s="289" t="n"/>
      <c r="D853" s="289" t="n"/>
      <c r="E853" s="289" t="n"/>
      <c r="F853" s="289" t="n"/>
      <c r="G853" s="289" t="n"/>
      <c r="H853" s="203" t="n"/>
    </row>
    <row r="854" ht="13" customHeight="1" s="189">
      <c r="A854" s="289" t="n"/>
      <c r="B854" s="203" t="n"/>
      <c r="C854" s="289" t="n"/>
      <c r="D854" s="289" t="n"/>
      <c r="E854" s="289" t="n"/>
      <c r="F854" s="289" t="n"/>
      <c r="G854" s="289" t="n"/>
      <c r="H854" s="203" t="n"/>
    </row>
    <row r="855" ht="13" customHeight="1" s="189">
      <c r="A855" s="289" t="n"/>
      <c r="B855" s="203" t="n"/>
      <c r="C855" s="289" t="n"/>
      <c r="D855" s="289" t="n"/>
      <c r="E855" s="289" t="n"/>
      <c r="F855" s="289" t="n"/>
      <c r="G855" s="289" t="n"/>
      <c r="H855" s="203" t="n"/>
    </row>
    <row r="856" ht="13" customHeight="1" s="189">
      <c r="A856" s="289" t="n"/>
      <c r="B856" s="203" t="n"/>
      <c r="C856" s="289" t="n"/>
      <c r="D856" s="289" t="n"/>
      <c r="E856" s="289" t="n"/>
      <c r="F856" s="289" t="n"/>
      <c r="G856" s="289" t="n"/>
      <c r="H856" s="203" t="n"/>
    </row>
    <row r="857" ht="13" customHeight="1" s="189">
      <c r="A857" s="289" t="n"/>
      <c r="B857" s="203" t="n"/>
      <c r="C857" s="289" t="n"/>
      <c r="D857" s="289" t="n"/>
      <c r="E857" s="289" t="n"/>
      <c r="F857" s="289" t="n"/>
      <c r="G857" s="289" t="n"/>
      <c r="H857" s="203" t="n"/>
    </row>
    <row r="858" ht="13" customHeight="1" s="189">
      <c r="A858" s="289" t="n"/>
      <c r="B858" s="203" t="n"/>
      <c r="C858" s="289" t="n"/>
      <c r="D858" s="289" t="n"/>
      <c r="E858" s="289" t="n"/>
      <c r="F858" s="289" t="n"/>
      <c r="G858" s="289" t="n"/>
      <c r="H858" s="203" t="n"/>
    </row>
    <row r="859" ht="13" customHeight="1" s="189">
      <c r="A859" s="289" t="n"/>
      <c r="B859" s="203" t="n"/>
      <c r="C859" s="289" t="n"/>
      <c r="D859" s="289" t="n"/>
      <c r="E859" s="289" t="n"/>
      <c r="F859" s="289" t="n"/>
      <c r="G859" s="289" t="n"/>
      <c r="H859" s="203" t="n"/>
    </row>
    <row r="860" ht="13" customHeight="1" s="189">
      <c r="A860" s="289" t="n"/>
      <c r="B860" s="203" t="n"/>
      <c r="C860" s="289" t="n"/>
      <c r="D860" s="289" t="n"/>
      <c r="E860" s="289" t="n"/>
      <c r="F860" s="289" t="n"/>
      <c r="G860" s="289" t="n"/>
      <c r="H860" s="203" t="n"/>
    </row>
    <row r="861" ht="13" customHeight="1" s="189">
      <c r="A861" s="289" t="n"/>
      <c r="B861" s="203" t="n"/>
      <c r="C861" s="289" t="n"/>
      <c r="D861" s="289" t="n"/>
      <c r="E861" s="289" t="n"/>
      <c r="F861" s="289" t="n"/>
      <c r="G861" s="289" t="n"/>
      <c r="H861" s="203" t="n"/>
    </row>
    <row r="862" ht="13" customHeight="1" s="189">
      <c r="A862" s="289" t="n"/>
      <c r="B862" s="203" t="n"/>
      <c r="C862" s="289" t="n"/>
      <c r="D862" s="289" t="n"/>
      <c r="E862" s="289" t="n"/>
      <c r="F862" s="289" t="n"/>
      <c r="G862" s="289" t="n"/>
      <c r="H862" s="203" t="n"/>
    </row>
    <row r="863" ht="13" customHeight="1" s="189">
      <c r="A863" s="289" t="n"/>
      <c r="B863" s="203" t="n"/>
      <c r="C863" s="289" t="n"/>
      <c r="D863" s="289" t="n"/>
      <c r="E863" s="289" t="n"/>
      <c r="F863" s="289" t="n"/>
      <c r="G863" s="289" t="n"/>
      <c r="H863" s="203" t="n"/>
    </row>
    <row r="864" ht="13" customHeight="1" s="189">
      <c r="A864" s="289" t="n"/>
      <c r="B864" s="203" t="n"/>
      <c r="C864" s="289" t="n"/>
      <c r="D864" s="289" t="n"/>
      <c r="E864" s="289" t="n"/>
      <c r="F864" s="289" t="n"/>
      <c r="G864" s="289" t="n"/>
      <c r="H864" s="203" t="n"/>
    </row>
    <row r="865" ht="13" customHeight="1" s="189">
      <c r="A865" s="289" t="n"/>
      <c r="B865" s="203" t="n"/>
      <c r="C865" s="289" t="n"/>
      <c r="D865" s="289" t="n"/>
      <c r="E865" s="289" t="n"/>
      <c r="F865" s="289" t="n"/>
      <c r="G865" s="289" t="n"/>
      <c r="H865" s="203" t="n"/>
    </row>
    <row r="866" ht="13" customHeight="1" s="189">
      <c r="A866" s="289" t="n"/>
      <c r="B866" s="203" t="n"/>
      <c r="C866" s="289" t="n"/>
      <c r="D866" s="289" t="n"/>
      <c r="E866" s="289" t="n"/>
      <c r="F866" s="289" t="n"/>
      <c r="G866" s="289" t="n"/>
      <c r="H866" s="203" t="n"/>
    </row>
    <row r="867" ht="13" customHeight="1" s="189">
      <c r="A867" s="289" t="n"/>
      <c r="B867" s="203" t="n"/>
      <c r="C867" s="289" t="n"/>
      <c r="D867" s="289" t="n"/>
      <c r="E867" s="289" t="n"/>
      <c r="F867" s="289" t="n"/>
      <c r="G867" s="289" t="n"/>
      <c r="H867" s="203" t="n"/>
    </row>
    <row r="868" ht="13" customHeight="1" s="189">
      <c r="A868" s="289" t="n"/>
      <c r="B868" s="203" t="n"/>
      <c r="C868" s="289" t="n"/>
      <c r="D868" s="289" t="n"/>
      <c r="E868" s="289" t="n"/>
      <c r="F868" s="289" t="n"/>
      <c r="G868" s="289" t="n"/>
      <c r="H868" s="203" t="n"/>
    </row>
    <row r="869" ht="13" customHeight="1" s="189">
      <c r="A869" s="289" t="n"/>
      <c r="B869" s="203" t="n"/>
      <c r="C869" s="289" t="n"/>
      <c r="D869" s="289" t="n"/>
      <c r="E869" s="289" t="n"/>
      <c r="F869" s="289" t="n"/>
      <c r="G869" s="289" t="n"/>
      <c r="H869" s="203" t="n"/>
    </row>
    <row r="870" ht="13" customHeight="1" s="189">
      <c r="A870" s="289" t="n"/>
      <c r="B870" s="203" t="n"/>
      <c r="C870" s="289" t="n"/>
      <c r="D870" s="289" t="n"/>
      <c r="E870" s="289" t="n"/>
      <c r="F870" s="289" t="n"/>
      <c r="G870" s="289" t="n"/>
      <c r="H870" s="203" t="n"/>
    </row>
    <row r="871" ht="13" customHeight="1" s="189">
      <c r="A871" s="289" t="n"/>
      <c r="B871" s="203" t="n"/>
      <c r="C871" s="289" t="n"/>
      <c r="D871" s="289" t="n"/>
      <c r="E871" s="289" t="n"/>
      <c r="F871" s="289" t="n"/>
      <c r="G871" s="289" t="n"/>
      <c r="H871" s="203" t="n"/>
    </row>
    <row r="872" ht="13" customHeight="1" s="189">
      <c r="A872" s="289" t="n"/>
      <c r="B872" s="203" t="n"/>
      <c r="C872" s="289" t="n"/>
      <c r="D872" s="289" t="n"/>
      <c r="E872" s="289" t="n"/>
      <c r="F872" s="289" t="n"/>
      <c r="G872" s="289" t="n"/>
      <c r="H872" s="203" t="n"/>
    </row>
    <row r="873" ht="13" customHeight="1" s="189">
      <c r="A873" s="289" t="n"/>
      <c r="B873" s="203" t="n"/>
      <c r="C873" s="289" t="n"/>
      <c r="D873" s="289" t="n"/>
      <c r="E873" s="289" t="n"/>
      <c r="F873" s="289" t="n"/>
      <c r="G873" s="289" t="n"/>
      <c r="H873" s="203" t="n"/>
    </row>
    <row r="874" ht="13" customHeight="1" s="189">
      <c r="A874" s="289" t="n"/>
      <c r="B874" s="203" t="n"/>
      <c r="C874" s="289" t="n"/>
      <c r="D874" s="289" t="n"/>
      <c r="E874" s="289" t="n"/>
      <c r="F874" s="289" t="n"/>
      <c r="G874" s="289" t="n"/>
      <c r="H874" s="203" t="n"/>
    </row>
    <row r="875" ht="13" customHeight="1" s="189">
      <c r="A875" s="289" t="n"/>
      <c r="B875" s="203" t="n"/>
      <c r="C875" s="289" t="n"/>
      <c r="D875" s="289" t="n"/>
      <c r="E875" s="289" t="n"/>
      <c r="F875" s="289" t="n"/>
      <c r="G875" s="289" t="n"/>
      <c r="H875" s="203" t="n"/>
    </row>
    <row r="876" ht="13" customHeight="1" s="189">
      <c r="A876" s="289" t="n"/>
      <c r="B876" s="203" t="n"/>
      <c r="C876" s="289" t="n"/>
      <c r="D876" s="289" t="n"/>
      <c r="E876" s="289" t="n"/>
      <c r="F876" s="289" t="n"/>
      <c r="G876" s="289" t="n"/>
      <c r="H876" s="203" t="n"/>
    </row>
    <row r="877" ht="13" customHeight="1" s="189">
      <c r="A877" s="289" t="n"/>
      <c r="B877" s="203" t="n"/>
      <c r="C877" s="289" t="n"/>
      <c r="D877" s="289" t="n"/>
      <c r="E877" s="289" t="n"/>
      <c r="F877" s="289" t="n"/>
      <c r="G877" s="289" t="n"/>
      <c r="H877" s="203" t="n"/>
    </row>
    <row r="878" ht="13" customHeight="1" s="189">
      <c r="A878" s="289" t="n"/>
      <c r="B878" s="203" t="n"/>
      <c r="C878" s="289" t="n"/>
      <c r="D878" s="289" t="n"/>
      <c r="E878" s="289" t="n"/>
      <c r="F878" s="289" t="n"/>
      <c r="G878" s="289" t="n"/>
      <c r="H878" s="203" t="n"/>
    </row>
    <row r="879" ht="13" customHeight="1" s="189">
      <c r="A879" s="289" t="n"/>
      <c r="B879" s="203" t="n"/>
      <c r="C879" s="289" t="n"/>
      <c r="D879" s="289" t="n"/>
      <c r="E879" s="289" t="n"/>
      <c r="F879" s="289" t="n"/>
      <c r="G879" s="289" t="n"/>
      <c r="H879" s="203" t="n"/>
    </row>
    <row r="880" ht="13" customHeight="1" s="189">
      <c r="A880" s="289" t="n"/>
      <c r="B880" s="203" t="n"/>
      <c r="C880" s="289" t="n"/>
      <c r="D880" s="289" t="n"/>
      <c r="E880" s="289" t="n"/>
      <c r="F880" s="289" t="n"/>
      <c r="G880" s="289" t="n"/>
      <c r="H880" s="203" t="n"/>
    </row>
    <row r="881" ht="13" customHeight="1" s="189">
      <c r="A881" s="289" t="n"/>
      <c r="B881" s="203" t="n"/>
      <c r="C881" s="289" t="n"/>
      <c r="D881" s="289" t="n"/>
      <c r="E881" s="289" t="n"/>
      <c r="F881" s="289" t="n"/>
      <c r="G881" s="289" t="n"/>
      <c r="H881" s="203" t="n"/>
    </row>
    <row r="882" ht="13" customHeight="1" s="189">
      <c r="A882" s="289" t="n"/>
      <c r="B882" s="203" t="n"/>
      <c r="C882" s="289" t="n"/>
      <c r="D882" s="289" t="n"/>
      <c r="E882" s="289" t="n"/>
      <c r="F882" s="289" t="n"/>
      <c r="G882" s="289" t="n"/>
      <c r="H882" s="203" t="n"/>
    </row>
    <row r="883" ht="13" customHeight="1" s="189">
      <c r="A883" s="289" t="n"/>
      <c r="B883" s="203" t="n"/>
      <c r="C883" s="289" t="n"/>
      <c r="D883" s="289" t="n"/>
      <c r="E883" s="289" t="n"/>
      <c r="F883" s="289" t="n"/>
      <c r="G883" s="289" t="n"/>
      <c r="H883" s="203" t="n"/>
    </row>
    <row r="884" ht="13" customHeight="1" s="189">
      <c r="A884" s="289" t="n"/>
      <c r="B884" s="203" t="n"/>
      <c r="C884" s="289" t="n"/>
      <c r="D884" s="289" t="n"/>
      <c r="E884" s="289" t="n"/>
      <c r="F884" s="289" t="n"/>
      <c r="G884" s="289" t="n"/>
      <c r="H884" s="203" t="n"/>
    </row>
    <row r="885" ht="13" customHeight="1" s="189">
      <c r="A885" s="289" t="n"/>
      <c r="B885" s="203" t="n"/>
      <c r="C885" s="289" t="n"/>
      <c r="D885" s="289" t="n"/>
      <c r="E885" s="289" t="n"/>
      <c r="F885" s="289" t="n"/>
      <c r="G885" s="289" t="n"/>
      <c r="H885" s="203" t="n"/>
    </row>
    <row r="886" ht="13" customHeight="1" s="189">
      <c r="A886" s="289" t="n"/>
      <c r="B886" s="203" t="n"/>
      <c r="C886" s="289" t="n"/>
      <c r="D886" s="289" t="n"/>
      <c r="E886" s="289" t="n"/>
      <c r="F886" s="289" t="n"/>
      <c r="G886" s="289" t="n"/>
      <c r="H886" s="203" t="n"/>
    </row>
    <row r="887" ht="13" customHeight="1" s="189">
      <c r="A887" s="289" t="n"/>
      <c r="B887" s="203" t="n"/>
      <c r="C887" s="289" t="n"/>
      <c r="D887" s="289" t="n"/>
      <c r="E887" s="289" t="n"/>
      <c r="F887" s="289" t="n"/>
      <c r="G887" s="289" t="n"/>
      <c r="H887" s="203" t="n"/>
    </row>
    <row r="888" ht="13" customHeight="1" s="189">
      <c r="A888" s="289" t="n"/>
      <c r="B888" s="203" t="n"/>
      <c r="C888" s="289" t="n"/>
      <c r="D888" s="289" t="n"/>
      <c r="E888" s="289" t="n"/>
      <c r="F888" s="289" t="n"/>
      <c r="G888" s="289" t="n"/>
      <c r="H888" s="203" t="n"/>
    </row>
    <row r="889" ht="13" customHeight="1" s="189">
      <c r="A889" s="289" t="n"/>
      <c r="B889" s="203" t="n"/>
      <c r="C889" s="289" t="n"/>
      <c r="D889" s="289" t="n"/>
      <c r="E889" s="289" t="n"/>
      <c r="F889" s="289" t="n"/>
      <c r="G889" s="289" t="n"/>
      <c r="H889" s="203" t="n"/>
    </row>
    <row r="890" ht="13" customHeight="1" s="189">
      <c r="A890" s="289" t="n"/>
      <c r="B890" s="203" t="n"/>
      <c r="C890" s="289" t="n"/>
      <c r="D890" s="289" t="n"/>
      <c r="E890" s="289" t="n"/>
      <c r="F890" s="289" t="n"/>
      <c r="G890" s="289" t="n"/>
      <c r="H890" s="203" t="n"/>
    </row>
    <row r="891" ht="13" customHeight="1" s="189">
      <c r="A891" s="289" t="n"/>
      <c r="B891" s="203" t="n"/>
      <c r="C891" s="289" t="n"/>
      <c r="D891" s="289" t="n"/>
      <c r="E891" s="289" t="n"/>
      <c r="F891" s="289" t="n"/>
      <c r="G891" s="289" t="n"/>
      <c r="H891" s="203" t="n"/>
    </row>
    <row r="892" ht="13" customHeight="1" s="189">
      <c r="A892" s="289" t="n"/>
      <c r="B892" s="203" t="n"/>
      <c r="C892" s="289" t="n"/>
      <c r="D892" s="289" t="n"/>
      <c r="E892" s="289" t="n"/>
      <c r="F892" s="289" t="n"/>
      <c r="G892" s="289" t="n"/>
      <c r="H892" s="203" t="n"/>
    </row>
    <row r="893" ht="13" customHeight="1" s="189">
      <c r="A893" s="289" t="n"/>
      <c r="B893" s="203" t="n"/>
      <c r="C893" s="289" t="n"/>
      <c r="D893" s="289" t="n"/>
      <c r="E893" s="289" t="n"/>
      <c r="F893" s="289" t="n"/>
      <c r="G893" s="289" t="n"/>
      <c r="H893" s="203" t="n"/>
    </row>
    <row r="894" ht="13" customHeight="1" s="189">
      <c r="A894" s="289" t="n"/>
      <c r="B894" s="203" t="n"/>
      <c r="C894" s="289" t="n"/>
      <c r="D894" s="289" t="n"/>
      <c r="E894" s="289" t="n"/>
      <c r="F894" s="289" t="n"/>
      <c r="G894" s="289" t="n"/>
      <c r="H894" s="203" t="n"/>
    </row>
    <row r="895" ht="13" customHeight="1" s="189">
      <c r="A895" s="289" t="n"/>
      <c r="B895" s="203" t="n"/>
      <c r="C895" s="289" t="n"/>
      <c r="D895" s="289" t="n"/>
      <c r="E895" s="289" t="n"/>
      <c r="F895" s="289" t="n"/>
      <c r="G895" s="289" t="n"/>
      <c r="H895" s="203" t="n"/>
    </row>
    <row r="896" ht="13" customHeight="1" s="189">
      <c r="A896" s="289" t="n"/>
      <c r="B896" s="203" t="n"/>
      <c r="C896" s="289" t="n"/>
      <c r="D896" s="289" t="n"/>
      <c r="E896" s="289" t="n"/>
      <c r="F896" s="289" t="n"/>
      <c r="G896" s="289" t="n"/>
      <c r="H896" s="203" t="n"/>
    </row>
    <row r="897" ht="13" customHeight="1" s="189">
      <c r="A897" s="289" t="n"/>
      <c r="B897" s="203" t="n"/>
      <c r="C897" s="289" t="n"/>
      <c r="D897" s="289" t="n"/>
      <c r="E897" s="289" t="n"/>
      <c r="F897" s="289" t="n"/>
      <c r="G897" s="289" t="n"/>
      <c r="H897" s="203" t="n"/>
    </row>
    <row r="898" ht="13" customHeight="1" s="189">
      <c r="A898" s="289" t="n"/>
      <c r="B898" s="203" t="n"/>
      <c r="C898" s="289" t="n"/>
      <c r="D898" s="289" t="n"/>
      <c r="E898" s="289" t="n"/>
      <c r="F898" s="289" t="n"/>
      <c r="G898" s="289" t="n"/>
      <c r="H898" s="203" t="n"/>
    </row>
    <row r="899" ht="13" customHeight="1" s="189">
      <c r="A899" s="289" t="n"/>
      <c r="B899" s="203" t="n"/>
      <c r="C899" s="289" t="n"/>
      <c r="D899" s="289" t="n"/>
      <c r="E899" s="289" t="n"/>
      <c r="F899" s="289" t="n"/>
      <c r="G899" s="289" t="n"/>
      <c r="H899" s="203" t="n"/>
    </row>
    <row r="900" ht="13" customHeight="1" s="189">
      <c r="A900" s="289" t="n"/>
      <c r="B900" s="203" t="n"/>
      <c r="C900" s="289" t="n"/>
      <c r="D900" s="289" t="n"/>
      <c r="E900" s="289" t="n"/>
      <c r="F900" s="289" t="n"/>
      <c r="G900" s="289" t="n"/>
      <c r="H900" s="203" t="n"/>
    </row>
    <row r="901" ht="13" customHeight="1" s="189">
      <c r="A901" s="289" t="n"/>
      <c r="B901" s="203" t="n"/>
      <c r="C901" s="289" t="n"/>
      <c r="D901" s="289" t="n"/>
      <c r="E901" s="289" t="n"/>
      <c r="F901" s="289" t="n"/>
      <c r="G901" s="289" t="n"/>
      <c r="H901" s="203" t="n"/>
    </row>
    <row r="902" ht="13" customHeight="1" s="189">
      <c r="A902" s="289" t="n"/>
      <c r="B902" s="203" t="n"/>
      <c r="C902" s="289" t="n"/>
      <c r="D902" s="289" t="n"/>
      <c r="E902" s="289" t="n"/>
      <c r="F902" s="289" t="n"/>
      <c r="G902" s="289" t="n"/>
      <c r="H902" s="203" t="n"/>
    </row>
    <row r="903" ht="13" customHeight="1" s="189">
      <c r="A903" s="289" t="n"/>
      <c r="B903" s="203" t="n"/>
      <c r="C903" s="289" t="n"/>
      <c r="D903" s="289" t="n"/>
      <c r="E903" s="289" t="n"/>
      <c r="F903" s="289" t="n"/>
      <c r="G903" s="289" t="n"/>
      <c r="H903" s="203" t="n"/>
    </row>
    <row r="904" ht="13" customHeight="1" s="189">
      <c r="A904" s="289" t="n"/>
      <c r="B904" s="203" t="n"/>
      <c r="C904" s="289" t="n"/>
      <c r="D904" s="289" t="n"/>
      <c r="E904" s="289" t="n"/>
      <c r="F904" s="289" t="n"/>
      <c r="G904" s="289" t="n"/>
      <c r="H904" s="203" t="n"/>
    </row>
    <row r="905" ht="13" customHeight="1" s="189">
      <c r="A905" s="289" t="n"/>
      <c r="B905" s="203" t="n"/>
      <c r="C905" s="289" t="n"/>
      <c r="D905" s="289" t="n"/>
      <c r="E905" s="289" t="n"/>
      <c r="F905" s="289" t="n"/>
      <c r="G905" s="289" t="n"/>
      <c r="H905" s="203" t="n"/>
    </row>
    <row r="906" ht="13" customHeight="1" s="189">
      <c r="A906" s="289" t="n"/>
      <c r="B906" s="203" t="n"/>
      <c r="C906" s="289" t="n"/>
      <c r="D906" s="289" t="n"/>
      <c r="E906" s="289" t="n"/>
      <c r="F906" s="289" t="n"/>
      <c r="G906" s="289" t="n"/>
      <c r="H906" s="203" t="n"/>
    </row>
    <row r="907" ht="13" customHeight="1" s="189">
      <c r="A907" s="289" t="n"/>
      <c r="B907" s="203" t="n"/>
      <c r="C907" s="289" t="n"/>
      <c r="D907" s="289" t="n"/>
      <c r="E907" s="289" t="n"/>
      <c r="F907" s="289" t="n"/>
      <c r="G907" s="289" t="n"/>
      <c r="H907" s="203" t="n"/>
    </row>
    <row r="908" ht="13" customHeight="1" s="189">
      <c r="A908" s="289" t="n"/>
      <c r="B908" s="203" t="n"/>
      <c r="C908" s="289" t="n"/>
      <c r="D908" s="289" t="n"/>
      <c r="E908" s="289" t="n"/>
      <c r="F908" s="289" t="n"/>
      <c r="G908" s="289" t="n"/>
      <c r="H908" s="203" t="n"/>
    </row>
    <row r="909" ht="13" customHeight="1" s="189">
      <c r="A909" s="289" t="n"/>
      <c r="B909" s="203" t="n"/>
      <c r="C909" s="289" t="n"/>
      <c r="D909" s="289" t="n"/>
      <c r="E909" s="289" t="n"/>
      <c r="F909" s="289" t="n"/>
      <c r="G909" s="289" t="n"/>
      <c r="H909" s="203" t="n"/>
    </row>
    <row r="910" ht="13" customHeight="1" s="189">
      <c r="A910" s="289" t="n"/>
      <c r="B910" s="203" t="n"/>
      <c r="C910" s="289" t="n"/>
      <c r="D910" s="289" t="n"/>
      <c r="E910" s="289" t="n"/>
      <c r="F910" s="289" t="n"/>
      <c r="G910" s="289" t="n"/>
      <c r="H910" s="203" t="n"/>
    </row>
    <row r="911" ht="13" customHeight="1" s="189">
      <c r="A911" s="289" t="n"/>
      <c r="B911" s="203" t="n"/>
      <c r="C911" s="289" t="n"/>
      <c r="D911" s="289" t="n"/>
      <c r="E911" s="289" t="n"/>
      <c r="F911" s="289" t="n"/>
      <c r="G911" s="289" t="n"/>
      <c r="H911" s="203" t="n"/>
    </row>
    <row r="912" ht="13" customHeight="1" s="189">
      <c r="A912" s="289" t="n"/>
      <c r="B912" s="203" t="n"/>
      <c r="C912" s="289" t="n"/>
      <c r="D912" s="289" t="n"/>
      <c r="E912" s="289" t="n"/>
      <c r="F912" s="289" t="n"/>
      <c r="G912" s="289" t="n"/>
      <c r="H912" s="203" t="n"/>
    </row>
    <row r="913" ht="13" customHeight="1" s="189">
      <c r="A913" s="289" t="n"/>
      <c r="B913" s="203" t="n"/>
      <c r="C913" s="289" t="n"/>
      <c r="D913" s="289" t="n"/>
      <c r="E913" s="289" t="n"/>
      <c r="F913" s="289" t="n"/>
      <c r="G913" s="289" t="n"/>
      <c r="H913" s="203" t="n"/>
    </row>
    <row r="914" ht="13" customHeight="1" s="189">
      <c r="A914" s="289" t="n"/>
      <c r="B914" s="203" t="n"/>
      <c r="C914" s="289" t="n"/>
      <c r="D914" s="289" t="n"/>
      <c r="E914" s="289" t="n"/>
      <c r="F914" s="289" t="n"/>
      <c r="G914" s="289" t="n"/>
      <c r="H914" s="203" t="n"/>
    </row>
    <row r="915" ht="13" customHeight="1" s="189">
      <c r="A915" s="289" t="n"/>
      <c r="B915" s="203" t="n"/>
      <c r="C915" s="289" t="n"/>
      <c r="D915" s="289" t="n"/>
      <c r="E915" s="289" t="n"/>
      <c r="F915" s="289" t="n"/>
      <c r="G915" s="289" t="n"/>
      <c r="H915" s="203" t="n"/>
    </row>
    <row r="916" ht="13" customHeight="1" s="189">
      <c r="A916" s="289" t="n"/>
      <c r="B916" s="203" t="n"/>
      <c r="C916" s="289" t="n"/>
      <c r="D916" s="289" t="n"/>
      <c r="E916" s="289" t="n"/>
      <c r="F916" s="289" t="n"/>
      <c r="G916" s="289" t="n"/>
      <c r="H916" s="203" t="n"/>
    </row>
    <row r="917" ht="13" customHeight="1" s="189">
      <c r="A917" s="289" t="n"/>
      <c r="B917" s="203" t="n"/>
      <c r="C917" s="289" t="n"/>
      <c r="D917" s="289" t="n"/>
      <c r="E917" s="289" t="n"/>
      <c r="F917" s="289" t="n"/>
      <c r="G917" s="289" t="n"/>
      <c r="H917" s="203" t="n"/>
    </row>
    <row r="918" ht="13" customHeight="1" s="189">
      <c r="A918" s="289" t="n"/>
      <c r="B918" s="203" t="n"/>
      <c r="C918" s="289" t="n"/>
      <c r="D918" s="289" t="n"/>
      <c r="E918" s="289" t="n"/>
      <c r="F918" s="289" t="n"/>
      <c r="G918" s="289" t="n"/>
      <c r="H918" s="203" t="n"/>
    </row>
    <row r="919" ht="13" customHeight="1" s="189">
      <c r="A919" s="289" t="n"/>
      <c r="B919" s="203" t="n"/>
      <c r="C919" s="289" t="n"/>
      <c r="D919" s="289" t="n"/>
      <c r="E919" s="289" t="n"/>
      <c r="F919" s="289" t="n"/>
      <c r="G919" s="289" t="n"/>
      <c r="H919" s="203" t="n"/>
    </row>
    <row r="920" ht="13" customHeight="1" s="189">
      <c r="A920" s="289" t="n"/>
      <c r="B920" s="203" t="n"/>
      <c r="C920" s="289" t="n"/>
      <c r="D920" s="289" t="n"/>
      <c r="E920" s="289" t="n"/>
      <c r="F920" s="289" t="n"/>
      <c r="G920" s="289" t="n"/>
      <c r="H920" s="203" t="n"/>
    </row>
    <row r="921" ht="13" customHeight="1" s="189">
      <c r="A921" s="289" t="n"/>
      <c r="B921" s="203" t="n"/>
      <c r="C921" s="289" t="n"/>
      <c r="D921" s="289" t="n"/>
      <c r="E921" s="289" t="n"/>
      <c r="F921" s="289" t="n"/>
      <c r="G921" s="289" t="n"/>
      <c r="H921" s="203" t="n"/>
    </row>
    <row r="922" ht="13" customHeight="1" s="189">
      <c r="A922" s="289" t="n"/>
      <c r="B922" s="203" t="n"/>
      <c r="C922" s="289" t="n"/>
      <c r="D922" s="289" t="n"/>
      <c r="E922" s="289" t="n"/>
      <c r="F922" s="289" t="n"/>
      <c r="G922" s="289" t="n"/>
      <c r="H922" s="203" t="n"/>
    </row>
    <row r="923" ht="13" customHeight="1" s="189">
      <c r="A923" s="289" t="n"/>
      <c r="B923" s="203" t="n"/>
      <c r="C923" s="289" t="n"/>
      <c r="D923" s="289" t="n"/>
      <c r="E923" s="289" t="n"/>
      <c r="F923" s="289" t="n"/>
      <c r="G923" s="289" t="n"/>
      <c r="H923" s="203" t="n"/>
    </row>
    <row r="924" ht="13" customHeight="1" s="189">
      <c r="A924" s="289" t="n"/>
      <c r="B924" s="203" t="n"/>
      <c r="C924" s="289" t="n"/>
      <c r="D924" s="289" t="n"/>
      <c r="E924" s="289" t="n"/>
      <c r="F924" s="289" t="n"/>
      <c r="G924" s="289" t="n"/>
      <c r="H924" s="203" t="n"/>
    </row>
    <row r="925" ht="13" customHeight="1" s="189">
      <c r="A925" s="289" t="n"/>
      <c r="B925" s="203" t="n"/>
      <c r="C925" s="289" t="n"/>
      <c r="D925" s="289" t="n"/>
      <c r="E925" s="289" t="n"/>
      <c r="F925" s="289" t="n"/>
      <c r="G925" s="289" t="n"/>
      <c r="H925" s="203" t="n"/>
    </row>
    <row r="926" ht="13" customHeight="1" s="189">
      <c r="A926" s="289" t="n"/>
      <c r="B926" s="203" t="n"/>
      <c r="C926" s="289" t="n"/>
      <c r="D926" s="289" t="n"/>
      <c r="E926" s="289" t="n"/>
      <c r="F926" s="289" t="n"/>
      <c r="G926" s="289" t="n"/>
      <c r="H926" s="203" t="n"/>
    </row>
    <row r="927" ht="13" customHeight="1" s="189">
      <c r="A927" s="289" t="n"/>
      <c r="B927" s="203" t="n"/>
      <c r="C927" s="289" t="n"/>
      <c r="D927" s="289" t="n"/>
      <c r="E927" s="289" t="n"/>
      <c r="F927" s="289" t="n"/>
      <c r="G927" s="289" t="n"/>
      <c r="H927" s="203" t="n"/>
    </row>
    <row r="928" ht="13" customHeight="1" s="189">
      <c r="A928" s="289" t="n"/>
      <c r="B928" s="203" t="n"/>
      <c r="C928" s="289" t="n"/>
      <c r="D928" s="289" t="n"/>
      <c r="E928" s="289" t="n"/>
      <c r="F928" s="289" t="n"/>
      <c r="G928" s="289" t="n"/>
      <c r="H928" s="203" t="n"/>
    </row>
    <row r="929" ht="13" customHeight="1" s="189">
      <c r="A929" s="289" t="n"/>
      <c r="B929" s="203" t="n"/>
      <c r="C929" s="289" t="n"/>
      <c r="D929" s="289" t="n"/>
      <c r="E929" s="289" t="n"/>
      <c r="F929" s="289" t="n"/>
      <c r="G929" s="289" t="n"/>
      <c r="H929" s="203" t="n"/>
    </row>
    <row r="930" ht="13" customHeight="1" s="189">
      <c r="A930" s="289" t="n"/>
      <c r="B930" s="203" t="n"/>
      <c r="C930" s="289" t="n"/>
      <c r="D930" s="289" t="n"/>
      <c r="E930" s="289" t="n"/>
      <c r="F930" s="289" t="n"/>
      <c r="G930" s="289" t="n"/>
      <c r="H930" s="203" t="n"/>
    </row>
    <row r="931" ht="13" customHeight="1" s="189">
      <c r="A931" s="289" t="n"/>
      <c r="B931" s="203" t="n"/>
      <c r="C931" s="289" t="n"/>
      <c r="D931" s="289" t="n"/>
      <c r="E931" s="289" t="n"/>
      <c r="F931" s="289" t="n"/>
      <c r="G931" s="289" t="n"/>
      <c r="H931" s="203" t="n"/>
    </row>
    <row r="932" ht="13" customHeight="1" s="189">
      <c r="A932" s="289" t="n"/>
      <c r="B932" s="203" t="n"/>
      <c r="C932" s="289" t="n"/>
      <c r="D932" s="289" t="n"/>
      <c r="E932" s="289" t="n"/>
      <c r="F932" s="289" t="n"/>
      <c r="G932" s="289" t="n"/>
      <c r="H932" s="203" t="n"/>
    </row>
    <row r="933" ht="13" customHeight="1" s="189">
      <c r="A933" s="289" t="n"/>
      <c r="B933" s="203" t="n"/>
      <c r="C933" s="289" t="n"/>
      <c r="D933" s="289" t="n"/>
      <c r="E933" s="289" t="n"/>
      <c r="F933" s="289" t="n"/>
      <c r="G933" s="289" t="n"/>
      <c r="H933" s="203" t="n"/>
    </row>
    <row r="934" ht="13" customHeight="1" s="189">
      <c r="A934" s="289" t="n"/>
      <c r="B934" s="203" t="n"/>
      <c r="C934" s="289" t="n"/>
      <c r="D934" s="289" t="n"/>
      <c r="E934" s="289" t="n"/>
      <c r="F934" s="289" t="n"/>
      <c r="G934" s="289" t="n"/>
      <c r="H934" s="203" t="n"/>
    </row>
    <row r="935" ht="13" customHeight="1" s="189">
      <c r="A935" s="289" t="n"/>
      <c r="B935" s="203" t="n"/>
      <c r="C935" s="289" t="n"/>
      <c r="D935" s="289" t="n"/>
      <c r="E935" s="289" t="n"/>
      <c r="F935" s="289" t="n"/>
      <c r="G935" s="289" t="n"/>
      <c r="H935" s="203" t="n"/>
    </row>
    <row r="936" ht="13" customHeight="1" s="189">
      <c r="A936" s="289" t="n"/>
      <c r="B936" s="203" t="n"/>
      <c r="C936" s="289" t="n"/>
      <c r="D936" s="289" t="n"/>
      <c r="E936" s="289" t="n"/>
      <c r="F936" s="289" t="n"/>
      <c r="G936" s="289" t="n"/>
      <c r="H936" s="203" t="n"/>
    </row>
    <row r="937" ht="13" customHeight="1" s="189">
      <c r="A937" s="289" t="n"/>
      <c r="B937" s="203" t="n"/>
      <c r="C937" s="289" t="n"/>
      <c r="D937" s="289" t="n"/>
      <c r="E937" s="289" t="n"/>
      <c r="F937" s="289" t="n"/>
      <c r="G937" s="289" t="n"/>
      <c r="H937" s="203" t="n"/>
    </row>
    <row r="938" ht="13" customHeight="1" s="189">
      <c r="A938" s="289" t="n"/>
      <c r="B938" s="203" t="n"/>
      <c r="C938" s="289" t="n"/>
      <c r="D938" s="289" t="n"/>
      <c r="E938" s="289" t="n"/>
      <c r="F938" s="289" t="n"/>
      <c r="G938" s="289" t="n"/>
      <c r="H938" s="203" t="n"/>
    </row>
    <row r="939" ht="13" customHeight="1" s="189">
      <c r="A939" s="289" t="n"/>
      <c r="B939" s="203" t="n"/>
      <c r="C939" s="289" t="n"/>
      <c r="D939" s="289" t="n"/>
      <c r="E939" s="289" t="n"/>
      <c r="F939" s="289" t="n"/>
      <c r="G939" s="289" t="n"/>
      <c r="H939" s="203" t="n"/>
    </row>
    <row r="940" ht="13" customHeight="1" s="189">
      <c r="A940" s="289" t="n"/>
      <c r="B940" s="203" t="n"/>
      <c r="C940" s="289" t="n"/>
      <c r="D940" s="289" t="n"/>
      <c r="E940" s="289" t="n"/>
      <c r="F940" s="289" t="n"/>
      <c r="G940" s="289" t="n"/>
      <c r="H940" s="203" t="n"/>
    </row>
    <row r="941" ht="13" customHeight="1" s="189">
      <c r="A941" s="289" t="n"/>
      <c r="B941" s="203" t="n"/>
      <c r="C941" s="289" t="n"/>
      <c r="D941" s="289" t="n"/>
      <c r="E941" s="289" t="n"/>
      <c r="F941" s="289" t="n"/>
      <c r="G941" s="289" t="n"/>
      <c r="H941" s="203" t="n"/>
    </row>
    <row r="942" ht="13" customHeight="1" s="189">
      <c r="A942" s="289" t="n"/>
      <c r="B942" s="203" t="n"/>
      <c r="C942" s="289" t="n"/>
      <c r="D942" s="289" t="n"/>
      <c r="E942" s="289" t="n"/>
      <c r="F942" s="289" t="n"/>
      <c r="G942" s="289" t="n"/>
      <c r="H942" s="203" t="n"/>
    </row>
    <row r="943" ht="13" customHeight="1" s="189">
      <c r="A943" s="289" t="n"/>
      <c r="B943" s="203" t="n"/>
      <c r="C943" s="289" t="n"/>
      <c r="D943" s="289" t="n"/>
      <c r="E943" s="289" t="n"/>
      <c r="F943" s="289" t="n"/>
      <c r="G943" s="289" t="n"/>
      <c r="H943" s="203" t="n"/>
    </row>
    <row r="944" ht="13" customHeight="1" s="189">
      <c r="A944" s="289" t="n"/>
      <c r="B944" s="203" t="n"/>
      <c r="C944" s="289" t="n"/>
      <c r="D944" s="289" t="n"/>
      <c r="E944" s="289" t="n"/>
      <c r="F944" s="289" t="n"/>
      <c r="G944" s="289" t="n"/>
      <c r="H944" s="203" t="n"/>
    </row>
    <row r="945" ht="13" customHeight="1" s="189">
      <c r="A945" s="289" t="n"/>
      <c r="B945" s="203" t="n"/>
      <c r="C945" s="289" t="n"/>
      <c r="D945" s="289" t="n"/>
      <c r="E945" s="289" t="n"/>
      <c r="F945" s="289" t="n"/>
      <c r="G945" s="289" t="n"/>
      <c r="H945" s="203" t="n"/>
    </row>
    <row r="946" ht="13" customHeight="1" s="189">
      <c r="A946" s="289" t="n"/>
      <c r="B946" s="203" t="n"/>
      <c r="C946" s="289" t="n"/>
      <c r="D946" s="289" t="n"/>
      <c r="E946" s="289" t="n"/>
      <c r="F946" s="289" t="n"/>
      <c r="G946" s="289" t="n"/>
      <c r="H946" s="203" t="n"/>
    </row>
    <row r="947" ht="13" customHeight="1" s="189">
      <c r="A947" s="289" t="n"/>
      <c r="B947" s="203" t="n"/>
      <c r="C947" s="289" t="n"/>
      <c r="D947" s="289" t="n"/>
      <c r="E947" s="289" t="n"/>
      <c r="F947" s="289" t="n"/>
      <c r="G947" s="289" t="n"/>
      <c r="H947" s="203" t="n"/>
    </row>
    <row r="948" ht="13" customHeight="1" s="189">
      <c r="A948" s="289" t="n"/>
      <c r="B948" s="203" t="n"/>
      <c r="C948" s="289" t="n"/>
      <c r="D948" s="289" t="n"/>
      <c r="E948" s="289" t="n"/>
      <c r="F948" s="289" t="n"/>
      <c r="G948" s="289" t="n"/>
      <c r="H948" s="203" t="n"/>
    </row>
    <row r="949" ht="13" customHeight="1" s="189">
      <c r="A949" s="289" t="n"/>
      <c r="B949" s="203" t="n"/>
      <c r="C949" s="289" t="n"/>
      <c r="D949" s="289" t="n"/>
      <c r="E949" s="289" t="n"/>
      <c r="F949" s="289" t="n"/>
      <c r="G949" s="289" t="n"/>
      <c r="H949" s="203" t="n"/>
    </row>
    <row r="950" ht="13" customHeight="1" s="189">
      <c r="A950" s="289" t="n"/>
      <c r="B950" s="203" t="n"/>
      <c r="C950" s="289" t="n"/>
      <c r="D950" s="289" t="n"/>
      <c r="E950" s="289" t="n"/>
      <c r="F950" s="289" t="n"/>
      <c r="G950" s="289" t="n"/>
      <c r="H950" s="203" t="n"/>
    </row>
    <row r="951" ht="13" customHeight="1" s="189">
      <c r="A951" s="289" t="n"/>
      <c r="B951" s="203" t="n"/>
      <c r="C951" s="289" t="n"/>
      <c r="D951" s="289" t="n"/>
      <c r="E951" s="289" t="n"/>
      <c r="F951" s="289" t="n"/>
      <c r="G951" s="289" t="n"/>
      <c r="H951" s="203" t="n"/>
    </row>
    <row r="952" ht="13" customHeight="1" s="189">
      <c r="A952" s="289" t="n"/>
      <c r="B952" s="203" t="n"/>
      <c r="C952" s="289" t="n"/>
      <c r="D952" s="289" t="n"/>
      <c r="E952" s="289" t="n"/>
      <c r="F952" s="289" t="n"/>
      <c r="G952" s="289" t="n"/>
      <c r="H952" s="203" t="n"/>
    </row>
    <row r="953" ht="13" customHeight="1" s="189">
      <c r="A953" s="289" t="n"/>
      <c r="B953" s="203" t="n"/>
      <c r="C953" s="289" t="n"/>
      <c r="D953" s="289" t="n"/>
      <c r="E953" s="289" t="n"/>
      <c r="F953" s="289" t="n"/>
      <c r="G953" s="289" t="n"/>
      <c r="H953" s="203" t="n"/>
    </row>
    <row r="954" ht="13" customHeight="1" s="189">
      <c r="A954" s="289" t="n"/>
      <c r="B954" s="203" t="n"/>
      <c r="C954" s="289" t="n"/>
      <c r="D954" s="289" t="n"/>
      <c r="E954" s="289" t="n"/>
      <c r="F954" s="289" t="n"/>
      <c r="G954" s="289" t="n"/>
      <c r="H954" s="203" t="n"/>
    </row>
    <row r="955" ht="13" customHeight="1" s="189">
      <c r="A955" s="289" t="n"/>
      <c r="B955" s="203" t="n"/>
      <c r="C955" s="289" t="n"/>
      <c r="D955" s="289" t="n"/>
      <c r="E955" s="289" t="n"/>
      <c r="F955" s="289" t="n"/>
      <c r="G955" s="289" t="n"/>
      <c r="H955" s="203" t="n"/>
    </row>
    <row r="956" ht="13" customHeight="1" s="189">
      <c r="A956" s="289" t="n"/>
      <c r="B956" s="203" t="n"/>
      <c r="C956" s="289" t="n"/>
      <c r="D956" s="289" t="n"/>
      <c r="E956" s="289" t="n"/>
      <c r="F956" s="289" t="n"/>
      <c r="G956" s="289" t="n"/>
      <c r="H956" s="203" t="n"/>
    </row>
    <row r="957" ht="13" customHeight="1" s="189">
      <c r="A957" s="289" t="n"/>
      <c r="B957" s="203" t="n"/>
      <c r="C957" s="289" t="n"/>
      <c r="D957" s="289" t="n"/>
      <c r="E957" s="289" t="n"/>
      <c r="F957" s="289" t="n"/>
      <c r="G957" s="289" t="n"/>
      <c r="H957" s="203" t="n"/>
    </row>
    <row r="958" ht="13" customHeight="1" s="189">
      <c r="A958" s="289" t="n"/>
      <c r="B958" s="203" t="n"/>
      <c r="C958" s="289" t="n"/>
      <c r="D958" s="289" t="n"/>
      <c r="E958" s="289" t="n"/>
      <c r="F958" s="289" t="n"/>
      <c r="G958" s="289" t="n"/>
      <c r="H958" s="203" t="n"/>
    </row>
    <row r="959" ht="13" customHeight="1" s="189">
      <c r="A959" s="289" t="n"/>
      <c r="B959" s="203" t="n"/>
      <c r="C959" s="289" t="n"/>
      <c r="D959" s="289" t="n"/>
      <c r="E959" s="289" t="n"/>
      <c r="F959" s="289" t="n"/>
      <c r="G959" s="289" t="n"/>
      <c r="H959" s="203" t="n"/>
    </row>
    <row r="960" ht="13" customHeight="1" s="189">
      <c r="A960" s="289" t="n"/>
      <c r="B960" s="203" t="n"/>
      <c r="C960" s="289" t="n"/>
      <c r="D960" s="289" t="n"/>
      <c r="E960" s="289" t="n"/>
      <c r="F960" s="289" t="n"/>
      <c r="G960" s="289" t="n"/>
      <c r="H960" s="203" t="n"/>
    </row>
    <row r="961" ht="13" customHeight="1" s="189">
      <c r="A961" s="289" t="n"/>
      <c r="B961" s="203" t="n"/>
      <c r="C961" s="289" t="n"/>
      <c r="D961" s="289" t="n"/>
      <c r="E961" s="289" t="n"/>
      <c r="F961" s="289" t="n"/>
      <c r="G961" s="289" t="n"/>
      <c r="H961" s="203" t="n"/>
    </row>
    <row r="962" ht="13" customHeight="1" s="189">
      <c r="A962" s="289" t="n"/>
      <c r="B962" s="203" t="n"/>
      <c r="C962" s="289" t="n"/>
      <c r="D962" s="289" t="n"/>
      <c r="E962" s="289" t="n"/>
      <c r="F962" s="289" t="n"/>
      <c r="G962" s="289" t="n"/>
      <c r="H962" s="203" t="n"/>
    </row>
    <row r="963" ht="13" customHeight="1" s="189">
      <c r="A963" s="289" t="n"/>
      <c r="B963" s="203" t="n"/>
      <c r="C963" s="289" t="n"/>
      <c r="D963" s="289" t="n"/>
      <c r="E963" s="289" t="n"/>
      <c r="F963" s="289" t="n"/>
      <c r="G963" s="289" t="n"/>
      <c r="H963" s="203" t="n"/>
    </row>
    <row r="964" ht="13" customHeight="1" s="189">
      <c r="A964" s="289" t="n"/>
      <c r="B964" s="203" t="n"/>
      <c r="C964" s="289" t="n"/>
      <c r="D964" s="289" t="n"/>
      <c r="E964" s="289" t="n"/>
      <c r="F964" s="289" t="n"/>
      <c r="G964" s="289" t="n"/>
      <c r="H964" s="203" t="n"/>
    </row>
    <row r="965" ht="13" customHeight="1" s="189">
      <c r="A965" s="289" t="n"/>
      <c r="B965" s="203" t="n"/>
      <c r="C965" s="289" t="n"/>
      <c r="D965" s="289" t="n"/>
      <c r="E965" s="289" t="n"/>
      <c r="F965" s="289" t="n"/>
      <c r="G965" s="289" t="n"/>
      <c r="H965" s="203" t="n"/>
    </row>
    <row r="966" ht="13" customHeight="1" s="189">
      <c r="A966" s="289" t="n"/>
      <c r="B966" s="203" t="n"/>
      <c r="C966" s="289" t="n"/>
      <c r="D966" s="289" t="n"/>
      <c r="E966" s="289" t="n"/>
      <c r="F966" s="289" t="n"/>
      <c r="G966" s="289" t="n"/>
      <c r="H966" s="203" t="n"/>
    </row>
    <row r="967" ht="13" customHeight="1" s="189">
      <c r="A967" s="289" t="n"/>
      <c r="B967" s="203" t="n"/>
      <c r="C967" s="289" t="n"/>
      <c r="D967" s="289" t="n"/>
      <c r="E967" s="289" t="n"/>
      <c r="F967" s="289" t="n"/>
      <c r="G967" s="289" t="n"/>
      <c r="H967" s="203" t="n"/>
    </row>
    <row r="968" ht="13" customHeight="1" s="189">
      <c r="A968" s="289" t="n"/>
      <c r="B968" s="203" t="n"/>
      <c r="C968" s="289" t="n"/>
      <c r="D968" s="289" t="n"/>
      <c r="E968" s="289" t="n"/>
      <c r="F968" s="289" t="n"/>
      <c r="G968" s="289" t="n"/>
      <c r="H968" s="203" t="n"/>
    </row>
    <row r="969" ht="13" customHeight="1" s="189">
      <c r="A969" s="289" t="n"/>
      <c r="B969" s="203" t="n"/>
      <c r="C969" s="289" t="n"/>
      <c r="D969" s="289" t="n"/>
      <c r="E969" s="289" t="n"/>
      <c r="F969" s="289" t="n"/>
      <c r="G969" s="289" t="n"/>
      <c r="H969" s="203" t="n"/>
    </row>
    <row r="970" ht="13" customHeight="1" s="189">
      <c r="A970" s="289" t="n"/>
      <c r="B970" s="203" t="n"/>
      <c r="C970" s="289" t="n"/>
      <c r="D970" s="289" t="n"/>
      <c r="E970" s="289" t="n"/>
      <c r="F970" s="289" t="n"/>
      <c r="G970" s="289" t="n"/>
      <c r="H970" s="203" t="n"/>
    </row>
    <row r="971" ht="13" customHeight="1" s="189">
      <c r="A971" s="289" t="n"/>
      <c r="B971" s="203" t="n"/>
      <c r="C971" s="289" t="n"/>
      <c r="D971" s="289" t="n"/>
      <c r="E971" s="289" t="n"/>
      <c r="F971" s="289" t="n"/>
      <c r="G971" s="289" t="n"/>
      <c r="H971" s="203" t="n"/>
    </row>
    <row r="972" ht="13" customHeight="1" s="189">
      <c r="A972" s="289" t="n"/>
      <c r="B972" s="203" t="n"/>
      <c r="C972" s="289" t="n"/>
      <c r="D972" s="289" t="n"/>
      <c r="E972" s="289" t="n"/>
      <c r="F972" s="289" t="n"/>
      <c r="G972" s="289" t="n"/>
      <c r="H972" s="203" t="n"/>
    </row>
    <row r="973" ht="13" customHeight="1" s="189">
      <c r="A973" s="289" t="n"/>
      <c r="B973" s="203" t="n"/>
      <c r="C973" s="289" t="n"/>
      <c r="D973" s="289" t="n"/>
      <c r="E973" s="289" t="n"/>
      <c r="F973" s="289" t="n"/>
      <c r="G973" s="289" t="n"/>
      <c r="H973" s="203" t="n"/>
    </row>
    <row r="974" ht="13" customHeight="1" s="189">
      <c r="A974" s="289" t="n"/>
      <c r="B974" s="203" t="n"/>
      <c r="C974" s="289" t="n"/>
      <c r="D974" s="289" t="n"/>
      <c r="E974" s="289" t="n"/>
      <c r="F974" s="289" t="n"/>
      <c r="G974" s="289" t="n"/>
      <c r="H974" s="203" t="n"/>
    </row>
    <row r="975" ht="13" customHeight="1" s="189">
      <c r="A975" s="289" t="n"/>
      <c r="B975" s="203" t="n"/>
      <c r="C975" s="289" t="n"/>
      <c r="D975" s="289" t="n"/>
      <c r="E975" s="289" t="n"/>
      <c r="F975" s="289" t="n"/>
      <c r="G975" s="289" t="n"/>
      <c r="H975" s="203" t="n"/>
    </row>
    <row r="976" ht="13" customHeight="1" s="189">
      <c r="A976" s="289" t="n"/>
      <c r="B976" s="203" t="n"/>
      <c r="C976" s="289" t="n"/>
      <c r="D976" s="289" t="n"/>
      <c r="E976" s="289" t="n"/>
      <c r="F976" s="289" t="n"/>
      <c r="G976" s="289" t="n"/>
      <c r="H976" s="203" t="n"/>
    </row>
    <row r="977" ht="13" customHeight="1" s="189">
      <c r="A977" s="289" t="n"/>
      <c r="B977" s="203" t="n"/>
      <c r="C977" s="289" t="n"/>
      <c r="D977" s="289" t="n"/>
      <c r="E977" s="289" t="n"/>
      <c r="F977" s="289" t="n"/>
      <c r="G977" s="289" t="n"/>
      <c r="H977" s="203" t="n"/>
    </row>
    <row r="978" ht="13" customHeight="1" s="189">
      <c r="A978" s="289" t="n"/>
      <c r="B978" s="203" t="n"/>
      <c r="C978" s="289" t="n"/>
      <c r="D978" s="289" t="n"/>
      <c r="E978" s="289" t="n"/>
      <c r="F978" s="289" t="n"/>
      <c r="G978" s="289" t="n"/>
      <c r="H978" s="203" t="n"/>
    </row>
    <row r="979" ht="13" customHeight="1" s="189">
      <c r="A979" s="289" t="n"/>
      <c r="B979" s="203" t="n"/>
      <c r="C979" s="289" t="n"/>
      <c r="D979" s="289" t="n"/>
      <c r="E979" s="289" t="n"/>
      <c r="F979" s="289" t="n"/>
      <c r="G979" s="289" t="n"/>
      <c r="H979" s="203" t="n"/>
    </row>
    <row r="980" ht="13" customHeight="1" s="189">
      <c r="A980" s="289" t="n"/>
      <c r="B980" s="203" t="n"/>
      <c r="C980" s="289" t="n"/>
      <c r="D980" s="289" t="n"/>
      <c r="E980" s="289" t="n"/>
      <c r="F980" s="289" t="n"/>
      <c r="G980" s="289" t="n"/>
      <c r="H980" s="203" t="n"/>
    </row>
    <row r="981" ht="13" customHeight="1" s="189">
      <c r="A981" s="289" t="n"/>
      <c r="B981" s="203" t="n"/>
      <c r="C981" s="289" t="n"/>
      <c r="D981" s="289" t="n"/>
      <c r="E981" s="289" t="n"/>
      <c r="F981" s="289" t="n"/>
      <c r="G981" s="289" t="n"/>
      <c r="H981" s="203" t="n"/>
    </row>
    <row r="982" ht="13" customHeight="1" s="189">
      <c r="A982" s="289" t="n"/>
      <c r="B982" s="203" t="n"/>
      <c r="C982" s="289" t="n"/>
      <c r="D982" s="289" t="n"/>
      <c r="E982" s="289" t="n"/>
      <c r="F982" s="289" t="n"/>
      <c r="G982" s="289" t="n"/>
      <c r="H982" s="203" t="n"/>
    </row>
    <row r="983" ht="13" customHeight="1" s="189">
      <c r="A983" s="289" t="n"/>
      <c r="B983" s="203" t="n"/>
      <c r="C983" s="289" t="n"/>
      <c r="D983" s="289" t="n"/>
      <c r="E983" s="289" t="n"/>
      <c r="F983" s="289" t="n"/>
      <c r="G983" s="289" t="n"/>
      <c r="H983" s="203" t="n"/>
    </row>
    <row r="984" ht="13" customHeight="1" s="189">
      <c r="A984" s="289" t="n"/>
      <c r="B984" s="203" t="n"/>
      <c r="C984" s="289" t="n"/>
      <c r="D984" s="289" t="n"/>
      <c r="E984" s="289" t="n"/>
      <c r="F984" s="289" t="n"/>
      <c r="G984" s="289" t="n"/>
      <c r="H984" s="203" t="n"/>
    </row>
    <row r="985" ht="13" customHeight="1" s="189">
      <c r="A985" s="289" t="n"/>
      <c r="B985" s="203" t="n"/>
      <c r="C985" s="289" t="n"/>
      <c r="D985" s="289" t="n"/>
      <c r="E985" s="289" t="n"/>
      <c r="F985" s="289" t="n"/>
      <c r="G985" s="289" t="n"/>
      <c r="H985" s="203" t="n"/>
    </row>
    <row r="986" ht="13" customHeight="1" s="189">
      <c r="A986" s="289" t="n"/>
      <c r="B986" s="203" t="n"/>
      <c r="C986" s="289" t="n"/>
      <c r="D986" s="289" t="n"/>
      <c r="E986" s="289" t="n"/>
      <c r="F986" s="289" t="n"/>
      <c r="G986" s="289" t="n"/>
      <c r="H986" s="203" t="n"/>
    </row>
    <row r="987" ht="13" customHeight="1" s="189">
      <c r="A987" s="289" t="n"/>
      <c r="B987" s="203" t="n"/>
      <c r="C987" s="289" t="n"/>
      <c r="D987" s="289" t="n"/>
      <c r="E987" s="289" t="n"/>
      <c r="F987" s="289" t="n"/>
      <c r="G987" s="289" t="n"/>
      <c r="H987" s="203" t="n"/>
    </row>
    <row r="988" ht="13" customHeight="1" s="189">
      <c r="A988" s="289" t="n"/>
      <c r="B988" s="203" t="n"/>
      <c r="C988" s="289" t="n"/>
      <c r="D988" s="289" t="n"/>
      <c r="E988" s="289" t="n"/>
      <c r="F988" s="289" t="n"/>
      <c r="G988" s="289" t="n"/>
      <c r="H988" s="203" t="n"/>
    </row>
    <row r="989" ht="13" customHeight="1" s="189">
      <c r="A989" s="289" t="n"/>
      <c r="B989" s="203" t="n"/>
      <c r="C989" s="289" t="n"/>
      <c r="D989" s="289" t="n"/>
      <c r="E989" s="289" t="n"/>
      <c r="F989" s="289" t="n"/>
      <c r="G989" s="289" t="n"/>
      <c r="H989" s="203" t="n"/>
    </row>
    <row r="990" ht="13" customHeight="1" s="189">
      <c r="A990" s="289" t="n"/>
      <c r="B990" s="203" t="n"/>
      <c r="C990" s="289" t="n"/>
      <c r="D990" s="289" t="n"/>
      <c r="E990" s="289" t="n"/>
      <c r="F990" s="289" t="n"/>
      <c r="G990" s="289" t="n"/>
      <c r="H990" s="203" t="n"/>
    </row>
    <row r="991" ht="13" customHeight="1" s="189">
      <c r="A991" s="289" t="n"/>
      <c r="B991" s="203" t="n"/>
      <c r="C991" s="289" t="n"/>
      <c r="D991" s="289" t="n"/>
      <c r="E991" s="289" t="n"/>
      <c r="F991" s="289" t="n"/>
      <c r="G991" s="289" t="n"/>
      <c r="H991" s="203" t="n"/>
    </row>
    <row r="992" ht="13" customHeight="1" s="189">
      <c r="A992" s="289" t="n"/>
      <c r="B992" s="203" t="n"/>
      <c r="C992" s="289" t="n"/>
      <c r="D992" s="289" t="n"/>
      <c r="E992" s="289" t="n"/>
      <c r="F992" s="289" t="n"/>
      <c r="G992" s="289" t="n"/>
      <c r="H992" s="203" t="n"/>
    </row>
    <row r="993" ht="13" customHeight="1" s="189">
      <c r="A993" s="289" t="n"/>
      <c r="B993" s="203" t="n"/>
      <c r="C993" s="289" t="n"/>
      <c r="D993" s="289" t="n"/>
      <c r="E993" s="289" t="n"/>
      <c r="F993" s="289" t="n"/>
      <c r="G993" s="289" t="n"/>
      <c r="H993" s="203" t="n"/>
    </row>
    <row r="994" ht="13" customHeight="1" s="189">
      <c r="A994" s="289" t="n"/>
      <c r="B994" s="203" t="n"/>
      <c r="C994" s="289" t="n"/>
      <c r="D994" s="289" t="n"/>
      <c r="E994" s="289" t="n"/>
      <c r="F994" s="289" t="n"/>
      <c r="G994" s="289" t="n"/>
      <c r="H994" s="203" t="n"/>
    </row>
    <row r="995" ht="13" customHeight="1" s="189">
      <c r="A995" s="289" t="n"/>
      <c r="B995" s="203" t="n"/>
      <c r="C995" s="289" t="n"/>
      <c r="D995" s="289" t="n"/>
      <c r="E995" s="289" t="n"/>
      <c r="F995" s="289" t="n"/>
      <c r="G995" s="289" t="n"/>
      <c r="H995" s="203" t="n"/>
    </row>
    <row r="996" ht="13" customHeight="1" s="189">
      <c r="A996" s="289" t="n"/>
      <c r="B996" s="203" t="n"/>
      <c r="C996" s="289" t="n"/>
      <c r="D996" s="289" t="n"/>
      <c r="E996" s="289" t="n"/>
      <c r="F996" s="289" t="n"/>
      <c r="G996" s="289" t="n"/>
      <c r="H996" s="203" t="n"/>
    </row>
    <row r="997" ht="13" customHeight="1" s="189">
      <c r="A997" s="289" t="n"/>
      <c r="B997" s="203" t="n"/>
      <c r="C997" s="289" t="n"/>
      <c r="D997" s="289" t="n"/>
      <c r="E997" s="289" t="n"/>
      <c r="F997" s="289" t="n"/>
      <c r="G997" s="289" t="n"/>
      <c r="H997" s="203" t="n"/>
    </row>
    <row r="998" ht="13" customHeight="1" s="189">
      <c r="A998" s="289" t="n"/>
      <c r="B998" s="203" t="n"/>
      <c r="C998" s="289" t="n"/>
      <c r="D998" s="289" t="n"/>
      <c r="E998" s="289" t="n"/>
      <c r="F998" s="289" t="n"/>
      <c r="G998" s="289" t="n"/>
      <c r="H998" s="203" t="n"/>
    </row>
    <row r="999" ht="13" customHeight="1" s="189">
      <c r="A999" s="289" t="n"/>
      <c r="B999" s="203" t="n"/>
      <c r="C999" s="289" t="n"/>
      <c r="D999" s="289" t="n"/>
      <c r="E999" s="289" t="n"/>
      <c r="F999" s="289" t="n"/>
      <c r="G999" s="289" t="n"/>
      <c r="H999" s="203" t="n"/>
    </row>
    <row r="1000" ht="13" customHeight="1" s="189">
      <c r="A1000" s="289" t="n"/>
      <c r="B1000" s="203" t="n"/>
      <c r="C1000" s="289" t="n"/>
      <c r="D1000" s="289" t="n"/>
      <c r="E1000" s="289" t="n"/>
      <c r="F1000" s="289" t="n"/>
      <c r="G1000" s="289" t="n"/>
      <c r="H1000" s="203" t="n"/>
    </row>
    <row r="1001" ht="13" customHeight="1" s="189">
      <c r="A1001" s="289" t="n"/>
      <c r="B1001" s="203" t="n"/>
      <c r="C1001" s="289" t="n"/>
      <c r="D1001" s="289" t="n"/>
      <c r="E1001" s="289" t="n"/>
      <c r="F1001" s="289" t="n"/>
      <c r="G1001" s="289" t="n"/>
      <c r="H1001" s="203" t="n"/>
    </row>
    <row r="1002" ht="13" customHeight="1" s="189">
      <c r="A1002" s="289" t="n"/>
      <c r="B1002" s="203" t="n"/>
      <c r="C1002" s="289" t="n"/>
      <c r="D1002" s="289" t="n"/>
      <c r="E1002" s="289" t="n"/>
      <c r="F1002" s="289" t="n"/>
      <c r="G1002" s="289" t="n"/>
      <c r="H1002" s="203" t="n"/>
    </row>
    <row r="1003" ht="13" customHeight="1" s="189">
      <c r="A1003" s="289" t="n"/>
      <c r="B1003" s="203" t="n"/>
      <c r="C1003" s="289" t="n"/>
      <c r="D1003" s="289" t="n"/>
      <c r="E1003" s="289" t="n"/>
      <c r="F1003" s="289" t="n"/>
      <c r="G1003" s="289" t="n"/>
      <c r="H1003" s="203" t="n"/>
    </row>
    <row r="1004" ht="13" customHeight="1" s="189">
      <c r="A1004" s="289" t="n"/>
      <c r="B1004" s="203" t="n"/>
      <c r="C1004" s="289" t="n"/>
      <c r="D1004" s="289" t="n"/>
      <c r="E1004" s="289" t="n"/>
      <c r="F1004" s="289" t="n"/>
      <c r="G1004" s="289" t="n"/>
      <c r="H1004" s="203" t="n"/>
    </row>
    <row r="1005" ht="13" customHeight="1" s="189">
      <c r="A1005" s="289" t="n"/>
      <c r="B1005" s="203" t="n"/>
      <c r="C1005" s="289" t="n"/>
      <c r="D1005" s="289" t="n"/>
      <c r="E1005" s="289" t="n"/>
      <c r="F1005" s="289" t="n"/>
      <c r="G1005" s="289" t="n"/>
      <c r="H1005" s="203" t="n"/>
    </row>
    <row r="1006" ht="13" customHeight="1" s="189">
      <c r="A1006" s="289" t="n"/>
      <c r="B1006" s="203" t="n"/>
      <c r="C1006" s="289" t="n"/>
      <c r="D1006" s="289" t="n"/>
      <c r="E1006" s="289" t="n"/>
      <c r="F1006" s="289" t="n"/>
      <c r="G1006" s="289" t="n"/>
      <c r="H1006" s="203" t="n"/>
    </row>
    <row r="1007" ht="13" customHeight="1" s="189">
      <c r="A1007" s="289" t="n"/>
      <c r="B1007" s="203" t="n"/>
      <c r="C1007" s="289" t="n"/>
      <c r="D1007" s="289" t="n"/>
      <c r="E1007" s="289" t="n"/>
      <c r="F1007" s="289" t="n"/>
      <c r="G1007" s="289" t="n"/>
      <c r="H1007" s="203" t="n"/>
    </row>
    <row r="1008" ht="13" customHeight="1" s="189">
      <c r="A1008" s="289" t="n"/>
      <c r="B1008" s="203" t="n"/>
      <c r="C1008" s="289" t="n"/>
      <c r="D1008" s="289" t="n"/>
      <c r="E1008" s="289" t="n"/>
      <c r="F1008" s="289" t="n"/>
      <c r="G1008" s="289" t="n"/>
      <c r="H1008" s="203" t="n"/>
    </row>
    <row r="1009" ht="13" customHeight="1" s="189">
      <c r="A1009" s="289" t="n"/>
      <c r="B1009" s="203" t="n"/>
      <c r="C1009" s="289" t="n"/>
      <c r="D1009" s="289" t="n"/>
      <c r="E1009" s="289" t="n"/>
      <c r="F1009" s="289" t="n"/>
      <c r="G1009" s="289" t="n"/>
      <c r="H1009" s="203" t="n"/>
    </row>
    <row r="1010" ht="13" customHeight="1" s="189">
      <c r="A1010" s="289" t="n"/>
      <c r="B1010" s="203" t="n"/>
      <c r="C1010" s="289" t="n"/>
      <c r="D1010" s="289" t="n"/>
      <c r="E1010" s="289" t="n"/>
      <c r="F1010" s="289" t="n"/>
      <c r="G1010" s="289" t="n"/>
      <c r="H1010" s="203" t="n"/>
    </row>
    <row r="1011" ht="13" customHeight="1" s="189">
      <c r="A1011" s="289" t="n"/>
      <c r="B1011" s="203" t="n"/>
      <c r="C1011" s="289" t="n"/>
      <c r="D1011" s="289" t="n"/>
      <c r="E1011" s="289" t="n"/>
      <c r="F1011" s="289" t="n"/>
      <c r="G1011" s="289" t="n"/>
      <c r="H1011" s="203" t="n"/>
    </row>
    <row r="1012" ht="13" customHeight="1" s="189">
      <c r="A1012" s="289" t="n"/>
      <c r="B1012" s="203" t="n"/>
      <c r="C1012" s="289" t="n"/>
      <c r="D1012" s="289" t="n"/>
      <c r="E1012" s="289" t="n"/>
      <c r="F1012" s="289" t="n"/>
      <c r="G1012" s="289" t="n"/>
      <c r="H1012" s="203" t="n"/>
    </row>
    <row r="1013" ht="13" customHeight="1" s="189">
      <c r="A1013" s="289" t="n"/>
      <c r="B1013" s="203" t="n"/>
      <c r="C1013" s="289" t="n"/>
      <c r="D1013" s="289" t="n"/>
      <c r="E1013" s="289" t="n"/>
      <c r="F1013" s="289" t="n"/>
      <c r="G1013" s="289" t="n"/>
      <c r="H1013" s="203" t="n"/>
    </row>
    <row r="1014" ht="13" customHeight="1" s="189">
      <c r="A1014" s="289" t="n"/>
      <c r="B1014" s="203" t="n"/>
      <c r="C1014" s="289" t="n"/>
      <c r="D1014" s="289" t="n"/>
      <c r="E1014" s="289" t="n"/>
      <c r="F1014" s="289" t="n"/>
      <c r="G1014" s="289" t="n"/>
      <c r="H1014" s="203" t="n"/>
    </row>
    <row r="1015" ht="13" customHeight="1" s="189">
      <c r="A1015" s="289" t="n"/>
      <c r="B1015" s="203" t="n"/>
      <c r="C1015" s="289" t="n"/>
      <c r="D1015" s="289" t="n"/>
      <c r="E1015" s="289" t="n"/>
      <c r="F1015" s="289" t="n"/>
      <c r="G1015" s="289" t="n"/>
      <c r="H1015" s="203" t="n"/>
    </row>
    <row r="1016" ht="13" customHeight="1" s="189">
      <c r="A1016" s="289" t="n"/>
      <c r="B1016" s="203" t="n"/>
      <c r="C1016" s="289" t="n"/>
      <c r="D1016" s="289" t="n"/>
      <c r="E1016" s="289" t="n"/>
      <c r="F1016" s="289" t="n"/>
      <c r="G1016" s="289" t="n"/>
      <c r="H1016" s="203" t="n"/>
    </row>
    <row r="1017" ht="13" customHeight="1" s="189">
      <c r="A1017" s="289" t="n"/>
      <c r="B1017" s="203" t="n"/>
      <c r="C1017" s="289" t="n"/>
      <c r="D1017" s="289" t="n"/>
      <c r="E1017" s="289" t="n"/>
      <c r="F1017" s="289" t="n"/>
      <c r="G1017" s="289" t="n"/>
      <c r="H1017" s="203" t="n"/>
    </row>
    <row r="1018" ht="13" customHeight="1" s="189">
      <c r="A1018" s="289" t="n"/>
      <c r="B1018" s="203" t="n"/>
      <c r="C1018" s="289" t="n"/>
      <c r="D1018" s="289" t="n"/>
      <c r="E1018" s="289" t="n"/>
      <c r="F1018" s="289" t="n"/>
      <c r="G1018" s="289" t="n"/>
      <c r="H1018" s="203" t="n"/>
    </row>
    <row r="1019" ht="13" customHeight="1" s="189">
      <c r="A1019" s="289" t="n"/>
      <c r="B1019" s="203" t="n"/>
      <c r="C1019" s="289" t="n"/>
      <c r="D1019" s="289" t="n"/>
      <c r="E1019" s="289" t="n"/>
      <c r="F1019" s="289" t="n"/>
      <c r="G1019" s="289" t="n"/>
      <c r="H1019" s="203" t="n"/>
    </row>
    <row r="1020" ht="13" customHeight="1" s="189">
      <c r="A1020" s="289" t="n"/>
      <c r="B1020" s="203" t="n"/>
      <c r="C1020" s="289" t="n"/>
      <c r="D1020" s="289" t="n"/>
      <c r="E1020" s="289" t="n"/>
      <c r="F1020" s="289" t="n"/>
      <c r="G1020" s="289" t="n"/>
      <c r="H1020" s="203" t="n"/>
    </row>
    <row r="1021" ht="13" customHeight="1" s="189">
      <c r="A1021" s="289" t="n"/>
      <c r="B1021" s="203" t="n"/>
      <c r="C1021" s="289" t="n"/>
      <c r="D1021" s="289" t="n"/>
      <c r="E1021" s="289" t="n"/>
      <c r="F1021" s="289" t="n"/>
      <c r="G1021" s="289" t="n"/>
      <c r="H1021" s="203" t="n"/>
    </row>
    <row r="1022" ht="13" customHeight="1" s="189">
      <c r="A1022" s="289" t="n"/>
      <c r="B1022" s="203" t="n"/>
      <c r="C1022" s="289" t="n"/>
      <c r="D1022" s="289" t="n"/>
      <c r="E1022" s="289" t="n"/>
      <c r="F1022" s="289" t="n"/>
      <c r="G1022" s="289" t="n"/>
      <c r="H1022" s="203" t="n"/>
    </row>
    <row r="1023" ht="13" customHeight="1" s="189">
      <c r="A1023" s="289" t="n"/>
      <c r="B1023" s="203" t="n"/>
      <c r="C1023" s="289" t="n"/>
      <c r="D1023" s="289" t="n"/>
      <c r="E1023" s="289" t="n"/>
      <c r="F1023" s="289" t="n"/>
      <c r="G1023" s="289" t="n"/>
      <c r="H1023" s="203" t="n"/>
    </row>
    <row r="1024" ht="13" customHeight="1" s="189">
      <c r="A1024" s="289" t="n"/>
      <c r="B1024" s="203" t="n"/>
      <c r="C1024" s="289" t="n"/>
      <c r="D1024" s="289" t="n"/>
      <c r="E1024" s="289" t="n"/>
      <c r="F1024" s="289" t="n"/>
      <c r="G1024" s="289" t="n"/>
      <c r="H1024" s="203" t="n"/>
    </row>
    <row r="1025" ht="13" customHeight="1" s="189"/>
    <row r="1026" ht="13" customHeight="1" s="189"/>
    <row r="1027" ht="13" customHeight="1" s="189"/>
    <row r="1028" ht="13" customHeight="1" s="189"/>
    <row r="1029" ht="13" customHeight="1" s="189"/>
    <row r="1030" ht="13" customHeight="1" s="189"/>
    <row r="1031" ht="13" customHeight="1" s="189"/>
    <row r="1032" ht="13" customHeight="1" s="189"/>
    <row r="1033" ht="13" customHeight="1" s="189"/>
    <row r="1034" ht="13" customHeight="1" s="189"/>
    <row r="1035" ht="13" customHeight="1" s="189"/>
    <row r="1036" ht="13" customHeight="1" s="189"/>
    <row r="1037" ht="13" customHeight="1" s="189"/>
    <row r="1038" ht="13" customHeight="1" s="189"/>
    <row r="1039" ht="13" customHeight="1" s="189"/>
    <row r="1040" ht="13" customHeight="1" s="189"/>
    <row r="1041" ht="13" customHeight="1" s="189"/>
    <row r="1042" ht="13" customHeight="1" s="189"/>
    <row r="1043" ht="13" customHeight="1" s="189"/>
    <row r="1044" ht="13" customHeight="1" s="189"/>
    <row r="1045" ht="13" customHeight="1" s="189"/>
    <row r="1046" ht="13" customHeight="1" s="189"/>
    <row r="1047" ht="13" customHeight="1" s="189"/>
    <row r="1048" ht="13" customHeight="1" s="189"/>
    <row r="1049" ht="13" customHeight="1" s="189"/>
    <row r="1050" ht="13" customHeight="1" s="189"/>
    <row r="1051" ht="13" customHeight="1" s="189"/>
    <row r="1052" ht="13" customHeight="1" s="189"/>
    <row r="1053" ht="13" customHeight="1" s="189"/>
    <row r="1054" ht="13" customHeight="1" s="189"/>
    <row r="1055" ht="13" customHeight="1" s="189"/>
    <row r="1056" ht="13" customHeight="1" s="189"/>
    <row r="1057" ht="13" customHeight="1" s="189"/>
    <row r="1058" ht="13" customHeight="1" s="189"/>
    <row r="1059" ht="13" customHeight="1" s="189"/>
    <row r="1060" ht="13" customHeight="1" s="189"/>
    <row r="1061" ht="13" customHeight="1" s="189"/>
    <row r="1062" ht="13" customHeight="1" s="189"/>
    <row r="1063" ht="13" customHeight="1" s="189"/>
    <row r="1064" ht="13" customHeight="1" s="189"/>
    <row r="1065" ht="13" customHeight="1" s="189"/>
    <row r="1066" ht="13" customHeight="1" s="189"/>
    <row r="1067" ht="13" customHeight="1" s="189"/>
    <row r="1068" ht="13" customHeight="1" s="189"/>
    <row r="1069" ht="13" customHeight="1" s="189"/>
    <row r="1070" ht="13" customHeight="1" s="189"/>
    <row r="1071" ht="13" customHeight="1" s="189"/>
    <row r="1072" ht="13" customHeight="1" s="189"/>
    <row r="1073" ht="13" customHeight="1" s="189"/>
    <row r="1074" ht="13" customHeight="1" s="189"/>
    <row r="1075" ht="13" customHeight="1" s="189"/>
    <row r="1076" ht="13" customHeight="1" s="189"/>
    <row r="1077" ht="13" customHeight="1" s="189"/>
    <row r="1078" ht="13" customHeight="1" s="189"/>
    <row r="1079" ht="13" customHeight="1" s="189"/>
    <row r="1080" ht="13" customHeight="1" s="189"/>
    <row r="1081" ht="13" customHeight="1" s="189"/>
    <row r="1082" ht="13" customHeight="1" s="189"/>
    <row r="1083" ht="13" customHeight="1" s="189"/>
    <row r="1084" ht="13" customHeight="1" s="189"/>
    <row r="1085" ht="13" customHeight="1" s="189"/>
    <row r="1086" ht="13" customHeight="1" s="189"/>
    <row r="1087" ht="13" customHeight="1" s="189"/>
    <row r="1088" ht="13" customHeight="1" s="189"/>
    <row r="1089" ht="13" customHeight="1" s="189"/>
    <row r="1090" ht="13" customHeight="1" s="189"/>
    <row r="1091" ht="13" customHeight="1" s="189"/>
    <row r="1092" ht="13" customHeight="1" s="189"/>
    <row r="1093" ht="13" customHeight="1" s="189"/>
    <row r="1094" ht="13" customHeight="1" s="189"/>
    <row r="1095" ht="13" customHeight="1" s="189"/>
    <row r="1096" ht="13" customHeight="1" s="189"/>
    <row r="1097" ht="13" customHeight="1" s="189"/>
    <row r="1098" ht="13" customHeight="1" s="189"/>
    <row r="1099" ht="13" customHeight="1" s="189"/>
    <row r="1100" ht="13" customHeight="1" s="189"/>
    <row r="1101" ht="13" customHeight="1" s="189"/>
    <row r="1102" ht="13" customHeight="1" s="189"/>
    <row r="1103" ht="13" customHeight="1" s="189"/>
    <row r="1104" ht="13" customHeight="1" s="189"/>
    <row r="1105" ht="13" customHeight="1" s="189"/>
    <row r="1106" ht="13" customHeight="1" s="189"/>
    <row r="1107" ht="13" customHeight="1" s="189"/>
    <row r="1108" ht="13" customHeight="1" s="189"/>
    <row r="1109" ht="13" customHeight="1" s="189"/>
    <row r="1110" ht="13" customHeight="1" s="189"/>
    <row r="1111" ht="13" customHeight="1" s="189"/>
    <row r="1112" ht="13" customHeight="1" s="189"/>
    <row r="1113" ht="13" customHeight="1" s="189"/>
    <row r="1114" ht="13" customHeight="1" s="189"/>
    <row r="1115" ht="13" customHeight="1" s="189"/>
    <row r="1116" ht="13" customHeight="1" s="189"/>
    <row r="1117" ht="13" customHeight="1" s="189"/>
    <row r="1118" ht="13" customHeight="1" s="189"/>
    <row r="1119" ht="13" customHeight="1" s="189"/>
    <row r="1120" ht="13" customHeight="1" s="189"/>
    <row r="1121" ht="13" customHeight="1" s="189"/>
    <row r="1122" ht="13" customHeight="1" s="189"/>
    <row r="1123" ht="13" customHeight="1" s="189"/>
    <row r="1124" ht="13" customHeight="1" s="189"/>
    <row r="1125" ht="13" customHeight="1" s="189"/>
    <row r="1126" ht="13" customHeight="1" s="189"/>
    <row r="1127" ht="13" customHeight="1" s="189"/>
    <row r="1128" ht="13" customHeight="1" s="189"/>
    <row r="1129" ht="13" customHeight="1" s="189"/>
    <row r="1130" ht="13" customHeight="1" s="189"/>
    <row r="1131" ht="13" customHeight="1" s="189"/>
    <row r="1132" ht="13" customHeight="1" s="189"/>
    <row r="1133" ht="13" customHeight="1" s="189"/>
    <row r="1134" ht="13" customHeight="1" s="189"/>
    <row r="1135" ht="13" customHeight="1" s="189"/>
    <row r="1136" ht="13" customHeight="1" s="189"/>
    <row r="1137" ht="13" customHeight="1" s="189"/>
    <row r="1138" ht="13" customHeight="1" s="189"/>
    <row r="1139" ht="13" customHeight="1" s="189"/>
    <row r="1140" ht="13" customHeight="1" s="189"/>
    <row r="1141" ht="13" customHeight="1" s="189"/>
    <row r="1142" ht="13" customHeight="1" s="189"/>
    <row r="1143" ht="13" customHeight="1" s="189"/>
    <row r="1144" ht="13" customHeight="1" s="189"/>
    <row r="1145" ht="13" customHeight="1" s="189"/>
    <row r="1146" ht="13" customHeight="1" s="189"/>
    <row r="1147" ht="13" customHeight="1" s="189"/>
    <row r="1148" ht="13" customHeight="1" s="189"/>
    <row r="1149" ht="13" customHeight="1" s="189"/>
    <row r="1150" ht="13" customHeight="1" s="189"/>
    <row r="1151" ht="13" customHeight="1" s="189"/>
    <row r="1152" ht="13" customHeight="1" s="189"/>
    <row r="1153" ht="13" customHeight="1" s="189"/>
    <row r="1154" ht="13" customHeight="1" s="189"/>
    <row r="1155" ht="13" customHeight="1" s="189"/>
    <row r="1156" ht="13" customHeight="1" s="189"/>
    <row r="1157" ht="13" customHeight="1" s="189"/>
    <row r="1158" ht="13" customHeight="1" s="189"/>
    <row r="1159" ht="13" customHeight="1" s="189"/>
    <row r="1160" ht="13" customHeight="1" s="189"/>
    <row r="1161" ht="13" customHeight="1" s="189"/>
    <row r="1162" ht="13" customHeight="1" s="189"/>
    <row r="1163" ht="13" customHeight="1" s="189"/>
    <row r="1164" ht="13" customHeight="1" s="189"/>
    <row r="1165" ht="13" customHeight="1" s="189"/>
    <row r="1166" ht="13" customHeight="1" s="189"/>
    <row r="1167" ht="13" customHeight="1" s="189"/>
    <row r="1168" ht="13" customHeight="1" s="189"/>
    <row r="1169" ht="13" customHeight="1" s="189"/>
    <row r="1170" ht="13" customHeight="1" s="189"/>
    <row r="1171" ht="13" customHeight="1" s="189"/>
    <row r="1172" ht="13" customHeight="1" s="189"/>
    <row r="1173" ht="13" customHeight="1" s="189"/>
    <row r="1174" ht="13" customHeight="1" s="189"/>
    <row r="1175" ht="13" customHeight="1" s="189"/>
    <row r="1176" ht="13" customHeight="1" s="189"/>
    <row r="1177" ht="13" customHeight="1" s="189"/>
    <row r="1178" ht="13" customHeight="1" s="189"/>
    <row r="1179" ht="13" customHeight="1" s="189"/>
    <row r="1180" ht="13" customHeight="1" s="189"/>
    <row r="1181" ht="13" customHeight="1" s="189"/>
    <row r="1182" ht="13" customHeight="1" s="189"/>
    <row r="1183" ht="13" customHeight="1" s="189"/>
    <row r="1184" ht="13" customHeight="1" s="189"/>
    <row r="1185" ht="13" customHeight="1" s="189"/>
    <row r="1186" ht="13" customHeight="1" s="189"/>
    <row r="1187" ht="13" customHeight="1" s="189"/>
    <row r="1188" ht="13" customHeight="1" s="189"/>
    <row r="1189" ht="13" customHeight="1" s="189"/>
    <row r="1190" ht="13" customHeight="1" s="189"/>
    <row r="1191" ht="13" customHeight="1" s="189"/>
    <row r="1192" ht="13" customHeight="1" s="189"/>
    <row r="1193" ht="13" customHeight="1" s="189"/>
    <row r="1194" ht="13" customHeight="1" s="189"/>
    <row r="1195" ht="13" customHeight="1" s="189"/>
    <row r="1196" ht="13" customHeight="1" s="189"/>
    <row r="1197" ht="13" customHeight="1" s="189"/>
    <row r="1198" ht="13" customHeight="1" s="189"/>
    <row r="1199" ht="13" customHeight="1" s="189"/>
    <row r="1200" ht="13" customHeight="1" s="189"/>
    <row r="1201" ht="13" customHeight="1" s="189"/>
    <row r="1202" ht="13" customHeight="1" s="189"/>
    <row r="1203" ht="13" customHeight="1" s="189"/>
    <row r="1204" ht="13" customHeight="1" s="189"/>
    <row r="1205" ht="13" customHeight="1" s="189"/>
    <row r="1206" ht="13" customHeight="1" s="189"/>
    <row r="1207" ht="13" customHeight="1" s="189"/>
    <row r="1208" ht="13" customHeight="1" s="189"/>
    <row r="1209" ht="13" customHeight="1" s="189"/>
    <row r="1210" ht="13" customHeight="1" s="189"/>
    <row r="1211" ht="13" customHeight="1" s="189"/>
    <row r="1212" ht="13" customHeight="1" s="189"/>
    <row r="1213" ht="13" customHeight="1" s="189"/>
    <row r="1214" ht="13" customHeight="1" s="189"/>
    <row r="1215" ht="13" customHeight="1" s="189"/>
    <row r="1216" ht="13" customHeight="1" s="189"/>
    <row r="1217" ht="13" customHeight="1" s="189"/>
    <row r="1218" ht="13" customHeight="1" s="189"/>
    <row r="1219" ht="13" customHeight="1" s="189"/>
    <row r="1220" ht="13" customHeight="1" s="189"/>
    <row r="1221" ht="13" customHeight="1" s="189"/>
    <row r="1222" ht="13" customHeight="1" s="189"/>
    <row r="1223" ht="13" customHeight="1" s="189"/>
    <row r="1224" ht="13" customHeight="1" s="189"/>
    <row r="1225" ht="13" customHeight="1" s="189"/>
    <row r="1226" ht="13" customHeight="1" s="189"/>
    <row r="1227" ht="13" customHeight="1" s="189"/>
    <row r="1228" ht="13" customHeight="1" s="189"/>
    <row r="1229" ht="13" customHeight="1" s="189"/>
    <row r="1230" ht="13" customHeight="1" s="189"/>
    <row r="1231" ht="13" customHeight="1" s="189"/>
    <row r="1232" ht="13" customHeight="1" s="189"/>
    <row r="1233" ht="13" customHeight="1" s="189"/>
    <row r="1234" ht="13" customHeight="1" s="189"/>
    <row r="1235" ht="13" customHeight="1" s="189"/>
    <row r="1236" ht="13" customHeight="1" s="189"/>
    <row r="1237" ht="13" customHeight="1" s="189"/>
    <row r="1238" ht="13" customHeight="1" s="189"/>
    <row r="1239" ht="13" customHeight="1" s="189"/>
    <row r="1240" ht="13" customHeight="1" s="189"/>
    <row r="1241" ht="13" customHeight="1" s="189"/>
    <row r="1242" ht="13" customHeight="1" s="189"/>
    <row r="1243" ht="13" customHeight="1" s="189"/>
    <row r="1244" ht="13" customHeight="1" s="189"/>
    <row r="1245" ht="13" customHeight="1" s="189"/>
    <row r="1246" ht="13" customHeight="1" s="189"/>
    <row r="1247" ht="13" customHeight="1" s="189"/>
  </sheetData>
  <mergeCells count="11">
    <mergeCell ref="C2:E2"/>
    <mergeCell ref="G4:H4"/>
    <mergeCell ref="A4:B4"/>
    <mergeCell ref="A1:H1"/>
    <mergeCell ref="A2:B2"/>
    <mergeCell ref="G2:H2"/>
    <mergeCell ref="C4:E4"/>
    <mergeCell ref="C3:E3"/>
    <mergeCell ref="A5:H5"/>
    <mergeCell ref="A3:B3"/>
    <mergeCell ref="G3:H3"/>
  </mergeCells>
  <printOptions horizontalCentered="0" verticalCentered="0" headings="0" gridLines="1" gridLinesSet="1"/>
  <pageMargins left="0.75" right="0.75" top="1" bottom="1"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H1024"/>
  <sheetViews>
    <sheetView showFormulas="0" showGridLines="1" showRowColHeaders="1" showZeros="1" rightToLeft="0" tabSelected="0" showOutlineSymbols="1" defaultGridColor="1" view="normal" topLeftCell="A13" colorId="64" zoomScale="100" zoomScaleNormal="100" zoomScalePageLayoutView="100" workbookViewId="0">
      <selection pane="topLeft" activeCell="H24" activeCellId="0" sqref="H24"/>
    </sheetView>
  </sheetViews>
  <sheetFormatPr baseColWidth="8" defaultColWidth="9.0546875" defaultRowHeight="12.5" zeroHeight="0" outlineLevelRow="0"/>
  <cols>
    <col width="3.17" customWidth="1" style="287" min="1" max="1"/>
    <col width="15.72" customWidth="1" style="188" min="2" max="2"/>
    <col width="20.72" customWidth="1" style="293" min="3" max="3"/>
    <col width="10.17" customWidth="1" style="293" min="4" max="5"/>
    <col width="20.72" customWidth="1" style="293" min="6" max="7"/>
    <col width="20.72" customWidth="1" style="188" min="8" max="8"/>
  </cols>
  <sheetData>
    <row r="1" ht="15.5" customHeight="1" s="189">
      <c r="A1" s="243" t="inlineStr">
        <is>
          <t>Deliverable Milestones</t>
        </is>
      </c>
      <c r="B1" s="213" t="n"/>
      <c r="C1" s="213" t="n"/>
      <c r="D1" s="213" t="n"/>
      <c r="E1" s="213" t="n"/>
      <c r="F1" s="213" t="n"/>
      <c r="G1" s="213" t="n"/>
      <c r="H1" s="214" t="n"/>
    </row>
    <row r="2" ht="13" customHeight="1" s="189">
      <c r="A2" s="266" t="inlineStr">
        <is>
          <t>Project</t>
        </is>
      </c>
      <c r="B2" s="214" t="n"/>
      <c r="C2" s="294">
        <f>Data!B1</f>
        <v/>
      </c>
      <c r="D2" s="213" t="n"/>
      <c r="E2" s="214" t="n"/>
      <c r="F2" s="266" t="inlineStr">
        <is>
          <t>Project #</t>
        </is>
      </c>
      <c r="G2" s="294">
        <f>Data!B2</f>
        <v/>
      </c>
      <c r="H2" s="214" t="n"/>
    </row>
    <row r="3" ht="13" customHeight="1" s="189">
      <c r="A3" s="266" t="inlineStr">
        <is>
          <t>Project manager</t>
        </is>
      </c>
      <c r="B3" s="214" t="n"/>
      <c r="C3" s="294">
        <f>Data!B3</f>
        <v/>
      </c>
      <c r="D3" s="213" t="n"/>
      <c r="E3" s="214" t="n"/>
      <c r="F3" s="266" t="inlineStr">
        <is>
          <t>Sponsor</t>
        </is>
      </c>
      <c r="G3" s="294">
        <f>Data!B4</f>
        <v/>
      </c>
      <c r="H3" s="214" t="n"/>
    </row>
    <row r="4" ht="13" customHeight="1" s="189">
      <c r="A4" s="266" t="inlineStr">
        <is>
          <t>Project artifacts</t>
        </is>
      </c>
      <c r="B4" s="214" t="n"/>
      <c r="C4" s="294">
        <f>Data!B5</f>
        <v/>
      </c>
      <c r="D4" s="213" t="n"/>
      <c r="E4" s="214" t="n"/>
      <c r="F4" s="266" t="inlineStr">
        <is>
          <t>Updated</t>
        </is>
      </c>
      <c r="G4" s="294">
        <f>Data!B6</f>
        <v/>
      </c>
      <c r="H4" s="214" t="n"/>
    </row>
    <row r="5" ht="12.5" customHeight="1" s="189">
      <c r="A5" s="288" t="n"/>
      <c r="B5" s="213" t="n"/>
      <c r="C5" s="213" t="n"/>
      <c r="D5" s="213" t="n"/>
      <c r="E5" s="213" t="n"/>
      <c r="F5" s="213" t="n"/>
      <c r="G5" s="213" t="n"/>
      <c r="H5" s="214" t="n"/>
    </row>
    <row r="6" ht="61.5" customHeight="1" s="189">
      <c r="A6" s="281" t="inlineStr">
        <is>
          <t>ID</t>
        </is>
      </c>
      <c r="B6" s="281" t="inlineStr">
        <is>
          <t>Milestone</t>
        </is>
      </c>
      <c r="C6" s="281" t="inlineStr">
        <is>
          <t>Description</t>
        </is>
      </c>
      <c r="D6" s="281" t="inlineStr">
        <is>
          <t>Planned Completion</t>
        </is>
      </c>
      <c r="E6" s="281" t="inlineStr">
        <is>
          <t>Actual Completion</t>
        </is>
      </c>
      <c r="F6" s="220" t="inlineStr">
        <is>
          <t>Objectives</t>
        </is>
      </c>
      <c r="G6" s="220" t="inlineStr">
        <is>
          <t>Assumptions</t>
        </is>
      </c>
      <c r="H6" s="281" t="inlineStr">
        <is>
          <t>Constraints</t>
        </is>
      </c>
    </row>
    <row r="7" ht="21.75" customHeight="1" s="189">
      <c r="A7" s="272" t="n">
        <v>1</v>
      </c>
      <c r="B7" s="295" t="inlineStr">
        <is>
          <t>Project Kickoff</t>
        </is>
      </c>
      <c r="C7" s="295" t="inlineStr">
        <is>
          <t>Official start; team assembled and charter signed</t>
        </is>
      </c>
      <c r="D7" s="296" t="inlineStr">
        <is>
          <t>2026-01-10</t>
        </is>
      </c>
      <c r="E7" s="296" t="inlineStr">
        <is>
          <t>2026-01-10</t>
        </is>
      </c>
      <c r="F7" s="295" t="inlineStr">
        <is>
          <t>Launch project with full team and sponsor approval</t>
        </is>
      </c>
      <c r="G7" s="295" t="inlineStr">
        <is>
          <t>Funding approved before kickoff</t>
        </is>
      </c>
      <c r="H7" s="295" t="inlineStr">
        <is>
          <t>Team must be available from day 1</t>
        </is>
      </c>
    </row>
    <row r="8" ht="21.75" customHeight="1" s="189">
      <c r="A8" s="272" t="n">
        <v>2</v>
      </c>
      <c r="B8" s="199" t="inlineStr">
        <is>
          <t>Requirements Finalized</t>
        </is>
      </c>
      <c r="C8" s="199" t="inlineStr">
        <is>
          <t>All functional and technical requirements documented and approved</t>
        </is>
      </c>
      <c r="D8" s="272" t="inlineStr">
        <is>
          <t>2026-01-28</t>
        </is>
      </c>
      <c r="E8" s="272" t="inlineStr">
        <is>
          <t>2026-01-28</t>
        </is>
      </c>
      <c r="F8" s="199" t="inlineStr">
        <is>
          <t>Clear scope baseline established</t>
        </is>
      </c>
      <c r="G8" s="199" t="inlineStr">
        <is>
          <t>Stakeholders available for interviews</t>
        </is>
      </c>
      <c r="H8" s="199" t="inlineStr">
        <is>
          <t>No scope changes after this milestone</t>
        </is>
      </c>
    </row>
    <row r="9" ht="21.75" customHeight="1" s="189">
      <c r="A9" s="272" t="n">
        <v>3</v>
      </c>
      <c r="B9" s="199" t="inlineStr">
        <is>
          <t>Architecture Design Complete</t>
        </is>
      </c>
      <c r="C9" s="199" t="inlineStr">
        <is>
          <t>System design and tech stack approved</t>
        </is>
      </c>
      <c r="D9" s="272" t="inlineStr">
        <is>
          <t>2026-02-05</t>
        </is>
      </c>
      <c r="E9" s="272" t="inlineStr">
        <is>
          <t>2026-02-05</t>
        </is>
      </c>
      <c r="F9" s="199" t="inlineStr">
        <is>
          <t>Technical blueprint ready for development</t>
        </is>
      </c>
      <c r="G9" s="199" t="inlineStr">
        <is>
          <t>Dev tools and libraries selected</t>
        </is>
      </c>
      <c r="H9" s="199" t="inlineStr">
        <is>
          <t>Must support Windows, Linux, macOS</t>
        </is>
      </c>
    </row>
    <row r="10" ht="21.75" customHeight="1" s="189">
      <c r="A10" s="272" t="n">
        <v>4</v>
      </c>
      <c r="B10" s="199" t="inlineStr">
        <is>
          <t>Core Scanning Modules Developed</t>
        </is>
      </c>
      <c r="C10" s="199" t="inlineStr">
        <is>
          <t>Port scanner, password evaluator, config checker complete</t>
        </is>
      </c>
      <c r="D10" s="272" t="inlineStr">
        <is>
          <t>2026-03-10</t>
        </is>
      </c>
      <c r="E10" s="272" t="inlineStr"/>
      <c r="F10" s="199" t="inlineStr">
        <is>
          <t>All primary scan features functional</t>
        </is>
      </c>
      <c r="G10" s="199" t="inlineStr">
        <is>
          <t>Dev environment stable</t>
        </is>
      </c>
      <c r="H10" s="199" t="inlineStr">
        <is>
          <t>Must pass internal unit tests</t>
        </is>
      </c>
    </row>
    <row r="11" ht="21.75" customHeight="1" s="189">
      <c r="A11" s="272" t="n">
        <v>5</v>
      </c>
      <c r="B11" s="199" t="inlineStr">
        <is>
          <t>Risk Scoring &amp; Dashboard Complete</t>
        </is>
      </c>
      <c r="C11" s="199" t="inlineStr">
        <is>
          <t>Risk algorithm and UI dashboard finalized</t>
        </is>
      </c>
      <c r="D11" s="272" t="inlineStr">
        <is>
          <t>2026-04-01</t>
        </is>
      </c>
      <c r="E11" s="272" t="inlineStr"/>
      <c r="F11" s="199" t="inlineStr">
        <is>
          <t>Full product functionality achieved</t>
        </is>
      </c>
      <c r="G11" s="199" t="inlineStr">
        <is>
          <t>Core modules tested and approved</t>
        </is>
      </c>
      <c r="H11" s="199" t="inlineStr">
        <is>
          <t>UX review required</t>
        </is>
      </c>
    </row>
    <row r="12" ht="21.75" customHeight="1" s="189">
      <c r="A12" s="272" t="n">
        <v>6</v>
      </c>
      <c r="B12" s="199" t="inlineStr">
        <is>
          <t>QA Testing Complete</t>
        </is>
      </c>
      <c r="C12" s="199" t="inlineStr">
        <is>
          <t>All internal and beta testing cycles finished</t>
        </is>
      </c>
      <c r="D12" s="272" t="inlineStr">
        <is>
          <t>2026-04-30</t>
        </is>
      </c>
      <c r="E12" s="272" t="inlineStr"/>
      <c r="F12" s="199" t="inlineStr">
        <is>
          <t>Product meets quality standards</t>
        </is>
      </c>
      <c r="G12" s="199" t="inlineStr">
        <is>
          <t>Beta users available for testing</t>
        </is>
      </c>
      <c r="H12" s="199" t="inlineStr">
        <is>
          <t>All critical bugs resolved</t>
        </is>
      </c>
    </row>
    <row r="13" ht="21.75" customHeight="1" s="189">
      <c r="A13" s="272" t="n">
        <v>7</v>
      </c>
      <c r="B13" s="199" t="inlineStr">
        <is>
          <t>Project Closure</t>
        </is>
      </c>
      <c r="C13" s="199" t="inlineStr">
        <is>
          <t>Final delivery, documentation, sponsor sign-off</t>
        </is>
      </c>
      <c r="D13" s="272" t="inlineStr">
        <is>
          <t>2026-05-07</t>
        </is>
      </c>
      <c r="E13" s="272" t="inlineStr"/>
      <c r="F13" s="199" t="inlineStr">
        <is>
          <t>Successful handover to stakeholders</t>
        </is>
      </c>
      <c r="G13" s="199" t="inlineStr">
        <is>
          <t>All deliverables accepted</t>
        </is>
      </c>
      <c r="H13" s="199" t="inlineStr">
        <is>
          <t>Final report approved by sponsor</t>
        </is>
      </c>
    </row>
    <row r="14" ht="21.75" customHeight="1" s="189">
      <c r="A14" s="272" t="n">
        <v>8</v>
      </c>
      <c r="B14" s="199" t="n"/>
      <c r="C14" s="199" t="n"/>
      <c r="D14" s="272" t="n"/>
      <c r="E14" s="272" t="n"/>
      <c r="F14" s="199" t="n"/>
      <c r="G14" s="199" t="n"/>
      <c r="H14" s="199" t="n"/>
    </row>
    <row r="15" ht="21.75" customHeight="1" s="189">
      <c r="A15" s="272" t="n">
        <v>9</v>
      </c>
      <c r="B15" s="199" t="n"/>
      <c r="C15" s="199" t="n"/>
      <c r="D15" s="272" t="n"/>
      <c r="E15" s="272" t="n"/>
      <c r="F15" s="199" t="n"/>
      <c r="G15" s="199" t="n"/>
      <c r="H15" s="199" t="n"/>
    </row>
    <row r="16" ht="21.75" customHeight="1" s="189">
      <c r="A16" s="272" t="n">
        <v>10</v>
      </c>
      <c r="B16" s="199" t="n"/>
      <c r="C16" s="199" t="n"/>
      <c r="D16" s="272" t="n"/>
      <c r="E16" s="272" t="n"/>
      <c r="F16" s="199" t="n"/>
      <c r="G16" s="199" t="n"/>
      <c r="H16" s="199" t="n"/>
    </row>
    <row r="17" ht="21.75" customHeight="1" s="189">
      <c r="A17" s="272" t="n">
        <v>11</v>
      </c>
      <c r="B17" s="199" t="n"/>
      <c r="C17" s="199" t="n"/>
      <c r="D17" s="272" t="n"/>
      <c r="E17" s="272" t="n"/>
      <c r="F17" s="199" t="n"/>
      <c r="G17" s="199" t="n"/>
      <c r="H17" s="199" t="n"/>
    </row>
    <row r="18" ht="21.75" customHeight="1" s="189">
      <c r="A18" s="272" t="n">
        <v>12</v>
      </c>
      <c r="B18" s="199" t="n"/>
      <c r="C18" s="199" t="n"/>
      <c r="D18" s="272" t="n"/>
      <c r="E18" s="272" t="n"/>
      <c r="F18" s="199" t="n"/>
      <c r="G18" s="199" t="n"/>
      <c r="H18" s="199" t="n"/>
    </row>
    <row r="19" ht="21.75" customHeight="1" s="189">
      <c r="A19" s="272" t="n">
        <v>13</v>
      </c>
      <c r="B19" s="199" t="n"/>
      <c r="C19" s="199" t="n"/>
      <c r="D19" s="272" t="n"/>
      <c r="E19" s="272" t="n"/>
      <c r="F19" s="199" t="n"/>
      <c r="G19" s="199" t="n"/>
      <c r="H19" s="199" t="n"/>
    </row>
    <row r="20" ht="21.75" customHeight="1" s="189">
      <c r="A20" s="272" t="n">
        <v>14</v>
      </c>
      <c r="B20" s="199" t="n"/>
      <c r="C20" s="199" t="n"/>
      <c r="D20" s="272" t="n"/>
      <c r="E20" s="272" t="n"/>
      <c r="F20" s="199" t="n"/>
      <c r="G20" s="199" t="n"/>
      <c r="H20" s="199" t="n"/>
    </row>
    <row r="21" ht="21.75" customHeight="1" s="189">
      <c r="A21" s="272" t="n">
        <v>15</v>
      </c>
      <c r="B21" s="199" t="n"/>
      <c r="C21" s="199" t="n"/>
      <c r="D21" s="272" t="n"/>
      <c r="E21" s="272" t="n"/>
      <c r="F21" s="199" t="n"/>
      <c r="G21" s="199" t="n"/>
      <c r="H21" s="199" t="n"/>
    </row>
    <row r="22" ht="21.75" customHeight="1" s="189">
      <c r="A22" s="272" t="n"/>
      <c r="B22" s="199" t="n"/>
      <c r="C22" s="199" t="n"/>
      <c r="D22" s="272" t="n"/>
      <c r="E22" s="272" t="n"/>
      <c r="F22" s="199" t="n"/>
      <c r="G22" s="199" t="n"/>
      <c r="H22" s="199" t="n"/>
    </row>
    <row r="23" ht="21.75" customHeight="1" s="189">
      <c r="A23" s="289" t="n"/>
      <c r="B23" s="290" t="n"/>
      <c r="C23" s="290" t="n"/>
      <c r="D23" s="289" t="n"/>
      <c r="E23" s="289" t="n"/>
      <c r="F23" s="290" t="n"/>
      <c r="G23" s="290" t="n"/>
      <c r="H23" s="290" t="n"/>
    </row>
    <row r="24" ht="13" customHeight="1" s="189">
      <c r="A24" s="289" t="n"/>
      <c r="B24" s="290" t="n"/>
      <c r="C24" s="290" t="n"/>
      <c r="D24" s="289" t="n"/>
      <c r="E24" s="289" t="n"/>
      <c r="F24" s="290" t="n"/>
      <c r="G24" s="290" t="n"/>
      <c r="H24" s="201" t="inlineStr">
        <is>
          <t>© Global Knowledge Training LLC</t>
        </is>
      </c>
    </row>
    <row r="25" ht="21.75" customHeight="1" s="189">
      <c r="A25" s="289" t="n"/>
      <c r="B25" s="290" t="n"/>
      <c r="C25" s="290" t="n"/>
      <c r="D25" s="289" t="n"/>
      <c r="E25" s="289" t="n"/>
      <c r="F25" s="290" t="n"/>
      <c r="G25" s="290" t="n"/>
      <c r="H25" s="290" t="n"/>
    </row>
    <row r="26" ht="21.75" customHeight="1" s="189">
      <c r="A26" s="289" t="n"/>
      <c r="B26" s="290" t="n"/>
      <c r="C26" s="290" t="n"/>
      <c r="D26" s="289" t="n"/>
      <c r="E26" s="289" t="n"/>
      <c r="F26" s="290" t="n"/>
      <c r="G26" s="290" t="n"/>
      <c r="H26" s="290" t="n"/>
    </row>
    <row r="27" ht="13" customHeight="1" s="189">
      <c r="A27" s="289" t="n"/>
      <c r="B27" s="290" t="n"/>
      <c r="C27" s="290" t="n"/>
      <c r="D27" s="289" t="n"/>
      <c r="E27" s="289" t="n"/>
      <c r="F27" s="290" t="n"/>
      <c r="G27" s="290" t="n"/>
      <c r="H27" s="290" t="n"/>
    </row>
    <row r="28" ht="13" customHeight="1" s="189">
      <c r="A28" s="289" t="n"/>
      <c r="B28" s="290" t="n"/>
      <c r="C28" s="290" t="n"/>
      <c r="D28" s="289" t="n"/>
      <c r="E28" s="289" t="n"/>
      <c r="F28" s="290" t="n"/>
      <c r="G28" s="290" t="n"/>
      <c r="H28" s="290" t="n"/>
    </row>
    <row r="29" ht="13" customHeight="1" s="189">
      <c r="A29" s="289" t="n"/>
      <c r="B29" s="290" t="n"/>
      <c r="C29" s="290" t="n"/>
      <c r="D29" s="289" t="n"/>
      <c r="E29" s="289" t="n"/>
      <c r="F29" s="290" t="n"/>
      <c r="G29" s="290" t="n"/>
      <c r="H29" s="290" t="n"/>
    </row>
    <row r="30" ht="13" customHeight="1" s="189">
      <c r="A30" s="289" t="n"/>
      <c r="B30" s="290" t="n"/>
      <c r="C30" s="290" t="n"/>
      <c r="D30" s="289" t="n"/>
      <c r="E30" s="289" t="n"/>
      <c r="F30" s="290" t="n"/>
      <c r="G30" s="290" t="n"/>
      <c r="H30" s="290" t="n"/>
    </row>
    <row r="31" ht="13" customHeight="1" s="189">
      <c r="A31" s="289" t="n"/>
      <c r="B31" s="290" t="n"/>
      <c r="C31" s="290" t="n"/>
      <c r="D31" s="289" t="n"/>
      <c r="E31" s="289" t="n"/>
      <c r="F31" s="290" t="n"/>
      <c r="G31" s="290" t="n"/>
      <c r="H31" s="290" t="n"/>
    </row>
    <row r="32" ht="13" customHeight="1" s="189">
      <c r="A32" s="289" t="n"/>
      <c r="B32" s="290" t="n"/>
      <c r="C32" s="290" t="n"/>
      <c r="D32" s="289" t="n"/>
      <c r="E32" s="289" t="n"/>
      <c r="F32" s="290" t="n"/>
      <c r="G32" s="290" t="n"/>
      <c r="H32" s="290" t="n"/>
    </row>
    <row r="33" ht="13" customHeight="1" s="189">
      <c r="A33" s="289" t="n"/>
      <c r="B33" s="290" t="n"/>
      <c r="C33" s="290" t="n"/>
      <c r="D33" s="289" t="n"/>
      <c r="E33" s="289" t="n"/>
      <c r="F33" s="290" t="n"/>
      <c r="G33" s="290" t="n"/>
      <c r="H33" s="290" t="n"/>
    </row>
    <row r="34" ht="13" customHeight="1" s="189">
      <c r="A34" s="289" t="n"/>
      <c r="B34" s="290" t="n"/>
      <c r="C34" s="290" t="n"/>
      <c r="D34" s="289" t="n"/>
      <c r="E34" s="289" t="n"/>
      <c r="F34" s="290" t="n"/>
      <c r="G34" s="290" t="n"/>
      <c r="H34" s="290" t="n"/>
    </row>
    <row r="35" ht="13" customHeight="1" s="189">
      <c r="A35" s="289" t="n"/>
      <c r="B35" s="290" t="n"/>
      <c r="C35" s="290" t="n"/>
      <c r="D35" s="289" t="n"/>
      <c r="E35" s="289" t="n"/>
      <c r="F35" s="290" t="n"/>
      <c r="G35" s="290" t="n"/>
      <c r="H35" s="290" t="n"/>
    </row>
    <row r="36" ht="13" customHeight="1" s="189">
      <c r="A36" s="289" t="n"/>
      <c r="B36" s="290" t="n"/>
      <c r="C36" s="290" t="n"/>
      <c r="D36" s="289" t="n"/>
      <c r="E36" s="289" t="n"/>
      <c r="F36" s="290" t="n"/>
      <c r="G36" s="290" t="n"/>
      <c r="H36" s="290" t="n"/>
    </row>
    <row r="37" ht="13" customHeight="1" s="189">
      <c r="A37" s="289" t="n"/>
      <c r="B37" s="290" t="n"/>
      <c r="C37" s="290" t="n"/>
      <c r="D37" s="289" t="n"/>
      <c r="E37" s="289" t="n"/>
      <c r="F37" s="290" t="n"/>
      <c r="G37" s="290" t="n"/>
      <c r="H37" s="290" t="n"/>
    </row>
    <row r="38" ht="13" customHeight="1" s="189">
      <c r="A38" s="289" t="n"/>
      <c r="B38" s="290" t="n"/>
      <c r="C38" s="290" t="n"/>
      <c r="D38" s="289" t="n"/>
      <c r="E38" s="289" t="n"/>
      <c r="F38" s="290" t="n"/>
      <c r="G38" s="290" t="n"/>
      <c r="H38" s="290" t="n"/>
    </row>
    <row r="39" ht="13" customHeight="1" s="189">
      <c r="A39" s="289" t="n"/>
      <c r="B39" s="290" t="n"/>
      <c r="C39" s="290" t="n"/>
      <c r="D39" s="289" t="n"/>
      <c r="E39" s="289" t="n"/>
      <c r="F39" s="290" t="n"/>
      <c r="G39" s="290" t="n"/>
      <c r="H39" s="290" t="n"/>
    </row>
    <row r="40" ht="13" customHeight="1" s="189">
      <c r="A40" s="289" t="n"/>
      <c r="B40" s="290" t="n"/>
      <c r="C40" s="290" t="n"/>
      <c r="D40" s="289" t="n"/>
      <c r="E40" s="289" t="n"/>
      <c r="F40" s="290" t="n"/>
      <c r="G40" s="290" t="n"/>
      <c r="H40" s="290" t="n"/>
    </row>
    <row r="41" ht="13" customHeight="1" s="189">
      <c r="A41" s="289" t="n"/>
      <c r="B41" s="290" t="n"/>
      <c r="C41" s="290" t="n"/>
      <c r="D41" s="289" t="n"/>
      <c r="E41" s="289" t="n"/>
      <c r="F41" s="290" t="n"/>
      <c r="G41" s="290" t="n"/>
      <c r="H41" s="290" t="n"/>
    </row>
    <row r="42" ht="13" customHeight="1" s="189">
      <c r="A42" s="289" t="n"/>
      <c r="B42" s="290" t="n"/>
      <c r="C42" s="290" t="n"/>
      <c r="D42" s="289" t="n"/>
      <c r="E42" s="289" t="n"/>
      <c r="F42" s="290" t="n"/>
      <c r="G42" s="290" t="n"/>
      <c r="H42" s="290" t="n"/>
    </row>
    <row r="43" ht="13" customHeight="1" s="189">
      <c r="A43" s="289" t="n"/>
      <c r="B43" s="290" t="n"/>
      <c r="C43" s="290" t="n"/>
      <c r="D43" s="289" t="n"/>
      <c r="E43" s="289" t="n"/>
      <c r="F43" s="290" t="n"/>
      <c r="G43" s="290" t="n"/>
      <c r="H43" s="290" t="n"/>
    </row>
    <row r="44" ht="13" customHeight="1" s="189">
      <c r="A44" s="289" t="n"/>
      <c r="B44" s="290" t="n"/>
      <c r="C44" s="290" t="n"/>
      <c r="D44" s="289" t="n"/>
      <c r="E44" s="289" t="n"/>
      <c r="F44" s="290" t="n"/>
      <c r="G44" s="290" t="n"/>
      <c r="H44" s="290" t="n"/>
    </row>
    <row r="45" ht="13" customHeight="1" s="189">
      <c r="A45" s="289" t="n"/>
      <c r="B45" s="290" t="n"/>
      <c r="C45" s="290" t="n"/>
      <c r="D45" s="289" t="n"/>
      <c r="E45" s="289" t="n"/>
      <c r="F45" s="290" t="n"/>
      <c r="G45" s="290" t="n"/>
      <c r="H45" s="290" t="n"/>
    </row>
    <row r="46" ht="13" customHeight="1" s="189">
      <c r="A46" s="289" t="n"/>
      <c r="B46" s="290" t="n"/>
      <c r="C46" s="290" t="n"/>
      <c r="D46" s="289" t="n"/>
      <c r="E46" s="289" t="n"/>
      <c r="F46" s="290" t="n"/>
      <c r="G46" s="290" t="n"/>
      <c r="H46" s="290" t="n"/>
    </row>
    <row r="47" ht="13" customHeight="1" s="189">
      <c r="A47" s="289" t="n"/>
      <c r="B47" s="290" t="n"/>
      <c r="C47" s="290" t="n"/>
      <c r="D47" s="289" t="n"/>
      <c r="E47" s="289" t="n"/>
      <c r="F47" s="290" t="n"/>
      <c r="G47" s="290" t="n"/>
      <c r="H47" s="290" t="n"/>
    </row>
    <row r="48" ht="13" customHeight="1" s="189">
      <c r="A48" s="289" t="n"/>
      <c r="B48" s="290" t="n"/>
      <c r="C48" s="290" t="n"/>
      <c r="D48" s="289" t="n"/>
      <c r="E48" s="289" t="n"/>
      <c r="F48" s="290" t="n"/>
      <c r="G48" s="290" t="n"/>
      <c r="H48" s="290" t="n"/>
    </row>
    <row r="49" ht="13" customHeight="1" s="189">
      <c r="A49" s="289" t="n"/>
      <c r="B49" s="290" t="n"/>
      <c r="C49" s="290" t="n"/>
      <c r="D49" s="289" t="n"/>
      <c r="E49" s="289" t="n"/>
      <c r="F49" s="290" t="n"/>
      <c r="G49" s="290" t="n"/>
      <c r="H49" s="290" t="n"/>
    </row>
    <row r="50" ht="13" customHeight="1" s="189">
      <c r="A50" s="289" t="n"/>
      <c r="B50" s="290" t="n"/>
      <c r="C50" s="290" t="n"/>
      <c r="D50" s="289" t="n"/>
      <c r="E50" s="289" t="n"/>
      <c r="F50" s="290" t="n"/>
      <c r="G50" s="290" t="n"/>
      <c r="H50" s="290" t="n"/>
    </row>
    <row r="51" ht="13" customHeight="1" s="189">
      <c r="A51" s="289" t="n"/>
      <c r="B51" s="290" t="n"/>
      <c r="C51" s="290" t="n"/>
      <c r="D51" s="289" t="n"/>
      <c r="E51" s="289" t="n"/>
      <c r="F51" s="290" t="n"/>
      <c r="G51" s="290" t="n"/>
      <c r="H51" s="290" t="n"/>
    </row>
    <row r="52" ht="13" customHeight="1" s="189">
      <c r="A52" s="289" t="n"/>
      <c r="B52" s="290" t="n"/>
      <c r="C52" s="290" t="n"/>
      <c r="D52" s="289" t="n"/>
      <c r="E52" s="289" t="n"/>
      <c r="F52" s="290" t="n"/>
      <c r="G52" s="290" t="n"/>
      <c r="H52" s="290" t="n"/>
    </row>
    <row r="53" ht="13" customHeight="1" s="189">
      <c r="A53" s="289" t="n"/>
      <c r="B53" s="290" t="n"/>
      <c r="C53" s="290" t="n"/>
      <c r="D53" s="289" t="n"/>
      <c r="E53" s="289" t="n"/>
      <c r="F53" s="290" t="n"/>
      <c r="G53" s="290" t="n"/>
      <c r="H53" s="290" t="n"/>
    </row>
    <row r="54" ht="13" customHeight="1" s="189">
      <c r="A54" s="289" t="n"/>
      <c r="B54" s="290" t="n"/>
      <c r="C54" s="290" t="n"/>
      <c r="D54" s="289" t="n"/>
      <c r="E54" s="289" t="n"/>
      <c r="F54" s="290" t="n"/>
      <c r="G54" s="290" t="n"/>
      <c r="H54" s="290" t="n"/>
    </row>
    <row r="55" ht="13" customHeight="1" s="189">
      <c r="A55" s="289" t="n"/>
      <c r="B55" s="290" t="n"/>
      <c r="C55" s="290" t="n"/>
      <c r="D55" s="289" t="n"/>
      <c r="E55" s="289" t="n"/>
      <c r="F55" s="290" t="n"/>
      <c r="G55" s="290" t="n"/>
      <c r="H55" s="290" t="n"/>
    </row>
    <row r="56" ht="13" customHeight="1" s="189">
      <c r="A56" s="289" t="n"/>
      <c r="B56" s="290" t="n"/>
      <c r="C56" s="290" t="n"/>
      <c r="D56" s="289" t="n"/>
      <c r="E56" s="289" t="n"/>
      <c r="F56" s="290" t="n"/>
      <c r="G56" s="290" t="n"/>
      <c r="H56" s="290" t="n"/>
    </row>
    <row r="57" ht="13" customHeight="1" s="189">
      <c r="A57" s="289" t="n"/>
      <c r="B57" s="290" t="n"/>
      <c r="C57" s="290" t="n"/>
      <c r="D57" s="289" t="n"/>
      <c r="E57" s="289" t="n"/>
      <c r="F57" s="290" t="n"/>
      <c r="G57" s="290" t="n"/>
      <c r="H57" s="290" t="n"/>
    </row>
    <row r="58" ht="13" customHeight="1" s="189">
      <c r="A58" s="289" t="n"/>
      <c r="B58" s="290" t="n"/>
      <c r="C58" s="290" t="n"/>
      <c r="D58" s="289" t="n"/>
      <c r="E58" s="289" t="n"/>
      <c r="F58" s="290" t="n"/>
      <c r="G58" s="290" t="n"/>
      <c r="H58" s="290" t="n"/>
    </row>
    <row r="59" ht="13" customHeight="1" s="189">
      <c r="A59" s="289" t="n"/>
      <c r="B59" s="290" t="n"/>
      <c r="C59" s="290" t="n"/>
      <c r="D59" s="289" t="n"/>
      <c r="E59" s="289" t="n"/>
      <c r="F59" s="290" t="n"/>
      <c r="G59" s="290" t="n"/>
      <c r="H59" s="290" t="n"/>
    </row>
    <row r="60" ht="13" customHeight="1" s="189">
      <c r="A60" s="289" t="n"/>
      <c r="B60" s="290" t="n"/>
      <c r="C60" s="290" t="n"/>
      <c r="D60" s="289" t="n"/>
      <c r="E60" s="289" t="n"/>
      <c r="F60" s="290" t="n"/>
      <c r="G60" s="290" t="n"/>
      <c r="H60" s="290" t="n"/>
    </row>
    <row r="61" ht="13" customHeight="1" s="189">
      <c r="A61" s="289" t="n"/>
      <c r="B61" s="290" t="n"/>
      <c r="C61" s="290" t="n"/>
      <c r="D61" s="289" t="n"/>
      <c r="E61" s="289" t="n"/>
      <c r="F61" s="290" t="n"/>
      <c r="G61" s="290" t="n"/>
      <c r="H61" s="290" t="n"/>
    </row>
    <row r="62" ht="13" customHeight="1" s="189">
      <c r="A62" s="289" t="n"/>
      <c r="B62" s="290" t="n"/>
      <c r="C62" s="290" t="n"/>
      <c r="D62" s="289" t="n"/>
      <c r="E62" s="289" t="n"/>
      <c r="F62" s="290" t="n"/>
      <c r="G62" s="290" t="n"/>
      <c r="H62" s="290" t="n"/>
    </row>
    <row r="63" ht="13" customHeight="1" s="189">
      <c r="A63" s="289" t="n"/>
      <c r="B63" s="290" t="n"/>
      <c r="C63" s="290" t="n"/>
      <c r="D63" s="289" t="n"/>
      <c r="E63" s="289" t="n"/>
      <c r="F63" s="290" t="n"/>
      <c r="G63" s="290" t="n"/>
      <c r="H63" s="290" t="n"/>
    </row>
    <row r="64" ht="13" customHeight="1" s="189">
      <c r="A64" s="289" t="n"/>
      <c r="B64" s="290" t="n"/>
      <c r="C64" s="290" t="n"/>
      <c r="D64" s="289" t="n"/>
      <c r="E64" s="289" t="n"/>
      <c r="F64" s="290" t="n"/>
      <c r="G64" s="290" t="n"/>
      <c r="H64" s="290" t="n"/>
    </row>
    <row r="65" ht="13" customHeight="1" s="189">
      <c r="A65" s="289" t="n"/>
      <c r="B65" s="290" t="n"/>
      <c r="C65" s="290" t="n"/>
      <c r="D65" s="289" t="n"/>
      <c r="E65" s="289" t="n"/>
      <c r="F65" s="290" t="n"/>
      <c r="G65" s="290" t="n"/>
      <c r="H65" s="290" t="n"/>
    </row>
    <row r="66" ht="13" customHeight="1" s="189">
      <c r="A66" s="289" t="n"/>
      <c r="B66" s="290" t="n"/>
      <c r="C66" s="290" t="n"/>
      <c r="D66" s="289" t="n"/>
      <c r="E66" s="289" t="n"/>
      <c r="F66" s="290" t="n"/>
      <c r="G66" s="290" t="n"/>
      <c r="H66" s="290" t="n"/>
    </row>
    <row r="67" ht="13" customHeight="1" s="189">
      <c r="A67" s="289" t="n"/>
      <c r="B67" s="290" t="n"/>
      <c r="C67" s="290" t="n"/>
      <c r="D67" s="289" t="n"/>
      <c r="E67" s="289" t="n"/>
      <c r="F67" s="290" t="n"/>
      <c r="G67" s="290" t="n"/>
      <c r="H67" s="290" t="n"/>
    </row>
    <row r="68" ht="13" customHeight="1" s="189">
      <c r="A68" s="289" t="n"/>
      <c r="B68" s="290" t="n"/>
      <c r="C68" s="290" t="n"/>
      <c r="D68" s="289" t="n"/>
      <c r="E68" s="289" t="n"/>
      <c r="F68" s="290" t="n"/>
      <c r="G68" s="290" t="n"/>
      <c r="H68" s="290" t="n"/>
    </row>
    <row r="69" ht="13" customHeight="1" s="189">
      <c r="A69" s="289" t="n"/>
      <c r="B69" s="290" t="n"/>
      <c r="C69" s="290" t="n"/>
      <c r="D69" s="289" t="n"/>
      <c r="E69" s="289" t="n"/>
      <c r="F69" s="290" t="n"/>
      <c r="G69" s="290" t="n"/>
      <c r="H69" s="290" t="n"/>
    </row>
    <row r="70" ht="13" customHeight="1" s="189">
      <c r="A70" s="289" t="n"/>
      <c r="B70" s="290" t="n"/>
      <c r="C70" s="290" t="n"/>
      <c r="D70" s="289" t="n"/>
      <c r="E70" s="289" t="n"/>
      <c r="F70" s="290" t="n"/>
      <c r="G70" s="290" t="n"/>
      <c r="H70" s="290" t="n"/>
    </row>
    <row r="71" ht="13" customHeight="1" s="189">
      <c r="A71" s="289" t="n"/>
      <c r="B71" s="290" t="n"/>
      <c r="C71" s="290" t="n"/>
      <c r="D71" s="289" t="n"/>
      <c r="E71" s="289" t="n"/>
      <c r="F71" s="290" t="n"/>
      <c r="G71" s="290" t="n"/>
      <c r="H71" s="290" t="n"/>
    </row>
    <row r="72" ht="13" customHeight="1" s="189">
      <c r="A72" s="289" t="n"/>
      <c r="B72" s="290" t="n"/>
      <c r="C72" s="290" t="n"/>
      <c r="D72" s="289" t="n"/>
      <c r="E72" s="289" t="n"/>
      <c r="F72" s="290" t="n"/>
      <c r="G72" s="290" t="n"/>
      <c r="H72" s="290" t="n"/>
    </row>
    <row r="73" ht="13" customHeight="1" s="189">
      <c r="A73" s="289" t="n"/>
      <c r="B73" s="290" t="n"/>
      <c r="C73" s="290" t="n"/>
      <c r="D73" s="289" t="n"/>
      <c r="E73" s="289" t="n"/>
      <c r="F73" s="290" t="n"/>
      <c r="G73" s="290" t="n"/>
      <c r="H73" s="290" t="n"/>
    </row>
    <row r="74" ht="13" customHeight="1" s="189">
      <c r="A74" s="289" t="n"/>
      <c r="B74" s="290" t="n"/>
      <c r="C74" s="290" t="n"/>
      <c r="D74" s="289" t="n"/>
      <c r="E74" s="289" t="n"/>
      <c r="F74" s="290" t="n"/>
      <c r="G74" s="290" t="n"/>
      <c r="H74" s="290" t="n"/>
    </row>
    <row r="75" ht="13" customHeight="1" s="189">
      <c r="A75" s="289" t="n"/>
      <c r="B75" s="290" t="n"/>
      <c r="C75" s="290" t="n"/>
      <c r="D75" s="289" t="n"/>
      <c r="E75" s="289" t="n"/>
      <c r="F75" s="290" t="n"/>
      <c r="G75" s="290" t="n"/>
      <c r="H75" s="290" t="n"/>
    </row>
    <row r="76" ht="13" customHeight="1" s="189">
      <c r="A76" s="289" t="n"/>
      <c r="B76" s="290" t="n"/>
      <c r="C76" s="290" t="n"/>
      <c r="D76" s="289" t="n"/>
      <c r="E76" s="289" t="n"/>
      <c r="F76" s="290" t="n"/>
      <c r="G76" s="290" t="n"/>
      <c r="H76" s="290" t="n"/>
    </row>
    <row r="77" ht="13" customHeight="1" s="189">
      <c r="A77" s="289" t="n"/>
      <c r="B77" s="290" t="n"/>
      <c r="C77" s="290" t="n"/>
      <c r="D77" s="289" t="n"/>
      <c r="E77" s="289" t="n"/>
      <c r="F77" s="290" t="n"/>
      <c r="G77" s="290" t="n"/>
      <c r="H77" s="290" t="n"/>
    </row>
    <row r="78" ht="13" customHeight="1" s="189">
      <c r="A78" s="289" t="n"/>
      <c r="B78" s="290" t="n"/>
      <c r="C78" s="290" t="n"/>
      <c r="D78" s="289" t="n"/>
      <c r="E78" s="289" t="n"/>
      <c r="F78" s="290" t="n"/>
      <c r="G78" s="290" t="n"/>
      <c r="H78" s="290" t="n"/>
    </row>
    <row r="79" ht="13" customHeight="1" s="189">
      <c r="A79" s="289" t="n"/>
      <c r="B79" s="290" t="n"/>
      <c r="C79" s="290" t="n"/>
      <c r="D79" s="289" t="n"/>
      <c r="E79" s="289" t="n"/>
      <c r="F79" s="290" t="n"/>
      <c r="G79" s="290" t="n"/>
      <c r="H79" s="290" t="n"/>
    </row>
    <row r="80" ht="13" customHeight="1" s="189">
      <c r="A80" s="289" t="n"/>
      <c r="B80" s="290" t="n"/>
      <c r="C80" s="290" t="n"/>
      <c r="D80" s="289" t="n"/>
      <c r="E80" s="289" t="n"/>
      <c r="F80" s="290" t="n"/>
      <c r="G80" s="290" t="n"/>
      <c r="H80" s="290" t="n"/>
    </row>
    <row r="81" ht="13" customHeight="1" s="189">
      <c r="A81" s="289" t="n"/>
      <c r="B81" s="290" t="n"/>
      <c r="C81" s="290" t="n"/>
      <c r="D81" s="289" t="n"/>
      <c r="E81" s="289" t="n"/>
      <c r="F81" s="290" t="n"/>
      <c r="G81" s="290" t="n"/>
      <c r="H81" s="290" t="n"/>
    </row>
    <row r="82" ht="13" customHeight="1" s="189">
      <c r="A82" s="289" t="n"/>
      <c r="B82" s="290" t="n"/>
      <c r="C82" s="290" t="n"/>
      <c r="D82" s="289" t="n"/>
      <c r="E82" s="289" t="n"/>
      <c r="F82" s="290" t="n"/>
      <c r="G82" s="290" t="n"/>
      <c r="H82" s="290" t="n"/>
    </row>
    <row r="83" ht="13" customHeight="1" s="189">
      <c r="A83" s="289" t="n"/>
      <c r="B83" s="290" t="n"/>
      <c r="C83" s="290" t="n"/>
      <c r="D83" s="289" t="n"/>
      <c r="E83" s="289" t="n"/>
      <c r="F83" s="290" t="n"/>
      <c r="G83" s="290" t="n"/>
      <c r="H83" s="290" t="n"/>
    </row>
    <row r="84" ht="13" customHeight="1" s="189">
      <c r="A84" s="289" t="n"/>
      <c r="B84" s="290" t="n"/>
      <c r="C84" s="290" t="n"/>
      <c r="D84" s="289" t="n"/>
      <c r="E84" s="289" t="n"/>
      <c r="F84" s="290" t="n"/>
      <c r="G84" s="290" t="n"/>
      <c r="H84" s="290" t="n"/>
    </row>
    <row r="85" ht="13" customHeight="1" s="189">
      <c r="A85" s="289" t="n"/>
      <c r="B85" s="290" t="n"/>
      <c r="C85" s="290" t="n"/>
      <c r="D85" s="289" t="n"/>
      <c r="E85" s="289" t="n"/>
      <c r="F85" s="290" t="n"/>
      <c r="G85" s="290" t="n"/>
      <c r="H85" s="290" t="n"/>
    </row>
    <row r="86" ht="13" customHeight="1" s="189">
      <c r="A86" s="289" t="n"/>
      <c r="B86" s="290" t="n"/>
      <c r="C86" s="290" t="n"/>
      <c r="D86" s="289" t="n"/>
      <c r="E86" s="289" t="n"/>
      <c r="F86" s="290" t="n"/>
      <c r="G86" s="290" t="n"/>
      <c r="H86" s="290" t="n"/>
    </row>
    <row r="87" ht="13" customHeight="1" s="189">
      <c r="A87" s="289" t="n"/>
      <c r="B87" s="290" t="n"/>
      <c r="C87" s="290" t="n"/>
      <c r="D87" s="289" t="n"/>
      <c r="E87" s="289" t="n"/>
      <c r="F87" s="290" t="n"/>
      <c r="G87" s="290" t="n"/>
      <c r="H87" s="290" t="n"/>
    </row>
    <row r="88" ht="13" customHeight="1" s="189">
      <c r="A88" s="289" t="n"/>
      <c r="B88" s="290" t="n"/>
      <c r="C88" s="290" t="n"/>
      <c r="D88" s="289" t="n"/>
      <c r="E88" s="289" t="n"/>
      <c r="F88" s="290" t="n"/>
      <c r="G88" s="290" t="n"/>
      <c r="H88" s="290" t="n"/>
    </row>
    <row r="89" ht="13" customHeight="1" s="189">
      <c r="A89" s="289" t="n"/>
      <c r="B89" s="290" t="n"/>
      <c r="C89" s="290" t="n"/>
      <c r="D89" s="289" t="n"/>
      <c r="E89" s="289" t="n"/>
      <c r="F89" s="290" t="n"/>
      <c r="G89" s="290" t="n"/>
      <c r="H89" s="290" t="n"/>
    </row>
    <row r="90" ht="13" customHeight="1" s="189">
      <c r="A90" s="289" t="n"/>
      <c r="B90" s="290" t="n"/>
      <c r="C90" s="290" t="n"/>
      <c r="D90" s="289" t="n"/>
      <c r="E90" s="289" t="n"/>
      <c r="F90" s="290" t="n"/>
      <c r="G90" s="290" t="n"/>
      <c r="H90" s="290" t="n"/>
    </row>
    <row r="91" ht="13" customHeight="1" s="189">
      <c r="A91" s="289" t="n"/>
      <c r="B91" s="290" t="n"/>
      <c r="C91" s="290" t="n"/>
      <c r="D91" s="289" t="n"/>
      <c r="E91" s="289" t="n"/>
      <c r="F91" s="290" t="n"/>
      <c r="G91" s="290" t="n"/>
      <c r="H91" s="290" t="n"/>
    </row>
    <row r="92" ht="13" customHeight="1" s="189">
      <c r="A92" s="289" t="n"/>
      <c r="B92" s="290" t="n"/>
      <c r="C92" s="290" t="n"/>
      <c r="D92" s="289" t="n"/>
      <c r="E92" s="289" t="n"/>
      <c r="F92" s="290" t="n"/>
      <c r="G92" s="290" t="n"/>
      <c r="H92" s="290" t="n"/>
    </row>
    <row r="93" ht="13" customHeight="1" s="189">
      <c r="A93" s="289" t="n"/>
      <c r="B93" s="290" t="n"/>
      <c r="C93" s="290" t="n"/>
      <c r="D93" s="289" t="n"/>
      <c r="E93" s="289" t="n"/>
      <c r="F93" s="290" t="n"/>
      <c r="G93" s="290" t="n"/>
      <c r="H93" s="290" t="n"/>
    </row>
    <row r="94" ht="13" customHeight="1" s="189">
      <c r="A94" s="289" t="n"/>
      <c r="B94" s="290" t="n"/>
      <c r="C94" s="290" t="n"/>
      <c r="D94" s="289" t="n"/>
      <c r="E94" s="289" t="n"/>
      <c r="F94" s="290" t="n"/>
      <c r="G94" s="290" t="n"/>
      <c r="H94" s="290" t="n"/>
    </row>
    <row r="95" ht="13" customHeight="1" s="189">
      <c r="A95" s="289" t="n"/>
      <c r="B95" s="290" t="n"/>
      <c r="C95" s="290" t="n"/>
      <c r="D95" s="289" t="n"/>
      <c r="E95" s="289" t="n"/>
      <c r="F95" s="290" t="n"/>
      <c r="G95" s="290" t="n"/>
      <c r="H95" s="290" t="n"/>
    </row>
    <row r="96" ht="13" customHeight="1" s="189">
      <c r="A96" s="289" t="n"/>
      <c r="B96" s="290" t="n"/>
      <c r="C96" s="290" t="n"/>
      <c r="D96" s="289" t="n"/>
      <c r="E96" s="289" t="n"/>
      <c r="F96" s="290" t="n"/>
      <c r="G96" s="290" t="n"/>
      <c r="H96" s="290" t="n"/>
    </row>
    <row r="97" ht="13" customHeight="1" s="189">
      <c r="A97" s="289" t="n"/>
      <c r="B97" s="290" t="n"/>
      <c r="C97" s="290" t="n"/>
      <c r="D97" s="289" t="n"/>
      <c r="E97" s="289" t="n"/>
      <c r="F97" s="290" t="n"/>
      <c r="G97" s="290" t="n"/>
      <c r="H97" s="290" t="n"/>
    </row>
    <row r="98" ht="13" customHeight="1" s="189">
      <c r="A98" s="289" t="n"/>
      <c r="B98" s="290" t="n"/>
      <c r="C98" s="290" t="n"/>
      <c r="D98" s="289" t="n"/>
      <c r="E98" s="289" t="n"/>
      <c r="F98" s="290" t="n"/>
      <c r="G98" s="290" t="n"/>
      <c r="H98" s="290" t="n"/>
    </row>
    <row r="99" ht="13" customHeight="1" s="189">
      <c r="A99" s="289" t="n"/>
      <c r="B99" s="290" t="n"/>
      <c r="C99" s="290" t="n"/>
      <c r="D99" s="289" t="n"/>
      <c r="E99" s="289" t="n"/>
      <c r="F99" s="290" t="n"/>
      <c r="G99" s="290" t="n"/>
      <c r="H99" s="290" t="n"/>
    </row>
    <row r="100" ht="13" customHeight="1" s="189">
      <c r="A100" s="289" t="n"/>
      <c r="B100" s="290" t="n"/>
      <c r="C100" s="290" t="n"/>
      <c r="D100" s="289" t="n"/>
      <c r="E100" s="289" t="n"/>
      <c r="F100" s="290" t="n"/>
      <c r="G100" s="290" t="n"/>
      <c r="H100" s="290" t="n"/>
    </row>
    <row r="101" ht="13" customHeight="1" s="189">
      <c r="A101" s="289" t="n"/>
      <c r="B101" s="290" t="n"/>
      <c r="C101" s="290" t="n"/>
      <c r="D101" s="289" t="n"/>
      <c r="E101" s="289" t="n"/>
      <c r="F101" s="290" t="n"/>
      <c r="G101" s="290" t="n"/>
      <c r="H101" s="290" t="n"/>
    </row>
    <row r="102" ht="13" customHeight="1" s="189">
      <c r="A102" s="289" t="n"/>
      <c r="B102" s="290" t="n"/>
      <c r="C102" s="290" t="n"/>
      <c r="D102" s="289" t="n"/>
      <c r="E102" s="289" t="n"/>
      <c r="F102" s="290" t="n"/>
      <c r="G102" s="290" t="n"/>
      <c r="H102" s="290" t="n"/>
    </row>
    <row r="103" ht="13" customHeight="1" s="189">
      <c r="A103" s="289" t="n"/>
      <c r="B103" s="290" t="n"/>
      <c r="C103" s="290" t="n"/>
      <c r="D103" s="289" t="n"/>
      <c r="E103" s="289" t="n"/>
      <c r="F103" s="290" t="n"/>
      <c r="G103" s="290" t="n"/>
      <c r="H103" s="290" t="n"/>
    </row>
    <row r="104" ht="13" customHeight="1" s="189">
      <c r="A104" s="289" t="n"/>
      <c r="B104" s="290" t="n"/>
      <c r="C104" s="290" t="n"/>
      <c r="D104" s="289" t="n"/>
      <c r="E104" s="289" t="n"/>
      <c r="F104" s="290" t="n"/>
      <c r="G104" s="290" t="n"/>
      <c r="H104" s="290" t="n"/>
    </row>
    <row r="105" ht="13" customHeight="1" s="189">
      <c r="A105" s="289" t="n"/>
      <c r="B105" s="290" t="n"/>
      <c r="C105" s="290" t="n"/>
      <c r="D105" s="289" t="n"/>
      <c r="E105" s="289" t="n"/>
      <c r="F105" s="290" t="n"/>
      <c r="G105" s="290" t="n"/>
      <c r="H105" s="290" t="n"/>
    </row>
    <row r="106" ht="13" customHeight="1" s="189">
      <c r="A106" s="289" t="n"/>
      <c r="B106" s="290" t="n"/>
      <c r="C106" s="290" t="n"/>
      <c r="D106" s="289" t="n"/>
      <c r="E106" s="289" t="n"/>
      <c r="F106" s="290" t="n"/>
      <c r="G106" s="290" t="n"/>
      <c r="H106" s="290" t="n"/>
    </row>
    <row r="107" ht="13" customHeight="1" s="189">
      <c r="A107" s="289" t="n"/>
      <c r="B107" s="290" t="n"/>
      <c r="C107" s="290" t="n"/>
      <c r="D107" s="289" t="n"/>
      <c r="E107" s="289" t="n"/>
      <c r="F107" s="290" t="n"/>
      <c r="G107" s="290" t="n"/>
      <c r="H107" s="290" t="n"/>
    </row>
    <row r="108" ht="13" customHeight="1" s="189">
      <c r="A108" s="289" t="n"/>
      <c r="B108" s="290" t="n"/>
      <c r="C108" s="290" t="n"/>
      <c r="D108" s="289" t="n"/>
      <c r="E108" s="289" t="n"/>
      <c r="F108" s="290" t="n"/>
      <c r="G108" s="290" t="n"/>
      <c r="H108" s="290" t="n"/>
    </row>
    <row r="109" ht="13" customHeight="1" s="189">
      <c r="A109" s="289" t="n"/>
      <c r="B109" s="290" t="n"/>
      <c r="C109" s="290" t="n"/>
      <c r="D109" s="289" t="n"/>
      <c r="E109" s="289" t="n"/>
      <c r="F109" s="290" t="n"/>
      <c r="G109" s="290" t="n"/>
      <c r="H109" s="290" t="n"/>
    </row>
    <row r="110" ht="13" customHeight="1" s="189">
      <c r="A110" s="289" t="n"/>
      <c r="B110" s="290" t="n"/>
      <c r="C110" s="290" t="n"/>
      <c r="D110" s="289" t="n"/>
      <c r="E110" s="289" t="n"/>
      <c r="F110" s="290" t="n"/>
      <c r="G110" s="290" t="n"/>
      <c r="H110" s="290" t="n"/>
    </row>
    <row r="111" ht="13" customHeight="1" s="189">
      <c r="A111" s="289" t="n"/>
      <c r="B111" s="290" t="n"/>
      <c r="C111" s="290" t="n"/>
      <c r="D111" s="289" t="n"/>
      <c r="E111" s="289" t="n"/>
      <c r="F111" s="290" t="n"/>
      <c r="G111" s="290" t="n"/>
      <c r="H111" s="290" t="n"/>
    </row>
    <row r="112" ht="13" customHeight="1" s="189">
      <c r="A112" s="289" t="n"/>
      <c r="B112" s="290" t="n"/>
      <c r="C112" s="290" t="n"/>
      <c r="D112" s="289" t="n"/>
      <c r="E112" s="289" t="n"/>
      <c r="F112" s="290" t="n"/>
      <c r="G112" s="290" t="n"/>
      <c r="H112" s="290" t="n"/>
    </row>
    <row r="113" ht="13" customHeight="1" s="189">
      <c r="A113" s="289" t="n"/>
      <c r="B113" s="290" t="n"/>
      <c r="C113" s="290" t="n"/>
      <c r="D113" s="289" t="n"/>
      <c r="E113" s="289" t="n"/>
      <c r="F113" s="290" t="n"/>
      <c r="G113" s="290" t="n"/>
      <c r="H113" s="290" t="n"/>
    </row>
    <row r="114" ht="13" customHeight="1" s="189">
      <c r="A114" s="289" t="n"/>
      <c r="B114" s="290" t="n"/>
      <c r="C114" s="290" t="n"/>
      <c r="D114" s="289" t="n"/>
      <c r="E114" s="289" t="n"/>
      <c r="F114" s="290" t="n"/>
      <c r="G114" s="290" t="n"/>
      <c r="H114" s="290" t="n"/>
    </row>
    <row r="115" ht="13" customHeight="1" s="189">
      <c r="A115" s="289" t="n"/>
      <c r="B115" s="290" t="n"/>
      <c r="C115" s="290" t="n"/>
      <c r="D115" s="289" t="n"/>
      <c r="E115" s="289" t="n"/>
      <c r="F115" s="290" t="n"/>
      <c r="G115" s="290" t="n"/>
      <c r="H115" s="290" t="n"/>
    </row>
    <row r="116" ht="13" customHeight="1" s="189">
      <c r="A116" s="289" t="n"/>
      <c r="B116" s="290" t="n"/>
      <c r="C116" s="290" t="n"/>
      <c r="D116" s="289" t="n"/>
      <c r="E116" s="289" t="n"/>
      <c r="F116" s="290" t="n"/>
      <c r="G116" s="290" t="n"/>
      <c r="H116" s="290" t="n"/>
    </row>
    <row r="117" ht="13" customHeight="1" s="189">
      <c r="A117" s="289" t="n"/>
      <c r="B117" s="290" t="n"/>
      <c r="C117" s="290" t="n"/>
      <c r="D117" s="289" t="n"/>
      <c r="E117" s="289" t="n"/>
      <c r="F117" s="290" t="n"/>
      <c r="G117" s="290" t="n"/>
      <c r="H117" s="290" t="n"/>
    </row>
    <row r="118" ht="13" customHeight="1" s="189">
      <c r="A118" s="289" t="n"/>
      <c r="B118" s="290" t="n"/>
      <c r="C118" s="290" t="n"/>
      <c r="D118" s="289" t="n"/>
      <c r="E118" s="289" t="n"/>
      <c r="F118" s="290" t="n"/>
      <c r="G118" s="290" t="n"/>
      <c r="H118" s="290" t="n"/>
    </row>
    <row r="119" ht="13" customHeight="1" s="189">
      <c r="A119" s="289" t="n"/>
      <c r="B119" s="290" t="n"/>
      <c r="C119" s="290" t="n"/>
      <c r="D119" s="289" t="n"/>
      <c r="E119" s="289" t="n"/>
      <c r="F119" s="290" t="n"/>
      <c r="G119" s="290" t="n"/>
      <c r="H119" s="290" t="n"/>
    </row>
    <row r="120" ht="13" customHeight="1" s="189">
      <c r="A120" s="289" t="n"/>
      <c r="B120" s="290" t="n"/>
      <c r="C120" s="290" t="n"/>
      <c r="D120" s="289" t="n"/>
      <c r="E120" s="289" t="n"/>
      <c r="F120" s="290" t="n"/>
      <c r="G120" s="290" t="n"/>
      <c r="H120" s="290" t="n"/>
    </row>
    <row r="121" ht="13" customHeight="1" s="189">
      <c r="A121" s="289" t="n"/>
      <c r="B121" s="290" t="n"/>
      <c r="C121" s="290" t="n"/>
      <c r="D121" s="289" t="n"/>
      <c r="E121" s="289" t="n"/>
      <c r="F121" s="290" t="n"/>
      <c r="G121" s="290" t="n"/>
      <c r="H121" s="290" t="n"/>
    </row>
    <row r="122" ht="13" customHeight="1" s="189">
      <c r="A122" s="289" t="n"/>
      <c r="B122" s="290" t="n"/>
      <c r="C122" s="290" t="n"/>
      <c r="D122" s="289" t="n"/>
      <c r="E122" s="289" t="n"/>
      <c r="F122" s="290" t="n"/>
      <c r="G122" s="290" t="n"/>
      <c r="H122" s="290" t="n"/>
    </row>
    <row r="123" ht="13" customHeight="1" s="189">
      <c r="A123" s="289" t="n"/>
      <c r="B123" s="290" t="n"/>
      <c r="C123" s="290" t="n"/>
      <c r="D123" s="289" t="n"/>
      <c r="E123" s="289" t="n"/>
      <c r="F123" s="290" t="n"/>
      <c r="G123" s="290" t="n"/>
      <c r="H123" s="290" t="n"/>
    </row>
    <row r="124" ht="13" customHeight="1" s="189">
      <c r="A124" s="289" t="n"/>
      <c r="B124" s="290" t="n"/>
      <c r="C124" s="290" t="n"/>
      <c r="D124" s="289" t="n"/>
      <c r="E124" s="289" t="n"/>
      <c r="F124" s="290" t="n"/>
      <c r="G124" s="290" t="n"/>
      <c r="H124" s="290" t="n"/>
    </row>
    <row r="125" ht="13" customHeight="1" s="189">
      <c r="A125" s="289" t="n"/>
      <c r="B125" s="290" t="n"/>
      <c r="C125" s="290" t="n"/>
      <c r="D125" s="289" t="n"/>
      <c r="E125" s="289" t="n"/>
      <c r="F125" s="290" t="n"/>
      <c r="G125" s="290" t="n"/>
      <c r="H125" s="290" t="n"/>
    </row>
    <row r="126" ht="13" customHeight="1" s="189">
      <c r="A126" s="289" t="n"/>
      <c r="B126" s="290" t="n"/>
      <c r="C126" s="290" t="n"/>
      <c r="D126" s="289" t="n"/>
      <c r="E126" s="289" t="n"/>
      <c r="F126" s="290" t="n"/>
      <c r="G126" s="290" t="n"/>
      <c r="H126" s="290" t="n"/>
    </row>
    <row r="127" ht="13" customHeight="1" s="189">
      <c r="A127" s="289" t="n"/>
      <c r="B127" s="290" t="n"/>
      <c r="C127" s="290" t="n"/>
      <c r="D127" s="289" t="n"/>
      <c r="E127" s="289" t="n"/>
      <c r="F127" s="290" t="n"/>
      <c r="G127" s="290" t="n"/>
      <c r="H127" s="290" t="n"/>
    </row>
    <row r="128" ht="13" customHeight="1" s="189">
      <c r="A128" s="289" t="n"/>
      <c r="B128" s="290" t="n"/>
      <c r="C128" s="290" t="n"/>
      <c r="D128" s="289" t="n"/>
      <c r="E128" s="289" t="n"/>
      <c r="F128" s="290" t="n"/>
      <c r="G128" s="290" t="n"/>
      <c r="H128" s="290" t="n"/>
    </row>
    <row r="129" ht="13" customHeight="1" s="189">
      <c r="A129" s="289" t="n"/>
      <c r="B129" s="290" t="n"/>
      <c r="C129" s="290" t="n"/>
      <c r="D129" s="289" t="n"/>
      <c r="E129" s="289" t="n"/>
      <c r="F129" s="290" t="n"/>
      <c r="G129" s="290" t="n"/>
      <c r="H129" s="290" t="n"/>
    </row>
    <row r="130" ht="13" customHeight="1" s="189">
      <c r="A130" s="289" t="n"/>
      <c r="B130" s="290" t="n"/>
      <c r="C130" s="290" t="n"/>
      <c r="D130" s="289" t="n"/>
      <c r="E130" s="289" t="n"/>
      <c r="F130" s="290" t="n"/>
      <c r="G130" s="290" t="n"/>
      <c r="H130" s="290" t="n"/>
    </row>
    <row r="131" ht="13" customHeight="1" s="189">
      <c r="A131" s="289" t="n"/>
      <c r="B131" s="290" t="n"/>
      <c r="C131" s="290" t="n"/>
      <c r="D131" s="289" t="n"/>
      <c r="E131" s="289" t="n"/>
      <c r="F131" s="290" t="n"/>
      <c r="G131" s="290" t="n"/>
      <c r="H131" s="290" t="n"/>
    </row>
    <row r="132" ht="13" customHeight="1" s="189">
      <c r="A132" s="289" t="n"/>
      <c r="B132" s="290" t="n"/>
      <c r="C132" s="290" t="n"/>
      <c r="D132" s="289" t="n"/>
      <c r="E132" s="289" t="n"/>
      <c r="F132" s="290" t="n"/>
      <c r="G132" s="290" t="n"/>
      <c r="H132" s="290" t="n"/>
    </row>
    <row r="133" ht="13" customHeight="1" s="189">
      <c r="A133" s="289" t="n"/>
      <c r="B133" s="290" t="n"/>
      <c r="C133" s="290" t="n"/>
      <c r="D133" s="289" t="n"/>
      <c r="E133" s="289" t="n"/>
      <c r="F133" s="290" t="n"/>
      <c r="G133" s="290" t="n"/>
      <c r="H133" s="290" t="n"/>
    </row>
    <row r="134" ht="13" customHeight="1" s="189">
      <c r="A134" s="289" t="n"/>
      <c r="B134" s="290" t="n"/>
      <c r="C134" s="290" t="n"/>
      <c r="D134" s="289" t="n"/>
      <c r="E134" s="289" t="n"/>
      <c r="F134" s="290" t="n"/>
      <c r="G134" s="290" t="n"/>
      <c r="H134" s="290" t="n"/>
    </row>
    <row r="135" ht="13" customHeight="1" s="189">
      <c r="A135" s="289" t="n"/>
      <c r="B135" s="290" t="n"/>
      <c r="C135" s="290" t="n"/>
      <c r="D135" s="289" t="n"/>
      <c r="E135" s="289" t="n"/>
      <c r="F135" s="290" t="n"/>
      <c r="G135" s="290" t="n"/>
      <c r="H135" s="290" t="n"/>
    </row>
    <row r="136" ht="13" customHeight="1" s="189">
      <c r="A136" s="289" t="n"/>
      <c r="B136" s="290" t="n"/>
      <c r="C136" s="290" t="n"/>
      <c r="D136" s="289" t="n"/>
      <c r="E136" s="289" t="n"/>
      <c r="F136" s="290" t="n"/>
      <c r="G136" s="290" t="n"/>
      <c r="H136" s="290" t="n"/>
    </row>
    <row r="137" ht="13" customHeight="1" s="189">
      <c r="A137" s="289" t="n"/>
      <c r="B137" s="290" t="n"/>
      <c r="C137" s="290" t="n"/>
      <c r="D137" s="289" t="n"/>
      <c r="E137" s="289" t="n"/>
      <c r="F137" s="290" t="n"/>
      <c r="G137" s="290" t="n"/>
      <c r="H137" s="290" t="n"/>
    </row>
    <row r="138" ht="13" customHeight="1" s="189">
      <c r="A138" s="289" t="n"/>
      <c r="B138" s="290" t="n"/>
      <c r="C138" s="290" t="n"/>
      <c r="D138" s="289" t="n"/>
      <c r="E138" s="289" t="n"/>
      <c r="F138" s="290" t="n"/>
      <c r="G138" s="290" t="n"/>
      <c r="H138" s="290" t="n"/>
    </row>
    <row r="139" ht="13" customHeight="1" s="189">
      <c r="A139" s="289" t="n"/>
      <c r="B139" s="290" t="n"/>
      <c r="C139" s="290" t="n"/>
      <c r="D139" s="289" t="n"/>
      <c r="E139" s="289" t="n"/>
      <c r="F139" s="290" t="n"/>
      <c r="G139" s="290" t="n"/>
      <c r="H139" s="290" t="n"/>
    </row>
    <row r="140" ht="13" customHeight="1" s="189">
      <c r="A140" s="289" t="n"/>
      <c r="B140" s="290" t="n"/>
      <c r="C140" s="290" t="n"/>
      <c r="D140" s="289" t="n"/>
      <c r="E140" s="289" t="n"/>
      <c r="F140" s="290" t="n"/>
      <c r="G140" s="290" t="n"/>
      <c r="H140" s="290" t="n"/>
    </row>
    <row r="141" ht="13" customHeight="1" s="189">
      <c r="A141" s="289" t="n"/>
      <c r="B141" s="290" t="n"/>
      <c r="C141" s="290" t="n"/>
      <c r="D141" s="289" t="n"/>
      <c r="E141" s="289" t="n"/>
      <c r="F141" s="290" t="n"/>
      <c r="G141" s="290" t="n"/>
      <c r="H141" s="290" t="n"/>
    </row>
    <row r="142" ht="13" customHeight="1" s="189">
      <c r="A142" s="289" t="n"/>
      <c r="B142" s="290" t="n"/>
      <c r="C142" s="290" t="n"/>
      <c r="D142" s="289" t="n"/>
      <c r="E142" s="289" t="n"/>
      <c r="F142" s="290" t="n"/>
      <c r="G142" s="290" t="n"/>
      <c r="H142" s="290" t="n"/>
    </row>
    <row r="143" ht="13" customHeight="1" s="189">
      <c r="A143" s="289" t="n"/>
      <c r="B143" s="290" t="n"/>
      <c r="C143" s="290" t="n"/>
      <c r="D143" s="289" t="n"/>
      <c r="E143" s="289" t="n"/>
      <c r="F143" s="290" t="n"/>
      <c r="G143" s="290" t="n"/>
      <c r="H143" s="290" t="n"/>
    </row>
    <row r="144" ht="13" customHeight="1" s="189">
      <c r="A144" s="289" t="n"/>
      <c r="B144" s="290" t="n"/>
      <c r="C144" s="290" t="n"/>
      <c r="D144" s="289" t="n"/>
      <c r="E144" s="289" t="n"/>
      <c r="F144" s="290" t="n"/>
      <c r="G144" s="290" t="n"/>
      <c r="H144" s="290" t="n"/>
    </row>
    <row r="145" ht="13" customHeight="1" s="189">
      <c r="A145" s="289" t="n"/>
      <c r="B145" s="290" t="n"/>
      <c r="C145" s="290" t="n"/>
      <c r="D145" s="289" t="n"/>
      <c r="E145" s="289" t="n"/>
      <c r="F145" s="290" t="n"/>
      <c r="G145" s="290" t="n"/>
      <c r="H145" s="290" t="n"/>
    </row>
    <row r="146" ht="13" customHeight="1" s="189">
      <c r="A146" s="289" t="n"/>
      <c r="B146" s="290" t="n"/>
      <c r="C146" s="290" t="n"/>
      <c r="D146" s="289" t="n"/>
      <c r="E146" s="289" t="n"/>
      <c r="F146" s="290" t="n"/>
      <c r="G146" s="290" t="n"/>
      <c r="H146" s="290" t="n"/>
    </row>
    <row r="147" ht="13" customHeight="1" s="189">
      <c r="A147" s="289" t="n"/>
      <c r="B147" s="290" t="n"/>
      <c r="C147" s="290" t="n"/>
      <c r="D147" s="289" t="n"/>
      <c r="E147" s="289" t="n"/>
      <c r="F147" s="290" t="n"/>
      <c r="G147" s="290" t="n"/>
      <c r="H147" s="290" t="n"/>
    </row>
    <row r="148" ht="13" customHeight="1" s="189">
      <c r="A148" s="289" t="n"/>
      <c r="B148" s="290" t="n"/>
      <c r="C148" s="290" t="n"/>
      <c r="D148" s="289" t="n"/>
      <c r="E148" s="289" t="n"/>
      <c r="F148" s="290" t="n"/>
      <c r="G148" s="290" t="n"/>
      <c r="H148" s="290" t="n"/>
    </row>
    <row r="149" ht="13" customHeight="1" s="189">
      <c r="A149" s="289" t="n"/>
      <c r="B149" s="290" t="n"/>
      <c r="C149" s="290" t="n"/>
      <c r="D149" s="289" t="n"/>
      <c r="E149" s="289" t="n"/>
      <c r="F149" s="290" t="n"/>
      <c r="G149" s="290" t="n"/>
      <c r="H149" s="290" t="n"/>
    </row>
    <row r="150" ht="13" customHeight="1" s="189">
      <c r="A150" s="289" t="n"/>
      <c r="B150" s="290" t="n"/>
      <c r="C150" s="290" t="n"/>
      <c r="D150" s="289" t="n"/>
      <c r="E150" s="289" t="n"/>
      <c r="F150" s="290" t="n"/>
      <c r="G150" s="290" t="n"/>
      <c r="H150" s="290" t="n"/>
    </row>
    <row r="151" ht="13" customHeight="1" s="189">
      <c r="A151" s="289" t="n"/>
      <c r="B151" s="290" t="n"/>
      <c r="C151" s="290" t="n"/>
      <c r="D151" s="289" t="n"/>
      <c r="E151" s="289" t="n"/>
      <c r="F151" s="290" t="n"/>
      <c r="G151" s="290" t="n"/>
      <c r="H151" s="290" t="n"/>
    </row>
    <row r="152" ht="13" customHeight="1" s="189">
      <c r="A152" s="289" t="n"/>
      <c r="B152" s="290" t="n"/>
      <c r="C152" s="290" t="n"/>
      <c r="D152" s="289" t="n"/>
      <c r="E152" s="289" t="n"/>
      <c r="F152" s="290" t="n"/>
      <c r="G152" s="290" t="n"/>
      <c r="H152" s="290" t="n"/>
    </row>
    <row r="153" ht="13" customHeight="1" s="189">
      <c r="A153" s="289" t="n"/>
      <c r="B153" s="290" t="n"/>
      <c r="C153" s="290" t="n"/>
      <c r="D153" s="289" t="n"/>
      <c r="E153" s="289" t="n"/>
      <c r="F153" s="290" t="n"/>
      <c r="G153" s="290" t="n"/>
      <c r="H153" s="290" t="n"/>
    </row>
    <row r="154" ht="13" customHeight="1" s="189">
      <c r="A154" s="289" t="n"/>
      <c r="B154" s="290" t="n"/>
      <c r="C154" s="290" t="n"/>
      <c r="D154" s="289" t="n"/>
      <c r="E154" s="289" t="n"/>
      <c r="F154" s="290" t="n"/>
      <c r="G154" s="290" t="n"/>
      <c r="H154" s="290" t="n"/>
    </row>
    <row r="155" ht="13" customHeight="1" s="189">
      <c r="A155" s="289" t="n"/>
      <c r="B155" s="290" t="n"/>
      <c r="C155" s="290" t="n"/>
      <c r="D155" s="289" t="n"/>
      <c r="E155" s="289" t="n"/>
      <c r="F155" s="290" t="n"/>
      <c r="G155" s="290" t="n"/>
      <c r="H155" s="290" t="n"/>
    </row>
    <row r="156" ht="13" customHeight="1" s="189">
      <c r="A156" s="289" t="n"/>
      <c r="B156" s="290" t="n"/>
      <c r="C156" s="290" t="n"/>
      <c r="D156" s="289" t="n"/>
      <c r="E156" s="289" t="n"/>
      <c r="F156" s="290" t="n"/>
      <c r="G156" s="290" t="n"/>
      <c r="H156" s="290" t="n"/>
    </row>
    <row r="157" ht="13" customHeight="1" s="189">
      <c r="A157" s="289" t="n"/>
      <c r="B157" s="290" t="n"/>
      <c r="C157" s="290" t="n"/>
      <c r="D157" s="289" t="n"/>
      <c r="E157" s="289" t="n"/>
      <c r="F157" s="290" t="n"/>
      <c r="G157" s="290" t="n"/>
      <c r="H157" s="290" t="n"/>
    </row>
    <row r="158" ht="13" customHeight="1" s="189">
      <c r="A158" s="289" t="n"/>
      <c r="B158" s="290" t="n"/>
      <c r="C158" s="290" t="n"/>
      <c r="D158" s="289" t="n"/>
      <c r="E158" s="289" t="n"/>
      <c r="F158" s="290" t="n"/>
      <c r="G158" s="290" t="n"/>
      <c r="H158" s="290" t="n"/>
    </row>
    <row r="159" ht="13" customHeight="1" s="189">
      <c r="A159" s="289" t="n"/>
      <c r="B159" s="290" t="n"/>
      <c r="C159" s="290" t="n"/>
      <c r="D159" s="289" t="n"/>
      <c r="E159" s="289" t="n"/>
      <c r="F159" s="290" t="n"/>
      <c r="G159" s="290" t="n"/>
      <c r="H159" s="290" t="n"/>
    </row>
    <row r="160" ht="13" customHeight="1" s="189">
      <c r="A160" s="289" t="n"/>
      <c r="B160" s="290" t="n"/>
      <c r="C160" s="290" t="n"/>
      <c r="D160" s="289" t="n"/>
      <c r="E160" s="289" t="n"/>
      <c r="F160" s="290" t="n"/>
      <c r="G160" s="290" t="n"/>
      <c r="H160" s="290" t="n"/>
    </row>
    <row r="161" ht="13" customHeight="1" s="189">
      <c r="A161" s="289" t="n"/>
      <c r="B161" s="290" t="n"/>
      <c r="C161" s="290" t="n"/>
      <c r="D161" s="289" t="n"/>
      <c r="E161" s="289" t="n"/>
      <c r="F161" s="290" t="n"/>
      <c r="G161" s="290" t="n"/>
      <c r="H161" s="290" t="n"/>
    </row>
    <row r="162" ht="13" customHeight="1" s="189">
      <c r="A162" s="289" t="n"/>
      <c r="B162" s="290" t="n"/>
      <c r="C162" s="290" t="n"/>
      <c r="D162" s="289" t="n"/>
      <c r="E162" s="289" t="n"/>
      <c r="F162" s="290" t="n"/>
      <c r="G162" s="290" t="n"/>
      <c r="H162" s="290" t="n"/>
    </row>
    <row r="163" ht="13" customHeight="1" s="189">
      <c r="A163" s="289" t="n"/>
      <c r="B163" s="290" t="n"/>
      <c r="C163" s="290" t="n"/>
      <c r="D163" s="289" t="n"/>
      <c r="E163" s="289" t="n"/>
      <c r="F163" s="290" t="n"/>
      <c r="G163" s="290" t="n"/>
      <c r="H163" s="290" t="n"/>
    </row>
    <row r="164" ht="13" customHeight="1" s="189">
      <c r="A164" s="289" t="n"/>
      <c r="B164" s="290" t="n"/>
      <c r="C164" s="290" t="n"/>
      <c r="D164" s="289" t="n"/>
      <c r="E164" s="289" t="n"/>
      <c r="F164" s="290" t="n"/>
      <c r="G164" s="290" t="n"/>
      <c r="H164" s="290" t="n"/>
    </row>
    <row r="165" ht="13" customHeight="1" s="189">
      <c r="A165" s="289" t="n"/>
      <c r="B165" s="290" t="n"/>
      <c r="C165" s="290" t="n"/>
      <c r="D165" s="289" t="n"/>
      <c r="E165" s="289" t="n"/>
      <c r="F165" s="290" t="n"/>
      <c r="G165" s="290" t="n"/>
      <c r="H165" s="290" t="n"/>
    </row>
    <row r="166" ht="13" customHeight="1" s="189">
      <c r="A166" s="289" t="n"/>
      <c r="B166" s="290" t="n"/>
      <c r="C166" s="290" t="n"/>
      <c r="D166" s="289" t="n"/>
      <c r="E166" s="289" t="n"/>
      <c r="F166" s="290" t="n"/>
      <c r="G166" s="290" t="n"/>
      <c r="H166" s="290" t="n"/>
    </row>
    <row r="167" ht="13" customHeight="1" s="189">
      <c r="A167" s="289" t="n"/>
      <c r="B167" s="290" t="n"/>
      <c r="C167" s="290" t="n"/>
      <c r="D167" s="289" t="n"/>
      <c r="E167" s="289" t="n"/>
      <c r="F167" s="290" t="n"/>
      <c r="G167" s="290" t="n"/>
      <c r="H167" s="290" t="n"/>
    </row>
    <row r="168" ht="13" customHeight="1" s="189">
      <c r="A168" s="289" t="n"/>
      <c r="B168" s="290" t="n"/>
      <c r="C168" s="290" t="n"/>
      <c r="D168" s="289" t="n"/>
      <c r="E168" s="289" t="n"/>
      <c r="F168" s="290" t="n"/>
      <c r="G168" s="290" t="n"/>
      <c r="H168" s="290" t="n"/>
    </row>
    <row r="169" ht="13" customHeight="1" s="189">
      <c r="A169" s="289" t="n"/>
      <c r="B169" s="290" t="n"/>
      <c r="C169" s="290" t="n"/>
      <c r="D169" s="289" t="n"/>
      <c r="E169" s="289" t="n"/>
      <c r="F169" s="290" t="n"/>
      <c r="G169" s="290" t="n"/>
      <c r="H169" s="290" t="n"/>
    </row>
    <row r="170" ht="13" customHeight="1" s="189">
      <c r="A170" s="289" t="n"/>
      <c r="B170" s="290" t="n"/>
      <c r="C170" s="290" t="n"/>
      <c r="D170" s="289" t="n"/>
      <c r="E170" s="289" t="n"/>
      <c r="F170" s="290" t="n"/>
      <c r="G170" s="290" t="n"/>
      <c r="H170" s="290" t="n"/>
    </row>
    <row r="171" ht="13" customHeight="1" s="189">
      <c r="A171" s="289" t="n"/>
      <c r="B171" s="290" t="n"/>
      <c r="C171" s="290" t="n"/>
      <c r="D171" s="289" t="n"/>
      <c r="E171" s="289" t="n"/>
      <c r="F171" s="290" t="n"/>
      <c r="G171" s="290" t="n"/>
      <c r="H171" s="290" t="n"/>
    </row>
    <row r="172" ht="13" customHeight="1" s="189">
      <c r="A172" s="289" t="n"/>
      <c r="B172" s="290" t="n"/>
      <c r="C172" s="290" t="n"/>
      <c r="D172" s="289" t="n"/>
      <c r="E172" s="289" t="n"/>
      <c r="F172" s="290" t="n"/>
      <c r="G172" s="290" t="n"/>
      <c r="H172" s="290" t="n"/>
    </row>
    <row r="173" ht="13" customHeight="1" s="189">
      <c r="A173" s="289" t="n"/>
      <c r="B173" s="290" t="n"/>
      <c r="C173" s="290" t="n"/>
      <c r="D173" s="289" t="n"/>
      <c r="E173" s="289" t="n"/>
      <c r="F173" s="290" t="n"/>
      <c r="G173" s="290" t="n"/>
      <c r="H173" s="290" t="n"/>
    </row>
    <row r="174" ht="13" customHeight="1" s="189">
      <c r="A174" s="289" t="n"/>
      <c r="B174" s="290" t="n"/>
      <c r="C174" s="290" t="n"/>
      <c r="D174" s="289" t="n"/>
      <c r="E174" s="289" t="n"/>
      <c r="F174" s="290" t="n"/>
      <c r="G174" s="290" t="n"/>
      <c r="H174" s="290" t="n"/>
    </row>
    <row r="175" ht="13" customHeight="1" s="189">
      <c r="A175" s="289" t="n"/>
      <c r="B175" s="290" t="n"/>
      <c r="C175" s="290" t="n"/>
      <c r="D175" s="289" t="n"/>
      <c r="E175" s="289" t="n"/>
      <c r="F175" s="290" t="n"/>
      <c r="G175" s="290" t="n"/>
      <c r="H175" s="290" t="n"/>
    </row>
    <row r="176" ht="13" customHeight="1" s="189">
      <c r="A176" s="289" t="n"/>
      <c r="B176" s="290" t="n"/>
      <c r="C176" s="290" t="n"/>
      <c r="D176" s="289" t="n"/>
      <c r="E176" s="289" t="n"/>
      <c r="F176" s="290" t="n"/>
      <c r="G176" s="290" t="n"/>
      <c r="H176" s="290" t="n"/>
    </row>
    <row r="177" ht="13" customHeight="1" s="189">
      <c r="A177" s="289" t="n"/>
      <c r="B177" s="290" t="n"/>
      <c r="C177" s="290" t="n"/>
      <c r="D177" s="289" t="n"/>
      <c r="E177" s="289" t="n"/>
      <c r="F177" s="290" t="n"/>
      <c r="G177" s="290" t="n"/>
      <c r="H177" s="290" t="n"/>
    </row>
    <row r="178" ht="13" customHeight="1" s="189">
      <c r="A178" s="289" t="n"/>
      <c r="B178" s="290" t="n"/>
      <c r="C178" s="290" t="n"/>
      <c r="D178" s="289" t="n"/>
      <c r="E178" s="289" t="n"/>
      <c r="F178" s="290" t="n"/>
      <c r="G178" s="290" t="n"/>
      <c r="H178" s="290" t="n"/>
    </row>
    <row r="179" ht="13" customHeight="1" s="189">
      <c r="A179" s="289" t="n"/>
      <c r="B179" s="290" t="n"/>
      <c r="C179" s="290" t="n"/>
      <c r="D179" s="289" t="n"/>
      <c r="E179" s="289" t="n"/>
      <c r="F179" s="290" t="n"/>
      <c r="G179" s="290" t="n"/>
      <c r="H179" s="290" t="n"/>
    </row>
    <row r="180" ht="13" customHeight="1" s="189">
      <c r="A180" s="289" t="n"/>
      <c r="B180" s="290" t="n"/>
      <c r="C180" s="290" t="n"/>
      <c r="D180" s="289" t="n"/>
      <c r="E180" s="289" t="n"/>
      <c r="F180" s="290" t="n"/>
      <c r="G180" s="290" t="n"/>
      <c r="H180" s="290" t="n"/>
    </row>
    <row r="181" ht="13" customHeight="1" s="189">
      <c r="A181" s="289" t="n"/>
      <c r="B181" s="290" t="n"/>
      <c r="C181" s="290" t="n"/>
      <c r="D181" s="289" t="n"/>
      <c r="E181" s="289" t="n"/>
      <c r="F181" s="290" t="n"/>
      <c r="G181" s="290" t="n"/>
      <c r="H181" s="290" t="n"/>
    </row>
    <row r="182" ht="13" customHeight="1" s="189">
      <c r="A182" s="289" t="n"/>
      <c r="B182" s="290" t="n"/>
      <c r="C182" s="290" t="n"/>
      <c r="D182" s="289" t="n"/>
      <c r="E182" s="289" t="n"/>
      <c r="F182" s="290" t="n"/>
      <c r="G182" s="290" t="n"/>
      <c r="H182" s="290" t="n"/>
    </row>
    <row r="183" ht="13" customHeight="1" s="189">
      <c r="A183" s="289" t="n"/>
      <c r="B183" s="290" t="n"/>
      <c r="C183" s="290" t="n"/>
      <c r="D183" s="289" t="n"/>
      <c r="E183" s="289" t="n"/>
      <c r="F183" s="290" t="n"/>
      <c r="G183" s="290" t="n"/>
      <c r="H183" s="290" t="n"/>
    </row>
    <row r="184" ht="13" customHeight="1" s="189">
      <c r="A184" s="289" t="n"/>
      <c r="B184" s="290" t="n"/>
      <c r="C184" s="290" t="n"/>
      <c r="D184" s="289" t="n"/>
      <c r="E184" s="289" t="n"/>
      <c r="F184" s="290" t="n"/>
      <c r="G184" s="290" t="n"/>
      <c r="H184" s="290" t="n"/>
    </row>
    <row r="185" ht="13" customHeight="1" s="189">
      <c r="A185" s="289" t="n"/>
      <c r="B185" s="290" t="n"/>
      <c r="C185" s="290" t="n"/>
      <c r="D185" s="289" t="n"/>
      <c r="E185" s="289" t="n"/>
      <c r="F185" s="290" t="n"/>
      <c r="G185" s="290" t="n"/>
      <c r="H185" s="290" t="n"/>
    </row>
    <row r="186" ht="13" customHeight="1" s="189">
      <c r="A186" s="289" t="n"/>
      <c r="B186" s="290" t="n"/>
      <c r="C186" s="290" t="n"/>
      <c r="D186" s="289" t="n"/>
      <c r="E186" s="289" t="n"/>
      <c r="F186" s="290" t="n"/>
      <c r="G186" s="290" t="n"/>
      <c r="H186" s="290" t="n"/>
    </row>
    <row r="187" ht="13" customHeight="1" s="189">
      <c r="A187" s="289" t="n"/>
      <c r="B187" s="290" t="n"/>
      <c r="C187" s="290" t="n"/>
      <c r="D187" s="289" t="n"/>
      <c r="E187" s="289" t="n"/>
      <c r="F187" s="290" t="n"/>
      <c r="G187" s="290" t="n"/>
      <c r="H187" s="290" t="n"/>
    </row>
    <row r="188" ht="13" customHeight="1" s="189">
      <c r="A188" s="289" t="n"/>
      <c r="B188" s="290" t="n"/>
      <c r="C188" s="290" t="n"/>
      <c r="D188" s="289" t="n"/>
      <c r="E188" s="289" t="n"/>
      <c r="F188" s="290" t="n"/>
      <c r="G188" s="290" t="n"/>
      <c r="H188" s="290" t="n"/>
    </row>
    <row r="189" ht="13" customHeight="1" s="189">
      <c r="A189" s="289" t="n"/>
      <c r="B189" s="290" t="n"/>
      <c r="C189" s="290" t="n"/>
      <c r="D189" s="289" t="n"/>
      <c r="E189" s="289" t="n"/>
      <c r="F189" s="290" t="n"/>
      <c r="G189" s="290" t="n"/>
      <c r="H189" s="290" t="n"/>
    </row>
    <row r="190" ht="13" customHeight="1" s="189">
      <c r="A190" s="289" t="n"/>
      <c r="B190" s="290" t="n"/>
      <c r="C190" s="290" t="n"/>
      <c r="D190" s="289" t="n"/>
      <c r="E190" s="289" t="n"/>
      <c r="F190" s="290" t="n"/>
      <c r="G190" s="290" t="n"/>
      <c r="H190" s="290" t="n"/>
    </row>
    <row r="191" ht="13" customHeight="1" s="189">
      <c r="A191" s="289" t="n"/>
      <c r="B191" s="290" t="n"/>
      <c r="C191" s="290" t="n"/>
      <c r="D191" s="289" t="n"/>
      <c r="E191" s="289" t="n"/>
      <c r="F191" s="290" t="n"/>
      <c r="G191" s="290" t="n"/>
      <c r="H191" s="290" t="n"/>
    </row>
    <row r="192" ht="13" customHeight="1" s="189">
      <c r="A192" s="289" t="n"/>
      <c r="B192" s="290" t="n"/>
      <c r="C192" s="290" t="n"/>
      <c r="D192" s="289" t="n"/>
      <c r="E192" s="289" t="n"/>
      <c r="F192" s="290" t="n"/>
      <c r="G192" s="290" t="n"/>
      <c r="H192" s="290" t="n"/>
    </row>
    <row r="193" ht="13" customHeight="1" s="189">
      <c r="A193" s="289" t="n"/>
      <c r="B193" s="290" t="n"/>
      <c r="C193" s="290" t="n"/>
      <c r="D193" s="289" t="n"/>
      <c r="E193" s="289" t="n"/>
      <c r="F193" s="290" t="n"/>
      <c r="G193" s="290" t="n"/>
      <c r="H193" s="290" t="n"/>
    </row>
    <row r="194" ht="13" customHeight="1" s="189">
      <c r="A194" s="289" t="n"/>
      <c r="B194" s="290" t="n"/>
      <c r="C194" s="290" t="n"/>
      <c r="D194" s="289" t="n"/>
      <c r="E194" s="289" t="n"/>
      <c r="F194" s="290" t="n"/>
      <c r="G194" s="290" t="n"/>
      <c r="H194" s="290" t="n"/>
    </row>
    <row r="195" ht="13" customHeight="1" s="189">
      <c r="A195" s="289" t="n"/>
      <c r="B195" s="290" t="n"/>
      <c r="C195" s="290" t="n"/>
      <c r="D195" s="289" t="n"/>
      <c r="E195" s="289" t="n"/>
      <c r="F195" s="290" t="n"/>
      <c r="G195" s="290" t="n"/>
      <c r="H195" s="290" t="n"/>
    </row>
    <row r="196" ht="13" customHeight="1" s="189">
      <c r="A196" s="289" t="n"/>
      <c r="B196" s="290" t="n"/>
      <c r="C196" s="290" t="n"/>
      <c r="D196" s="289" t="n"/>
      <c r="E196" s="289" t="n"/>
      <c r="F196" s="290" t="n"/>
      <c r="G196" s="290" t="n"/>
      <c r="H196" s="290" t="n"/>
    </row>
    <row r="197" ht="13" customHeight="1" s="189">
      <c r="A197" s="289" t="n"/>
      <c r="B197" s="290" t="n"/>
      <c r="C197" s="290" t="n"/>
      <c r="D197" s="289" t="n"/>
      <c r="E197" s="289" t="n"/>
      <c r="F197" s="290" t="n"/>
      <c r="G197" s="290" t="n"/>
      <c r="H197" s="290" t="n"/>
    </row>
    <row r="198" ht="13" customHeight="1" s="189">
      <c r="A198" s="289" t="n"/>
      <c r="B198" s="290" t="n"/>
      <c r="C198" s="290" t="n"/>
      <c r="D198" s="289" t="n"/>
      <c r="E198" s="289" t="n"/>
      <c r="F198" s="290" t="n"/>
      <c r="G198" s="290" t="n"/>
      <c r="H198" s="290" t="n"/>
    </row>
    <row r="199" ht="13" customHeight="1" s="189">
      <c r="A199" s="289" t="n"/>
      <c r="B199" s="290" t="n"/>
      <c r="C199" s="290" t="n"/>
      <c r="D199" s="289" t="n"/>
      <c r="E199" s="289" t="n"/>
      <c r="F199" s="290" t="n"/>
      <c r="G199" s="290" t="n"/>
      <c r="H199" s="290" t="n"/>
    </row>
    <row r="200" ht="13" customHeight="1" s="189">
      <c r="A200" s="289" t="n"/>
      <c r="B200" s="290" t="n"/>
      <c r="C200" s="290" t="n"/>
      <c r="D200" s="289" t="n"/>
      <c r="E200" s="289" t="n"/>
      <c r="F200" s="290" t="n"/>
      <c r="G200" s="290" t="n"/>
      <c r="H200" s="290" t="n"/>
    </row>
    <row r="201" ht="13" customHeight="1" s="189">
      <c r="A201" s="289" t="n"/>
      <c r="B201" s="290" t="n"/>
      <c r="C201" s="290" t="n"/>
      <c r="D201" s="289" t="n"/>
      <c r="E201" s="289" t="n"/>
      <c r="F201" s="290" t="n"/>
      <c r="G201" s="290" t="n"/>
      <c r="H201" s="290" t="n"/>
    </row>
    <row r="202" ht="13" customHeight="1" s="189">
      <c r="A202" s="289" t="n"/>
      <c r="B202" s="290" t="n"/>
      <c r="C202" s="290" t="n"/>
      <c r="D202" s="289" t="n"/>
      <c r="E202" s="289" t="n"/>
      <c r="F202" s="290" t="n"/>
      <c r="G202" s="290" t="n"/>
      <c r="H202" s="290" t="n"/>
    </row>
    <row r="203" ht="13" customHeight="1" s="189">
      <c r="A203" s="289" t="n"/>
      <c r="B203" s="290" t="n"/>
      <c r="C203" s="290" t="n"/>
      <c r="D203" s="289" t="n"/>
      <c r="E203" s="289" t="n"/>
      <c r="F203" s="290" t="n"/>
      <c r="G203" s="290" t="n"/>
      <c r="H203" s="290" t="n"/>
    </row>
    <row r="204" ht="13" customHeight="1" s="189">
      <c r="A204" s="289" t="n"/>
      <c r="B204" s="290" t="n"/>
      <c r="C204" s="290" t="n"/>
      <c r="D204" s="289" t="n"/>
      <c r="E204" s="289" t="n"/>
      <c r="F204" s="290" t="n"/>
      <c r="G204" s="290" t="n"/>
      <c r="H204" s="290" t="n"/>
    </row>
    <row r="205" ht="13" customHeight="1" s="189">
      <c r="A205" s="289" t="n"/>
      <c r="B205" s="290" t="n"/>
      <c r="C205" s="290" t="n"/>
      <c r="D205" s="289" t="n"/>
      <c r="E205" s="289" t="n"/>
      <c r="F205" s="290" t="n"/>
      <c r="G205" s="290" t="n"/>
      <c r="H205" s="290" t="n"/>
    </row>
    <row r="206" ht="13" customHeight="1" s="189">
      <c r="A206" s="289" t="n"/>
      <c r="B206" s="290" t="n"/>
      <c r="C206" s="290" t="n"/>
      <c r="D206" s="289" t="n"/>
      <c r="E206" s="289" t="n"/>
      <c r="F206" s="290" t="n"/>
      <c r="G206" s="290" t="n"/>
      <c r="H206" s="290" t="n"/>
    </row>
    <row r="207" ht="13" customHeight="1" s="189">
      <c r="A207" s="289" t="n"/>
      <c r="B207" s="290" t="n"/>
      <c r="C207" s="290" t="n"/>
      <c r="D207" s="289" t="n"/>
      <c r="E207" s="289" t="n"/>
      <c r="F207" s="290" t="n"/>
      <c r="G207" s="290" t="n"/>
      <c r="H207" s="290" t="n"/>
    </row>
    <row r="208" ht="13" customHeight="1" s="189">
      <c r="A208" s="289" t="n"/>
      <c r="B208" s="290" t="n"/>
      <c r="C208" s="290" t="n"/>
      <c r="D208" s="289" t="n"/>
      <c r="E208" s="289" t="n"/>
      <c r="F208" s="290" t="n"/>
      <c r="G208" s="290" t="n"/>
      <c r="H208" s="290" t="n"/>
    </row>
    <row r="209" ht="13" customHeight="1" s="189">
      <c r="A209" s="289" t="n"/>
      <c r="B209" s="290" t="n"/>
      <c r="C209" s="290" t="n"/>
      <c r="D209" s="289" t="n"/>
      <c r="E209" s="289" t="n"/>
      <c r="F209" s="290" t="n"/>
      <c r="G209" s="290" t="n"/>
      <c r="H209" s="290" t="n"/>
    </row>
    <row r="210" ht="13" customHeight="1" s="189">
      <c r="A210" s="289" t="n"/>
      <c r="B210" s="290" t="n"/>
      <c r="C210" s="290" t="n"/>
      <c r="D210" s="289" t="n"/>
      <c r="E210" s="289" t="n"/>
      <c r="F210" s="290" t="n"/>
      <c r="G210" s="290" t="n"/>
      <c r="H210" s="290" t="n"/>
    </row>
    <row r="211" ht="13" customHeight="1" s="189">
      <c r="A211" s="289" t="n"/>
      <c r="B211" s="290" t="n"/>
      <c r="C211" s="290" t="n"/>
      <c r="D211" s="289" t="n"/>
      <c r="E211" s="289" t="n"/>
      <c r="F211" s="290" t="n"/>
      <c r="G211" s="290" t="n"/>
      <c r="H211" s="290" t="n"/>
    </row>
    <row r="212" ht="13" customHeight="1" s="189">
      <c r="A212" s="289" t="n"/>
      <c r="B212" s="290" t="n"/>
      <c r="C212" s="290" t="n"/>
      <c r="D212" s="289" t="n"/>
      <c r="E212" s="289" t="n"/>
      <c r="F212" s="290" t="n"/>
      <c r="G212" s="290" t="n"/>
      <c r="H212" s="290" t="n"/>
    </row>
    <row r="213" ht="13" customHeight="1" s="189">
      <c r="A213" s="289" t="n"/>
      <c r="B213" s="290" t="n"/>
      <c r="C213" s="290" t="n"/>
      <c r="D213" s="289" t="n"/>
      <c r="E213" s="289" t="n"/>
      <c r="F213" s="290" t="n"/>
      <c r="G213" s="290" t="n"/>
      <c r="H213" s="290" t="n"/>
    </row>
    <row r="214" ht="13" customHeight="1" s="189">
      <c r="A214" s="289" t="n"/>
      <c r="B214" s="290" t="n"/>
      <c r="C214" s="290" t="n"/>
      <c r="D214" s="289" t="n"/>
      <c r="E214" s="289" t="n"/>
      <c r="F214" s="290" t="n"/>
      <c r="G214" s="290" t="n"/>
      <c r="H214" s="290" t="n"/>
    </row>
    <row r="215" ht="13" customHeight="1" s="189">
      <c r="A215" s="289" t="n"/>
      <c r="B215" s="290" t="n"/>
      <c r="C215" s="290" t="n"/>
      <c r="D215" s="289" t="n"/>
      <c r="E215" s="289" t="n"/>
      <c r="F215" s="290" t="n"/>
      <c r="G215" s="290" t="n"/>
      <c r="H215" s="290" t="n"/>
    </row>
    <row r="216" ht="13" customHeight="1" s="189">
      <c r="A216" s="289" t="n"/>
      <c r="B216" s="290" t="n"/>
      <c r="C216" s="290" t="n"/>
      <c r="D216" s="289" t="n"/>
      <c r="E216" s="289" t="n"/>
      <c r="F216" s="290" t="n"/>
      <c r="G216" s="290" t="n"/>
      <c r="H216" s="290" t="n"/>
    </row>
    <row r="217" ht="13" customHeight="1" s="189">
      <c r="A217" s="289" t="n"/>
      <c r="B217" s="290" t="n"/>
      <c r="C217" s="290" t="n"/>
      <c r="D217" s="289" t="n"/>
      <c r="E217" s="289" t="n"/>
      <c r="F217" s="290" t="n"/>
      <c r="G217" s="290" t="n"/>
      <c r="H217" s="290" t="n"/>
    </row>
    <row r="218" ht="13" customHeight="1" s="189">
      <c r="A218" s="289" t="n"/>
      <c r="B218" s="290" t="n"/>
      <c r="C218" s="290" t="n"/>
      <c r="D218" s="289" t="n"/>
      <c r="E218" s="289" t="n"/>
      <c r="F218" s="290" t="n"/>
      <c r="G218" s="290" t="n"/>
      <c r="H218" s="290" t="n"/>
    </row>
    <row r="219" ht="13" customHeight="1" s="189">
      <c r="A219" s="289" t="n"/>
      <c r="B219" s="290" t="n"/>
      <c r="C219" s="290" t="n"/>
      <c r="D219" s="289" t="n"/>
      <c r="E219" s="289" t="n"/>
      <c r="F219" s="290" t="n"/>
      <c r="G219" s="290" t="n"/>
      <c r="H219" s="290" t="n"/>
    </row>
    <row r="220" ht="13" customHeight="1" s="189">
      <c r="A220" s="289" t="n"/>
      <c r="B220" s="290" t="n"/>
      <c r="C220" s="290" t="n"/>
      <c r="D220" s="289" t="n"/>
      <c r="E220" s="289" t="n"/>
      <c r="F220" s="290" t="n"/>
      <c r="G220" s="290" t="n"/>
      <c r="H220" s="290" t="n"/>
    </row>
    <row r="221" ht="13" customHeight="1" s="189">
      <c r="A221" s="289" t="n"/>
      <c r="B221" s="290" t="n"/>
      <c r="C221" s="290" t="n"/>
      <c r="D221" s="289" t="n"/>
      <c r="E221" s="289" t="n"/>
      <c r="F221" s="290" t="n"/>
      <c r="G221" s="290" t="n"/>
      <c r="H221" s="290" t="n"/>
    </row>
    <row r="222" ht="13" customHeight="1" s="189">
      <c r="A222" s="289" t="n"/>
      <c r="B222" s="290" t="n"/>
      <c r="C222" s="290" t="n"/>
      <c r="D222" s="289" t="n"/>
      <c r="E222" s="289" t="n"/>
      <c r="F222" s="290" t="n"/>
      <c r="G222" s="290" t="n"/>
      <c r="H222" s="290" t="n"/>
    </row>
    <row r="223" ht="13" customHeight="1" s="189">
      <c r="A223" s="289" t="n"/>
      <c r="B223" s="290" t="n"/>
      <c r="C223" s="290" t="n"/>
      <c r="D223" s="289" t="n"/>
      <c r="E223" s="289" t="n"/>
      <c r="F223" s="290" t="n"/>
      <c r="G223" s="290" t="n"/>
      <c r="H223" s="290" t="n"/>
    </row>
    <row r="224" ht="13" customHeight="1" s="189">
      <c r="A224" s="289" t="n"/>
      <c r="B224" s="290" t="n"/>
      <c r="C224" s="290" t="n"/>
      <c r="D224" s="289" t="n"/>
      <c r="E224" s="289" t="n"/>
      <c r="F224" s="290" t="n"/>
      <c r="G224" s="290" t="n"/>
      <c r="H224" s="290" t="n"/>
    </row>
    <row r="225" ht="13" customHeight="1" s="189">
      <c r="A225" s="289" t="n"/>
      <c r="B225" s="290" t="n"/>
      <c r="C225" s="290" t="n"/>
      <c r="D225" s="289" t="n"/>
      <c r="E225" s="289" t="n"/>
      <c r="F225" s="290" t="n"/>
      <c r="G225" s="290" t="n"/>
      <c r="H225" s="290" t="n"/>
    </row>
    <row r="226" ht="13" customHeight="1" s="189">
      <c r="A226" s="289" t="n"/>
      <c r="B226" s="290" t="n"/>
      <c r="C226" s="290" t="n"/>
      <c r="D226" s="289" t="n"/>
      <c r="E226" s="289" t="n"/>
      <c r="F226" s="290" t="n"/>
      <c r="G226" s="290" t="n"/>
      <c r="H226" s="290" t="n"/>
    </row>
    <row r="227" ht="13" customHeight="1" s="189">
      <c r="A227" s="289" t="n"/>
      <c r="B227" s="290" t="n"/>
      <c r="C227" s="290" t="n"/>
      <c r="D227" s="289" t="n"/>
      <c r="E227" s="289" t="n"/>
      <c r="F227" s="290" t="n"/>
      <c r="G227" s="290" t="n"/>
      <c r="H227" s="290" t="n"/>
    </row>
    <row r="228" ht="13" customHeight="1" s="189">
      <c r="A228" s="289" t="n"/>
      <c r="B228" s="290" t="n"/>
      <c r="C228" s="290" t="n"/>
      <c r="D228" s="289" t="n"/>
      <c r="E228" s="289" t="n"/>
      <c r="F228" s="290" t="n"/>
      <c r="G228" s="290" t="n"/>
      <c r="H228" s="290" t="n"/>
    </row>
    <row r="229" ht="13" customHeight="1" s="189">
      <c r="A229" s="289" t="n"/>
      <c r="B229" s="290" t="n"/>
      <c r="C229" s="290" t="n"/>
      <c r="D229" s="289" t="n"/>
      <c r="E229" s="289" t="n"/>
      <c r="F229" s="290" t="n"/>
      <c r="G229" s="290" t="n"/>
      <c r="H229" s="290" t="n"/>
    </row>
    <row r="230" ht="13" customHeight="1" s="189">
      <c r="A230" s="289" t="n"/>
      <c r="B230" s="290" t="n"/>
      <c r="C230" s="290" t="n"/>
      <c r="D230" s="289" t="n"/>
      <c r="E230" s="289" t="n"/>
      <c r="F230" s="290" t="n"/>
      <c r="G230" s="290" t="n"/>
      <c r="H230" s="290" t="n"/>
    </row>
    <row r="231" ht="13" customHeight="1" s="189">
      <c r="A231" s="289" t="n"/>
      <c r="B231" s="290" t="n"/>
      <c r="C231" s="290" t="n"/>
      <c r="D231" s="289" t="n"/>
      <c r="E231" s="289" t="n"/>
      <c r="F231" s="290" t="n"/>
      <c r="G231" s="290" t="n"/>
      <c r="H231" s="290" t="n"/>
    </row>
    <row r="232" ht="13" customHeight="1" s="189">
      <c r="A232" s="289" t="n"/>
      <c r="B232" s="290" t="n"/>
      <c r="C232" s="290" t="n"/>
      <c r="D232" s="289" t="n"/>
      <c r="E232" s="289" t="n"/>
      <c r="F232" s="290" t="n"/>
      <c r="G232" s="290" t="n"/>
      <c r="H232" s="290" t="n"/>
    </row>
    <row r="233" ht="13" customHeight="1" s="189">
      <c r="A233" s="289" t="n"/>
      <c r="B233" s="290" t="n"/>
      <c r="C233" s="290" t="n"/>
      <c r="D233" s="289" t="n"/>
      <c r="E233" s="289" t="n"/>
      <c r="F233" s="290" t="n"/>
      <c r="G233" s="290" t="n"/>
      <c r="H233" s="290" t="n"/>
    </row>
    <row r="234" ht="13" customHeight="1" s="189">
      <c r="A234" s="289" t="n"/>
      <c r="B234" s="290" t="n"/>
      <c r="C234" s="290" t="n"/>
      <c r="D234" s="289" t="n"/>
      <c r="E234" s="289" t="n"/>
      <c r="F234" s="290" t="n"/>
      <c r="G234" s="290" t="n"/>
      <c r="H234" s="290" t="n"/>
    </row>
    <row r="235" ht="13" customHeight="1" s="189">
      <c r="A235" s="289" t="n"/>
      <c r="B235" s="290" t="n"/>
      <c r="C235" s="290" t="n"/>
      <c r="D235" s="289" t="n"/>
      <c r="E235" s="289" t="n"/>
      <c r="F235" s="290" t="n"/>
      <c r="G235" s="290" t="n"/>
      <c r="H235" s="290" t="n"/>
    </row>
    <row r="236" ht="13" customHeight="1" s="189">
      <c r="A236" s="289" t="n"/>
      <c r="B236" s="290" t="n"/>
      <c r="C236" s="290" t="n"/>
      <c r="D236" s="289" t="n"/>
      <c r="E236" s="289" t="n"/>
      <c r="F236" s="290" t="n"/>
      <c r="G236" s="290" t="n"/>
      <c r="H236" s="290" t="n"/>
    </row>
    <row r="237" ht="13" customHeight="1" s="189">
      <c r="A237" s="289" t="n"/>
      <c r="B237" s="290" t="n"/>
      <c r="C237" s="290" t="n"/>
      <c r="D237" s="289" t="n"/>
      <c r="E237" s="289" t="n"/>
      <c r="F237" s="290" t="n"/>
      <c r="G237" s="290" t="n"/>
      <c r="H237" s="290" t="n"/>
    </row>
    <row r="238" ht="13" customHeight="1" s="189">
      <c r="A238" s="289" t="n"/>
      <c r="B238" s="290" t="n"/>
      <c r="C238" s="290" t="n"/>
      <c r="D238" s="289" t="n"/>
      <c r="E238" s="289" t="n"/>
      <c r="F238" s="290" t="n"/>
      <c r="G238" s="290" t="n"/>
      <c r="H238" s="290" t="n"/>
    </row>
    <row r="239" ht="13" customHeight="1" s="189">
      <c r="A239" s="289" t="n"/>
      <c r="B239" s="290" t="n"/>
      <c r="C239" s="290" t="n"/>
      <c r="D239" s="289" t="n"/>
      <c r="E239" s="289" t="n"/>
      <c r="F239" s="290" t="n"/>
      <c r="G239" s="290" t="n"/>
      <c r="H239" s="290" t="n"/>
    </row>
    <row r="240" ht="13" customHeight="1" s="189">
      <c r="A240" s="289" t="n"/>
      <c r="B240" s="290" t="n"/>
      <c r="C240" s="290" t="n"/>
      <c r="D240" s="289" t="n"/>
      <c r="E240" s="289" t="n"/>
      <c r="F240" s="290" t="n"/>
      <c r="G240" s="290" t="n"/>
      <c r="H240" s="290" t="n"/>
    </row>
    <row r="241" ht="13" customHeight="1" s="189">
      <c r="A241" s="289" t="n"/>
      <c r="B241" s="290" t="n"/>
      <c r="C241" s="290" t="n"/>
      <c r="D241" s="289" t="n"/>
      <c r="E241" s="289" t="n"/>
      <c r="F241" s="290" t="n"/>
      <c r="G241" s="290" t="n"/>
      <c r="H241" s="290" t="n"/>
    </row>
    <row r="242" ht="13" customHeight="1" s="189">
      <c r="A242" s="289" t="n"/>
      <c r="B242" s="290" t="n"/>
      <c r="C242" s="290" t="n"/>
      <c r="D242" s="289" t="n"/>
      <c r="E242" s="289" t="n"/>
      <c r="F242" s="290" t="n"/>
      <c r="G242" s="290" t="n"/>
      <c r="H242" s="290" t="n"/>
    </row>
    <row r="243" ht="13" customHeight="1" s="189">
      <c r="A243" s="289" t="n"/>
      <c r="B243" s="290" t="n"/>
      <c r="C243" s="290" t="n"/>
      <c r="D243" s="289" t="n"/>
      <c r="E243" s="289" t="n"/>
      <c r="F243" s="290" t="n"/>
      <c r="G243" s="290" t="n"/>
      <c r="H243" s="290" t="n"/>
    </row>
    <row r="244" ht="13" customHeight="1" s="189">
      <c r="A244" s="289" t="n"/>
      <c r="B244" s="290" t="n"/>
      <c r="C244" s="290" t="n"/>
      <c r="D244" s="289" t="n"/>
      <c r="E244" s="289" t="n"/>
      <c r="F244" s="290" t="n"/>
      <c r="G244" s="290" t="n"/>
      <c r="H244" s="290" t="n"/>
    </row>
    <row r="245" ht="13" customHeight="1" s="189">
      <c r="A245" s="289" t="n"/>
      <c r="B245" s="290" t="n"/>
      <c r="C245" s="290" t="n"/>
      <c r="D245" s="289" t="n"/>
      <c r="E245" s="289" t="n"/>
      <c r="F245" s="290" t="n"/>
      <c r="G245" s="290" t="n"/>
      <c r="H245" s="290" t="n"/>
    </row>
    <row r="246" ht="13" customHeight="1" s="189">
      <c r="A246" s="289" t="n"/>
      <c r="B246" s="290" t="n"/>
      <c r="C246" s="290" t="n"/>
      <c r="D246" s="289" t="n"/>
      <c r="E246" s="289" t="n"/>
      <c r="F246" s="290" t="n"/>
      <c r="G246" s="290" t="n"/>
      <c r="H246" s="290" t="n"/>
    </row>
    <row r="247" ht="13" customHeight="1" s="189">
      <c r="A247" s="289" t="n"/>
      <c r="B247" s="290" t="n"/>
      <c r="C247" s="290" t="n"/>
      <c r="D247" s="289" t="n"/>
      <c r="E247" s="289" t="n"/>
      <c r="F247" s="290" t="n"/>
      <c r="G247" s="290" t="n"/>
      <c r="H247" s="290" t="n"/>
    </row>
    <row r="248" ht="13" customHeight="1" s="189">
      <c r="A248" s="289" t="n"/>
      <c r="B248" s="290" t="n"/>
      <c r="C248" s="290" t="n"/>
      <c r="D248" s="289" t="n"/>
      <c r="E248" s="289" t="n"/>
      <c r="F248" s="290" t="n"/>
      <c r="G248" s="290" t="n"/>
      <c r="H248" s="290" t="n"/>
    </row>
    <row r="249" ht="13" customHeight="1" s="189">
      <c r="A249" s="289" t="n"/>
      <c r="B249" s="290" t="n"/>
      <c r="C249" s="290" t="n"/>
      <c r="D249" s="289" t="n"/>
      <c r="E249" s="289" t="n"/>
      <c r="F249" s="290" t="n"/>
      <c r="G249" s="290" t="n"/>
      <c r="H249" s="290" t="n"/>
    </row>
    <row r="250" ht="13" customHeight="1" s="189">
      <c r="A250" s="289" t="n"/>
      <c r="B250" s="290" t="n"/>
      <c r="C250" s="290" t="n"/>
      <c r="D250" s="289" t="n"/>
      <c r="E250" s="289" t="n"/>
      <c r="F250" s="290" t="n"/>
      <c r="G250" s="290" t="n"/>
      <c r="H250" s="290" t="n"/>
    </row>
    <row r="251" ht="13" customHeight="1" s="189">
      <c r="A251" s="289" t="n"/>
      <c r="B251" s="290" t="n"/>
      <c r="C251" s="290" t="n"/>
      <c r="D251" s="289" t="n"/>
      <c r="E251" s="289" t="n"/>
      <c r="F251" s="290" t="n"/>
      <c r="G251" s="290" t="n"/>
      <c r="H251" s="290" t="n"/>
    </row>
    <row r="252" ht="13" customHeight="1" s="189">
      <c r="A252" s="289" t="n"/>
      <c r="B252" s="290" t="n"/>
      <c r="C252" s="290" t="n"/>
      <c r="D252" s="289" t="n"/>
      <c r="E252" s="289" t="n"/>
      <c r="F252" s="290" t="n"/>
      <c r="G252" s="290" t="n"/>
      <c r="H252" s="290" t="n"/>
    </row>
    <row r="253" ht="13" customHeight="1" s="189">
      <c r="A253" s="289" t="n"/>
      <c r="B253" s="290" t="n"/>
      <c r="C253" s="290" t="n"/>
      <c r="D253" s="289" t="n"/>
      <c r="E253" s="289" t="n"/>
      <c r="F253" s="290" t="n"/>
      <c r="G253" s="290" t="n"/>
      <c r="H253" s="290" t="n"/>
    </row>
    <row r="254" ht="13" customHeight="1" s="189">
      <c r="A254" s="289" t="n"/>
      <c r="B254" s="290" t="n"/>
      <c r="C254" s="290" t="n"/>
      <c r="D254" s="289" t="n"/>
      <c r="E254" s="289" t="n"/>
      <c r="F254" s="290" t="n"/>
      <c r="G254" s="290" t="n"/>
      <c r="H254" s="290" t="n"/>
    </row>
    <row r="255" ht="13" customHeight="1" s="189">
      <c r="A255" s="289" t="n"/>
      <c r="B255" s="290" t="n"/>
      <c r="C255" s="290" t="n"/>
      <c r="D255" s="289" t="n"/>
      <c r="E255" s="289" t="n"/>
      <c r="F255" s="290" t="n"/>
      <c r="G255" s="290" t="n"/>
      <c r="H255" s="290" t="n"/>
    </row>
    <row r="256" ht="13" customHeight="1" s="189">
      <c r="A256" s="289" t="n"/>
      <c r="B256" s="290" t="n"/>
      <c r="C256" s="290" t="n"/>
      <c r="D256" s="289" t="n"/>
      <c r="E256" s="289" t="n"/>
      <c r="F256" s="290" t="n"/>
      <c r="G256" s="290" t="n"/>
      <c r="H256" s="290" t="n"/>
    </row>
    <row r="257" ht="13" customHeight="1" s="189">
      <c r="A257" s="289" t="n"/>
      <c r="B257" s="290" t="n"/>
      <c r="C257" s="290" t="n"/>
      <c r="D257" s="289" t="n"/>
      <c r="E257" s="289" t="n"/>
      <c r="F257" s="290" t="n"/>
      <c r="G257" s="290" t="n"/>
      <c r="H257" s="290" t="n"/>
    </row>
    <row r="258" ht="13" customHeight="1" s="189">
      <c r="A258" s="289" t="n"/>
      <c r="B258" s="290" t="n"/>
      <c r="C258" s="290" t="n"/>
      <c r="D258" s="289" t="n"/>
      <c r="E258" s="289" t="n"/>
      <c r="F258" s="290" t="n"/>
      <c r="G258" s="290" t="n"/>
      <c r="H258" s="290" t="n"/>
    </row>
    <row r="259" ht="13" customHeight="1" s="189">
      <c r="A259" s="289" t="n"/>
      <c r="B259" s="290" t="n"/>
      <c r="C259" s="290" t="n"/>
      <c r="D259" s="289" t="n"/>
      <c r="E259" s="289" t="n"/>
      <c r="F259" s="290" t="n"/>
      <c r="G259" s="290" t="n"/>
      <c r="H259" s="290" t="n"/>
    </row>
    <row r="260" ht="13" customHeight="1" s="189">
      <c r="A260" s="289" t="n"/>
      <c r="B260" s="290" t="n"/>
      <c r="C260" s="290" t="n"/>
      <c r="D260" s="289" t="n"/>
      <c r="E260" s="289" t="n"/>
      <c r="F260" s="290" t="n"/>
      <c r="G260" s="290" t="n"/>
      <c r="H260" s="290" t="n"/>
    </row>
    <row r="261" ht="13" customHeight="1" s="189">
      <c r="A261" s="289" t="n"/>
      <c r="B261" s="290" t="n"/>
      <c r="C261" s="290" t="n"/>
      <c r="D261" s="289" t="n"/>
      <c r="E261" s="289" t="n"/>
      <c r="F261" s="290" t="n"/>
      <c r="G261" s="290" t="n"/>
      <c r="H261" s="290" t="n"/>
    </row>
    <row r="262" ht="13" customHeight="1" s="189">
      <c r="A262" s="289" t="n"/>
      <c r="B262" s="290" t="n"/>
      <c r="C262" s="290" t="n"/>
      <c r="D262" s="289" t="n"/>
      <c r="E262" s="289" t="n"/>
      <c r="F262" s="290" t="n"/>
      <c r="G262" s="290" t="n"/>
      <c r="H262" s="290" t="n"/>
    </row>
    <row r="263" ht="13" customHeight="1" s="189">
      <c r="A263" s="289" t="n"/>
      <c r="B263" s="290" t="n"/>
      <c r="C263" s="290" t="n"/>
      <c r="D263" s="289" t="n"/>
      <c r="E263" s="289" t="n"/>
      <c r="F263" s="290" t="n"/>
      <c r="G263" s="290" t="n"/>
      <c r="H263" s="290" t="n"/>
    </row>
    <row r="264" ht="13" customHeight="1" s="189">
      <c r="A264" s="289" t="n"/>
      <c r="B264" s="290" t="n"/>
      <c r="C264" s="290" t="n"/>
      <c r="D264" s="289" t="n"/>
      <c r="E264" s="289" t="n"/>
      <c r="F264" s="290" t="n"/>
      <c r="G264" s="290" t="n"/>
      <c r="H264" s="290" t="n"/>
    </row>
    <row r="265" ht="13" customHeight="1" s="189">
      <c r="A265" s="289" t="n"/>
      <c r="B265" s="290" t="n"/>
      <c r="C265" s="290" t="n"/>
      <c r="D265" s="289" t="n"/>
      <c r="E265" s="289" t="n"/>
      <c r="F265" s="290" t="n"/>
      <c r="G265" s="290" t="n"/>
      <c r="H265" s="290" t="n"/>
    </row>
    <row r="266" ht="13" customHeight="1" s="189">
      <c r="A266" s="289" t="n"/>
      <c r="B266" s="290" t="n"/>
      <c r="C266" s="290" t="n"/>
      <c r="D266" s="289" t="n"/>
      <c r="E266" s="289" t="n"/>
      <c r="F266" s="290" t="n"/>
      <c r="G266" s="290" t="n"/>
      <c r="H266" s="290" t="n"/>
    </row>
    <row r="267" ht="13" customHeight="1" s="189">
      <c r="A267" s="289" t="n"/>
      <c r="B267" s="290" t="n"/>
      <c r="C267" s="290" t="n"/>
      <c r="D267" s="289" t="n"/>
      <c r="E267" s="289" t="n"/>
      <c r="F267" s="290" t="n"/>
      <c r="G267" s="290" t="n"/>
      <c r="H267" s="290" t="n"/>
    </row>
    <row r="268" ht="13" customHeight="1" s="189">
      <c r="A268" s="289" t="n"/>
      <c r="B268" s="290" t="n"/>
      <c r="C268" s="290" t="n"/>
      <c r="D268" s="289" t="n"/>
      <c r="E268" s="289" t="n"/>
      <c r="F268" s="290" t="n"/>
      <c r="G268" s="290" t="n"/>
      <c r="H268" s="290" t="n"/>
    </row>
    <row r="269" ht="13" customHeight="1" s="189">
      <c r="A269" s="289" t="n"/>
      <c r="B269" s="290" t="n"/>
      <c r="C269" s="290" t="n"/>
      <c r="D269" s="289" t="n"/>
      <c r="E269" s="289" t="n"/>
      <c r="F269" s="290" t="n"/>
      <c r="G269" s="290" t="n"/>
      <c r="H269" s="290" t="n"/>
    </row>
    <row r="270" ht="13" customHeight="1" s="189">
      <c r="A270" s="289" t="n"/>
      <c r="B270" s="290" t="n"/>
      <c r="C270" s="290" t="n"/>
      <c r="D270" s="289" t="n"/>
      <c r="E270" s="289" t="n"/>
      <c r="F270" s="290" t="n"/>
      <c r="G270" s="290" t="n"/>
      <c r="H270" s="290" t="n"/>
    </row>
    <row r="271" ht="13" customHeight="1" s="189">
      <c r="A271" s="289" t="n"/>
      <c r="B271" s="290" t="n"/>
      <c r="C271" s="290" t="n"/>
      <c r="D271" s="289" t="n"/>
      <c r="E271" s="289" t="n"/>
      <c r="F271" s="290" t="n"/>
      <c r="G271" s="290" t="n"/>
      <c r="H271" s="290" t="n"/>
    </row>
    <row r="272" ht="13" customHeight="1" s="189">
      <c r="A272" s="289" t="n"/>
      <c r="B272" s="290" t="n"/>
      <c r="C272" s="290" t="n"/>
      <c r="D272" s="289" t="n"/>
      <c r="E272" s="289" t="n"/>
      <c r="F272" s="290" t="n"/>
      <c r="G272" s="290" t="n"/>
      <c r="H272" s="290" t="n"/>
    </row>
    <row r="273" ht="13" customHeight="1" s="189">
      <c r="A273" s="289" t="n"/>
      <c r="B273" s="290" t="n"/>
      <c r="C273" s="290" t="n"/>
      <c r="D273" s="289" t="n"/>
      <c r="E273" s="289" t="n"/>
      <c r="F273" s="290" t="n"/>
      <c r="G273" s="290" t="n"/>
      <c r="H273" s="290" t="n"/>
    </row>
    <row r="274" ht="13" customHeight="1" s="189">
      <c r="A274" s="289" t="n"/>
      <c r="B274" s="290" t="n"/>
      <c r="C274" s="290" t="n"/>
      <c r="D274" s="289" t="n"/>
      <c r="E274" s="289" t="n"/>
      <c r="F274" s="290" t="n"/>
      <c r="G274" s="290" t="n"/>
      <c r="H274" s="290" t="n"/>
    </row>
    <row r="275" ht="13" customHeight="1" s="189">
      <c r="A275" s="289" t="n"/>
      <c r="B275" s="290" t="n"/>
      <c r="C275" s="290" t="n"/>
      <c r="D275" s="289" t="n"/>
      <c r="E275" s="289" t="n"/>
      <c r="F275" s="290" t="n"/>
      <c r="G275" s="290" t="n"/>
      <c r="H275" s="290" t="n"/>
    </row>
    <row r="276" ht="13" customHeight="1" s="189">
      <c r="A276" s="289" t="n"/>
      <c r="B276" s="290" t="n"/>
      <c r="C276" s="290" t="n"/>
      <c r="D276" s="289" t="n"/>
      <c r="E276" s="289" t="n"/>
      <c r="F276" s="290" t="n"/>
      <c r="G276" s="290" t="n"/>
      <c r="H276" s="290" t="n"/>
    </row>
    <row r="277" ht="13" customHeight="1" s="189">
      <c r="A277" s="289" t="n"/>
      <c r="B277" s="290" t="n"/>
      <c r="C277" s="290" t="n"/>
      <c r="D277" s="289" t="n"/>
      <c r="E277" s="289" t="n"/>
      <c r="F277" s="290" t="n"/>
      <c r="G277" s="290" t="n"/>
      <c r="H277" s="290" t="n"/>
    </row>
    <row r="278" ht="13" customHeight="1" s="189">
      <c r="A278" s="289" t="n"/>
      <c r="B278" s="290" t="n"/>
      <c r="C278" s="290" t="n"/>
      <c r="D278" s="289" t="n"/>
      <c r="E278" s="289" t="n"/>
      <c r="F278" s="290" t="n"/>
      <c r="G278" s="290" t="n"/>
      <c r="H278" s="290" t="n"/>
    </row>
    <row r="279" ht="13" customHeight="1" s="189">
      <c r="A279" s="289" t="n"/>
      <c r="B279" s="290" t="n"/>
      <c r="C279" s="290" t="n"/>
      <c r="D279" s="289" t="n"/>
      <c r="E279" s="289" t="n"/>
      <c r="F279" s="290" t="n"/>
      <c r="G279" s="290" t="n"/>
      <c r="H279" s="290" t="n"/>
    </row>
    <row r="280" ht="13" customHeight="1" s="189">
      <c r="A280" s="289" t="n"/>
      <c r="B280" s="290" t="n"/>
      <c r="C280" s="290" t="n"/>
      <c r="D280" s="289" t="n"/>
      <c r="E280" s="289" t="n"/>
      <c r="F280" s="290" t="n"/>
      <c r="G280" s="290" t="n"/>
      <c r="H280" s="290" t="n"/>
    </row>
    <row r="281" ht="13" customHeight="1" s="189">
      <c r="A281" s="289" t="n"/>
      <c r="B281" s="290" t="n"/>
      <c r="C281" s="290" t="n"/>
      <c r="D281" s="289" t="n"/>
      <c r="E281" s="289" t="n"/>
      <c r="F281" s="290" t="n"/>
      <c r="G281" s="290" t="n"/>
      <c r="H281" s="290" t="n"/>
    </row>
    <row r="282" ht="13" customHeight="1" s="189">
      <c r="A282" s="289" t="n"/>
      <c r="B282" s="290" t="n"/>
      <c r="C282" s="290" t="n"/>
      <c r="D282" s="289" t="n"/>
      <c r="E282" s="289" t="n"/>
      <c r="F282" s="290" t="n"/>
      <c r="G282" s="290" t="n"/>
      <c r="H282" s="290" t="n"/>
    </row>
    <row r="283" ht="13" customHeight="1" s="189">
      <c r="A283" s="289" t="n"/>
      <c r="B283" s="290" t="n"/>
      <c r="C283" s="290" t="n"/>
      <c r="D283" s="289" t="n"/>
      <c r="E283" s="289" t="n"/>
      <c r="F283" s="290" t="n"/>
      <c r="G283" s="290" t="n"/>
      <c r="H283" s="290" t="n"/>
    </row>
    <row r="284" ht="13" customHeight="1" s="189">
      <c r="A284" s="289" t="n"/>
      <c r="B284" s="290" t="n"/>
      <c r="C284" s="290" t="n"/>
      <c r="D284" s="289" t="n"/>
      <c r="E284" s="289" t="n"/>
      <c r="F284" s="290" t="n"/>
      <c r="G284" s="290" t="n"/>
      <c r="H284" s="290" t="n"/>
    </row>
    <row r="285" ht="13" customHeight="1" s="189">
      <c r="A285" s="289" t="n"/>
      <c r="B285" s="290" t="n"/>
      <c r="C285" s="290" t="n"/>
      <c r="D285" s="289" t="n"/>
      <c r="E285" s="289" t="n"/>
      <c r="F285" s="290" t="n"/>
      <c r="G285" s="290" t="n"/>
      <c r="H285" s="290" t="n"/>
    </row>
    <row r="286" ht="13" customHeight="1" s="189">
      <c r="A286" s="289" t="n"/>
      <c r="B286" s="290" t="n"/>
      <c r="C286" s="290" t="n"/>
      <c r="D286" s="289" t="n"/>
      <c r="E286" s="289" t="n"/>
      <c r="F286" s="290" t="n"/>
      <c r="G286" s="290" t="n"/>
      <c r="H286" s="290" t="n"/>
    </row>
    <row r="287" ht="13" customHeight="1" s="189">
      <c r="A287" s="289" t="n"/>
      <c r="B287" s="290" t="n"/>
      <c r="C287" s="290" t="n"/>
      <c r="D287" s="289" t="n"/>
      <c r="E287" s="289" t="n"/>
      <c r="F287" s="290" t="n"/>
      <c r="G287" s="290" t="n"/>
      <c r="H287" s="290" t="n"/>
    </row>
    <row r="288" ht="13" customHeight="1" s="189">
      <c r="A288" s="289" t="n"/>
      <c r="B288" s="290" t="n"/>
      <c r="C288" s="290" t="n"/>
      <c r="D288" s="289" t="n"/>
      <c r="E288" s="289" t="n"/>
      <c r="F288" s="290" t="n"/>
      <c r="G288" s="290" t="n"/>
      <c r="H288" s="290" t="n"/>
    </row>
    <row r="289" ht="13" customHeight="1" s="189">
      <c r="A289" s="289" t="n"/>
      <c r="B289" s="290" t="n"/>
      <c r="C289" s="290" t="n"/>
      <c r="D289" s="289" t="n"/>
      <c r="E289" s="289" t="n"/>
      <c r="F289" s="290" t="n"/>
      <c r="G289" s="290" t="n"/>
      <c r="H289" s="290" t="n"/>
    </row>
    <row r="290" ht="13" customHeight="1" s="189">
      <c r="A290" s="289" t="n"/>
      <c r="B290" s="290" t="n"/>
      <c r="C290" s="290" t="n"/>
      <c r="D290" s="289" t="n"/>
      <c r="E290" s="289" t="n"/>
      <c r="F290" s="290" t="n"/>
      <c r="G290" s="290" t="n"/>
      <c r="H290" s="290" t="n"/>
    </row>
    <row r="291" ht="13" customHeight="1" s="189">
      <c r="A291" s="289" t="n"/>
      <c r="B291" s="290" t="n"/>
      <c r="C291" s="290" t="n"/>
      <c r="D291" s="289" t="n"/>
      <c r="E291" s="289" t="n"/>
      <c r="F291" s="290" t="n"/>
      <c r="G291" s="290" t="n"/>
      <c r="H291" s="290" t="n"/>
    </row>
    <row r="292" ht="13" customHeight="1" s="189">
      <c r="A292" s="289" t="n"/>
      <c r="B292" s="290" t="n"/>
      <c r="C292" s="290" t="n"/>
      <c r="D292" s="289" t="n"/>
      <c r="E292" s="289" t="n"/>
      <c r="F292" s="290" t="n"/>
      <c r="G292" s="290" t="n"/>
      <c r="H292" s="290" t="n"/>
    </row>
    <row r="293" ht="13" customHeight="1" s="189">
      <c r="A293" s="289" t="n"/>
      <c r="B293" s="290" t="n"/>
      <c r="C293" s="290" t="n"/>
      <c r="D293" s="289" t="n"/>
      <c r="E293" s="289" t="n"/>
      <c r="F293" s="290" t="n"/>
      <c r="G293" s="290" t="n"/>
      <c r="H293" s="290" t="n"/>
    </row>
    <row r="294" ht="13" customHeight="1" s="189">
      <c r="A294" s="289" t="n"/>
      <c r="B294" s="290" t="n"/>
      <c r="C294" s="290" t="n"/>
      <c r="D294" s="289" t="n"/>
      <c r="E294" s="289" t="n"/>
      <c r="F294" s="290" t="n"/>
      <c r="G294" s="290" t="n"/>
      <c r="H294" s="290" t="n"/>
    </row>
    <row r="295" ht="13" customHeight="1" s="189">
      <c r="A295" s="289" t="n"/>
      <c r="B295" s="290" t="n"/>
      <c r="C295" s="290" t="n"/>
      <c r="D295" s="289" t="n"/>
      <c r="E295" s="289" t="n"/>
      <c r="F295" s="290" t="n"/>
      <c r="G295" s="290" t="n"/>
      <c r="H295" s="290" t="n"/>
    </row>
    <row r="296" ht="13" customHeight="1" s="189">
      <c r="A296" s="289" t="n"/>
      <c r="B296" s="290" t="n"/>
      <c r="C296" s="290" t="n"/>
      <c r="D296" s="289" t="n"/>
      <c r="E296" s="289" t="n"/>
      <c r="F296" s="290" t="n"/>
      <c r="G296" s="290" t="n"/>
      <c r="H296" s="290" t="n"/>
    </row>
    <row r="297" ht="13" customHeight="1" s="189">
      <c r="A297" s="289" t="n"/>
      <c r="B297" s="290" t="n"/>
      <c r="C297" s="290" t="n"/>
      <c r="D297" s="289" t="n"/>
      <c r="E297" s="289" t="n"/>
      <c r="F297" s="290" t="n"/>
      <c r="G297" s="290" t="n"/>
      <c r="H297" s="290" t="n"/>
    </row>
    <row r="298" ht="13" customHeight="1" s="189">
      <c r="A298" s="289" t="n"/>
      <c r="B298" s="290" t="n"/>
      <c r="C298" s="290" t="n"/>
      <c r="D298" s="289" t="n"/>
      <c r="E298" s="289" t="n"/>
      <c r="F298" s="290" t="n"/>
      <c r="G298" s="290" t="n"/>
      <c r="H298" s="290" t="n"/>
    </row>
    <row r="299" ht="13" customHeight="1" s="189">
      <c r="A299" s="289" t="n"/>
      <c r="B299" s="290" t="n"/>
      <c r="C299" s="290" t="n"/>
      <c r="D299" s="289" t="n"/>
      <c r="E299" s="289" t="n"/>
      <c r="F299" s="290" t="n"/>
      <c r="G299" s="290" t="n"/>
      <c r="H299" s="290" t="n"/>
    </row>
    <row r="300" ht="13" customHeight="1" s="189">
      <c r="A300" s="289" t="n"/>
      <c r="B300" s="290" t="n"/>
      <c r="C300" s="290" t="n"/>
      <c r="D300" s="289" t="n"/>
      <c r="E300" s="289" t="n"/>
      <c r="F300" s="290" t="n"/>
      <c r="G300" s="290" t="n"/>
      <c r="H300" s="290" t="n"/>
    </row>
    <row r="301" ht="13" customHeight="1" s="189">
      <c r="A301" s="289" t="n"/>
      <c r="B301" s="290" t="n"/>
      <c r="C301" s="290" t="n"/>
      <c r="D301" s="289" t="n"/>
      <c r="E301" s="289" t="n"/>
      <c r="F301" s="290" t="n"/>
      <c r="G301" s="290" t="n"/>
      <c r="H301" s="290" t="n"/>
    </row>
    <row r="302" ht="13" customHeight="1" s="189">
      <c r="A302" s="289" t="n"/>
      <c r="B302" s="290" t="n"/>
      <c r="C302" s="290" t="n"/>
      <c r="D302" s="289" t="n"/>
      <c r="E302" s="289" t="n"/>
      <c r="F302" s="290" t="n"/>
      <c r="G302" s="290" t="n"/>
      <c r="H302" s="290" t="n"/>
    </row>
    <row r="303" ht="13" customHeight="1" s="189">
      <c r="A303" s="289" t="n"/>
      <c r="B303" s="290" t="n"/>
      <c r="C303" s="290" t="n"/>
      <c r="D303" s="289" t="n"/>
      <c r="E303" s="289" t="n"/>
      <c r="F303" s="290" t="n"/>
      <c r="G303" s="290" t="n"/>
      <c r="H303" s="290" t="n"/>
    </row>
    <row r="304" ht="13" customHeight="1" s="189">
      <c r="A304" s="289" t="n"/>
      <c r="B304" s="290" t="n"/>
      <c r="C304" s="290" t="n"/>
      <c r="D304" s="289" t="n"/>
      <c r="E304" s="289" t="n"/>
      <c r="F304" s="290" t="n"/>
      <c r="G304" s="290" t="n"/>
      <c r="H304" s="290" t="n"/>
    </row>
    <row r="305" ht="13" customHeight="1" s="189">
      <c r="A305" s="289" t="n"/>
      <c r="B305" s="290" t="n"/>
      <c r="C305" s="290" t="n"/>
      <c r="D305" s="289" t="n"/>
      <c r="E305" s="289" t="n"/>
      <c r="F305" s="290" t="n"/>
      <c r="G305" s="290" t="n"/>
      <c r="H305" s="290" t="n"/>
    </row>
    <row r="306" ht="13" customHeight="1" s="189">
      <c r="A306" s="289" t="n"/>
      <c r="B306" s="290" t="n"/>
      <c r="C306" s="290" t="n"/>
      <c r="D306" s="289" t="n"/>
      <c r="E306" s="289" t="n"/>
      <c r="F306" s="290" t="n"/>
      <c r="G306" s="290" t="n"/>
      <c r="H306" s="290" t="n"/>
    </row>
    <row r="307" ht="13" customHeight="1" s="189">
      <c r="A307" s="289" t="n"/>
      <c r="B307" s="290" t="n"/>
      <c r="C307" s="290" t="n"/>
      <c r="D307" s="289" t="n"/>
      <c r="E307" s="289" t="n"/>
      <c r="F307" s="290" t="n"/>
      <c r="G307" s="290" t="n"/>
      <c r="H307" s="290" t="n"/>
    </row>
    <row r="308" ht="13" customHeight="1" s="189">
      <c r="A308" s="289" t="n"/>
      <c r="B308" s="290" t="n"/>
      <c r="C308" s="290" t="n"/>
      <c r="D308" s="289" t="n"/>
      <c r="E308" s="289" t="n"/>
      <c r="F308" s="290" t="n"/>
      <c r="G308" s="290" t="n"/>
      <c r="H308" s="290" t="n"/>
    </row>
    <row r="309" ht="13" customHeight="1" s="189">
      <c r="A309" s="289" t="n"/>
      <c r="B309" s="290" t="n"/>
      <c r="C309" s="290" t="n"/>
      <c r="D309" s="289" t="n"/>
      <c r="E309" s="289" t="n"/>
      <c r="F309" s="290" t="n"/>
      <c r="G309" s="290" t="n"/>
      <c r="H309" s="290" t="n"/>
    </row>
    <row r="310" ht="13" customHeight="1" s="189">
      <c r="A310" s="289" t="n"/>
      <c r="B310" s="290" t="n"/>
      <c r="C310" s="290" t="n"/>
      <c r="D310" s="289" t="n"/>
      <c r="E310" s="289" t="n"/>
      <c r="F310" s="290" t="n"/>
      <c r="G310" s="290" t="n"/>
      <c r="H310" s="290" t="n"/>
    </row>
    <row r="311" ht="13" customHeight="1" s="189">
      <c r="A311" s="289" t="n"/>
      <c r="B311" s="290" t="n"/>
      <c r="C311" s="290" t="n"/>
      <c r="D311" s="289" t="n"/>
      <c r="E311" s="289" t="n"/>
      <c r="F311" s="290" t="n"/>
      <c r="G311" s="290" t="n"/>
      <c r="H311" s="290" t="n"/>
    </row>
    <row r="312" ht="13" customHeight="1" s="189">
      <c r="A312" s="289" t="n"/>
      <c r="B312" s="290" t="n"/>
      <c r="C312" s="290" t="n"/>
      <c r="D312" s="289" t="n"/>
      <c r="E312" s="289" t="n"/>
      <c r="F312" s="290" t="n"/>
      <c r="G312" s="290" t="n"/>
      <c r="H312" s="290" t="n"/>
    </row>
    <row r="313" ht="13" customHeight="1" s="189">
      <c r="A313" s="289" t="n"/>
      <c r="B313" s="290" t="n"/>
      <c r="C313" s="290" t="n"/>
      <c r="D313" s="289" t="n"/>
      <c r="E313" s="289" t="n"/>
      <c r="F313" s="290" t="n"/>
      <c r="G313" s="290" t="n"/>
      <c r="H313" s="290" t="n"/>
    </row>
    <row r="314" ht="13" customHeight="1" s="189">
      <c r="A314" s="289" t="n"/>
      <c r="B314" s="290" t="n"/>
      <c r="C314" s="290" t="n"/>
      <c r="D314" s="289" t="n"/>
      <c r="E314" s="289" t="n"/>
      <c r="F314" s="290" t="n"/>
      <c r="G314" s="290" t="n"/>
      <c r="H314" s="290" t="n"/>
    </row>
    <row r="315" ht="13" customHeight="1" s="189">
      <c r="A315" s="289" t="n"/>
      <c r="B315" s="290" t="n"/>
      <c r="C315" s="290" t="n"/>
      <c r="D315" s="289" t="n"/>
      <c r="E315" s="289" t="n"/>
      <c r="F315" s="290" t="n"/>
      <c r="G315" s="290" t="n"/>
      <c r="H315" s="290" t="n"/>
    </row>
    <row r="316" ht="13" customHeight="1" s="189">
      <c r="A316" s="289" t="n"/>
      <c r="B316" s="290" t="n"/>
      <c r="C316" s="290" t="n"/>
      <c r="D316" s="289" t="n"/>
      <c r="E316" s="289" t="n"/>
      <c r="F316" s="290" t="n"/>
      <c r="G316" s="290" t="n"/>
      <c r="H316" s="290" t="n"/>
    </row>
    <row r="317" ht="13" customHeight="1" s="189">
      <c r="A317" s="289" t="n"/>
      <c r="B317" s="290" t="n"/>
      <c r="C317" s="290" t="n"/>
      <c r="D317" s="289" t="n"/>
      <c r="E317" s="289" t="n"/>
      <c r="F317" s="290" t="n"/>
      <c r="G317" s="290" t="n"/>
      <c r="H317" s="290" t="n"/>
    </row>
    <row r="318" ht="13" customHeight="1" s="189">
      <c r="A318" s="289" t="n"/>
      <c r="B318" s="290" t="n"/>
      <c r="C318" s="290" t="n"/>
      <c r="D318" s="289" t="n"/>
      <c r="E318" s="289" t="n"/>
      <c r="F318" s="290" t="n"/>
      <c r="G318" s="290" t="n"/>
      <c r="H318" s="290" t="n"/>
    </row>
    <row r="319" ht="13" customHeight="1" s="189">
      <c r="A319" s="289" t="n"/>
      <c r="B319" s="290" t="n"/>
      <c r="C319" s="290" t="n"/>
      <c r="D319" s="289" t="n"/>
      <c r="E319" s="289" t="n"/>
      <c r="F319" s="290" t="n"/>
      <c r="G319" s="290" t="n"/>
      <c r="H319" s="290" t="n"/>
    </row>
    <row r="320" ht="13" customHeight="1" s="189">
      <c r="A320" s="289" t="n"/>
      <c r="B320" s="290" t="n"/>
      <c r="C320" s="290" t="n"/>
      <c r="D320" s="289" t="n"/>
      <c r="E320" s="289" t="n"/>
      <c r="F320" s="290" t="n"/>
      <c r="G320" s="290" t="n"/>
      <c r="H320" s="290" t="n"/>
    </row>
    <row r="321" ht="13" customHeight="1" s="189">
      <c r="A321" s="289" t="n"/>
      <c r="B321" s="290" t="n"/>
      <c r="C321" s="290" t="n"/>
      <c r="D321" s="289" t="n"/>
      <c r="E321" s="289" t="n"/>
      <c r="F321" s="290" t="n"/>
      <c r="G321" s="290" t="n"/>
      <c r="H321" s="290" t="n"/>
    </row>
    <row r="322" ht="13" customHeight="1" s="189">
      <c r="A322" s="289" t="n"/>
      <c r="B322" s="290" t="n"/>
      <c r="C322" s="290" t="n"/>
      <c r="D322" s="289" t="n"/>
      <c r="E322" s="289" t="n"/>
      <c r="F322" s="290" t="n"/>
      <c r="G322" s="290" t="n"/>
      <c r="H322" s="290" t="n"/>
    </row>
    <row r="323" ht="13" customHeight="1" s="189">
      <c r="A323" s="289" t="n"/>
      <c r="B323" s="290" t="n"/>
      <c r="C323" s="290" t="n"/>
      <c r="D323" s="289" t="n"/>
      <c r="E323" s="289" t="n"/>
      <c r="F323" s="290" t="n"/>
      <c r="G323" s="290" t="n"/>
      <c r="H323" s="290" t="n"/>
    </row>
    <row r="324" ht="13" customHeight="1" s="189">
      <c r="A324" s="289" t="n"/>
      <c r="B324" s="290" t="n"/>
      <c r="C324" s="290" t="n"/>
      <c r="D324" s="289" t="n"/>
      <c r="E324" s="289" t="n"/>
      <c r="F324" s="290" t="n"/>
      <c r="G324" s="290" t="n"/>
      <c r="H324" s="290" t="n"/>
    </row>
    <row r="325" ht="13" customHeight="1" s="189">
      <c r="A325" s="289" t="n"/>
      <c r="B325" s="290" t="n"/>
      <c r="C325" s="290" t="n"/>
      <c r="D325" s="289" t="n"/>
      <c r="E325" s="289" t="n"/>
      <c r="F325" s="290" t="n"/>
      <c r="G325" s="290" t="n"/>
      <c r="H325" s="290" t="n"/>
    </row>
    <row r="326" ht="13" customHeight="1" s="189">
      <c r="A326" s="289" t="n"/>
      <c r="B326" s="290" t="n"/>
      <c r="C326" s="290" t="n"/>
      <c r="D326" s="289" t="n"/>
      <c r="E326" s="289" t="n"/>
      <c r="F326" s="290" t="n"/>
      <c r="G326" s="290" t="n"/>
      <c r="H326" s="290" t="n"/>
    </row>
    <row r="327" ht="13" customHeight="1" s="189">
      <c r="A327" s="289" t="n"/>
      <c r="B327" s="290" t="n"/>
      <c r="C327" s="290" t="n"/>
      <c r="D327" s="289" t="n"/>
      <c r="E327" s="289" t="n"/>
      <c r="F327" s="290" t="n"/>
      <c r="G327" s="290" t="n"/>
      <c r="H327" s="290" t="n"/>
    </row>
    <row r="328" ht="13" customHeight="1" s="189">
      <c r="A328" s="289" t="n"/>
      <c r="B328" s="290" t="n"/>
      <c r="C328" s="290" t="n"/>
      <c r="D328" s="289" t="n"/>
      <c r="E328" s="289" t="n"/>
      <c r="F328" s="290" t="n"/>
      <c r="G328" s="290" t="n"/>
      <c r="H328" s="290" t="n"/>
    </row>
    <row r="329" ht="13" customHeight="1" s="189">
      <c r="A329" s="289" t="n"/>
      <c r="B329" s="290" t="n"/>
      <c r="C329" s="290" t="n"/>
      <c r="D329" s="289" t="n"/>
      <c r="E329" s="289" t="n"/>
      <c r="F329" s="290" t="n"/>
      <c r="G329" s="290" t="n"/>
      <c r="H329" s="290" t="n"/>
    </row>
    <row r="330" ht="13" customHeight="1" s="189">
      <c r="A330" s="289" t="n"/>
      <c r="B330" s="290" t="n"/>
      <c r="C330" s="290" t="n"/>
      <c r="D330" s="289" t="n"/>
      <c r="E330" s="289" t="n"/>
      <c r="F330" s="290" t="n"/>
      <c r="G330" s="290" t="n"/>
      <c r="H330" s="290" t="n"/>
    </row>
    <row r="331" ht="13" customHeight="1" s="189">
      <c r="A331" s="289" t="n"/>
      <c r="B331" s="290" t="n"/>
      <c r="C331" s="290" t="n"/>
      <c r="D331" s="289" t="n"/>
      <c r="E331" s="289" t="n"/>
      <c r="F331" s="290" t="n"/>
      <c r="G331" s="290" t="n"/>
      <c r="H331" s="290" t="n"/>
    </row>
    <row r="332" ht="13" customHeight="1" s="189">
      <c r="A332" s="289" t="n"/>
      <c r="B332" s="290" t="n"/>
      <c r="C332" s="290" t="n"/>
      <c r="D332" s="289" t="n"/>
      <c r="E332" s="289" t="n"/>
      <c r="F332" s="290" t="n"/>
      <c r="G332" s="290" t="n"/>
      <c r="H332" s="290" t="n"/>
    </row>
    <row r="333" ht="13" customHeight="1" s="189">
      <c r="A333" s="289" t="n"/>
      <c r="B333" s="290" t="n"/>
      <c r="C333" s="290" t="n"/>
      <c r="D333" s="289" t="n"/>
      <c r="E333" s="289" t="n"/>
      <c r="F333" s="290" t="n"/>
      <c r="G333" s="290" t="n"/>
      <c r="H333" s="290" t="n"/>
    </row>
    <row r="334" ht="13" customHeight="1" s="189">
      <c r="A334" s="289" t="n"/>
      <c r="B334" s="290" t="n"/>
      <c r="C334" s="290" t="n"/>
      <c r="D334" s="289" t="n"/>
      <c r="E334" s="289" t="n"/>
      <c r="F334" s="290" t="n"/>
      <c r="G334" s="290" t="n"/>
      <c r="H334" s="290" t="n"/>
    </row>
    <row r="335" ht="13" customHeight="1" s="189">
      <c r="A335" s="289" t="n"/>
      <c r="B335" s="290" t="n"/>
      <c r="C335" s="290" t="n"/>
      <c r="D335" s="289" t="n"/>
      <c r="E335" s="289" t="n"/>
      <c r="F335" s="290" t="n"/>
      <c r="G335" s="290" t="n"/>
      <c r="H335" s="290" t="n"/>
    </row>
    <row r="336" ht="13" customHeight="1" s="189">
      <c r="A336" s="289" t="n"/>
      <c r="B336" s="290" t="n"/>
      <c r="C336" s="290" t="n"/>
      <c r="D336" s="289" t="n"/>
      <c r="E336" s="289" t="n"/>
      <c r="F336" s="290" t="n"/>
      <c r="G336" s="290" t="n"/>
      <c r="H336" s="290" t="n"/>
    </row>
    <row r="337" ht="13" customHeight="1" s="189">
      <c r="A337" s="289" t="n"/>
      <c r="B337" s="290" t="n"/>
      <c r="C337" s="290" t="n"/>
      <c r="D337" s="289" t="n"/>
      <c r="E337" s="289" t="n"/>
      <c r="F337" s="290" t="n"/>
      <c r="G337" s="290" t="n"/>
      <c r="H337" s="290" t="n"/>
    </row>
    <row r="338" ht="13" customHeight="1" s="189">
      <c r="A338" s="289" t="n"/>
      <c r="B338" s="290" t="n"/>
      <c r="C338" s="290" t="n"/>
      <c r="D338" s="289" t="n"/>
      <c r="E338" s="289" t="n"/>
      <c r="F338" s="290" t="n"/>
      <c r="G338" s="290" t="n"/>
      <c r="H338" s="290" t="n"/>
    </row>
    <row r="339" ht="13" customHeight="1" s="189">
      <c r="A339" s="289" t="n"/>
      <c r="B339" s="290" t="n"/>
      <c r="C339" s="290" t="n"/>
      <c r="D339" s="289" t="n"/>
      <c r="E339" s="289" t="n"/>
      <c r="F339" s="290" t="n"/>
      <c r="G339" s="290" t="n"/>
      <c r="H339" s="290" t="n"/>
    </row>
    <row r="340" ht="13" customHeight="1" s="189">
      <c r="A340" s="289" t="n"/>
      <c r="B340" s="290" t="n"/>
      <c r="C340" s="290" t="n"/>
      <c r="D340" s="289" t="n"/>
      <c r="E340" s="289" t="n"/>
      <c r="F340" s="290" t="n"/>
      <c r="G340" s="290" t="n"/>
      <c r="H340" s="290" t="n"/>
    </row>
    <row r="341" ht="13" customHeight="1" s="189">
      <c r="A341" s="289" t="n"/>
      <c r="B341" s="290" t="n"/>
      <c r="C341" s="290" t="n"/>
      <c r="D341" s="289" t="n"/>
      <c r="E341" s="289" t="n"/>
      <c r="F341" s="290" t="n"/>
      <c r="G341" s="290" t="n"/>
      <c r="H341" s="290" t="n"/>
    </row>
    <row r="342" ht="13" customHeight="1" s="189">
      <c r="A342" s="289" t="n"/>
      <c r="B342" s="290" t="n"/>
      <c r="C342" s="290" t="n"/>
      <c r="D342" s="289" t="n"/>
      <c r="E342" s="289" t="n"/>
      <c r="F342" s="290" t="n"/>
      <c r="G342" s="290" t="n"/>
      <c r="H342" s="290" t="n"/>
    </row>
    <row r="343" ht="13" customHeight="1" s="189">
      <c r="A343" s="289" t="n"/>
      <c r="B343" s="290" t="n"/>
      <c r="C343" s="290" t="n"/>
      <c r="D343" s="289" t="n"/>
      <c r="E343" s="289" t="n"/>
      <c r="F343" s="290" t="n"/>
      <c r="G343" s="290" t="n"/>
      <c r="H343" s="290" t="n"/>
    </row>
    <row r="344" ht="13" customHeight="1" s="189">
      <c r="A344" s="289" t="n"/>
      <c r="B344" s="290" t="n"/>
      <c r="C344" s="290" t="n"/>
      <c r="D344" s="289" t="n"/>
      <c r="E344" s="289" t="n"/>
      <c r="F344" s="290" t="n"/>
      <c r="G344" s="290" t="n"/>
      <c r="H344" s="290" t="n"/>
    </row>
    <row r="345" ht="13" customHeight="1" s="189">
      <c r="A345" s="289" t="n"/>
      <c r="B345" s="290" t="n"/>
      <c r="C345" s="290" t="n"/>
      <c r="D345" s="289" t="n"/>
      <c r="E345" s="289" t="n"/>
      <c r="F345" s="290" t="n"/>
      <c r="G345" s="290" t="n"/>
      <c r="H345" s="290" t="n"/>
    </row>
    <row r="346" ht="13" customHeight="1" s="189">
      <c r="A346" s="289" t="n"/>
      <c r="B346" s="290" t="n"/>
      <c r="C346" s="290" t="n"/>
      <c r="D346" s="289" t="n"/>
      <c r="E346" s="289" t="n"/>
      <c r="F346" s="290" t="n"/>
      <c r="G346" s="290" t="n"/>
      <c r="H346" s="290" t="n"/>
    </row>
    <row r="347" ht="13" customHeight="1" s="189">
      <c r="A347" s="289" t="n"/>
      <c r="B347" s="290" t="n"/>
      <c r="C347" s="290" t="n"/>
      <c r="D347" s="289" t="n"/>
      <c r="E347" s="289" t="n"/>
      <c r="F347" s="290" t="n"/>
      <c r="G347" s="290" t="n"/>
      <c r="H347" s="290" t="n"/>
    </row>
    <row r="348" ht="13" customHeight="1" s="189">
      <c r="A348" s="289" t="n"/>
      <c r="B348" s="290" t="n"/>
      <c r="C348" s="290" t="n"/>
      <c r="D348" s="289" t="n"/>
      <c r="E348" s="289" t="n"/>
      <c r="F348" s="290" t="n"/>
      <c r="G348" s="290" t="n"/>
      <c r="H348" s="290" t="n"/>
    </row>
    <row r="349" ht="13" customHeight="1" s="189">
      <c r="A349" s="289" t="n"/>
      <c r="B349" s="290" t="n"/>
      <c r="C349" s="290" t="n"/>
      <c r="D349" s="289" t="n"/>
      <c r="E349" s="289" t="n"/>
      <c r="F349" s="290" t="n"/>
      <c r="G349" s="290" t="n"/>
      <c r="H349" s="290" t="n"/>
    </row>
    <row r="350" ht="13" customHeight="1" s="189">
      <c r="A350" s="289" t="n"/>
      <c r="B350" s="290" t="n"/>
      <c r="C350" s="290" t="n"/>
      <c r="D350" s="289" t="n"/>
      <c r="E350" s="289" t="n"/>
      <c r="F350" s="290" t="n"/>
      <c r="G350" s="290" t="n"/>
      <c r="H350" s="290" t="n"/>
    </row>
    <row r="351" ht="13" customHeight="1" s="189">
      <c r="A351" s="289" t="n"/>
      <c r="B351" s="290" t="n"/>
      <c r="C351" s="290" t="n"/>
      <c r="D351" s="289" t="n"/>
      <c r="E351" s="289" t="n"/>
      <c r="F351" s="290" t="n"/>
      <c r="G351" s="290" t="n"/>
      <c r="H351" s="290" t="n"/>
    </row>
    <row r="352" ht="13" customHeight="1" s="189">
      <c r="A352" s="289" t="n"/>
      <c r="B352" s="290" t="n"/>
      <c r="C352" s="290" t="n"/>
      <c r="D352" s="289" t="n"/>
      <c r="E352" s="289" t="n"/>
      <c r="F352" s="290" t="n"/>
      <c r="G352" s="290" t="n"/>
      <c r="H352" s="290" t="n"/>
    </row>
    <row r="353" ht="13" customHeight="1" s="189">
      <c r="A353" s="289" t="n"/>
      <c r="B353" s="290" t="n"/>
      <c r="C353" s="290" t="n"/>
      <c r="D353" s="289" t="n"/>
      <c r="E353" s="289" t="n"/>
      <c r="F353" s="290" t="n"/>
      <c r="G353" s="290" t="n"/>
      <c r="H353" s="290" t="n"/>
    </row>
    <row r="354" ht="13" customHeight="1" s="189">
      <c r="A354" s="289" t="n"/>
      <c r="B354" s="290" t="n"/>
      <c r="C354" s="290" t="n"/>
      <c r="D354" s="289" t="n"/>
      <c r="E354" s="289" t="n"/>
      <c r="F354" s="290" t="n"/>
      <c r="G354" s="290" t="n"/>
      <c r="H354" s="290" t="n"/>
    </row>
    <row r="355" ht="13" customHeight="1" s="189">
      <c r="A355" s="289" t="n"/>
      <c r="B355" s="290" t="n"/>
      <c r="C355" s="290" t="n"/>
      <c r="D355" s="289" t="n"/>
      <c r="E355" s="289" t="n"/>
      <c r="F355" s="290" t="n"/>
      <c r="G355" s="290" t="n"/>
      <c r="H355" s="290" t="n"/>
    </row>
    <row r="356" ht="13" customHeight="1" s="189">
      <c r="A356" s="289" t="n"/>
      <c r="B356" s="290" t="n"/>
      <c r="C356" s="290" t="n"/>
      <c r="D356" s="289" t="n"/>
      <c r="E356" s="289" t="n"/>
      <c r="F356" s="290" t="n"/>
      <c r="G356" s="290" t="n"/>
      <c r="H356" s="290" t="n"/>
    </row>
    <row r="357" ht="13" customHeight="1" s="189">
      <c r="A357" s="289" t="n"/>
      <c r="B357" s="290" t="n"/>
      <c r="C357" s="290" t="n"/>
      <c r="D357" s="289" t="n"/>
      <c r="E357" s="289" t="n"/>
      <c r="F357" s="290" t="n"/>
      <c r="G357" s="290" t="n"/>
      <c r="H357" s="290" t="n"/>
    </row>
    <row r="358" ht="13" customHeight="1" s="189">
      <c r="A358" s="289" t="n"/>
      <c r="B358" s="290" t="n"/>
      <c r="C358" s="290" t="n"/>
      <c r="D358" s="289" t="n"/>
      <c r="E358" s="289" t="n"/>
      <c r="F358" s="290" t="n"/>
      <c r="G358" s="290" t="n"/>
      <c r="H358" s="290" t="n"/>
    </row>
    <row r="359" ht="13" customHeight="1" s="189">
      <c r="A359" s="289" t="n"/>
      <c r="B359" s="290" t="n"/>
      <c r="C359" s="290" t="n"/>
      <c r="D359" s="289" t="n"/>
      <c r="E359" s="289" t="n"/>
      <c r="F359" s="290" t="n"/>
      <c r="G359" s="290" t="n"/>
      <c r="H359" s="290" t="n"/>
    </row>
    <row r="360" ht="13" customHeight="1" s="189">
      <c r="A360" s="289" t="n"/>
      <c r="B360" s="290" t="n"/>
      <c r="C360" s="290" t="n"/>
      <c r="D360" s="289" t="n"/>
      <c r="E360" s="289" t="n"/>
      <c r="F360" s="290" t="n"/>
      <c r="G360" s="290" t="n"/>
      <c r="H360" s="290" t="n"/>
    </row>
    <row r="361" ht="13" customHeight="1" s="189">
      <c r="A361" s="289" t="n"/>
      <c r="B361" s="290" t="n"/>
      <c r="C361" s="290" t="n"/>
      <c r="D361" s="289" t="n"/>
      <c r="E361" s="289" t="n"/>
      <c r="F361" s="290" t="n"/>
      <c r="G361" s="290" t="n"/>
      <c r="H361" s="290" t="n"/>
    </row>
    <row r="362" ht="13" customHeight="1" s="189">
      <c r="A362" s="289" t="n"/>
      <c r="B362" s="290" t="n"/>
      <c r="C362" s="290" t="n"/>
      <c r="D362" s="289" t="n"/>
      <c r="E362" s="289" t="n"/>
      <c r="F362" s="290" t="n"/>
      <c r="G362" s="290" t="n"/>
      <c r="H362" s="290" t="n"/>
    </row>
    <row r="363" ht="13" customHeight="1" s="189">
      <c r="A363" s="289" t="n"/>
      <c r="B363" s="290" t="n"/>
      <c r="C363" s="290" t="n"/>
      <c r="D363" s="289" t="n"/>
      <c r="E363" s="289" t="n"/>
      <c r="F363" s="290" t="n"/>
      <c r="G363" s="290" t="n"/>
      <c r="H363" s="290" t="n"/>
    </row>
    <row r="364" ht="13" customHeight="1" s="189">
      <c r="A364" s="289" t="n"/>
      <c r="B364" s="290" t="n"/>
      <c r="C364" s="290" t="n"/>
      <c r="D364" s="289" t="n"/>
      <c r="E364" s="289" t="n"/>
      <c r="F364" s="290" t="n"/>
      <c r="G364" s="290" t="n"/>
      <c r="H364" s="290" t="n"/>
    </row>
    <row r="365" ht="13" customHeight="1" s="189">
      <c r="A365" s="289" t="n"/>
      <c r="B365" s="290" t="n"/>
      <c r="C365" s="290" t="n"/>
      <c r="D365" s="289" t="n"/>
      <c r="E365" s="289" t="n"/>
      <c r="F365" s="290" t="n"/>
      <c r="G365" s="290" t="n"/>
      <c r="H365" s="290" t="n"/>
    </row>
    <row r="366" ht="13" customHeight="1" s="189">
      <c r="A366" s="289" t="n"/>
      <c r="B366" s="290" t="n"/>
      <c r="C366" s="290" t="n"/>
      <c r="D366" s="289" t="n"/>
      <c r="E366" s="289" t="n"/>
      <c r="F366" s="290" t="n"/>
      <c r="G366" s="290" t="n"/>
      <c r="H366" s="290" t="n"/>
    </row>
    <row r="367" ht="13" customHeight="1" s="189">
      <c r="A367" s="289" t="n"/>
      <c r="B367" s="290" t="n"/>
      <c r="C367" s="290" t="n"/>
      <c r="D367" s="289" t="n"/>
      <c r="E367" s="289" t="n"/>
      <c r="F367" s="290" t="n"/>
      <c r="G367" s="290" t="n"/>
      <c r="H367" s="290" t="n"/>
    </row>
    <row r="368" ht="13" customHeight="1" s="189">
      <c r="A368" s="289" t="n"/>
      <c r="B368" s="290" t="n"/>
      <c r="C368" s="290" t="n"/>
      <c r="D368" s="289" t="n"/>
      <c r="E368" s="289" t="n"/>
      <c r="F368" s="290" t="n"/>
      <c r="G368" s="290" t="n"/>
      <c r="H368" s="290" t="n"/>
    </row>
    <row r="369" ht="13" customHeight="1" s="189">
      <c r="A369" s="289" t="n"/>
      <c r="B369" s="290" t="n"/>
      <c r="C369" s="290" t="n"/>
      <c r="D369" s="289" t="n"/>
      <c r="E369" s="289" t="n"/>
      <c r="F369" s="290" t="n"/>
      <c r="G369" s="290" t="n"/>
      <c r="H369" s="290" t="n"/>
    </row>
    <row r="370" ht="13" customHeight="1" s="189">
      <c r="A370" s="289" t="n"/>
      <c r="B370" s="290" t="n"/>
      <c r="C370" s="290" t="n"/>
      <c r="D370" s="289" t="n"/>
      <c r="E370" s="289" t="n"/>
      <c r="F370" s="290" t="n"/>
      <c r="G370" s="290" t="n"/>
      <c r="H370" s="290" t="n"/>
    </row>
    <row r="371" ht="13" customHeight="1" s="189">
      <c r="A371" s="289" t="n"/>
      <c r="B371" s="290" t="n"/>
      <c r="C371" s="290" t="n"/>
      <c r="D371" s="289" t="n"/>
      <c r="E371" s="289" t="n"/>
      <c r="F371" s="290" t="n"/>
      <c r="G371" s="290" t="n"/>
      <c r="H371" s="290" t="n"/>
    </row>
    <row r="372" ht="13" customHeight="1" s="189">
      <c r="A372" s="289" t="n"/>
      <c r="B372" s="290" t="n"/>
      <c r="C372" s="290" t="n"/>
      <c r="D372" s="289" t="n"/>
      <c r="E372" s="289" t="n"/>
      <c r="F372" s="290" t="n"/>
      <c r="G372" s="290" t="n"/>
      <c r="H372" s="290" t="n"/>
    </row>
    <row r="373" ht="13" customHeight="1" s="189">
      <c r="A373" s="289" t="n"/>
      <c r="B373" s="290" t="n"/>
      <c r="C373" s="290" t="n"/>
      <c r="D373" s="289" t="n"/>
      <c r="E373" s="289" t="n"/>
      <c r="F373" s="290" t="n"/>
      <c r="G373" s="290" t="n"/>
      <c r="H373" s="290" t="n"/>
    </row>
    <row r="374" ht="13" customHeight="1" s="189">
      <c r="A374" s="289" t="n"/>
      <c r="B374" s="290" t="n"/>
      <c r="C374" s="290" t="n"/>
      <c r="D374" s="289" t="n"/>
      <c r="E374" s="289" t="n"/>
      <c r="F374" s="290" t="n"/>
      <c r="G374" s="290" t="n"/>
      <c r="H374" s="290" t="n"/>
    </row>
    <row r="375" ht="13" customHeight="1" s="189">
      <c r="A375" s="289" t="n"/>
      <c r="B375" s="290" t="n"/>
      <c r="C375" s="290" t="n"/>
      <c r="D375" s="289" t="n"/>
      <c r="E375" s="289" t="n"/>
      <c r="F375" s="290" t="n"/>
      <c r="G375" s="290" t="n"/>
      <c r="H375" s="290" t="n"/>
    </row>
    <row r="376" ht="13" customHeight="1" s="189">
      <c r="A376" s="289" t="n"/>
      <c r="B376" s="290" t="n"/>
      <c r="C376" s="290" t="n"/>
      <c r="D376" s="289" t="n"/>
      <c r="E376" s="289" t="n"/>
      <c r="F376" s="290" t="n"/>
      <c r="G376" s="290" t="n"/>
      <c r="H376" s="290" t="n"/>
    </row>
    <row r="377" ht="13" customHeight="1" s="189">
      <c r="A377" s="289" t="n"/>
      <c r="B377" s="290" t="n"/>
      <c r="C377" s="290" t="n"/>
      <c r="D377" s="289" t="n"/>
      <c r="E377" s="289" t="n"/>
      <c r="F377" s="290" t="n"/>
      <c r="G377" s="290" t="n"/>
      <c r="H377" s="290" t="n"/>
    </row>
    <row r="378" ht="13" customHeight="1" s="189">
      <c r="A378" s="289" t="n"/>
      <c r="B378" s="290" t="n"/>
      <c r="C378" s="290" t="n"/>
      <c r="D378" s="289" t="n"/>
      <c r="E378" s="289" t="n"/>
      <c r="F378" s="290" t="n"/>
      <c r="G378" s="290" t="n"/>
      <c r="H378" s="290" t="n"/>
    </row>
    <row r="379" ht="13" customHeight="1" s="189">
      <c r="A379" s="289" t="n"/>
      <c r="B379" s="290" t="n"/>
      <c r="C379" s="290" t="n"/>
      <c r="D379" s="289" t="n"/>
      <c r="E379" s="289" t="n"/>
      <c r="F379" s="290" t="n"/>
      <c r="G379" s="290" t="n"/>
      <c r="H379" s="290" t="n"/>
    </row>
    <row r="380" ht="13" customHeight="1" s="189">
      <c r="A380" s="289" t="n"/>
      <c r="B380" s="290" t="n"/>
      <c r="C380" s="290" t="n"/>
      <c r="D380" s="289" t="n"/>
      <c r="E380" s="289" t="n"/>
      <c r="F380" s="290" t="n"/>
      <c r="G380" s="290" t="n"/>
      <c r="H380" s="290" t="n"/>
    </row>
    <row r="381" ht="13" customHeight="1" s="189">
      <c r="A381" s="289" t="n"/>
      <c r="B381" s="290" t="n"/>
      <c r="C381" s="290" t="n"/>
      <c r="D381" s="289" t="n"/>
      <c r="E381" s="289" t="n"/>
      <c r="F381" s="290" t="n"/>
      <c r="G381" s="290" t="n"/>
      <c r="H381" s="290" t="n"/>
    </row>
    <row r="382" ht="13" customHeight="1" s="189">
      <c r="A382" s="289" t="n"/>
      <c r="B382" s="290" t="n"/>
      <c r="C382" s="290" t="n"/>
      <c r="D382" s="289" t="n"/>
      <c r="E382" s="289" t="n"/>
      <c r="F382" s="290" t="n"/>
      <c r="G382" s="290" t="n"/>
      <c r="H382" s="290" t="n"/>
    </row>
    <row r="383" ht="13" customHeight="1" s="189">
      <c r="A383" s="289" t="n"/>
      <c r="B383" s="290" t="n"/>
      <c r="C383" s="290" t="n"/>
      <c r="D383" s="289" t="n"/>
      <c r="E383" s="289" t="n"/>
      <c r="F383" s="290" t="n"/>
      <c r="G383" s="290" t="n"/>
      <c r="H383" s="290" t="n"/>
    </row>
    <row r="384" ht="13" customHeight="1" s="189">
      <c r="A384" s="289" t="n"/>
      <c r="B384" s="290" t="n"/>
      <c r="C384" s="290" t="n"/>
      <c r="D384" s="289" t="n"/>
      <c r="E384" s="289" t="n"/>
      <c r="F384" s="290" t="n"/>
      <c r="G384" s="290" t="n"/>
      <c r="H384" s="290" t="n"/>
    </row>
    <row r="385" ht="13" customHeight="1" s="189">
      <c r="A385" s="289" t="n"/>
      <c r="B385" s="290" t="n"/>
      <c r="C385" s="290" t="n"/>
      <c r="D385" s="289" t="n"/>
      <c r="E385" s="289" t="n"/>
      <c r="F385" s="290" t="n"/>
      <c r="G385" s="290" t="n"/>
      <c r="H385" s="290" t="n"/>
    </row>
    <row r="386" ht="13" customHeight="1" s="189">
      <c r="A386" s="289" t="n"/>
      <c r="B386" s="290" t="n"/>
      <c r="C386" s="290" t="n"/>
      <c r="D386" s="289" t="n"/>
      <c r="E386" s="289" t="n"/>
      <c r="F386" s="290" t="n"/>
      <c r="G386" s="290" t="n"/>
      <c r="H386" s="290" t="n"/>
    </row>
    <row r="387" ht="13" customHeight="1" s="189">
      <c r="A387" s="289" t="n"/>
      <c r="B387" s="290" t="n"/>
      <c r="C387" s="290" t="n"/>
      <c r="D387" s="289" t="n"/>
      <c r="E387" s="289" t="n"/>
      <c r="F387" s="290" t="n"/>
      <c r="G387" s="290" t="n"/>
      <c r="H387" s="290" t="n"/>
    </row>
    <row r="388" ht="13" customHeight="1" s="189">
      <c r="A388" s="289" t="n"/>
      <c r="B388" s="290" t="n"/>
      <c r="C388" s="290" t="n"/>
      <c r="D388" s="289" t="n"/>
      <c r="E388" s="289" t="n"/>
      <c r="F388" s="290" t="n"/>
      <c r="G388" s="290" t="n"/>
      <c r="H388" s="290" t="n"/>
    </row>
    <row r="389" ht="13" customHeight="1" s="189">
      <c r="A389" s="289" t="n"/>
      <c r="B389" s="290" t="n"/>
      <c r="C389" s="290" t="n"/>
      <c r="D389" s="289" t="n"/>
      <c r="E389" s="289" t="n"/>
      <c r="F389" s="290" t="n"/>
      <c r="G389" s="290" t="n"/>
      <c r="H389" s="290" t="n"/>
    </row>
    <row r="390" ht="13" customHeight="1" s="189">
      <c r="A390" s="289" t="n"/>
      <c r="B390" s="290" t="n"/>
      <c r="C390" s="290" t="n"/>
      <c r="D390" s="289" t="n"/>
      <c r="E390" s="289" t="n"/>
      <c r="F390" s="290" t="n"/>
      <c r="G390" s="290" t="n"/>
      <c r="H390" s="290" t="n"/>
    </row>
    <row r="391" ht="13" customHeight="1" s="189">
      <c r="A391" s="289" t="n"/>
      <c r="B391" s="290" t="n"/>
      <c r="C391" s="290" t="n"/>
      <c r="D391" s="289" t="n"/>
      <c r="E391" s="289" t="n"/>
      <c r="F391" s="290" t="n"/>
      <c r="G391" s="290" t="n"/>
      <c r="H391" s="290" t="n"/>
    </row>
    <row r="392" ht="13" customHeight="1" s="189">
      <c r="A392" s="289" t="n"/>
      <c r="B392" s="290" t="n"/>
      <c r="C392" s="290" t="n"/>
      <c r="D392" s="289" t="n"/>
      <c r="E392" s="289" t="n"/>
      <c r="F392" s="290" t="n"/>
      <c r="G392" s="290" t="n"/>
      <c r="H392" s="290" t="n"/>
    </row>
    <row r="393" ht="13" customHeight="1" s="189">
      <c r="A393" s="289" t="n"/>
      <c r="B393" s="290" t="n"/>
      <c r="C393" s="290" t="n"/>
      <c r="D393" s="289" t="n"/>
      <c r="E393" s="289" t="n"/>
      <c r="F393" s="290" t="n"/>
      <c r="G393" s="290" t="n"/>
      <c r="H393" s="290" t="n"/>
    </row>
    <row r="394" ht="13" customHeight="1" s="189">
      <c r="A394" s="289" t="n"/>
      <c r="B394" s="290" t="n"/>
      <c r="C394" s="290" t="n"/>
      <c r="D394" s="289" t="n"/>
      <c r="E394" s="289" t="n"/>
      <c r="F394" s="290" t="n"/>
      <c r="G394" s="290" t="n"/>
      <c r="H394" s="290" t="n"/>
    </row>
    <row r="395" ht="13" customHeight="1" s="189">
      <c r="A395" s="289" t="n"/>
      <c r="B395" s="290" t="n"/>
      <c r="C395" s="290" t="n"/>
      <c r="D395" s="289" t="n"/>
      <c r="E395" s="289" t="n"/>
      <c r="F395" s="290" t="n"/>
      <c r="G395" s="290" t="n"/>
      <c r="H395" s="290" t="n"/>
    </row>
    <row r="396" ht="13" customHeight="1" s="189">
      <c r="A396" s="289" t="n"/>
      <c r="B396" s="290" t="n"/>
      <c r="C396" s="290" t="n"/>
      <c r="D396" s="289" t="n"/>
      <c r="E396" s="289" t="n"/>
      <c r="F396" s="290" t="n"/>
      <c r="G396" s="290" t="n"/>
      <c r="H396" s="290" t="n"/>
    </row>
    <row r="397" ht="13" customHeight="1" s="189">
      <c r="A397" s="289" t="n"/>
      <c r="B397" s="290" t="n"/>
      <c r="C397" s="290" t="n"/>
      <c r="D397" s="289" t="n"/>
      <c r="E397" s="289" t="n"/>
      <c r="F397" s="290" t="n"/>
      <c r="G397" s="290" t="n"/>
      <c r="H397" s="290" t="n"/>
    </row>
    <row r="398" ht="13" customHeight="1" s="189">
      <c r="A398" s="289" t="n"/>
      <c r="B398" s="290" t="n"/>
      <c r="C398" s="290" t="n"/>
      <c r="D398" s="289" t="n"/>
      <c r="E398" s="289" t="n"/>
      <c r="F398" s="290" t="n"/>
      <c r="G398" s="290" t="n"/>
      <c r="H398" s="290" t="n"/>
    </row>
    <row r="399" ht="13" customHeight="1" s="189">
      <c r="A399" s="289" t="n"/>
      <c r="B399" s="290" t="n"/>
      <c r="C399" s="290" t="n"/>
      <c r="D399" s="289" t="n"/>
      <c r="E399" s="289" t="n"/>
      <c r="F399" s="290" t="n"/>
      <c r="G399" s="290" t="n"/>
      <c r="H399" s="290" t="n"/>
    </row>
    <row r="400" ht="13" customHeight="1" s="189">
      <c r="A400" s="289" t="n"/>
      <c r="B400" s="290" t="n"/>
      <c r="C400" s="290" t="n"/>
      <c r="D400" s="289" t="n"/>
      <c r="E400" s="289" t="n"/>
      <c r="F400" s="290" t="n"/>
      <c r="G400" s="290" t="n"/>
      <c r="H400" s="290" t="n"/>
    </row>
    <row r="401" ht="13" customHeight="1" s="189">
      <c r="A401" s="289" t="n"/>
      <c r="B401" s="290" t="n"/>
      <c r="C401" s="290" t="n"/>
      <c r="D401" s="289" t="n"/>
      <c r="E401" s="289" t="n"/>
      <c r="F401" s="290" t="n"/>
      <c r="G401" s="290" t="n"/>
      <c r="H401" s="290" t="n"/>
    </row>
    <row r="402" ht="13" customHeight="1" s="189">
      <c r="A402" s="289" t="n"/>
      <c r="B402" s="290" t="n"/>
      <c r="C402" s="290" t="n"/>
      <c r="D402" s="289" t="n"/>
      <c r="E402" s="289" t="n"/>
      <c r="F402" s="290" t="n"/>
      <c r="G402" s="290" t="n"/>
      <c r="H402" s="290" t="n"/>
    </row>
    <row r="403" ht="13" customHeight="1" s="189">
      <c r="A403" s="289" t="n"/>
      <c r="B403" s="290" t="n"/>
      <c r="C403" s="290" t="n"/>
      <c r="D403" s="289" t="n"/>
      <c r="E403" s="289" t="n"/>
      <c r="F403" s="290" t="n"/>
      <c r="G403" s="290" t="n"/>
      <c r="H403" s="290" t="n"/>
    </row>
    <row r="404" ht="13" customHeight="1" s="189">
      <c r="A404" s="289" t="n"/>
      <c r="B404" s="290" t="n"/>
      <c r="C404" s="290" t="n"/>
      <c r="D404" s="289" t="n"/>
      <c r="E404" s="289" t="n"/>
      <c r="F404" s="290" t="n"/>
      <c r="G404" s="290" t="n"/>
      <c r="H404" s="290" t="n"/>
    </row>
    <row r="405" ht="13" customHeight="1" s="189">
      <c r="A405" s="289" t="n"/>
      <c r="B405" s="290" t="n"/>
      <c r="C405" s="290" t="n"/>
      <c r="D405" s="289" t="n"/>
      <c r="E405" s="289" t="n"/>
      <c r="F405" s="290" t="n"/>
      <c r="G405" s="290" t="n"/>
      <c r="H405" s="290" t="n"/>
    </row>
    <row r="406" ht="13" customHeight="1" s="189">
      <c r="A406" s="289" t="n"/>
      <c r="B406" s="290" t="n"/>
      <c r="C406" s="290" t="n"/>
      <c r="D406" s="289" t="n"/>
      <c r="E406" s="289" t="n"/>
      <c r="F406" s="290" t="n"/>
      <c r="G406" s="290" t="n"/>
      <c r="H406" s="290" t="n"/>
    </row>
    <row r="407" ht="13" customHeight="1" s="189">
      <c r="A407" s="289" t="n"/>
      <c r="B407" s="290" t="n"/>
      <c r="C407" s="290" t="n"/>
      <c r="D407" s="289" t="n"/>
      <c r="E407" s="289" t="n"/>
      <c r="F407" s="290" t="n"/>
      <c r="G407" s="290" t="n"/>
      <c r="H407" s="290" t="n"/>
    </row>
    <row r="408" ht="13" customHeight="1" s="189">
      <c r="A408" s="289" t="n"/>
      <c r="B408" s="290" t="n"/>
      <c r="C408" s="290" t="n"/>
      <c r="D408" s="289" t="n"/>
      <c r="E408" s="289" t="n"/>
      <c r="F408" s="290" t="n"/>
      <c r="G408" s="290" t="n"/>
      <c r="H408" s="290" t="n"/>
    </row>
    <row r="409" ht="13" customHeight="1" s="189">
      <c r="A409" s="289" t="n"/>
      <c r="B409" s="290" t="n"/>
      <c r="C409" s="290" t="n"/>
      <c r="D409" s="289" t="n"/>
      <c r="E409" s="289" t="n"/>
      <c r="F409" s="290" t="n"/>
      <c r="G409" s="290" t="n"/>
      <c r="H409" s="290" t="n"/>
    </row>
    <row r="410" ht="13" customHeight="1" s="189">
      <c r="A410" s="289" t="n"/>
      <c r="B410" s="290" t="n"/>
      <c r="C410" s="290" t="n"/>
      <c r="D410" s="289" t="n"/>
      <c r="E410" s="289" t="n"/>
      <c r="F410" s="290" t="n"/>
      <c r="G410" s="290" t="n"/>
      <c r="H410" s="290" t="n"/>
    </row>
    <row r="411" ht="13" customHeight="1" s="189">
      <c r="A411" s="289" t="n"/>
      <c r="B411" s="290" t="n"/>
      <c r="C411" s="290" t="n"/>
      <c r="D411" s="289" t="n"/>
      <c r="E411" s="289" t="n"/>
      <c r="F411" s="290" t="n"/>
      <c r="G411" s="290" t="n"/>
      <c r="H411" s="290" t="n"/>
    </row>
    <row r="412" ht="13" customHeight="1" s="189">
      <c r="A412" s="289" t="n"/>
      <c r="B412" s="290" t="n"/>
      <c r="C412" s="290" t="n"/>
      <c r="D412" s="289" t="n"/>
      <c r="E412" s="289" t="n"/>
      <c r="F412" s="290" t="n"/>
      <c r="G412" s="290" t="n"/>
      <c r="H412" s="290" t="n"/>
    </row>
    <row r="413" ht="13" customHeight="1" s="189">
      <c r="A413" s="289" t="n"/>
      <c r="B413" s="290" t="n"/>
      <c r="C413" s="290" t="n"/>
      <c r="D413" s="289" t="n"/>
      <c r="E413" s="289" t="n"/>
      <c r="F413" s="290" t="n"/>
      <c r="G413" s="290" t="n"/>
      <c r="H413" s="290" t="n"/>
    </row>
    <row r="414" ht="13" customHeight="1" s="189">
      <c r="A414" s="289" t="n"/>
      <c r="B414" s="290" t="n"/>
      <c r="C414" s="290" t="n"/>
      <c r="D414" s="289" t="n"/>
      <c r="E414" s="289" t="n"/>
      <c r="F414" s="290" t="n"/>
      <c r="G414" s="290" t="n"/>
      <c r="H414" s="290" t="n"/>
    </row>
    <row r="415" ht="13" customHeight="1" s="189">
      <c r="A415" s="289" t="n"/>
      <c r="B415" s="290" t="n"/>
      <c r="C415" s="290" t="n"/>
      <c r="D415" s="289" t="n"/>
      <c r="E415" s="289" t="n"/>
      <c r="F415" s="290" t="n"/>
      <c r="G415" s="290" t="n"/>
      <c r="H415" s="290" t="n"/>
    </row>
    <row r="416" ht="13" customHeight="1" s="189">
      <c r="A416" s="289" t="n"/>
      <c r="B416" s="290" t="n"/>
      <c r="C416" s="290" t="n"/>
      <c r="D416" s="289" t="n"/>
      <c r="E416" s="289" t="n"/>
      <c r="F416" s="290" t="n"/>
      <c r="G416" s="290" t="n"/>
      <c r="H416" s="290" t="n"/>
    </row>
    <row r="417" ht="13" customHeight="1" s="189">
      <c r="A417" s="289" t="n"/>
      <c r="B417" s="290" t="n"/>
      <c r="C417" s="290" t="n"/>
      <c r="D417" s="289" t="n"/>
      <c r="E417" s="289" t="n"/>
      <c r="F417" s="290" t="n"/>
      <c r="G417" s="290" t="n"/>
      <c r="H417" s="290" t="n"/>
    </row>
    <row r="418" ht="13" customHeight="1" s="189">
      <c r="A418" s="289" t="n"/>
      <c r="B418" s="290" t="n"/>
      <c r="C418" s="290" t="n"/>
      <c r="D418" s="289" t="n"/>
      <c r="E418" s="289" t="n"/>
      <c r="F418" s="290" t="n"/>
      <c r="G418" s="290" t="n"/>
      <c r="H418" s="290" t="n"/>
    </row>
    <row r="419" ht="13" customHeight="1" s="189">
      <c r="A419" s="289" t="n"/>
      <c r="B419" s="290" t="n"/>
      <c r="C419" s="290" t="n"/>
      <c r="D419" s="289" t="n"/>
      <c r="E419" s="289" t="n"/>
      <c r="F419" s="290" t="n"/>
      <c r="G419" s="290" t="n"/>
      <c r="H419" s="290" t="n"/>
    </row>
    <row r="420" ht="13" customHeight="1" s="189">
      <c r="A420" s="289" t="n"/>
      <c r="B420" s="290" t="n"/>
      <c r="C420" s="290" t="n"/>
      <c r="D420" s="289" t="n"/>
      <c r="E420" s="289" t="n"/>
      <c r="F420" s="290" t="n"/>
      <c r="G420" s="290" t="n"/>
      <c r="H420" s="290" t="n"/>
    </row>
    <row r="421" ht="13" customHeight="1" s="189">
      <c r="A421" s="289" t="n"/>
      <c r="B421" s="290" t="n"/>
      <c r="C421" s="290" t="n"/>
      <c r="D421" s="289" t="n"/>
      <c r="E421" s="289" t="n"/>
      <c r="F421" s="290" t="n"/>
      <c r="G421" s="290" t="n"/>
      <c r="H421" s="290" t="n"/>
    </row>
    <row r="422" ht="13" customHeight="1" s="189">
      <c r="A422" s="289" t="n"/>
      <c r="B422" s="290" t="n"/>
      <c r="C422" s="290" t="n"/>
      <c r="D422" s="289" t="n"/>
      <c r="E422" s="289" t="n"/>
      <c r="F422" s="290" t="n"/>
      <c r="G422" s="290" t="n"/>
      <c r="H422" s="290" t="n"/>
    </row>
    <row r="423" ht="13" customHeight="1" s="189">
      <c r="A423" s="289" t="n"/>
      <c r="B423" s="290" t="n"/>
      <c r="C423" s="290" t="n"/>
      <c r="D423" s="289" t="n"/>
      <c r="E423" s="289" t="n"/>
      <c r="F423" s="290" t="n"/>
      <c r="G423" s="290" t="n"/>
      <c r="H423" s="290" t="n"/>
    </row>
    <row r="424" ht="13" customHeight="1" s="189">
      <c r="A424" s="289" t="n"/>
      <c r="B424" s="290" t="n"/>
      <c r="C424" s="290" t="n"/>
      <c r="D424" s="289" t="n"/>
      <c r="E424" s="289" t="n"/>
      <c r="F424" s="290" t="n"/>
      <c r="G424" s="290" t="n"/>
      <c r="H424" s="290" t="n"/>
    </row>
    <row r="425" ht="13" customHeight="1" s="189">
      <c r="A425" s="289" t="n"/>
      <c r="B425" s="290" t="n"/>
      <c r="C425" s="290" t="n"/>
      <c r="D425" s="289" t="n"/>
      <c r="E425" s="289" t="n"/>
      <c r="F425" s="290" t="n"/>
      <c r="G425" s="290" t="n"/>
      <c r="H425" s="290" t="n"/>
    </row>
    <row r="426" ht="13" customHeight="1" s="189">
      <c r="A426" s="289" t="n"/>
      <c r="B426" s="290" t="n"/>
      <c r="C426" s="290" t="n"/>
      <c r="D426" s="289" t="n"/>
      <c r="E426" s="289" t="n"/>
      <c r="F426" s="290" t="n"/>
      <c r="G426" s="290" t="n"/>
      <c r="H426" s="290" t="n"/>
    </row>
    <row r="427" ht="13" customHeight="1" s="189">
      <c r="A427" s="289" t="n"/>
      <c r="B427" s="290" t="n"/>
      <c r="C427" s="290" t="n"/>
      <c r="D427" s="289" t="n"/>
      <c r="E427" s="289" t="n"/>
      <c r="F427" s="290" t="n"/>
      <c r="G427" s="290" t="n"/>
      <c r="H427" s="290" t="n"/>
    </row>
    <row r="428" ht="13" customHeight="1" s="189">
      <c r="A428" s="289" t="n"/>
      <c r="B428" s="290" t="n"/>
      <c r="C428" s="290" t="n"/>
      <c r="D428" s="289" t="n"/>
      <c r="E428" s="289" t="n"/>
      <c r="F428" s="290" t="n"/>
      <c r="G428" s="290" t="n"/>
      <c r="H428" s="290" t="n"/>
    </row>
    <row r="429" ht="13" customHeight="1" s="189">
      <c r="A429" s="289" t="n"/>
      <c r="B429" s="290" t="n"/>
      <c r="C429" s="290" t="n"/>
      <c r="D429" s="289" t="n"/>
      <c r="E429" s="289" t="n"/>
      <c r="F429" s="290" t="n"/>
      <c r="G429" s="290" t="n"/>
      <c r="H429" s="290" t="n"/>
    </row>
    <row r="430" ht="13" customHeight="1" s="189">
      <c r="A430" s="289" t="n"/>
      <c r="B430" s="290" t="n"/>
      <c r="C430" s="290" t="n"/>
      <c r="D430" s="289" t="n"/>
      <c r="E430" s="289" t="n"/>
      <c r="F430" s="290" t="n"/>
      <c r="G430" s="290" t="n"/>
      <c r="H430" s="290" t="n"/>
    </row>
    <row r="431" ht="13" customHeight="1" s="189">
      <c r="A431" s="289" t="n"/>
      <c r="B431" s="290" t="n"/>
      <c r="C431" s="290" t="n"/>
      <c r="D431" s="289" t="n"/>
      <c r="E431" s="289" t="n"/>
      <c r="F431" s="290" t="n"/>
      <c r="G431" s="290" t="n"/>
      <c r="H431" s="290" t="n"/>
    </row>
    <row r="432" ht="13" customHeight="1" s="189">
      <c r="A432" s="289" t="n"/>
      <c r="B432" s="290" t="n"/>
      <c r="C432" s="290" t="n"/>
      <c r="D432" s="289" t="n"/>
      <c r="E432" s="289" t="n"/>
      <c r="F432" s="290" t="n"/>
      <c r="G432" s="290" t="n"/>
      <c r="H432" s="290" t="n"/>
    </row>
    <row r="433" ht="13" customHeight="1" s="189">
      <c r="A433" s="289" t="n"/>
      <c r="B433" s="290" t="n"/>
      <c r="C433" s="290" t="n"/>
      <c r="D433" s="289" t="n"/>
      <c r="E433" s="289" t="n"/>
      <c r="F433" s="290" t="n"/>
      <c r="G433" s="290" t="n"/>
      <c r="H433" s="290" t="n"/>
    </row>
    <row r="434" ht="13" customHeight="1" s="189">
      <c r="A434" s="289" t="n"/>
      <c r="B434" s="290" t="n"/>
      <c r="C434" s="290" t="n"/>
      <c r="D434" s="289" t="n"/>
      <c r="E434" s="289" t="n"/>
      <c r="F434" s="290" t="n"/>
      <c r="G434" s="290" t="n"/>
      <c r="H434" s="290" t="n"/>
    </row>
    <row r="435" ht="13" customHeight="1" s="189">
      <c r="A435" s="289" t="n"/>
      <c r="B435" s="290" t="n"/>
      <c r="C435" s="290" t="n"/>
      <c r="D435" s="289" t="n"/>
      <c r="E435" s="289" t="n"/>
      <c r="F435" s="290" t="n"/>
      <c r="G435" s="290" t="n"/>
      <c r="H435" s="290" t="n"/>
    </row>
    <row r="436" ht="13" customHeight="1" s="189">
      <c r="A436" s="289" t="n"/>
      <c r="B436" s="290" t="n"/>
      <c r="C436" s="290" t="n"/>
      <c r="D436" s="289" t="n"/>
      <c r="E436" s="289" t="n"/>
      <c r="F436" s="290" t="n"/>
      <c r="G436" s="290" t="n"/>
      <c r="H436" s="290" t="n"/>
    </row>
    <row r="437" ht="13" customHeight="1" s="189">
      <c r="A437" s="289" t="n"/>
      <c r="B437" s="290" t="n"/>
      <c r="C437" s="290" t="n"/>
      <c r="D437" s="289" t="n"/>
      <c r="E437" s="289" t="n"/>
      <c r="F437" s="290" t="n"/>
      <c r="G437" s="290" t="n"/>
      <c r="H437" s="290" t="n"/>
    </row>
    <row r="438" ht="13" customHeight="1" s="189">
      <c r="A438" s="289" t="n"/>
      <c r="B438" s="290" t="n"/>
      <c r="C438" s="290" t="n"/>
      <c r="D438" s="289" t="n"/>
      <c r="E438" s="289" t="n"/>
      <c r="F438" s="290" t="n"/>
      <c r="G438" s="290" t="n"/>
      <c r="H438" s="290" t="n"/>
    </row>
    <row r="439" ht="13" customHeight="1" s="189">
      <c r="A439" s="289" t="n"/>
      <c r="B439" s="290" t="n"/>
      <c r="C439" s="290" t="n"/>
      <c r="D439" s="289" t="n"/>
      <c r="E439" s="289" t="n"/>
      <c r="F439" s="290" t="n"/>
      <c r="G439" s="290" t="n"/>
      <c r="H439" s="290" t="n"/>
    </row>
    <row r="440" ht="13" customHeight="1" s="189">
      <c r="A440" s="289" t="n"/>
      <c r="B440" s="290" t="n"/>
      <c r="C440" s="290" t="n"/>
      <c r="D440" s="289" t="n"/>
      <c r="E440" s="289" t="n"/>
      <c r="F440" s="290" t="n"/>
      <c r="G440" s="290" t="n"/>
      <c r="H440" s="290" t="n"/>
    </row>
    <row r="441" ht="13" customHeight="1" s="189">
      <c r="A441" s="289" t="n"/>
      <c r="B441" s="290" t="n"/>
      <c r="C441" s="290" t="n"/>
      <c r="D441" s="289" t="n"/>
      <c r="E441" s="289" t="n"/>
      <c r="F441" s="290" t="n"/>
      <c r="G441" s="290" t="n"/>
      <c r="H441" s="290" t="n"/>
    </row>
    <row r="442" ht="13" customHeight="1" s="189">
      <c r="A442" s="289" t="n"/>
      <c r="B442" s="290" t="n"/>
      <c r="C442" s="290" t="n"/>
      <c r="D442" s="289" t="n"/>
      <c r="E442" s="289" t="n"/>
      <c r="F442" s="290" t="n"/>
      <c r="G442" s="290" t="n"/>
      <c r="H442" s="290" t="n"/>
    </row>
    <row r="443" ht="13" customHeight="1" s="189">
      <c r="A443" s="289" t="n"/>
      <c r="B443" s="290" t="n"/>
      <c r="C443" s="290" t="n"/>
      <c r="D443" s="289" t="n"/>
      <c r="E443" s="289" t="n"/>
      <c r="F443" s="290" t="n"/>
      <c r="G443" s="290" t="n"/>
      <c r="H443" s="290" t="n"/>
    </row>
    <row r="444" ht="13" customHeight="1" s="189">
      <c r="A444" s="289" t="n"/>
      <c r="B444" s="290" t="n"/>
      <c r="C444" s="290" t="n"/>
      <c r="D444" s="289" t="n"/>
      <c r="E444" s="289" t="n"/>
      <c r="F444" s="290" t="n"/>
      <c r="G444" s="290" t="n"/>
      <c r="H444" s="290" t="n"/>
    </row>
    <row r="445" ht="13" customHeight="1" s="189">
      <c r="A445" s="289" t="n"/>
      <c r="B445" s="290" t="n"/>
      <c r="C445" s="290" t="n"/>
      <c r="D445" s="289" t="n"/>
      <c r="E445" s="289" t="n"/>
      <c r="F445" s="290" t="n"/>
      <c r="G445" s="290" t="n"/>
      <c r="H445" s="290" t="n"/>
    </row>
    <row r="446" ht="13" customHeight="1" s="189">
      <c r="A446" s="289" t="n"/>
      <c r="B446" s="290" t="n"/>
      <c r="C446" s="290" t="n"/>
      <c r="D446" s="289" t="n"/>
      <c r="E446" s="289" t="n"/>
      <c r="F446" s="290" t="n"/>
      <c r="G446" s="290" t="n"/>
      <c r="H446" s="290" t="n"/>
    </row>
    <row r="447" ht="13" customHeight="1" s="189">
      <c r="A447" s="289" t="n"/>
      <c r="B447" s="290" t="n"/>
      <c r="C447" s="290" t="n"/>
      <c r="D447" s="289" t="n"/>
      <c r="E447" s="289" t="n"/>
      <c r="F447" s="290" t="n"/>
      <c r="G447" s="290" t="n"/>
      <c r="H447" s="290" t="n"/>
    </row>
    <row r="448" ht="13" customHeight="1" s="189">
      <c r="A448" s="289" t="n"/>
      <c r="B448" s="290" t="n"/>
      <c r="C448" s="290" t="n"/>
      <c r="D448" s="289" t="n"/>
      <c r="E448" s="289" t="n"/>
      <c r="F448" s="290" t="n"/>
      <c r="G448" s="290" t="n"/>
      <c r="H448" s="290" t="n"/>
    </row>
    <row r="449" ht="13" customHeight="1" s="189">
      <c r="A449" s="289" t="n"/>
      <c r="B449" s="290" t="n"/>
      <c r="C449" s="290" t="n"/>
      <c r="D449" s="289" t="n"/>
      <c r="E449" s="289" t="n"/>
      <c r="F449" s="290" t="n"/>
      <c r="G449" s="290" t="n"/>
      <c r="H449" s="290" t="n"/>
    </row>
    <row r="450" ht="13" customHeight="1" s="189">
      <c r="A450" s="289" t="n"/>
      <c r="B450" s="290" t="n"/>
      <c r="C450" s="290" t="n"/>
      <c r="D450" s="289" t="n"/>
      <c r="E450" s="289" t="n"/>
      <c r="F450" s="290" t="n"/>
      <c r="G450" s="290" t="n"/>
      <c r="H450" s="290" t="n"/>
    </row>
    <row r="451" ht="13" customHeight="1" s="189">
      <c r="A451" s="289" t="n"/>
      <c r="B451" s="290" t="n"/>
      <c r="C451" s="290" t="n"/>
      <c r="D451" s="289" t="n"/>
      <c r="E451" s="289" t="n"/>
      <c r="F451" s="290" t="n"/>
      <c r="G451" s="290" t="n"/>
      <c r="H451" s="290" t="n"/>
    </row>
    <row r="452" ht="13" customHeight="1" s="189">
      <c r="A452" s="289" t="n"/>
      <c r="B452" s="290" t="n"/>
      <c r="C452" s="290" t="n"/>
      <c r="D452" s="289" t="n"/>
      <c r="E452" s="289" t="n"/>
      <c r="F452" s="290" t="n"/>
      <c r="G452" s="290" t="n"/>
      <c r="H452" s="290" t="n"/>
    </row>
    <row r="453" ht="13" customHeight="1" s="189">
      <c r="A453" s="289" t="n"/>
      <c r="B453" s="290" t="n"/>
      <c r="C453" s="290" t="n"/>
      <c r="D453" s="289" t="n"/>
      <c r="E453" s="289" t="n"/>
      <c r="F453" s="290" t="n"/>
      <c r="G453" s="290" t="n"/>
      <c r="H453" s="290" t="n"/>
    </row>
    <row r="454" ht="13" customHeight="1" s="189">
      <c r="A454" s="289" t="n"/>
      <c r="B454" s="290" t="n"/>
      <c r="C454" s="290" t="n"/>
      <c r="D454" s="289" t="n"/>
      <c r="E454" s="289" t="n"/>
      <c r="F454" s="290" t="n"/>
      <c r="G454" s="290" t="n"/>
      <c r="H454" s="290" t="n"/>
    </row>
    <row r="455" ht="13" customHeight="1" s="189">
      <c r="A455" s="289" t="n"/>
      <c r="B455" s="290" t="n"/>
      <c r="C455" s="290" t="n"/>
      <c r="D455" s="289" t="n"/>
      <c r="E455" s="289" t="n"/>
      <c r="F455" s="290" t="n"/>
      <c r="G455" s="290" t="n"/>
      <c r="H455" s="290" t="n"/>
    </row>
    <row r="456" ht="13" customHeight="1" s="189">
      <c r="A456" s="289" t="n"/>
      <c r="B456" s="290" t="n"/>
      <c r="C456" s="290" t="n"/>
      <c r="D456" s="289" t="n"/>
      <c r="E456" s="289" t="n"/>
      <c r="F456" s="290" t="n"/>
      <c r="G456" s="290" t="n"/>
      <c r="H456" s="290" t="n"/>
    </row>
    <row r="457" ht="13" customHeight="1" s="189">
      <c r="A457" s="289" t="n"/>
      <c r="B457" s="290" t="n"/>
      <c r="C457" s="290" t="n"/>
      <c r="D457" s="289" t="n"/>
      <c r="E457" s="289" t="n"/>
      <c r="F457" s="290" t="n"/>
      <c r="G457" s="290" t="n"/>
      <c r="H457" s="290" t="n"/>
    </row>
    <row r="458" ht="13" customHeight="1" s="189">
      <c r="A458" s="289" t="n"/>
      <c r="B458" s="290" t="n"/>
      <c r="C458" s="290" t="n"/>
      <c r="D458" s="289" t="n"/>
      <c r="E458" s="289" t="n"/>
      <c r="F458" s="290" t="n"/>
      <c r="G458" s="290" t="n"/>
      <c r="H458" s="290" t="n"/>
    </row>
    <row r="459" ht="13" customHeight="1" s="189">
      <c r="A459" s="289" t="n"/>
      <c r="B459" s="290" t="n"/>
      <c r="C459" s="290" t="n"/>
      <c r="D459" s="289" t="n"/>
      <c r="E459" s="289" t="n"/>
      <c r="F459" s="290" t="n"/>
      <c r="G459" s="290" t="n"/>
      <c r="H459" s="290" t="n"/>
    </row>
    <row r="460" ht="13" customHeight="1" s="189">
      <c r="A460" s="289" t="n"/>
      <c r="B460" s="290" t="n"/>
      <c r="C460" s="290" t="n"/>
      <c r="D460" s="289" t="n"/>
      <c r="E460" s="289" t="n"/>
      <c r="F460" s="290" t="n"/>
      <c r="G460" s="290" t="n"/>
      <c r="H460" s="290" t="n"/>
    </row>
    <row r="461" ht="13" customHeight="1" s="189">
      <c r="A461" s="289" t="n"/>
      <c r="B461" s="290" t="n"/>
      <c r="C461" s="290" t="n"/>
      <c r="D461" s="289" t="n"/>
      <c r="E461" s="289" t="n"/>
      <c r="F461" s="290" t="n"/>
      <c r="G461" s="290" t="n"/>
      <c r="H461" s="290" t="n"/>
    </row>
    <row r="462" ht="13" customHeight="1" s="189">
      <c r="A462" s="289" t="n"/>
      <c r="B462" s="290" t="n"/>
      <c r="C462" s="290" t="n"/>
      <c r="D462" s="289" t="n"/>
      <c r="E462" s="289" t="n"/>
      <c r="F462" s="290" t="n"/>
      <c r="G462" s="290" t="n"/>
      <c r="H462" s="290" t="n"/>
    </row>
    <row r="463" ht="13" customHeight="1" s="189">
      <c r="A463" s="289" t="n"/>
      <c r="B463" s="290" t="n"/>
      <c r="C463" s="290" t="n"/>
      <c r="D463" s="289" t="n"/>
      <c r="E463" s="289" t="n"/>
      <c r="F463" s="290" t="n"/>
      <c r="G463" s="290" t="n"/>
      <c r="H463" s="290" t="n"/>
    </row>
    <row r="464" ht="13" customHeight="1" s="189">
      <c r="A464" s="289" t="n"/>
      <c r="B464" s="290" t="n"/>
      <c r="C464" s="290" t="n"/>
      <c r="D464" s="289" t="n"/>
      <c r="E464" s="289" t="n"/>
      <c r="F464" s="290" t="n"/>
      <c r="G464" s="290" t="n"/>
      <c r="H464" s="290" t="n"/>
    </row>
    <row r="465" ht="13" customHeight="1" s="189">
      <c r="A465" s="289" t="n"/>
      <c r="B465" s="290" t="n"/>
      <c r="C465" s="290" t="n"/>
      <c r="D465" s="289" t="n"/>
      <c r="E465" s="289" t="n"/>
      <c r="F465" s="290" t="n"/>
      <c r="G465" s="290" t="n"/>
      <c r="H465" s="290" t="n"/>
    </row>
    <row r="466" ht="13" customHeight="1" s="189">
      <c r="A466" s="289" t="n"/>
      <c r="B466" s="290" t="n"/>
      <c r="C466" s="290" t="n"/>
      <c r="D466" s="289" t="n"/>
      <c r="E466" s="289" t="n"/>
      <c r="F466" s="290" t="n"/>
      <c r="G466" s="290" t="n"/>
      <c r="H466" s="290" t="n"/>
    </row>
    <row r="467" ht="13" customHeight="1" s="189">
      <c r="A467" s="289" t="n"/>
      <c r="B467" s="290" t="n"/>
      <c r="C467" s="290" t="n"/>
      <c r="D467" s="289" t="n"/>
      <c r="E467" s="289" t="n"/>
      <c r="F467" s="290" t="n"/>
      <c r="G467" s="290" t="n"/>
      <c r="H467" s="290" t="n"/>
    </row>
    <row r="468" ht="13" customHeight="1" s="189">
      <c r="A468" s="289" t="n"/>
      <c r="B468" s="290" t="n"/>
      <c r="C468" s="290" t="n"/>
      <c r="D468" s="289" t="n"/>
      <c r="E468" s="289" t="n"/>
      <c r="F468" s="290" t="n"/>
      <c r="G468" s="290" t="n"/>
      <c r="H468" s="290" t="n"/>
    </row>
    <row r="469" ht="13" customHeight="1" s="189">
      <c r="A469" s="289" t="n"/>
      <c r="B469" s="290" t="n"/>
      <c r="C469" s="290" t="n"/>
      <c r="D469" s="289" t="n"/>
      <c r="E469" s="289" t="n"/>
      <c r="F469" s="290" t="n"/>
      <c r="G469" s="290" t="n"/>
      <c r="H469" s="290" t="n"/>
    </row>
    <row r="470" ht="13" customHeight="1" s="189">
      <c r="A470" s="289" t="n"/>
      <c r="B470" s="290" t="n"/>
      <c r="C470" s="290" t="n"/>
      <c r="D470" s="289" t="n"/>
      <c r="E470" s="289" t="n"/>
      <c r="F470" s="290" t="n"/>
      <c r="G470" s="290" t="n"/>
      <c r="H470" s="290" t="n"/>
    </row>
    <row r="471" ht="13" customHeight="1" s="189">
      <c r="A471" s="289" t="n"/>
      <c r="B471" s="290" t="n"/>
      <c r="C471" s="290" t="n"/>
      <c r="D471" s="289" t="n"/>
      <c r="E471" s="289" t="n"/>
      <c r="F471" s="290" t="n"/>
      <c r="G471" s="290" t="n"/>
      <c r="H471" s="290" t="n"/>
    </row>
    <row r="472" ht="13" customHeight="1" s="189">
      <c r="A472" s="289" t="n"/>
      <c r="B472" s="290" t="n"/>
      <c r="C472" s="290" t="n"/>
      <c r="D472" s="289" t="n"/>
      <c r="E472" s="289" t="n"/>
      <c r="F472" s="290" t="n"/>
      <c r="G472" s="290" t="n"/>
      <c r="H472" s="290" t="n"/>
    </row>
    <row r="473" ht="13" customHeight="1" s="189">
      <c r="A473" s="289" t="n"/>
      <c r="B473" s="290" t="n"/>
      <c r="C473" s="290" t="n"/>
      <c r="D473" s="289" t="n"/>
      <c r="E473" s="289" t="n"/>
      <c r="F473" s="290" t="n"/>
      <c r="G473" s="290" t="n"/>
      <c r="H473" s="290" t="n"/>
    </row>
    <row r="474" ht="13" customHeight="1" s="189">
      <c r="A474" s="289" t="n"/>
      <c r="B474" s="290" t="n"/>
      <c r="C474" s="290" t="n"/>
      <c r="D474" s="289" t="n"/>
      <c r="E474" s="289" t="n"/>
      <c r="F474" s="290" t="n"/>
      <c r="G474" s="290" t="n"/>
      <c r="H474" s="290" t="n"/>
    </row>
    <row r="475" ht="13" customHeight="1" s="189">
      <c r="A475" s="289" t="n"/>
      <c r="B475" s="290" t="n"/>
      <c r="C475" s="290" t="n"/>
      <c r="D475" s="289" t="n"/>
      <c r="E475" s="289" t="n"/>
      <c r="F475" s="290" t="n"/>
      <c r="G475" s="290" t="n"/>
      <c r="H475" s="290" t="n"/>
    </row>
    <row r="476" ht="13" customHeight="1" s="189">
      <c r="A476" s="289" t="n"/>
      <c r="B476" s="290" t="n"/>
      <c r="C476" s="290" t="n"/>
      <c r="D476" s="289" t="n"/>
      <c r="E476" s="289" t="n"/>
      <c r="F476" s="290" t="n"/>
      <c r="G476" s="290" t="n"/>
      <c r="H476" s="290" t="n"/>
    </row>
    <row r="477" ht="13" customHeight="1" s="189">
      <c r="A477" s="289" t="n"/>
      <c r="B477" s="290" t="n"/>
      <c r="C477" s="290" t="n"/>
      <c r="D477" s="289" t="n"/>
      <c r="E477" s="289" t="n"/>
      <c r="F477" s="290" t="n"/>
      <c r="G477" s="290" t="n"/>
      <c r="H477" s="290" t="n"/>
    </row>
    <row r="478" ht="13" customHeight="1" s="189">
      <c r="A478" s="289" t="n"/>
      <c r="B478" s="290" t="n"/>
      <c r="C478" s="290" t="n"/>
      <c r="D478" s="289" t="n"/>
      <c r="E478" s="289" t="n"/>
      <c r="F478" s="290" t="n"/>
      <c r="G478" s="290" t="n"/>
      <c r="H478" s="290" t="n"/>
    </row>
    <row r="479" ht="13" customHeight="1" s="189">
      <c r="A479" s="289" t="n"/>
      <c r="B479" s="290" t="n"/>
      <c r="C479" s="290" t="n"/>
      <c r="D479" s="289" t="n"/>
      <c r="E479" s="289" t="n"/>
      <c r="F479" s="290" t="n"/>
      <c r="G479" s="290" t="n"/>
      <c r="H479" s="290" t="n"/>
    </row>
    <row r="480" ht="13" customHeight="1" s="189">
      <c r="A480" s="289" t="n"/>
      <c r="B480" s="290" t="n"/>
      <c r="C480" s="290" t="n"/>
      <c r="D480" s="289" t="n"/>
      <c r="E480" s="289" t="n"/>
      <c r="F480" s="290" t="n"/>
      <c r="G480" s="290" t="n"/>
      <c r="H480" s="290" t="n"/>
    </row>
    <row r="481" ht="13" customHeight="1" s="189">
      <c r="A481" s="289" t="n"/>
      <c r="B481" s="290" t="n"/>
      <c r="C481" s="290" t="n"/>
      <c r="D481" s="289" t="n"/>
      <c r="E481" s="289" t="n"/>
      <c r="F481" s="290" t="n"/>
      <c r="G481" s="290" t="n"/>
      <c r="H481" s="290" t="n"/>
    </row>
    <row r="482" ht="13" customHeight="1" s="189">
      <c r="A482" s="289" t="n"/>
      <c r="B482" s="290" t="n"/>
      <c r="C482" s="290" t="n"/>
      <c r="D482" s="289" t="n"/>
      <c r="E482" s="289" t="n"/>
      <c r="F482" s="290" t="n"/>
      <c r="G482" s="290" t="n"/>
      <c r="H482" s="290" t="n"/>
    </row>
    <row r="483" ht="13" customHeight="1" s="189">
      <c r="A483" s="289" t="n"/>
      <c r="B483" s="290" t="n"/>
      <c r="C483" s="290" t="n"/>
      <c r="D483" s="289" t="n"/>
      <c r="E483" s="289" t="n"/>
      <c r="F483" s="290" t="n"/>
      <c r="G483" s="290" t="n"/>
      <c r="H483" s="290" t="n"/>
    </row>
    <row r="484" ht="13" customHeight="1" s="189">
      <c r="A484" s="289" t="n"/>
      <c r="B484" s="290" t="n"/>
      <c r="C484" s="290" t="n"/>
      <c r="D484" s="289" t="n"/>
      <c r="E484" s="289" t="n"/>
      <c r="F484" s="290" t="n"/>
      <c r="G484" s="290" t="n"/>
      <c r="H484" s="290" t="n"/>
    </row>
    <row r="485" ht="13" customHeight="1" s="189">
      <c r="A485" s="289" t="n"/>
      <c r="B485" s="290" t="n"/>
      <c r="C485" s="290" t="n"/>
      <c r="D485" s="289" t="n"/>
      <c r="E485" s="289" t="n"/>
      <c r="F485" s="290" t="n"/>
      <c r="G485" s="290" t="n"/>
      <c r="H485" s="290" t="n"/>
    </row>
    <row r="486" ht="13" customHeight="1" s="189">
      <c r="A486" s="289" t="n"/>
      <c r="B486" s="290" t="n"/>
      <c r="C486" s="290" t="n"/>
      <c r="D486" s="289" t="n"/>
      <c r="E486" s="289" t="n"/>
      <c r="F486" s="290" t="n"/>
      <c r="G486" s="290" t="n"/>
      <c r="H486" s="290" t="n"/>
    </row>
    <row r="487" ht="13" customHeight="1" s="189">
      <c r="A487" s="289" t="n"/>
      <c r="B487" s="290" t="n"/>
      <c r="C487" s="290" t="n"/>
      <c r="D487" s="289" t="n"/>
      <c r="E487" s="289" t="n"/>
      <c r="F487" s="290" t="n"/>
      <c r="G487" s="290" t="n"/>
      <c r="H487" s="290" t="n"/>
    </row>
    <row r="488" ht="13" customHeight="1" s="189">
      <c r="A488" s="289" t="n"/>
      <c r="B488" s="290" t="n"/>
      <c r="C488" s="290" t="n"/>
      <c r="D488" s="289" t="n"/>
      <c r="E488" s="289" t="n"/>
      <c r="F488" s="290" t="n"/>
      <c r="G488" s="290" t="n"/>
      <c r="H488" s="290" t="n"/>
    </row>
    <row r="489" ht="13" customHeight="1" s="189">
      <c r="A489" s="289" t="n"/>
      <c r="B489" s="290" t="n"/>
      <c r="C489" s="290" t="n"/>
      <c r="D489" s="289" t="n"/>
      <c r="E489" s="289" t="n"/>
      <c r="F489" s="290" t="n"/>
      <c r="G489" s="290" t="n"/>
      <c r="H489" s="290" t="n"/>
    </row>
    <row r="490" ht="13" customHeight="1" s="189">
      <c r="A490" s="289" t="n"/>
      <c r="B490" s="290" t="n"/>
      <c r="C490" s="290" t="n"/>
      <c r="D490" s="289" t="n"/>
      <c r="E490" s="289" t="n"/>
      <c r="F490" s="290" t="n"/>
      <c r="G490" s="290" t="n"/>
      <c r="H490" s="290" t="n"/>
    </row>
    <row r="491" ht="13" customHeight="1" s="189">
      <c r="A491" s="289" t="n"/>
      <c r="B491" s="290" t="n"/>
      <c r="C491" s="290" t="n"/>
      <c r="D491" s="289" t="n"/>
      <c r="E491" s="289" t="n"/>
      <c r="F491" s="290" t="n"/>
      <c r="G491" s="290" t="n"/>
      <c r="H491" s="290" t="n"/>
    </row>
    <row r="492" ht="13" customHeight="1" s="189">
      <c r="A492" s="289" t="n"/>
      <c r="B492" s="290" t="n"/>
      <c r="C492" s="290" t="n"/>
      <c r="D492" s="289" t="n"/>
      <c r="E492" s="289" t="n"/>
      <c r="F492" s="290" t="n"/>
      <c r="G492" s="290" t="n"/>
      <c r="H492" s="290" t="n"/>
    </row>
    <row r="493" ht="13" customHeight="1" s="189">
      <c r="A493" s="289" t="n"/>
      <c r="B493" s="290" t="n"/>
      <c r="C493" s="290" t="n"/>
      <c r="D493" s="289" t="n"/>
      <c r="E493" s="289" t="n"/>
      <c r="F493" s="290" t="n"/>
      <c r="G493" s="290" t="n"/>
      <c r="H493" s="290" t="n"/>
    </row>
    <row r="494" ht="13" customHeight="1" s="189">
      <c r="A494" s="289" t="n"/>
      <c r="B494" s="290" t="n"/>
      <c r="C494" s="290" t="n"/>
      <c r="D494" s="289" t="n"/>
      <c r="E494" s="289" t="n"/>
      <c r="F494" s="290" t="n"/>
      <c r="G494" s="290" t="n"/>
      <c r="H494" s="290" t="n"/>
    </row>
    <row r="495" ht="13" customHeight="1" s="189">
      <c r="A495" s="289" t="n"/>
      <c r="B495" s="290" t="n"/>
      <c r="C495" s="290" t="n"/>
      <c r="D495" s="289" t="n"/>
      <c r="E495" s="289" t="n"/>
      <c r="F495" s="290" t="n"/>
      <c r="G495" s="290" t="n"/>
      <c r="H495" s="290" t="n"/>
    </row>
    <row r="496" ht="13" customHeight="1" s="189">
      <c r="A496" s="289" t="n"/>
      <c r="B496" s="290" t="n"/>
      <c r="C496" s="290" t="n"/>
      <c r="D496" s="289" t="n"/>
      <c r="E496" s="289" t="n"/>
      <c r="F496" s="290" t="n"/>
      <c r="G496" s="290" t="n"/>
      <c r="H496" s="290" t="n"/>
    </row>
    <row r="497" ht="13" customHeight="1" s="189">
      <c r="A497" s="289" t="n"/>
      <c r="B497" s="290" t="n"/>
      <c r="C497" s="290" t="n"/>
      <c r="D497" s="289" t="n"/>
      <c r="E497" s="289" t="n"/>
      <c r="F497" s="290" t="n"/>
      <c r="G497" s="290" t="n"/>
      <c r="H497" s="290" t="n"/>
    </row>
    <row r="498" ht="13" customHeight="1" s="189">
      <c r="A498" s="289" t="n"/>
      <c r="B498" s="290" t="n"/>
      <c r="C498" s="290" t="n"/>
      <c r="D498" s="289" t="n"/>
      <c r="E498" s="289" t="n"/>
      <c r="F498" s="290" t="n"/>
      <c r="G498" s="290" t="n"/>
      <c r="H498" s="290" t="n"/>
    </row>
    <row r="499" ht="13" customHeight="1" s="189">
      <c r="A499" s="289" t="n"/>
      <c r="B499" s="290" t="n"/>
      <c r="C499" s="290" t="n"/>
      <c r="D499" s="289" t="n"/>
      <c r="E499" s="289" t="n"/>
      <c r="F499" s="290" t="n"/>
      <c r="G499" s="290" t="n"/>
      <c r="H499" s="290" t="n"/>
    </row>
    <row r="500" ht="13" customHeight="1" s="189">
      <c r="A500" s="289" t="n"/>
      <c r="B500" s="290" t="n"/>
      <c r="C500" s="290" t="n"/>
      <c r="D500" s="289" t="n"/>
      <c r="E500" s="289" t="n"/>
      <c r="F500" s="290" t="n"/>
      <c r="G500" s="290" t="n"/>
      <c r="H500" s="290" t="n"/>
    </row>
    <row r="501" ht="13" customHeight="1" s="189">
      <c r="A501" s="289" t="n"/>
      <c r="B501" s="290" t="n"/>
      <c r="C501" s="290" t="n"/>
      <c r="D501" s="289" t="n"/>
      <c r="E501" s="289" t="n"/>
      <c r="F501" s="290" t="n"/>
      <c r="G501" s="290" t="n"/>
      <c r="H501" s="290" t="n"/>
    </row>
    <row r="502" ht="13" customHeight="1" s="189">
      <c r="A502" s="289" t="n"/>
      <c r="B502" s="290" t="n"/>
      <c r="C502" s="290" t="n"/>
      <c r="D502" s="289" t="n"/>
      <c r="E502" s="289" t="n"/>
      <c r="F502" s="290" t="n"/>
      <c r="G502" s="290" t="n"/>
      <c r="H502" s="290" t="n"/>
    </row>
    <row r="503" ht="13" customHeight="1" s="189">
      <c r="A503" s="289" t="n"/>
      <c r="B503" s="290" t="n"/>
      <c r="C503" s="290" t="n"/>
      <c r="D503" s="289" t="n"/>
      <c r="E503" s="289" t="n"/>
      <c r="F503" s="290" t="n"/>
      <c r="G503" s="290" t="n"/>
      <c r="H503" s="290" t="n"/>
    </row>
    <row r="504" ht="13" customHeight="1" s="189">
      <c r="A504" s="289" t="n"/>
      <c r="B504" s="290" t="n"/>
      <c r="C504" s="290" t="n"/>
      <c r="D504" s="289" t="n"/>
      <c r="E504" s="289" t="n"/>
      <c r="F504" s="290" t="n"/>
      <c r="G504" s="290" t="n"/>
      <c r="H504" s="290" t="n"/>
    </row>
    <row r="505" ht="13" customHeight="1" s="189">
      <c r="A505" s="289" t="n"/>
      <c r="B505" s="290" t="n"/>
      <c r="C505" s="290" t="n"/>
      <c r="D505" s="289" t="n"/>
      <c r="E505" s="289" t="n"/>
      <c r="F505" s="290" t="n"/>
      <c r="G505" s="290" t="n"/>
      <c r="H505" s="290" t="n"/>
    </row>
    <row r="506" ht="13" customHeight="1" s="189">
      <c r="A506" s="289" t="n"/>
      <c r="B506" s="290" t="n"/>
      <c r="C506" s="290" t="n"/>
      <c r="D506" s="289" t="n"/>
      <c r="E506" s="289" t="n"/>
      <c r="F506" s="290" t="n"/>
      <c r="G506" s="290" t="n"/>
      <c r="H506" s="290" t="n"/>
    </row>
    <row r="507" ht="13" customHeight="1" s="189">
      <c r="A507" s="289" t="n"/>
      <c r="B507" s="290" t="n"/>
      <c r="C507" s="290" t="n"/>
      <c r="D507" s="289" t="n"/>
      <c r="E507" s="289" t="n"/>
      <c r="F507" s="290" t="n"/>
      <c r="G507" s="290" t="n"/>
      <c r="H507" s="290" t="n"/>
    </row>
    <row r="508" ht="13" customHeight="1" s="189">
      <c r="A508" s="289" t="n"/>
      <c r="B508" s="290" t="n"/>
      <c r="C508" s="290" t="n"/>
      <c r="D508" s="289" t="n"/>
      <c r="E508" s="289" t="n"/>
      <c r="F508" s="290" t="n"/>
      <c r="G508" s="290" t="n"/>
      <c r="H508" s="290" t="n"/>
    </row>
    <row r="509" ht="13" customHeight="1" s="189">
      <c r="A509" s="289" t="n"/>
      <c r="B509" s="290" t="n"/>
      <c r="C509" s="290" t="n"/>
      <c r="D509" s="289" t="n"/>
      <c r="E509" s="289" t="n"/>
      <c r="F509" s="290" t="n"/>
      <c r="G509" s="290" t="n"/>
      <c r="H509" s="290" t="n"/>
    </row>
    <row r="510" ht="13" customHeight="1" s="189">
      <c r="A510" s="289" t="n"/>
      <c r="B510" s="290" t="n"/>
      <c r="C510" s="290" t="n"/>
      <c r="D510" s="289" t="n"/>
      <c r="E510" s="289" t="n"/>
      <c r="F510" s="290" t="n"/>
      <c r="G510" s="290" t="n"/>
      <c r="H510" s="290" t="n"/>
    </row>
    <row r="511" ht="13" customHeight="1" s="189">
      <c r="A511" s="289" t="n"/>
      <c r="B511" s="290" t="n"/>
      <c r="C511" s="290" t="n"/>
      <c r="D511" s="289" t="n"/>
      <c r="E511" s="289" t="n"/>
      <c r="F511" s="290" t="n"/>
      <c r="G511" s="290" t="n"/>
      <c r="H511" s="290" t="n"/>
    </row>
    <row r="512" ht="13" customHeight="1" s="189">
      <c r="A512" s="289" t="n"/>
      <c r="B512" s="290" t="n"/>
      <c r="C512" s="290" t="n"/>
      <c r="D512" s="289" t="n"/>
      <c r="E512" s="289" t="n"/>
      <c r="F512" s="290" t="n"/>
      <c r="G512" s="290" t="n"/>
      <c r="H512" s="290" t="n"/>
    </row>
    <row r="513" ht="13" customHeight="1" s="189">
      <c r="A513" s="289" t="n"/>
      <c r="B513" s="290" t="n"/>
      <c r="C513" s="290" t="n"/>
      <c r="D513" s="289" t="n"/>
      <c r="E513" s="289" t="n"/>
      <c r="F513" s="290" t="n"/>
      <c r="G513" s="290" t="n"/>
      <c r="H513" s="290" t="n"/>
    </row>
    <row r="514" ht="13" customHeight="1" s="189">
      <c r="A514" s="289" t="n"/>
      <c r="B514" s="290" t="n"/>
      <c r="C514" s="290" t="n"/>
      <c r="D514" s="289" t="n"/>
      <c r="E514" s="289" t="n"/>
      <c r="F514" s="290" t="n"/>
      <c r="G514" s="290" t="n"/>
      <c r="H514" s="290" t="n"/>
    </row>
    <row r="515" ht="13" customHeight="1" s="189">
      <c r="A515" s="289" t="n"/>
      <c r="B515" s="290" t="n"/>
      <c r="C515" s="290" t="n"/>
      <c r="D515" s="289" t="n"/>
      <c r="E515" s="289" t="n"/>
      <c r="F515" s="290" t="n"/>
      <c r="G515" s="290" t="n"/>
      <c r="H515" s="290" t="n"/>
    </row>
    <row r="516" ht="13" customHeight="1" s="189">
      <c r="A516" s="289" t="n"/>
      <c r="B516" s="290" t="n"/>
      <c r="C516" s="290" t="n"/>
      <c r="D516" s="289" t="n"/>
      <c r="E516" s="289" t="n"/>
      <c r="F516" s="290" t="n"/>
      <c r="G516" s="290" t="n"/>
      <c r="H516" s="290" t="n"/>
    </row>
    <row r="517" ht="13" customHeight="1" s="189">
      <c r="A517" s="289" t="n"/>
      <c r="B517" s="290" t="n"/>
      <c r="C517" s="290" t="n"/>
      <c r="D517" s="289" t="n"/>
      <c r="E517" s="289" t="n"/>
      <c r="F517" s="290" t="n"/>
      <c r="G517" s="290" t="n"/>
      <c r="H517" s="290" t="n"/>
    </row>
    <row r="518" ht="13" customHeight="1" s="189">
      <c r="A518" s="289" t="n"/>
      <c r="B518" s="290" t="n"/>
      <c r="C518" s="290" t="n"/>
      <c r="D518" s="289" t="n"/>
      <c r="E518" s="289" t="n"/>
      <c r="F518" s="290" t="n"/>
      <c r="G518" s="290" t="n"/>
      <c r="H518" s="290" t="n"/>
    </row>
    <row r="519" ht="13" customHeight="1" s="189">
      <c r="A519" s="289" t="n"/>
      <c r="B519" s="290" t="n"/>
      <c r="C519" s="290" t="n"/>
      <c r="D519" s="289" t="n"/>
      <c r="E519" s="289" t="n"/>
      <c r="F519" s="290" t="n"/>
      <c r="G519" s="290" t="n"/>
      <c r="H519" s="290" t="n"/>
    </row>
    <row r="520" ht="13" customHeight="1" s="189">
      <c r="A520" s="289" t="n"/>
      <c r="B520" s="290" t="n"/>
      <c r="C520" s="290" t="n"/>
      <c r="D520" s="289" t="n"/>
      <c r="E520" s="289" t="n"/>
      <c r="F520" s="290" t="n"/>
      <c r="G520" s="290" t="n"/>
      <c r="H520" s="290" t="n"/>
    </row>
    <row r="521" ht="13" customHeight="1" s="189">
      <c r="A521" s="289" t="n"/>
      <c r="B521" s="290" t="n"/>
      <c r="C521" s="290" t="n"/>
      <c r="D521" s="289" t="n"/>
      <c r="E521" s="289" t="n"/>
      <c r="F521" s="290" t="n"/>
      <c r="G521" s="290" t="n"/>
      <c r="H521" s="290" t="n"/>
    </row>
    <row r="522" ht="13" customHeight="1" s="189">
      <c r="A522" s="289" t="n"/>
      <c r="B522" s="290" t="n"/>
      <c r="C522" s="290" t="n"/>
      <c r="D522" s="289" t="n"/>
      <c r="E522" s="289" t="n"/>
      <c r="F522" s="290" t="n"/>
      <c r="G522" s="290" t="n"/>
      <c r="H522" s="290" t="n"/>
    </row>
    <row r="523" ht="13" customHeight="1" s="189">
      <c r="A523" s="289" t="n"/>
      <c r="B523" s="290" t="n"/>
      <c r="C523" s="290" t="n"/>
      <c r="D523" s="289" t="n"/>
      <c r="E523" s="289" t="n"/>
      <c r="F523" s="290" t="n"/>
      <c r="G523" s="290" t="n"/>
      <c r="H523" s="290" t="n"/>
    </row>
    <row r="524" ht="13" customHeight="1" s="189">
      <c r="A524" s="289" t="n"/>
      <c r="B524" s="290" t="n"/>
      <c r="C524" s="290" t="n"/>
      <c r="D524" s="289" t="n"/>
      <c r="E524" s="289" t="n"/>
      <c r="F524" s="290" t="n"/>
      <c r="G524" s="290" t="n"/>
      <c r="H524" s="290" t="n"/>
    </row>
    <row r="525" ht="13" customHeight="1" s="189">
      <c r="A525" s="289" t="n"/>
      <c r="B525" s="290" t="n"/>
      <c r="C525" s="290" t="n"/>
      <c r="D525" s="289" t="n"/>
      <c r="E525" s="289" t="n"/>
      <c r="F525" s="290" t="n"/>
      <c r="G525" s="290" t="n"/>
      <c r="H525" s="290" t="n"/>
    </row>
    <row r="526" ht="13" customHeight="1" s="189">
      <c r="A526" s="289" t="n"/>
      <c r="B526" s="290" t="n"/>
      <c r="C526" s="290" t="n"/>
      <c r="D526" s="289" t="n"/>
      <c r="E526" s="289" t="n"/>
      <c r="F526" s="290" t="n"/>
      <c r="G526" s="290" t="n"/>
      <c r="H526" s="290" t="n"/>
    </row>
    <row r="527" ht="13" customHeight="1" s="189">
      <c r="A527" s="289" t="n"/>
      <c r="B527" s="290" t="n"/>
      <c r="C527" s="290" t="n"/>
      <c r="D527" s="289" t="n"/>
      <c r="E527" s="289" t="n"/>
      <c r="F527" s="290" t="n"/>
      <c r="G527" s="290" t="n"/>
      <c r="H527" s="290" t="n"/>
    </row>
    <row r="528" ht="13" customHeight="1" s="189">
      <c r="A528" s="289" t="n"/>
      <c r="B528" s="290" t="n"/>
      <c r="C528" s="290" t="n"/>
      <c r="D528" s="289" t="n"/>
      <c r="E528" s="289" t="n"/>
      <c r="F528" s="290" t="n"/>
      <c r="G528" s="290" t="n"/>
      <c r="H528" s="290" t="n"/>
    </row>
    <row r="529" ht="13" customHeight="1" s="189">
      <c r="A529" s="289" t="n"/>
      <c r="B529" s="290" t="n"/>
      <c r="C529" s="290" t="n"/>
      <c r="D529" s="289" t="n"/>
      <c r="E529" s="289" t="n"/>
      <c r="F529" s="290" t="n"/>
      <c r="G529" s="290" t="n"/>
      <c r="H529" s="290" t="n"/>
    </row>
    <row r="530" ht="13" customHeight="1" s="189">
      <c r="A530" s="289" t="n"/>
      <c r="B530" s="290" t="n"/>
      <c r="C530" s="290" t="n"/>
      <c r="D530" s="289" t="n"/>
      <c r="E530" s="289" t="n"/>
      <c r="F530" s="290" t="n"/>
      <c r="G530" s="290" t="n"/>
      <c r="H530" s="290" t="n"/>
    </row>
    <row r="531" ht="13" customHeight="1" s="189">
      <c r="A531" s="289" t="n"/>
      <c r="B531" s="290" t="n"/>
      <c r="C531" s="290" t="n"/>
      <c r="D531" s="289" t="n"/>
      <c r="E531" s="289" t="n"/>
      <c r="F531" s="290" t="n"/>
      <c r="G531" s="290" t="n"/>
      <c r="H531" s="290" t="n"/>
    </row>
    <row r="532" ht="13" customHeight="1" s="189">
      <c r="A532" s="289" t="n"/>
      <c r="B532" s="290" t="n"/>
      <c r="C532" s="290" t="n"/>
      <c r="D532" s="289" t="n"/>
      <c r="E532" s="289" t="n"/>
      <c r="F532" s="290" t="n"/>
      <c r="G532" s="290" t="n"/>
      <c r="H532" s="290" t="n"/>
    </row>
    <row r="533" ht="13" customHeight="1" s="189">
      <c r="A533" s="289" t="n"/>
      <c r="B533" s="290" t="n"/>
      <c r="C533" s="290" t="n"/>
      <c r="D533" s="289" t="n"/>
      <c r="E533" s="289" t="n"/>
      <c r="F533" s="290" t="n"/>
      <c r="G533" s="290" t="n"/>
      <c r="H533" s="290" t="n"/>
    </row>
    <row r="534" ht="13" customHeight="1" s="189">
      <c r="A534" s="289" t="n"/>
      <c r="B534" s="290" t="n"/>
      <c r="C534" s="290" t="n"/>
      <c r="D534" s="289" t="n"/>
      <c r="E534" s="289" t="n"/>
      <c r="F534" s="290" t="n"/>
      <c r="G534" s="290" t="n"/>
      <c r="H534" s="290" t="n"/>
    </row>
    <row r="535" ht="13" customHeight="1" s="189">
      <c r="A535" s="289" t="n"/>
      <c r="B535" s="290" t="n"/>
      <c r="C535" s="290" t="n"/>
      <c r="D535" s="289" t="n"/>
      <c r="E535" s="289" t="n"/>
      <c r="F535" s="290" t="n"/>
      <c r="G535" s="290" t="n"/>
      <c r="H535" s="290" t="n"/>
    </row>
    <row r="536" ht="13" customHeight="1" s="189">
      <c r="A536" s="289" t="n"/>
      <c r="B536" s="290" t="n"/>
      <c r="C536" s="290" t="n"/>
      <c r="D536" s="289" t="n"/>
      <c r="E536" s="289" t="n"/>
      <c r="F536" s="290" t="n"/>
      <c r="G536" s="290" t="n"/>
      <c r="H536" s="290" t="n"/>
    </row>
    <row r="537" ht="13" customHeight="1" s="189">
      <c r="A537" s="289" t="n"/>
      <c r="B537" s="290" t="n"/>
      <c r="C537" s="290" t="n"/>
      <c r="D537" s="289" t="n"/>
      <c r="E537" s="289" t="n"/>
      <c r="F537" s="290" t="n"/>
      <c r="G537" s="290" t="n"/>
      <c r="H537" s="290" t="n"/>
    </row>
    <row r="538" ht="13" customHeight="1" s="189">
      <c r="A538" s="289" t="n"/>
      <c r="B538" s="290" t="n"/>
      <c r="C538" s="290" t="n"/>
      <c r="D538" s="289" t="n"/>
      <c r="E538" s="289" t="n"/>
      <c r="F538" s="290" t="n"/>
      <c r="G538" s="290" t="n"/>
      <c r="H538" s="290" t="n"/>
    </row>
    <row r="539" ht="13" customHeight="1" s="189">
      <c r="A539" s="289" t="n"/>
      <c r="B539" s="290" t="n"/>
      <c r="C539" s="290" t="n"/>
      <c r="D539" s="289" t="n"/>
      <c r="E539" s="289" t="n"/>
      <c r="F539" s="290" t="n"/>
      <c r="G539" s="290" t="n"/>
      <c r="H539" s="290" t="n"/>
    </row>
    <row r="540" ht="13" customHeight="1" s="189">
      <c r="A540" s="289" t="n"/>
      <c r="B540" s="290" t="n"/>
      <c r="C540" s="290" t="n"/>
      <c r="D540" s="289" t="n"/>
      <c r="E540" s="289" t="n"/>
      <c r="F540" s="290" t="n"/>
      <c r="G540" s="290" t="n"/>
      <c r="H540" s="290" t="n"/>
    </row>
    <row r="541" ht="13" customHeight="1" s="189">
      <c r="A541" s="289" t="n"/>
      <c r="B541" s="290" t="n"/>
      <c r="C541" s="290" t="n"/>
      <c r="D541" s="289" t="n"/>
      <c r="E541" s="289" t="n"/>
      <c r="F541" s="290" t="n"/>
      <c r="G541" s="290" t="n"/>
      <c r="H541" s="290" t="n"/>
    </row>
    <row r="542" ht="13" customHeight="1" s="189">
      <c r="A542" s="289" t="n"/>
      <c r="B542" s="290" t="n"/>
      <c r="C542" s="290" t="n"/>
      <c r="D542" s="289" t="n"/>
      <c r="E542" s="289" t="n"/>
      <c r="F542" s="290" t="n"/>
      <c r="G542" s="290" t="n"/>
      <c r="H542" s="290" t="n"/>
    </row>
    <row r="543" ht="13" customHeight="1" s="189">
      <c r="A543" s="289" t="n"/>
      <c r="B543" s="290" t="n"/>
      <c r="C543" s="290" t="n"/>
      <c r="D543" s="289" t="n"/>
      <c r="E543" s="289" t="n"/>
      <c r="F543" s="290" t="n"/>
      <c r="G543" s="290" t="n"/>
      <c r="H543" s="290" t="n"/>
    </row>
    <row r="544" ht="13" customHeight="1" s="189">
      <c r="A544" s="289" t="n"/>
      <c r="B544" s="290" t="n"/>
      <c r="C544" s="290" t="n"/>
      <c r="D544" s="289" t="n"/>
      <c r="E544" s="289" t="n"/>
      <c r="F544" s="290" t="n"/>
      <c r="G544" s="290" t="n"/>
      <c r="H544" s="290" t="n"/>
    </row>
    <row r="545" ht="13" customHeight="1" s="189">
      <c r="A545" s="289" t="n"/>
      <c r="B545" s="290" t="n"/>
      <c r="C545" s="290" t="n"/>
      <c r="D545" s="289" t="n"/>
      <c r="E545" s="289" t="n"/>
      <c r="F545" s="290" t="n"/>
      <c r="G545" s="290" t="n"/>
      <c r="H545" s="290" t="n"/>
    </row>
    <row r="546" ht="13" customHeight="1" s="189">
      <c r="A546" s="289" t="n"/>
      <c r="B546" s="290" t="n"/>
      <c r="C546" s="290" t="n"/>
      <c r="D546" s="289" t="n"/>
      <c r="E546" s="289" t="n"/>
      <c r="F546" s="290" t="n"/>
      <c r="G546" s="290" t="n"/>
      <c r="H546" s="290" t="n"/>
    </row>
    <row r="547" ht="13" customHeight="1" s="189">
      <c r="A547" s="289" t="n"/>
      <c r="B547" s="290" t="n"/>
      <c r="C547" s="290" t="n"/>
      <c r="D547" s="289" t="n"/>
      <c r="E547" s="289" t="n"/>
      <c r="F547" s="290" t="n"/>
      <c r="G547" s="290" t="n"/>
      <c r="H547" s="290" t="n"/>
    </row>
    <row r="548" ht="13" customHeight="1" s="189">
      <c r="A548" s="289" t="n"/>
      <c r="B548" s="290" t="n"/>
      <c r="C548" s="290" t="n"/>
      <c r="D548" s="289" t="n"/>
      <c r="E548" s="289" t="n"/>
      <c r="F548" s="290" t="n"/>
      <c r="G548" s="290" t="n"/>
      <c r="H548" s="290" t="n"/>
    </row>
    <row r="549" ht="13" customHeight="1" s="189">
      <c r="A549" s="289" t="n"/>
      <c r="B549" s="290" t="n"/>
      <c r="C549" s="290" t="n"/>
      <c r="D549" s="289" t="n"/>
      <c r="E549" s="289" t="n"/>
      <c r="F549" s="290" t="n"/>
      <c r="G549" s="290" t="n"/>
      <c r="H549" s="290" t="n"/>
    </row>
    <row r="550" ht="13" customHeight="1" s="189">
      <c r="A550" s="289" t="n"/>
      <c r="B550" s="290" t="n"/>
      <c r="C550" s="290" t="n"/>
      <c r="D550" s="289" t="n"/>
      <c r="E550" s="289" t="n"/>
      <c r="F550" s="290" t="n"/>
      <c r="G550" s="290" t="n"/>
      <c r="H550" s="290" t="n"/>
    </row>
    <row r="551" ht="13" customHeight="1" s="189">
      <c r="A551" s="289" t="n"/>
      <c r="B551" s="290" t="n"/>
      <c r="C551" s="290" t="n"/>
      <c r="D551" s="289" t="n"/>
      <c r="E551" s="289" t="n"/>
      <c r="F551" s="290" t="n"/>
      <c r="G551" s="290" t="n"/>
      <c r="H551" s="290" t="n"/>
    </row>
    <row r="552" ht="13" customHeight="1" s="189">
      <c r="A552" s="289" t="n"/>
      <c r="B552" s="290" t="n"/>
      <c r="C552" s="290" t="n"/>
      <c r="D552" s="289" t="n"/>
      <c r="E552" s="289" t="n"/>
      <c r="F552" s="290" t="n"/>
      <c r="G552" s="290" t="n"/>
      <c r="H552" s="290" t="n"/>
    </row>
    <row r="553" ht="13" customHeight="1" s="189">
      <c r="A553" s="289" t="n"/>
      <c r="B553" s="290" t="n"/>
      <c r="C553" s="290" t="n"/>
      <c r="D553" s="289" t="n"/>
      <c r="E553" s="289" t="n"/>
      <c r="F553" s="290" t="n"/>
      <c r="G553" s="290" t="n"/>
      <c r="H553" s="290" t="n"/>
    </row>
    <row r="554" ht="13" customHeight="1" s="189">
      <c r="A554" s="289" t="n"/>
      <c r="B554" s="290" t="n"/>
      <c r="C554" s="290" t="n"/>
      <c r="D554" s="289" t="n"/>
      <c r="E554" s="289" t="n"/>
      <c r="F554" s="290" t="n"/>
      <c r="G554" s="290" t="n"/>
      <c r="H554" s="290" t="n"/>
    </row>
    <row r="555" ht="13" customHeight="1" s="189">
      <c r="A555" s="289" t="n"/>
      <c r="B555" s="290" t="n"/>
      <c r="C555" s="290" t="n"/>
      <c r="D555" s="289" t="n"/>
      <c r="E555" s="289" t="n"/>
      <c r="F555" s="290" t="n"/>
      <c r="G555" s="290" t="n"/>
      <c r="H555" s="290" t="n"/>
    </row>
    <row r="556" ht="13" customHeight="1" s="189">
      <c r="A556" s="289" t="n"/>
      <c r="B556" s="290" t="n"/>
      <c r="C556" s="290" t="n"/>
      <c r="D556" s="289" t="n"/>
      <c r="E556" s="289" t="n"/>
      <c r="F556" s="290" t="n"/>
      <c r="G556" s="290" t="n"/>
      <c r="H556" s="290" t="n"/>
    </row>
    <row r="557" ht="13" customHeight="1" s="189">
      <c r="A557" s="289" t="n"/>
      <c r="B557" s="290" t="n"/>
      <c r="C557" s="290" t="n"/>
      <c r="D557" s="289" t="n"/>
      <c r="E557" s="289" t="n"/>
      <c r="F557" s="290" t="n"/>
      <c r="G557" s="290" t="n"/>
      <c r="H557" s="290" t="n"/>
    </row>
    <row r="558" ht="13" customHeight="1" s="189">
      <c r="A558" s="289" t="n"/>
      <c r="B558" s="290" t="n"/>
      <c r="C558" s="290" t="n"/>
      <c r="D558" s="289" t="n"/>
      <c r="E558" s="289" t="n"/>
      <c r="F558" s="290" t="n"/>
      <c r="G558" s="290" t="n"/>
      <c r="H558" s="290" t="n"/>
    </row>
    <row r="559" ht="13" customHeight="1" s="189">
      <c r="A559" s="289" t="n"/>
      <c r="B559" s="290" t="n"/>
      <c r="C559" s="290" t="n"/>
      <c r="D559" s="289" t="n"/>
      <c r="E559" s="289" t="n"/>
      <c r="F559" s="290" t="n"/>
      <c r="G559" s="290" t="n"/>
      <c r="H559" s="290" t="n"/>
    </row>
    <row r="560" ht="13" customHeight="1" s="189">
      <c r="A560" s="289" t="n"/>
      <c r="B560" s="290" t="n"/>
      <c r="C560" s="290" t="n"/>
      <c r="D560" s="289" t="n"/>
      <c r="E560" s="289" t="n"/>
      <c r="F560" s="290" t="n"/>
      <c r="G560" s="290" t="n"/>
      <c r="H560" s="290" t="n"/>
    </row>
    <row r="561" ht="13" customHeight="1" s="189">
      <c r="A561" s="289" t="n"/>
      <c r="B561" s="290" t="n"/>
      <c r="C561" s="290" t="n"/>
      <c r="D561" s="289" t="n"/>
      <c r="E561" s="289" t="n"/>
      <c r="F561" s="290" t="n"/>
      <c r="G561" s="290" t="n"/>
      <c r="H561" s="290" t="n"/>
    </row>
    <row r="562" ht="13" customHeight="1" s="189">
      <c r="A562" s="289" t="n"/>
      <c r="B562" s="290" t="n"/>
      <c r="C562" s="290" t="n"/>
      <c r="D562" s="289" t="n"/>
      <c r="E562" s="289" t="n"/>
      <c r="F562" s="290" t="n"/>
      <c r="G562" s="290" t="n"/>
      <c r="H562" s="290" t="n"/>
    </row>
    <row r="563" ht="13" customHeight="1" s="189">
      <c r="A563" s="289" t="n"/>
      <c r="B563" s="290" t="n"/>
      <c r="C563" s="290" t="n"/>
      <c r="D563" s="289" t="n"/>
      <c r="E563" s="289" t="n"/>
      <c r="F563" s="290" t="n"/>
      <c r="G563" s="290" t="n"/>
      <c r="H563" s="290" t="n"/>
    </row>
    <row r="564" ht="13" customHeight="1" s="189">
      <c r="A564" s="289" t="n"/>
      <c r="B564" s="290" t="n"/>
      <c r="C564" s="290" t="n"/>
      <c r="D564" s="289" t="n"/>
      <c r="E564" s="289" t="n"/>
      <c r="F564" s="290" t="n"/>
      <c r="G564" s="290" t="n"/>
      <c r="H564" s="290" t="n"/>
    </row>
    <row r="565" ht="13" customHeight="1" s="189">
      <c r="A565" s="289" t="n"/>
      <c r="B565" s="290" t="n"/>
      <c r="C565" s="290" t="n"/>
      <c r="D565" s="289" t="n"/>
      <c r="E565" s="289" t="n"/>
      <c r="F565" s="290" t="n"/>
      <c r="G565" s="290" t="n"/>
      <c r="H565" s="290" t="n"/>
    </row>
    <row r="566" ht="13" customHeight="1" s="189">
      <c r="A566" s="289" t="n"/>
      <c r="B566" s="290" t="n"/>
      <c r="C566" s="290" t="n"/>
      <c r="D566" s="289" t="n"/>
      <c r="E566" s="289" t="n"/>
      <c r="F566" s="290" t="n"/>
      <c r="G566" s="290" t="n"/>
      <c r="H566" s="290" t="n"/>
    </row>
    <row r="567" ht="13" customHeight="1" s="189">
      <c r="A567" s="289" t="n"/>
      <c r="B567" s="290" t="n"/>
      <c r="C567" s="290" t="n"/>
      <c r="D567" s="289" t="n"/>
      <c r="E567" s="289" t="n"/>
      <c r="F567" s="290" t="n"/>
      <c r="G567" s="290" t="n"/>
      <c r="H567" s="290" t="n"/>
    </row>
    <row r="568" ht="13" customHeight="1" s="189">
      <c r="A568" s="289" t="n"/>
      <c r="B568" s="290" t="n"/>
      <c r="C568" s="290" t="n"/>
      <c r="D568" s="289" t="n"/>
      <c r="E568" s="289" t="n"/>
      <c r="F568" s="290" t="n"/>
      <c r="G568" s="290" t="n"/>
      <c r="H568" s="290" t="n"/>
    </row>
    <row r="569" ht="13" customHeight="1" s="189">
      <c r="A569" s="289" t="n"/>
      <c r="B569" s="290" t="n"/>
      <c r="C569" s="290" t="n"/>
      <c r="D569" s="289" t="n"/>
      <c r="E569" s="289" t="n"/>
      <c r="F569" s="290" t="n"/>
      <c r="G569" s="290" t="n"/>
      <c r="H569" s="290" t="n"/>
    </row>
    <row r="570" ht="13" customHeight="1" s="189">
      <c r="A570" s="289" t="n"/>
      <c r="B570" s="290" t="n"/>
      <c r="C570" s="290" t="n"/>
      <c r="D570" s="289" t="n"/>
      <c r="E570" s="289" t="n"/>
      <c r="F570" s="290" t="n"/>
      <c r="G570" s="290" t="n"/>
      <c r="H570" s="290" t="n"/>
    </row>
    <row r="571" ht="13" customHeight="1" s="189">
      <c r="A571" s="289" t="n"/>
      <c r="B571" s="290" t="n"/>
      <c r="C571" s="290" t="n"/>
      <c r="D571" s="289" t="n"/>
      <c r="E571" s="289" t="n"/>
      <c r="F571" s="290" t="n"/>
      <c r="G571" s="290" t="n"/>
      <c r="H571" s="290" t="n"/>
    </row>
    <row r="572" ht="13" customHeight="1" s="189">
      <c r="A572" s="289" t="n"/>
      <c r="B572" s="290" t="n"/>
      <c r="C572" s="290" t="n"/>
      <c r="D572" s="289" t="n"/>
      <c r="E572" s="289" t="n"/>
      <c r="F572" s="290" t="n"/>
      <c r="G572" s="290" t="n"/>
      <c r="H572" s="290" t="n"/>
    </row>
    <row r="573" ht="13" customHeight="1" s="189">
      <c r="A573" s="289" t="n"/>
      <c r="B573" s="290" t="n"/>
      <c r="C573" s="290" t="n"/>
      <c r="D573" s="289" t="n"/>
      <c r="E573" s="289" t="n"/>
      <c r="F573" s="290" t="n"/>
      <c r="G573" s="290" t="n"/>
      <c r="H573" s="290" t="n"/>
    </row>
    <row r="574" ht="13" customHeight="1" s="189">
      <c r="A574" s="289" t="n"/>
      <c r="B574" s="290" t="n"/>
      <c r="C574" s="290" t="n"/>
      <c r="D574" s="289" t="n"/>
      <c r="E574" s="289" t="n"/>
      <c r="F574" s="290" t="n"/>
      <c r="G574" s="290" t="n"/>
      <c r="H574" s="290" t="n"/>
    </row>
    <row r="575" ht="13" customHeight="1" s="189">
      <c r="A575" s="289" t="n"/>
      <c r="B575" s="290" t="n"/>
      <c r="C575" s="290" t="n"/>
      <c r="D575" s="289" t="n"/>
      <c r="E575" s="289" t="n"/>
      <c r="F575" s="290" t="n"/>
      <c r="G575" s="290" t="n"/>
      <c r="H575" s="290" t="n"/>
    </row>
    <row r="576" ht="13" customHeight="1" s="189">
      <c r="A576" s="289" t="n"/>
      <c r="B576" s="290" t="n"/>
      <c r="C576" s="290" t="n"/>
      <c r="D576" s="289" t="n"/>
      <c r="E576" s="289" t="n"/>
      <c r="F576" s="290" t="n"/>
      <c r="G576" s="290" t="n"/>
      <c r="H576" s="290" t="n"/>
    </row>
    <row r="577" ht="13" customHeight="1" s="189">
      <c r="A577" s="289" t="n"/>
      <c r="B577" s="290" t="n"/>
      <c r="C577" s="290" t="n"/>
      <c r="D577" s="289" t="n"/>
      <c r="E577" s="289" t="n"/>
      <c r="F577" s="290" t="n"/>
      <c r="G577" s="290" t="n"/>
      <c r="H577" s="290" t="n"/>
    </row>
    <row r="578" ht="13" customHeight="1" s="189">
      <c r="A578" s="289" t="n"/>
      <c r="B578" s="290" t="n"/>
      <c r="C578" s="290" t="n"/>
      <c r="D578" s="289" t="n"/>
      <c r="E578" s="289" t="n"/>
      <c r="F578" s="290" t="n"/>
      <c r="G578" s="290" t="n"/>
      <c r="H578" s="290" t="n"/>
    </row>
    <row r="579" ht="13" customHeight="1" s="189">
      <c r="A579" s="289" t="n"/>
      <c r="B579" s="290" t="n"/>
      <c r="C579" s="290" t="n"/>
      <c r="D579" s="289" t="n"/>
      <c r="E579" s="289" t="n"/>
      <c r="F579" s="290" t="n"/>
      <c r="G579" s="290" t="n"/>
      <c r="H579" s="290" t="n"/>
    </row>
    <row r="580" ht="13" customHeight="1" s="189">
      <c r="A580" s="289" t="n"/>
      <c r="B580" s="290" t="n"/>
      <c r="C580" s="290" t="n"/>
      <c r="D580" s="289" t="n"/>
      <c r="E580" s="289" t="n"/>
      <c r="F580" s="290" t="n"/>
      <c r="G580" s="290" t="n"/>
      <c r="H580" s="290" t="n"/>
    </row>
    <row r="581" ht="13" customHeight="1" s="189">
      <c r="A581" s="289" t="n"/>
      <c r="B581" s="290" t="n"/>
      <c r="C581" s="290" t="n"/>
      <c r="D581" s="289" t="n"/>
      <c r="E581" s="289" t="n"/>
      <c r="F581" s="290" t="n"/>
      <c r="G581" s="290" t="n"/>
      <c r="H581" s="290" t="n"/>
    </row>
    <row r="582" ht="13" customHeight="1" s="189">
      <c r="A582" s="289" t="n"/>
      <c r="B582" s="290" t="n"/>
      <c r="C582" s="290" t="n"/>
      <c r="D582" s="289" t="n"/>
      <c r="E582" s="289" t="n"/>
      <c r="F582" s="290" t="n"/>
      <c r="G582" s="290" t="n"/>
      <c r="H582" s="290" t="n"/>
    </row>
    <row r="583" ht="13" customHeight="1" s="189">
      <c r="A583" s="289" t="n"/>
      <c r="B583" s="290" t="n"/>
      <c r="C583" s="290" t="n"/>
      <c r="D583" s="289" t="n"/>
      <c r="E583" s="289" t="n"/>
      <c r="F583" s="290" t="n"/>
      <c r="G583" s="290" t="n"/>
      <c r="H583" s="290" t="n"/>
    </row>
    <row r="584" ht="13" customHeight="1" s="189">
      <c r="A584" s="289" t="n"/>
      <c r="B584" s="290" t="n"/>
      <c r="C584" s="290" t="n"/>
      <c r="D584" s="289" t="n"/>
      <c r="E584" s="289" t="n"/>
      <c r="F584" s="290" t="n"/>
      <c r="G584" s="290" t="n"/>
      <c r="H584" s="290" t="n"/>
    </row>
    <row r="585" ht="13" customHeight="1" s="189">
      <c r="A585" s="289" t="n"/>
      <c r="B585" s="290" t="n"/>
      <c r="C585" s="290" t="n"/>
      <c r="D585" s="289" t="n"/>
      <c r="E585" s="289" t="n"/>
      <c r="F585" s="290" t="n"/>
      <c r="G585" s="290" t="n"/>
      <c r="H585" s="290" t="n"/>
    </row>
    <row r="586" ht="13" customHeight="1" s="189">
      <c r="A586" s="289" t="n"/>
      <c r="B586" s="290" t="n"/>
      <c r="C586" s="290" t="n"/>
      <c r="D586" s="289" t="n"/>
      <c r="E586" s="289" t="n"/>
      <c r="F586" s="290" t="n"/>
      <c r="G586" s="290" t="n"/>
      <c r="H586" s="290" t="n"/>
    </row>
    <row r="587" ht="13" customHeight="1" s="189">
      <c r="A587" s="289" t="n"/>
      <c r="B587" s="290" t="n"/>
      <c r="C587" s="290" t="n"/>
      <c r="D587" s="289" t="n"/>
      <c r="E587" s="289" t="n"/>
      <c r="F587" s="290" t="n"/>
      <c r="G587" s="290" t="n"/>
      <c r="H587" s="290" t="n"/>
    </row>
    <row r="588" ht="13" customHeight="1" s="189">
      <c r="A588" s="289" t="n"/>
      <c r="B588" s="290" t="n"/>
      <c r="C588" s="290" t="n"/>
      <c r="D588" s="289" t="n"/>
      <c r="E588" s="289" t="n"/>
      <c r="F588" s="290" t="n"/>
      <c r="G588" s="290" t="n"/>
      <c r="H588" s="290" t="n"/>
    </row>
    <row r="589" ht="13" customHeight="1" s="189">
      <c r="A589" s="289" t="n"/>
      <c r="B589" s="290" t="n"/>
      <c r="C589" s="290" t="n"/>
      <c r="D589" s="289" t="n"/>
      <c r="E589" s="289" t="n"/>
      <c r="F589" s="290" t="n"/>
      <c r="G589" s="290" t="n"/>
      <c r="H589" s="290" t="n"/>
    </row>
    <row r="590" ht="13" customHeight="1" s="189">
      <c r="A590" s="289" t="n"/>
      <c r="B590" s="290" t="n"/>
      <c r="C590" s="290" t="n"/>
      <c r="D590" s="289" t="n"/>
      <c r="E590" s="289" t="n"/>
      <c r="F590" s="290" t="n"/>
      <c r="G590" s="290" t="n"/>
      <c r="H590" s="290" t="n"/>
    </row>
    <row r="591" ht="13" customHeight="1" s="189">
      <c r="A591" s="289" t="n"/>
      <c r="B591" s="290" t="n"/>
      <c r="C591" s="290" t="n"/>
      <c r="D591" s="289" t="n"/>
      <c r="E591" s="289" t="n"/>
      <c r="F591" s="290" t="n"/>
      <c r="G591" s="290" t="n"/>
      <c r="H591" s="290" t="n"/>
    </row>
    <row r="592" ht="13" customHeight="1" s="189">
      <c r="A592" s="289" t="n"/>
      <c r="B592" s="290" t="n"/>
      <c r="C592" s="290" t="n"/>
      <c r="D592" s="289" t="n"/>
      <c r="E592" s="289" t="n"/>
      <c r="F592" s="290" t="n"/>
      <c r="G592" s="290" t="n"/>
      <c r="H592" s="290" t="n"/>
    </row>
    <row r="593" ht="13" customHeight="1" s="189">
      <c r="A593" s="289" t="n"/>
      <c r="B593" s="290" t="n"/>
      <c r="C593" s="290" t="n"/>
      <c r="D593" s="289" t="n"/>
      <c r="E593" s="289" t="n"/>
      <c r="F593" s="290" t="n"/>
      <c r="G593" s="290" t="n"/>
      <c r="H593" s="290" t="n"/>
    </row>
    <row r="594" ht="13" customHeight="1" s="189">
      <c r="A594" s="289" t="n"/>
      <c r="B594" s="290" t="n"/>
      <c r="C594" s="290" t="n"/>
      <c r="D594" s="289" t="n"/>
      <c r="E594" s="289" t="n"/>
      <c r="F594" s="290" t="n"/>
      <c r="G594" s="290" t="n"/>
      <c r="H594" s="290" t="n"/>
    </row>
    <row r="595" ht="13" customHeight="1" s="189">
      <c r="A595" s="289" t="n"/>
      <c r="B595" s="290" t="n"/>
      <c r="C595" s="290" t="n"/>
      <c r="D595" s="289" t="n"/>
      <c r="E595" s="289" t="n"/>
      <c r="F595" s="290" t="n"/>
      <c r="G595" s="290" t="n"/>
      <c r="H595" s="290" t="n"/>
    </row>
    <row r="596" ht="13" customHeight="1" s="189">
      <c r="A596" s="289" t="n"/>
      <c r="B596" s="290" t="n"/>
      <c r="C596" s="290" t="n"/>
      <c r="D596" s="289" t="n"/>
      <c r="E596" s="289" t="n"/>
      <c r="F596" s="290" t="n"/>
      <c r="G596" s="290" t="n"/>
      <c r="H596" s="290" t="n"/>
    </row>
    <row r="597" ht="13" customHeight="1" s="189">
      <c r="A597" s="289" t="n"/>
      <c r="B597" s="290" t="n"/>
      <c r="C597" s="290" t="n"/>
      <c r="D597" s="289" t="n"/>
      <c r="E597" s="289" t="n"/>
      <c r="F597" s="290" t="n"/>
      <c r="G597" s="290" t="n"/>
      <c r="H597" s="290" t="n"/>
    </row>
    <row r="598" ht="13" customHeight="1" s="189">
      <c r="A598" s="289" t="n"/>
      <c r="B598" s="290" t="n"/>
      <c r="C598" s="290" t="n"/>
      <c r="D598" s="289" t="n"/>
      <c r="E598" s="289" t="n"/>
      <c r="F598" s="290" t="n"/>
      <c r="G598" s="290" t="n"/>
      <c r="H598" s="290" t="n"/>
    </row>
    <row r="599" ht="13" customHeight="1" s="189">
      <c r="A599" s="289" t="n"/>
      <c r="B599" s="290" t="n"/>
      <c r="C599" s="290" t="n"/>
      <c r="D599" s="289" t="n"/>
      <c r="E599" s="289" t="n"/>
      <c r="F599" s="290" t="n"/>
      <c r="G599" s="290" t="n"/>
      <c r="H599" s="290" t="n"/>
    </row>
    <row r="600" ht="13" customHeight="1" s="189">
      <c r="A600" s="289" t="n"/>
      <c r="B600" s="290" t="n"/>
      <c r="C600" s="290" t="n"/>
      <c r="D600" s="289" t="n"/>
      <c r="E600" s="289" t="n"/>
      <c r="F600" s="290" t="n"/>
      <c r="G600" s="290" t="n"/>
      <c r="H600" s="290" t="n"/>
    </row>
    <row r="601" ht="13" customHeight="1" s="189">
      <c r="A601" s="289" t="n"/>
      <c r="B601" s="290" t="n"/>
      <c r="C601" s="290" t="n"/>
      <c r="D601" s="289" t="n"/>
      <c r="E601" s="289" t="n"/>
      <c r="F601" s="290" t="n"/>
      <c r="G601" s="290" t="n"/>
      <c r="H601" s="290" t="n"/>
    </row>
    <row r="602" ht="13" customHeight="1" s="189">
      <c r="A602" s="289" t="n"/>
      <c r="B602" s="290" t="n"/>
      <c r="C602" s="290" t="n"/>
      <c r="D602" s="289" t="n"/>
      <c r="E602" s="289" t="n"/>
      <c r="F602" s="290" t="n"/>
      <c r="G602" s="290" t="n"/>
      <c r="H602" s="290" t="n"/>
    </row>
    <row r="603" ht="13" customHeight="1" s="189">
      <c r="A603" s="289" t="n"/>
      <c r="B603" s="290" t="n"/>
      <c r="C603" s="290" t="n"/>
      <c r="D603" s="289" t="n"/>
      <c r="E603" s="289" t="n"/>
      <c r="F603" s="290" t="n"/>
      <c r="G603" s="290" t="n"/>
      <c r="H603" s="290" t="n"/>
    </row>
    <row r="604" ht="13" customHeight="1" s="189">
      <c r="A604" s="289" t="n"/>
      <c r="B604" s="290" t="n"/>
      <c r="C604" s="290" t="n"/>
      <c r="D604" s="289" t="n"/>
      <c r="E604" s="289" t="n"/>
      <c r="F604" s="290" t="n"/>
      <c r="G604" s="290" t="n"/>
      <c r="H604" s="290" t="n"/>
    </row>
    <row r="605" ht="13" customHeight="1" s="189">
      <c r="A605" s="289" t="n"/>
      <c r="B605" s="290" t="n"/>
      <c r="C605" s="290" t="n"/>
      <c r="D605" s="289" t="n"/>
      <c r="E605" s="289" t="n"/>
      <c r="F605" s="290" t="n"/>
      <c r="G605" s="290" t="n"/>
      <c r="H605" s="290" t="n"/>
    </row>
    <row r="606" ht="13" customHeight="1" s="189">
      <c r="A606" s="289" t="n"/>
      <c r="B606" s="290" t="n"/>
      <c r="C606" s="290" t="n"/>
      <c r="D606" s="289" t="n"/>
      <c r="E606" s="289" t="n"/>
      <c r="F606" s="290" t="n"/>
      <c r="G606" s="290" t="n"/>
      <c r="H606" s="290" t="n"/>
    </row>
    <row r="607" ht="13" customHeight="1" s="189">
      <c r="A607" s="289" t="n"/>
      <c r="B607" s="290" t="n"/>
      <c r="C607" s="290" t="n"/>
      <c r="D607" s="289" t="n"/>
      <c r="E607" s="289" t="n"/>
      <c r="F607" s="290" t="n"/>
      <c r="G607" s="290" t="n"/>
      <c r="H607" s="290" t="n"/>
    </row>
    <row r="608" ht="13" customHeight="1" s="189">
      <c r="A608" s="289" t="n"/>
      <c r="B608" s="290" t="n"/>
      <c r="C608" s="290" t="n"/>
      <c r="D608" s="289" t="n"/>
      <c r="E608" s="289" t="n"/>
      <c r="F608" s="290" t="n"/>
      <c r="G608" s="290" t="n"/>
      <c r="H608" s="290" t="n"/>
    </row>
    <row r="609" ht="13" customHeight="1" s="189">
      <c r="A609" s="289" t="n"/>
      <c r="B609" s="290" t="n"/>
      <c r="C609" s="290" t="n"/>
      <c r="D609" s="289" t="n"/>
      <c r="E609" s="289" t="n"/>
      <c r="F609" s="290" t="n"/>
      <c r="G609" s="290" t="n"/>
      <c r="H609" s="290" t="n"/>
    </row>
    <row r="610" ht="13" customHeight="1" s="189">
      <c r="A610" s="289" t="n"/>
      <c r="B610" s="290" t="n"/>
      <c r="C610" s="290" t="n"/>
      <c r="D610" s="289" t="n"/>
      <c r="E610" s="289" t="n"/>
      <c r="F610" s="290" t="n"/>
      <c r="G610" s="290" t="n"/>
      <c r="H610" s="290" t="n"/>
    </row>
    <row r="611" ht="13" customHeight="1" s="189">
      <c r="A611" s="289" t="n"/>
      <c r="B611" s="290" t="n"/>
      <c r="C611" s="290" t="n"/>
      <c r="D611" s="289" t="n"/>
      <c r="E611" s="289" t="n"/>
      <c r="F611" s="290" t="n"/>
      <c r="G611" s="290" t="n"/>
      <c r="H611" s="290" t="n"/>
    </row>
    <row r="612" ht="13" customHeight="1" s="189">
      <c r="A612" s="289" t="n"/>
      <c r="B612" s="290" t="n"/>
      <c r="C612" s="290" t="n"/>
      <c r="D612" s="289" t="n"/>
      <c r="E612" s="289" t="n"/>
      <c r="F612" s="290" t="n"/>
      <c r="G612" s="290" t="n"/>
      <c r="H612" s="290" t="n"/>
    </row>
    <row r="613" ht="13" customHeight="1" s="189">
      <c r="A613" s="289" t="n"/>
      <c r="B613" s="290" t="n"/>
      <c r="C613" s="290" t="n"/>
      <c r="D613" s="289" t="n"/>
      <c r="E613" s="289" t="n"/>
      <c r="F613" s="290" t="n"/>
      <c r="G613" s="290" t="n"/>
      <c r="H613" s="290" t="n"/>
    </row>
    <row r="614" ht="13" customHeight="1" s="189">
      <c r="A614" s="289" t="n"/>
      <c r="B614" s="290" t="n"/>
      <c r="C614" s="290" t="n"/>
      <c r="D614" s="289" t="n"/>
      <c r="E614" s="289" t="n"/>
      <c r="F614" s="290" t="n"/>
      <c r="G614" s="290" t="n"/>
      <c r="H614" s="290" t="n"/>
    </row>
    <row r="615" ht="13" customHeight="1" s="189">
      <c r="A615" s="289" t="n"/>
      <c r="B615" s="290" t="n"/>
      <c r="C615" s="290" t="n"/>
      <c r="D615" s="289" t="n"/>
      <c r="E615" s="289" t="n"/>
      <c r="F615" s="290" t="n"/>
      <c r="G615" s="290" t="n"/>
      <c r="H615" s="290" t="n"/>
    </row>
    <row r="616" ht="13" customHeight="1" s="189">
      <c r="A616" s="289" t="n"/>
      <c r="B616" s="290" t="n"/>
      <c r="C616" s="290" t="n"/>
      <c r="D616" s="289" t="n"/>
      <c r="E616" s="289" t="n"/>
      <c r="F616" s="290" t="n"/>
      <c r="G616" s="290" t="n"/>
      <c r="H616" s="290" t="n"/>
    </row>
    <row r="617" ht="13" customHeight="1" s="189">
      <c r="A617" s="289" t="n"/>
      <c r="B617" s="290" t="n"/>
      <c r="C617" s="290" t="n"/>
      <c r="D617" s="289" t="n"/>
      <c r="E617" s="289" t="n"/>
      <c r="F617" s="290" t="n"/>
      <c r="G617" s="290" t="n"/>
      <c r="H617" s="290" t="n"/>
    </row>
    <row r="618" ht="13" customHeight="1" s="189">
      <c r="A618" s="289" t="n"/>
      <c r="B618" s="290" t="n"/>
      <c r="C618" s="290" t="n"/>
      <c r="D618" s="289" t="n"/>
      <c r="E618" s="289" t="n"/>
      <c r="F618" s="290" t="n"/>
      <c r="G618" s="290" t="n"/>
      <c r="H618" s="290" t="n"/>
    </row>
    <row r="619" ht="13" customHeight="1" s="189">
      <c r="A619" s="289" t="n"/>
      <c r="B619" s="290" t="n"/>
      <c r="C619" s="290" t="n"/>
      <c r="D619" s="289" t="n"/>
      <c r="E619" s="289" t="n"/>
      <c r="F619" s="290" t="n"/>
      <c r="G619" s="290" t="n"/>
      <c r="H619" s="290" t="n"/>
    </row>
    <row r="620" ht="13" customHeight="1" s="189">
      <c r="A620" s="289" t="n"/>
      <c r="B620" s="290" t="n"/>
      <c r="C620" s="290" t="n"/>
      <c r="D620" s="289" t="n"/>
      <c r="E620" s="289" t="n"/>
      <c r="F620" s="290" t="n"/>
      <c r="G620" s="290" t="n"/>
      <c r="H620" s="290" t="n"/>
    </row>
    <row r="621" ht="13" customHeight="1" s="189">
      <c r="A621" s="289" t="n"/>
      <c r="B621" s="290" t="n"/>
      <c r="C621" s="290" t="n"/>
      <c r="D621" s="289" t="n"/>
      <c r="E621" s="289" t="n"/>
      <c r="F621" s="290" t="n"/>
      <c r="G621" s="290" t="n"/>
      <c r="H621" s="290" t="n"/>
    </row>
    <row r="622" ht="13" customHeight="1" s="189">
      <c r="A622" s="289" t="n"/>
      <c r="B622" s="290" t="n"/>
      <c r="C622" s="290" t="n"/>
      <c r="D622" s="289" t="n"/>
      <c r="E622" s="289" t="n"/>
      <c r="F622" s="290" t="n"/>
      <c r="G622" s="290" t="n"/>
      <c r="H622" s="290" t="n"/>
    </row>
    <row r="623" ht="13" customHeight="1" s="189">
      <c r="A623" s="289" t="n"/>
      <c r="B623" s="290" t="n"/>
      <c r="C623" s="290" t="n"/>
      <c r="D623" s="289" t="n"/>
      <c r="E623" s="289" t="n"/>
      <c r="F623" s="290" t="n"/>
      <c r="G623" s="290" t="n"/>
      <c r="H623" s="290" t="n"/>
    </row>
    <row r="624" ht="13" customHeight="1" s="189">
      <c r="A624" s="289" t="n"/>
      <c r="B624" s="290" t="n"/>
      <c r="C624" s="290" t="n"/>
      <c r="D624" s="289" t="n"/>
      <c r="E624" s="289" t="n"/>
      <c r="F624" s="290" t="n"/>
      <c r="G624" s="290" t="n"/>
      <c r="H624" s="290" t="n"/>
    </row>
    <row r="625" ht="13" customHeight="1" s="189">
      <c r="A625" s="289" t="n"/>
      <c r="B625" s="290" t="n"/>
      <c r="C625" s="290" t="n"/>
      <c r="D625" s="289" t="n"/>
      <c r="E625" s="289" t="n"/>
      <c r="F625" s="290" t="n"/>
      <c r="G625" s="290" t="n"/>
      <c r="H625" s="290" t="n"/>
    </row>
    <row r="626" ht="13" customHeight="1" s="189">
      <c r="A626" s="289" t="n"/>
      <c r="B626" s="290" t="n"/>
      <c r="C626" s="290" t="n"/>
      <c r="D626" s="289" t="n"/>
      <c r="E626" s="289" t="n"/>
      <c r="F626" s="290" t="n"/>
      <c r="G626" s="290" t="n"/>
      <c r="H626" s="290" t="n"/>
    </row>
    <row r="627" ht="13" customHeight="1" s="189">
      <c r="A627" s="289" t="n"/>
      <c r="B627" s="290" t="n"/>
      <c r="C627" s="290" t="n"/>
      <c r="D627" s="289" t="n"/>
      <c r="E627" s="289" t="n"/>
      <c r="F627" s="290" t="n"/>
      <c r="G627" s="290" t="n"/>
      <c r="H627" s="290" t="n"/>
    </row>
    <row r="628" ht="13" customHeight="1" s="189">
      <c r="A628" s="289" t="n"/>
      <c r="B628" s="290" t="n"/>
      <c r="C628" s="290" t="n"/>
      <c r="D628" s="289" t="n"/>
      <c r="E628" s="289" t="n"/>
      <c r="F628" s="290" t="n"/>
      <c r="G628" s="290" t="n"/>
      <c r="H628" s="290" t="n"/>
    </row>
    <row r="629" ht="13" customHeight="1" s="189">
      <c r="A629" s="289" t="n"/>
      <c r="B629" s="290" t="n"/>
      <c r="C629" s="290" t="n"/>
      <c r="D629" s="289" t="n"/>
      <c r="E629" s="289" t="n"/>
      <c r="F629" s="290" t="n"/>
      <c r="G629" s="290" t="n"/>
      <c r="H629" s="290" t="n"/>
    </row>
    <row r="630" ht="13" customHeight="1" s="189">
      <c r="A630" s="289" t="n"/>
      <c r="B630" s="290" t="n"/>
      <c r="C630" s="290" t="n"/>
      <c r="D630" s="289" t="n"/>
      <c r="E630" s="289" t="n"/>
      <c r="F630" s="290" t="n"/>
      <c r="G630" s="290" t="n"/>
      <c r="H630" s="290" t="n"/>
    </row>
    <row r="631" ht="13" customHeight="1" s="189">
      <c r="A631" s="289" t="n"/>
      <c r="B631" s="290" t="n"/>
      <c r="C631" s="290" t="n"/>
      <c r="D631" s="289" t="n"/>
      <c r="E631" s="289" t="n"/>
      <c r="F631" s="290" t="n"/>
      <c r="G631" s="290" t="n"/>
      <c r="H631" s="290" t="n"/>
    </row>
    <row r="632" ht="13" customHeight="1" s="189">
      <c r="A632" s="289" t="n"/>
      <c r="B632" s="290" t="n"/>
      <c r="C632" s="290" t="n"/>
      <c r="D632" s="289" t="n"/>
      <c r="E632" s="289" t="n"/>
      <c r="F632" s="290" t="n"/>
      <c r="G632" s="290" t="n"/>
      <c r="H632" s="290" t="n"/>
    </row>
    <row r="633" ht="13" customHeight="1" s="189">
      <c r="A633" s="289" t="n"/>
      <c r="B633" s="290" t="n"/>
      <c r="C633" s="290" t="n"/>
      <c r="D633" s="289" t="n"/>
      <c r="E633" s="289" t="n"/>
      <c r="F633" s="290" t="n"/>
      <c r="G633" s="290" t="n"/>
      <c r="H633" s="290" t="n"/>
    </row>
    <row r="634" ht="13" customHeight="1" s="189">
      <c r="A634" s="289" t="n"/>
      <c r="B634" s="290" t="n"/>
      <c r="C634" s="290" t="n"/>
      <c r="D634" s="289" t="n"/>
      <c r="E634" s="289" t="n"/>
      <c r="F634" s="290" t="n"/>
      <c r="G634" s="290" t="n"/>
      <c r="H634" s="290" t="n"/>
    </row>
    <row r="635" ht="13" customHeight="1" s="189">
      <c r="A635" s="289" t="n"/>
      <c r="B635" s="290" t="n"/>
      <c r="C635" s="290" t="n"/>
      <c r="D635" s="289" t="n"/>
      <c r="E635" s="289" t="n"/>
      <c r="F635" s="290" t="n"/>
      <c r="G635" s="290" t="n"/>
      <c r="H635" s="290" t="n"/>
    </row>
    <row r="636" ht="13" customHeight="1" s="189">
      <c r="A636" s="289" t="n"/>
      <c r="B636" s="290" t="n"/>
      <c r="C636" s="290" t="n"/>
      <c r="D636" s="289" t="n"/>
      <c r="E636" s="289" t="n"/>
      <c r="F636" s="290" t="n"/>
      <c r="G636" s="290" t="n"/>
      <c r="H636" s="290" t="n"/>
    </row>
    <row r="637" ht="13" customHeight="1" s="189">
      <c r="A637" s="289" t="n"/>
      <c r="B637" s="290" t="n"/>
      <c r="C637" s="290" t="n"/>
      <c r="D637" s="289" t="n"/>
      <c r="E637" s="289" t="n"/>
      <c r="F637" s="290" t="n"/>
      <c r="G637" s="290" t="n"/>
      <c r="H637" s="290" t="n"/>
    </row>
    <row r="638" ht="13" customHeight="1" s="189">
      <c r="A638" s="289" t="n"/>
      <c r="B638" s="290" t="n"/>
      <c r="C638" s="290" t="n"/>
      <c r="D638" s="289" t="n"/>
      <c r="E638" s="289" t="n"/>
      <c r="F638" s="290" t="n"/>
      <c r="G638" s="290" t="n"/>
      <c r="H638" s="290" t="n"/>
    </row>
    <row r="639" ht="13" customHeight="1" s="189">
      <c r="A639" s="289" t="n"/>
      <c r="B639" s="290" t="n"/>
      <c r="C639" s="290" t="n"/>
      <c r="D639" s="289" t="n"/>
      <c r="E639" s="289" t="n"/>
      <c r="F639" s="290" t="n"/>
      <c r="G639" s="290" t="n"/>
      <c r="H639" s="290" t="n"/>
    </row>
    <row r="640" ht="13" customHeight="1" s="189">
      <c r="A640" s="289" t="n"/>
      <c r="B640" s="290" t="n"/>
      <c r="C640" s="290" t="n"/>
      <c r="D640" s="289" t="n"/>
      <c r="E640" s="289" t="n"/>
      <c r="F640" s="290" t="n"/>
      <c r="G640" s="290" t="n"/>
      <c r="H640" s="290" t="n"/>
    </row>
    <row r="641" ht="13" customHeight="1" s="189">
      <c r="A641" s="289" t="n"/>
      <c r="B641" s="290" t="n"/>
      <c r="C641" s="290" t="n"/>
      <c r="D641" s="289" t="n"/>
      <c r="E641" s="289" t="n"/>
      <c r="F641" s="290" t="n"/>
      <c r="G641" s="290" t="n"/>
      <c r="H641" s="290" t="n"/>
    </row>
    <row r="642" ht="13" customHeight="1" s="189">
      <c r="A642" s="289" t="n"/>
      <c r="B642" s="290" t="n"/>
      <c r="C642" s="290" t="n"/>
      <c r="D642" s="289" t="n"/>
      <c r="E642" s="289" t="n"/>
      <c r="F642" s="290" t="n"/>
      <c r="G642" s="290" t="n"/>
      <c r="H642" s="290" t="n"/>
    </row>
    <row r="643" ht="13" customHeight="1" s="189">
      <c r="A643" s="289" t="n"/>
      <c r="B643" s="290" t="n"/>
      <c r="C643" s="290" t="n"/>
      <c r="D643" s="289" t="n"/>
      <c r="E643" s="289" t="n"/>
      <c r="F643" s="290" t="n"/>
      <c r="G643" s="290" t="n"/>
      <c r="H643" s="290" t="n"/>
    </row>
    <row r="644" ht="13" customHeight="1" s="189">
      <c r="A644" s="289" t="n"/>
      <c r="B644" s="290" t="n"/>
      <c r="C644" s="290" t="n"/>
      <c r="D644" s="289" t="n"/>
      <c r="E644" s="289" t="n"/>
      <c r="F644" s="290" t="n"/>
      <c r="G644" s="290" t="n"/>
      <c r="H644" s="290" t="n"/>
    </row>
    <row r="645" ht="13" customHeight="1" s="189">
      <c r="A645" s="289" t="n"/>
      <c r="B645" s="290" t="n"/>
      <c r="C645" s="290" t="n"/>
      <c r="D645" s="289" t="n"/>
      <c r="E645" s="289" t="n"/>
      <c r="F645" s="290" t="n"/>
      <c r="G645" s="290" t="n"/>
      <c r="H645" s="290" t="n"/>
    </row>
    <row r="646" ht="13" customHeight="1" s="189">
      <c r="A646" s="289" t="n"/>
      <c r="B646" s="290" t="n"/>
      <c r="C646" s="290" t="n"/>
      <c r="D646" s="289" t="n"/>
      <c r="E646" s="289" t="n"/>
      <c r="F646" s="290" t="n"/>
      <c r="G646" s="290" t="n"/>
      <c r="H646" s="290" t="n"/>
    </row>
    <row r="647" ht="13" customHeight="1" s="189">
      <c r="A647" s="289" t="n"/>
      <c r="B647" s="290" t="n"/>
      <c r="C647" s="290" t="n"/>
      <c r="D647" s="289" t="n"/>
      <c r="E647" s="289" t="n"/>
      <c r="F647" s="290" t="n"/>
      <c r="G647" s="290" t="n"/>
      <c r="H647" s="290" t="n"/>
    </row>
    <row r="648" ht="13" customHeight="1" s="189">
      <c r="A648" s="289" t="n"/>
      <c r="B648" s="290" t="n"/>
      <c r="C648" s="290" t="n"/>
      <c r="D648" s="289" t="n"/>
      <c r="E648" s="289" t="n"/>
      <c r="F648" s="290" t="n"/>
      <c r="G648" s="290" t="n"/>
      <c r="H648" s="290" t="n"/>
    </row>
    <row r="649" ht="13" customHeight="1" s="189">
      <c r="A649" s="289" t="n"/>
      <c r="B649" s="290" t="n"/>
      <c r="C649" s="290" t="n"/>
      <c r="D649" s="289" t="n"/>
      <c r="E649" s="289" t="n"/>
      <c r="F649" s="290" t="n"/>
      <c r="G649" s="290" t="n"/>
      <c r="H649" s="290" t="n"/>
    </row>
    <row r="650" ht="13" customHeight="1" s="189">
      <c r="A650" s="289" t="n"/>
      <c r="B650" s="290" t="n"/>
      <c r="C650" s="290" t="n"/>
      <c r="D650" s="289" t="n"/>
      <c r="E650" s="289" t="n"/>
      <c r="F650" s="290" t="n"/>
      <c r="G650" s="290" t="n"/>
      <c r="H650" s="290" t="n"/>
    </row>
    <row r="651" ht="13" customHeight="1" s="189">
      <c r="A651" s="289" t="n"/>
      <c r="B651" s="290" t="n"/>
      <c r="C651" s="290" t="n"/>
      <c r="D651" s="289" t="n"/>
      <c r="E651" s="289" t="n"/>
      <c r="F651" s="290" t="n"/>
      <c r="G651" s="290" t="n"/>
      <c r="H651" s="290" t="n"/>
    </row>
    <row r="652" ht="13" customHeight="1" s="189">
      <c r="A652" s="289" t="n"/>
      <c r="B652" s="290" t="n"/>
      <c r="C652" s="290" t="n"/>
      <c r="D652" s="289" t="n"/>
      <c r="E652" s="289" t="n"/>
      <c r="F652" s="290" t="n"/>
      <c r="G652" s="290" t="n"/>
      <c r="H652" s="290" t="n"/>
    </row>
    <row r="653" ht="13" customHeight="1" s="189">
      <c r="A653" s="289" t="n"/>
      <c r="B653" s="290" t="n"/>
      <c r="C653" s="290" t="n"/>
      <c r="D653" s="289" t="n"/>
      <c r="E653" s="289" t="n"/>
      <c r="F653" s="290" t="n"/>
      <c r="G653" s="290" t="n"/>
      <c r="H653" s="290" t="n"/>
    </row>
    <row r="654" ht="13" customHeight="1" s="189">
      <c r="A654" s="289" t="n"/>
      <c r="B654" s="290" t="n"/>
      <c r="C654" s="290" t="n"/>
      <c r="D654" s="289" t="n"/>
      <c r="E654" s="289" t="n"/>
      <c r="F654" s="290" t="n"/>
      <c r="G654" s="290" t="n"/>
      <c r="H654" s="290" t="n"/>
    </row>
    <row r="655" ht="13" customHeight="1" s="189">
      <c r="A655" s="289" t="n"/>
      <c r="B655" s="290" t="n"/>
      <c r="C655" s="290" t="n"/>
      <c r="D655" s="289" t="n"/>
      <c r="E655" s="289" t="n"/>
      <c r="F655" s="290" t="n"/>
      <c r="G655" s="290" t="n"/>
      <c r="H655" s="290" t="n"/>
    </row>
    <row r="656" ht="13" customHeight="1" s="189">
      <c r="A656" s="289" t="n"/>
      <c r="B656" s="290" t="n"/>
      <c r="C656" s="290" t="n"/>
      <c r="D656" s="289" t="n"/>
      <c r="E656" s="289" t="n"/>
      <c r="F656" s="290" t="n"/>
      <c r="G656" s="290" t="n"/>
      <c r="H656" s="290" t="n"/>
    </row>
    <row r="657" ht="13" customHeight="1" s="189">
      <c r="A657" s="289" t="n"/>
      <c r="B657" s="290" t="n"/>
      <c r="C657" s="290" t="n"/>
      <c r="D657" s="289" t="n"/>
      <c r="E657" s="289" t="n"/>
      <c r="F657" s="290" t="n"/>
      <c r="G657" s="290" t="n"/>
      <c r="H657" s="290" t="n"/>
    </row>
    <row r="658" ht="13" customHeight="1" s="189">
      <c r="A658" s="289" t="n"/>
      <c r="B658" s="290" t="n"/>
      <c r="C658" s="290" t="n"/>
      <c r="D658" s="289" t="n"/>
      <c r="E658" s="289" t="n"/>
      <c r="F658" s="290" t="n"/>
      <c r="G658" s="290" t="n"/>
      <c r="H658" s="290" t="n"/>
    </row>
    <row r="659" ht="13" customHeight="1" s="189">
      <c r="A659" s="289" t="n"/>
      <c r="B659" s="290" t="n"/>
      <c r="C659" s="290" t="n"/>
      <c r="D659" s="289" t="n"/>
      <c r="E659" s="289" t="n"/>
      <c r="F659" s="290" t="n"/>
      <c r="G659" s="290" t="n"/>
      <c r="H659" s="290" t="n"/>
    </row>
    <row r="660" ht="13" customHeight="1" s="189">
      <c r="A660" s="289" t="n"/>
      <c r="B660" s="290" t="n"/>
      <c r="C660" s="290" t="n"/>
      <c r="D660" s="289" t="n"/>
      <c r="E660" s="289" t="n"/>
      <c r="F660" s="290" t="n"/>
      <c r="G660" s="290" t="n"/>
      <c r="H660" s="290" t="n"/>
    </row>
    <row r="661" ht="13" customHeight="1" s="189">
      <c r="A661" s="289" t="n"/>
      <c r="B661" s="290" t="n"/>
      <c r="C661" s="290" t="n"/>
      <c r="D661" s="289" t="n"/>
      <c r="E661" s="289" t="n"/>
      <c r="F661" s="290" t="n"/>
      <c r="G661" s="290" t="n"/>
      <c r="H661" s="290" t="n"/>
    </row>
    <row r="662" ht="13" customHeight="1" s="189">
      <c r="A662" s="289" t="n"/>
      <c r="B662" s="290" t="n"/>
      <c r="C662" s="290" t="n"/>
      <c r="D662" s="289" t="n"/>
      <c r="E662" s="289" t="n"/>
      <c r="F662" s="290" t="n"/>
      <c r="G662" s="290" t="n"/>
      <c r="H662" s="290" t="n"/>
    </row>
    <row r="663" ht="13" customHeight="1" s="189">
      <c r="A663" s="289" t="n"/>
      <c r="B663" s="290" t="n"/>
      <c r="C663" s="290" t="n"/>
      <c r="D663" s="289" t="n"/>
      <c r="E663" s="289" t="n"/>
      <c r="F663" s="290" t="n"/>
      <c r="G663" s="290" t="n"/>
      <c r="H663" s="290" t="n"/>
    </row>
    <row r="664" ht="13" customHeight="1" s="189">
      <c r="A664" s="289" t="n"/>
      <c r="B664" s="290" t="n"/>
      <c r="C664" s="290" t="n"/>
      <c r="D664" s="289" t="n"/>
      <c r="E664" s="289" t="n"/>
      <c r="F664" s="290" t="n"/>
      <c r="G664" s="290" t="n"/>
      <c r="H664" s="290" t="n"/>
    </row>
    <row r="665" ht="13" customHeight="1" s="189">
      <c r="A665" s="289" t="n"/>
      <c r="B665" s="290" t="n"/>
      <c r="C665" s="290" t="n"/>
      <c r="D665" s="289" t="n"/>
      <c r="E665" s="289" t="n"/>
      <c r="F665" s="290" t="n"/>
      <c r="G665" s="290" t="n"/>
      <c r="H665" s="290" t="n"/>
    </row>
    <row r="666" ht="13" customHeight="1" s="189">
      <c r="A666" s="289" t="n"/>
      <c r="B666" s="290" t="n"/>
      <c r="C666" s="290" t="n"/>
      <c r="D666" s="289" t="n"/>
      <c r="E666" s="289" t="n"/>
      <c r="F666" s="290" t="n"/>
      <c r="G666" s="290" t="n"/>
      <c r="H666" s="290" t="n"/>
    </row>
    <row r="667" ht="13" customHeight="1" s="189">
      <c r="A667" s="289" t="n"/>
      <c r="B667" s="290" t="n"/>
      <c r="C667" s="290" t="n"/>
      <c r="D667" s="289" t="n"/>
      <c r="E667" s="289" t="n"/>
      <c r="F667" s="290" t="n"/>
      <c r="G667" s="290" t="n"/>
      <c r="H667" s="290" t="n"/>
    </row>
    <row r="668" ht="13" customHeight="1" s="189">
      <c r="A668" s="289" t="n"/>
      <c r="B668" s="290" t="n"/>
      <c r="C668" s="290" t="n"/>
      <c r="D668" s="289" t="n"/>
      <c r="E668" s="289" t="n"/>
      <c r="F668" s="290" t="n"/>
      <c r="G668" s="290" t="n"/>
      <c r="H668" s="290" t="n"/>
    </row>
    <row r="669" ht="13" customHeight="1" s="189">
      <c r="A669" s="289" t="n"/>
      <c r="B669" s="290" t="n"/>
      <c r="C669" s="290" t="n"/>
      <c r="D669" s="289" t="n"/>
      <c r="E669" s="289" t="n"/>
      <c r="F669" s="290" t="n"/>
      <c r="G669" s="290" t="n"/>
      <c r="H669" s="290" t="n"/>
    </row>
    <row r="670" ht="13" customHeight="1" s="189">
      <c r="A670" s="289" t="n"/>
      <c r="B670" s="290" t="n"/>
      <c r="C670" s="290" t="n"/>
      <c r="D670" s="289" t="n"/>
      <c r="E670" s="289" t="n"/>
      <c r="F670" s="290" t="n"/>
      <c r="G670" s="290" t="n"/>
      <c r="H670" s="290" t="n"/>
    </row>
    <row r="671" ht="13" customHeight="1" s="189">
      <c r="A671" s="289" t="n"/>
      <c r="B671" s="290" t="n"/>
      <c r="C671" s="290" t="n"/>
      <c r="D671" s="289" t="n"/>
      <c r="E671" s="289" t="n"/>
      <c r="F671" s="290" t="n"/>
      <c r="G671" s="290" t="n"/>
      <c r="H671" s="290" t="n"/>
    </row>
    <row r="672" ht="13" customHeight="1" s="189">
      <c r="A672" s="289" t="n"/>
      <c r="B672" s="290" t="n"/>
      <c r="C672" s="290" t="n"/>
      <c r="D672" s="289" t="n"/>
      <c r="E672" s="289" t="n"/>
      <c r="F672" s="290" t="n"/>
      <c r="G672" s="290" t="n"/>
      <c r="H672" s="290" t="n"/>
    </row>
    <row r="673" ht="13" customHeight="1" s="189">
      <c r="A673" s="289" t="n"/>
      <c r="B673" s="290" t="n"/>
      <c r="C673" s="290" t="n"/>
      <c r="D673" s="289" t="n"/>
      <c r="E673" s="289" t="n"/>
      <c r="F673" s="290" t="n"/>
      <c r="G673" s="290" t="n"/>
      <c r="H673" s="290" t="n"/>
    </row>
    <row r="674" ht="13" customHeight="1" s="189">
      <c r="A674" s="289" t="n"/>
      <c r="B674" s="290" t="n"/>
      <c r="C674" s="290" t="n"/>
      <c r="D674" s="289" t="n"/>
      <c r="E674" s="289" t="n"/>
      <c r="F674" s="290" t="n"/>
      <c r="G674" s="290" t="n"/>
      <c r="H674" s="290" t="n"/>
    </row>
    <row r="675" ht="13" customHeight="1" s="189">
      <c r="A675" s="289" t="n"/>
      <c r="B675" s="290" t="n"/>
      <c r="C675" s="290" t="n"/>
      <c r="D675" s="289" t="n"/>
      <c r="E675" s="289" t="n"/>
      <c r="F675" s="290" t="n"/>
      <c r="G675" s="290" t="n"/>
      <c r="H675" s="290" t="n"/>
    </row>
    <row r="676" ht="13" customHeight="1" s="189">
      <c r="A676" s="289" t="n"/>
      <c r="B676" s="290" t="n"/>
      <c r="C676" s="290" t="n"/>
      <c r="D676" s="289" t="n"/>
      <c r="E676" s="289" t="n"/>
      <c r="F676" s="290" t="n"/>
      <c r="G676" s="290" t="n"/>
      <c r="H676" s="290" t="n"/>
    </row>
    <row r="677" ht="13" customHeight="1" s="189">
      <c r="A677" s="289" t="n"/>
      <c r="B677" s="290" t="n"/>
      <c r="C677" s="290" t="n"/>
      <c r="D677" s="289" t="n"/>
      <c r="E677" s="289" t="n"/>
      <c r="F677" s="290" t="n"/>
      <c r="G677" s="290" t="n"/>
      <c r="H677" s="290" t="n"/>
    </row>
    <row r="678" ht="13" customHeight="1" s="189">
      <c r="A678" s="289" t="n"/>
      <c r="B678" s="290" t="n"/>
      <c r="C678" s="290" t="n"/>
      <c r="D678" s="289" t="n"/>
      <c r="E678" s="289" t="n"/>
      <c r="F678" s="290" t="n"/>
      <c r="G678" s="290" t="n"/>
      <c r="H678" s="290" t="n"/>
    </row>
    <row r="679" ht="13" customHeight="1" s="189">
      <c r="A679" s="289" t="n"/>
      <c r="B679" s="290" t="n"/>
      <c r="C679" s="290" t="n"/>
      <c r="D679" s="289" t="n"/>
      <c r="E679" s="289" t="n"/>
      <c r="F679" s="290" t="n"/>
      <c r="G679" s="290" t="n"/>
      <c r="H679" s="290" t="n"/>
    </row>
    <row r="680" ht="13" customHeight="1" s="189">
      <c r="A680" s="289" t="n"/>
      <c r="B680" s="290" t="n"/>
      <c r="C680" s="290" t="n"/>
      <c r="D680" s="289" t="n"/>
      <c r="E680" s="289" t="n"/>
      <c r="F680" s="290" t="n"/>
      <c r="G680" s="290" t="n"/>
      <c r="H680" s="290" t="n"/>
    </row>
    <row r="681" ht="13" customHeight="1" s="189">
      <c r="A681" s="289" t="n"/>
      <c r="B681" s="290" t="n"/>
      <c r="C681" s="290" t="n"/>
      <c r="D681" s="289" t="n"/>
      <c r="E681" s="289" t="n"/>
      <c r="F681" s="290" t="n"/>
      <c r="G681" s="290" t="n"/>
      <c r="H681" s="290" t="n"/>
    </row>
    <row r="682" ht="13" customHeight="1" s="189">
      <c r="A682" s="289" t="n"/>
      <c r="B682" s="290" t="n"/>
      <c r="C682" s="290" t="n"/>
      <c r="D682" s="289" t="n"/>
      <c r="E682" s="289" t="n"/>
      <c r="F682" s="290" t="n"/>
      <c r="G682" s="290" t="n"/>
      <c r="H682" s="290" t="n"/>
    </row>
    <row r="683" ht="13" customHeight="1" s="189">
      <c r="A683" s="289" t="n"/>
      <c r="B683" s="290" t="n"/>
      <c r="C683" s="290" t="n"/>
      <c r="D683" s="289" t="n"/>
      <c r="E683" s="289" t="n"/>
      <c r="F683" s="290" t="n"/>
      <c r="G683" s="290" t="n"/>
      <c r="H683" s="290" t="n"/>
    </row>
    <row r="684" ht="13" customHeight="1" s="189">
      <c r="A684" s="289" t="n"/>
      <c r="B684" s="290" t="n"/>
      <c r="C684" s="290" t="n"/>
      <c r="D684" s="289" t="n"/>
      <c r="E684" s="289" t="n"/>
      <c r="F684" s="290" t="n"/>
      <c r="G684" s="290" t="n"/>
      <c r="H684" s="290" t="n"/>
    </row>
    <row r="685" ht="13" customHeight="1" s="189">
      <c r="A685" s="289" t="n"/>
      <c r="B685" s="290" t="n"/>
      <c r="C685" s="290" t="n"/>
      <c r="D685" s="289" t="n"/>
      <c r="E685" s="289" t="n"/>
      <c r="F685" s="290" t="n"/>
      <c r="G685" s="290" t="n"/>
      <c r="H685" s="290" t="n"/>
    </row>
    <row r="686" ht="13" customHeight="1" s="189">
      <c r="A686" s="289" t="n"/>
      <c r="B686" s="290" t="n"/>
      <c r="C686" s="290" t="n"/>
      <c r="D686" s="289" t="n"/>
      <c r="E686" s="289" t="n"/>
      <c r="F686" s="290" t="n"/>
      <c r="G686" s="290" t="n"/>
      <c r="H686" s="290" t="n"/>
    </row>
    <row r="687" ht="13" customHeight="1" s="189">
      <c r="A687" s="289" t="n"/>
      <c r="B687" s="290" t="n"/>
      <c r="C687" s="290" t="n"/>
      <c r="D687" s="289" t="n"/>
      <c r="E687" s="289" t="n"/>
      <c r="F687" s="290" t="n"/>
      <c r="G687" s="290" t="n"/>
      <c r="H687" s="290" t="n"/>
    </row>
    <row r="688" ht="13" customHeight="1" s="189">
      <c r="A688" s="289" t="n"/>
      <c r="B688" s="290" t="n"/>
      <c r="C688" s="290" t="n"/>
      <c r="D688" s="289" t="n"/>
      <c r="E688" s="289" t="n"/>
      <c r="F688" s="290" t="n"/>
      <c r="G688" s="290" t="n"/>
      <c r="H688" s="290" t="n"/>
    </row>
    <row r="689" ht="13" customHeight="1" s="189">
      <c r="A689" s="289" t="n"/>
      <c r="B689" s="290" t="n"/>
      <c r="C689" s="290" t="n"/>
      <c r="D689" s="289" t="n"/>
      <c r="E689" s="289" t="n"/>
      <c r="F689" s="290" t="n"/>
      <c r="G689" s="290" t="n"/>
      <c r="H689" s="290" t="n"/>
    </row>
    <row r="690" ht="13" customHeight="1" s="189">
      <c r="A690" s="289" t="n"/>
      <c r="B690" s="290" t="n"/>
      <c r="C690" s="290" t="n"/>
      <c r="D690" s="289" t="n"/>
      <c r="E690" s="289" t="n"/>
      <c r="F690" s="290" t="n"/>
      <c r="G690" s="290" t="n"/>
      <c r="H690" s="290" t="n"/>
    </row>
    <row r="691" ht="13" customHeight="1" s="189">
      <c r="A691" s="289" t="n"/>
      <c r="B691" s="290" t="n"/>
      <c r="C691" s="290" t="n"/>
      <c r="D691" s="289" t="n"/>
      <c r="E691" s="289" t="n"/>
      <c r="F691" s="290" t="n"/>
      <c r="G691" s="290" t="n"/>
      <c r="H691" s="290" t="n"/>
    </row>
    <row r="692" ht="13" customHeight="1" s="189">
      <c r="A692" s="289" t="n"/>
      <c r="B692" s="290" t="n"/>
      <c r="C692" s="290" t="n"/>
      <c r="D692" s="289" t="n"/>
      <c r="E692" s="289" t="n"/>
      <c r="F692" s="290" t="n"/>
      <c r="G692" s="290" t="n"/>
      <c r="H692" s="290" t="n"/>
    </row>
    <row r="693" ht="13" customHeight="1" s="189">
      <c r="A693" s="289" t="n"/>
      <c r="B693" s="290" t="n"/>
      <c r="C693" s="290" t="n"/>
      <c r="D693" s="289" t="n"/>
      <c r="E693" s="289" t="n"/>
      <c r="F693" s="290" t="n"/>
      <c r="G693" s="290" t="n"/>
      <c r="H693" s="290" t="n"/>
    </row>
    <row r="694" ht="13" customHeight="1" s="189">
      <c r="A694" s="289" t="n"/>
      <c r="B694" s="290" t="n"/>
      <c r="C694" s="290" t="n"/>
      <c r="D694" s="289" t="n"/>
      <c r="E694" s="289" t="n"/>
      <c r="F694" s="290" t="n"/>
      <c r="G694" s="290" t="n"/>
      <c r="H694" s="290" t="n"/>
    </row>
    <row r="695" ht="13" customHeight="1" s="189">
      <c r="A695" s="289" t="n"/>
      <c r="B695" s="290" t="n"/>
      <c r="C695" s="290" t="n"/>
      <c r="D695" s="289" t="n"/>
      <c r="E695" s="289" t="n"/>
      <c r="F695" s="290" t="n"/>
      <c r="G695" s="290" t="n"/>
      <c r="H695" s="290" t="n"/>
    </row>
    <row r="696" ht="13" customHeight="1" s="189">
      <c r="A696" s="289" t="n"/>
      <c r="B696" s="290" t="n"/>
      <c r="C696" s="290" t="n"/>
      <c r="D696" s="289" t="n"/>
      <c r="E696" s="289" t="n"/>
      <c r="F696" s="290" t="n"/>
      <c r="G696" s="290" t="n"/>
      <c r="H696" s="290" t="n"/>
    </row>
    <row r="697" ht="13" customHeight="1" s="189">
      <c r="A697" s="289" t="n"/>
      <c r="B697" s="290" t="n"/>
      <c r="C697" s="290" t="n"/>
      <c r="D697" s="289" t="n"/>
      <c r="E697" s="289" t="n"/>
      <c r="F697" s="290" t="n"/>
      <c r="G697" s="290" t="n"/>
      <c r="H697" s="290" t="n"/>
    </row>
    <row r="698" ht="13" customHeight="1" s="189">
      <c r="A698" s="289" t="n"/>
      <c r="B698" s="290" t="n"/>
      <c r="C698" s="290" t="n"/>
      <c r="D698" s="289" t="n"/>
      <c r="E698" s="289" t="n"/>
      <c r="F698" s="290" t="n"/>
      <c r="G698" s="290" t="n"/>
      <c r="H698" s="290" t="n"/>
    </row>
    <row r="699" ht="13" customHeight="1" s="189">
      <c r="A699" s="289" t="n"/>
      <c r="B699" s="290" t="n"/>
      <c r="C699" s="290" t="n"/>
      <c r="D699" s="289" t="n"/>
      <c r="E699" s="289" t="n"/>
      <c r="F699" s="290" t="n"/>
      <c r="G699" s="290" t="n"/>
      <c r="H699" s="290" t="n"/>
    </row>
    <row r="700" ht="13" customHeight="1" s="189">
      <c r="A700" s="289" t="n"/>
      <c r="B700" s="290" t="n"/>
      <c r="C700" s="290" t="n"/>
      <c r="D700" s="289" t="n"/>
      <c r="E700" s="289" t="n"/>
      <c r="F700" s="290" t="n"/>
      <c r="G700" s="290" t="n"/>
      <c r="H700" s="290" t="n"/>
    </row>
    <row r="701" ht="13" customHeight="1" s="189">
      <c r="A701" s="289" t="n"/>
      <c r="B701" s="290" t="n"/>
      <c r="C701" s="290" t="n"/>
      <c r="D701" s="289" t="n"/>
      <c r="E701" s="289" t="n"/>
      <c r="F701" s="290" t="n"/>
      <c r="G701" s="290" t="n"/>
      <c r="H701" s="290" t="n"/>
    </row>
    <row r="702" ht="13" customHeight="1" s="189">
      <c r="A702" s="289" t="n"/>
      <c r="B702" s="290" t="n"/>
      <c r="C702" s="290" t="n"/>
      <c r="D702" s="289" t="n"/>
      <c r="E702" s="289" t="n"/>
      <c r="F702" s="290" t="n"/>
      <c r="G702" s="290" t="n"/>
      <c r="H702" s="290" t="n"/>
    </row>
    <row r="703" ht="13" customHeight="1" s="189">
      <c r="A703" s="289" t="n"/>
      <c r="B703" s="290" t="n"/>
      <c r="C703" s="290" t="n"/>
      <c r="D703" s="289" t="n"/>
      <c r="E703" s="289" t="n"/>
      <c r="F703" s="290" t="n"/>
      <c r="G703" s="290" t="n"/>
      <c r="H703" s="290" t="n"/>
    </row>
    <row r="704" ht="13" customHeight="1" s="189">
      <c r="A704" s="289" t="n"/>
      <c r="B704" s="290" t="n"/>
      <c r="C704" s="290" t="n"/>
      <c r="D704" s="289" t="n"/>
      <c r="E704" s="289" t="n"/>
      <c r="F704" s="290" t="n"/>
      <c r="G704" s="290" t="n"/>
      <c r="H704" s="290" t="n"/>
    </row>
    <row r="705" ht="13" customHeight="1" s="189">
      <c r="A705" s="289" t="n"/>
      <c r="B705" s="290" t="n"/>
      <c r="C705" s="290" t="n"/>
      <c r="D705" s="289" t="n"/>
      <c r="E705" s="289" t="n"/>
      <c r="F705" s="290" t="n"/>
      <c r="G705" s="290" t="n"/>
      <c r="H705" s="290" t="n"/>
    </row>
    <row r="706" ht="13" customHeight="1" s="189">
      <c r="A706" s="289" t="n"/>
      <c r="B706" s="290" t="n"/>
      <c r="C706" s="290" t="n"/>
      <c r="D706" s="289" t="n"/>
      <c r="E706" s="289" t="n"/>
      <c r="F706" s="290" t="n"/>
      <c r="G706" s="290" t="n"/>
      <c r="H706" s="290" t="n"/>
    </row>
    <row r="707" ht="13" customHeight="1" s="189">
      <c r="A707" s="289" t="n"/>
      <c r="B707" s="290" t="n"/>
      <c r="C707" s="290" t="n"/>
      <c r="D707" s="289" t="n"/>
      <c r="E707" s="289" t="n"/>
      <c r="F707" s="290" t="n"/>
      <c r="G707" s="290" t="n"/>
      <c r="H707" s="290" t="n"/>
    </row>
    <row r="708" ht="13" customHeight="1" s="189">
      <c r="A708" s="289" t="n"/>
      <c r="B708" s="290" t="n"/>
      <c r="C708" s="290" t="n"/>
      <c r="D708" s="289" t="n"/>
      <c r="E708" s="289" t="n"/>
      <c r="F708" s="290" t="n"/>
      <c r="G708" s="290" t="n"/>
      <c r="H708" s="290" t="n"/>
    </row>
    <row r="709" ht="13" customHeight="1" s="189">
      <c r="A709" s="289" t="n"/>
      <c r="B709" s="290" t="n"/>
      <c r="C709" s="290" t="n"/>
      <c r="D709" s="289" t="n"/>
      <c r="E709" s="289" t="n"/>
      <c r="F709" s="290" t="n"/>
      <c r="G709" s="290" t="n"/>
      <c r="H709" s="290" t="n"/>
    </row>
    <row r="710" ht="13" customHeight="1" s="189">
      <c r="A710" s="289" t="n"/>
      <c r="B710" s="290" t="n"/>
      <c r="C710" s="290" t="n"/>
      <c r="D710" s="289" t="n"/>
      <c r="E710" s="289" t="n"/>
      <c r="F710" s="290" t="n"/>
      <c r="G710" s="290" t="n"/>
      <c r="H710" s="290" t="n"/>
    </row>
    <row r="711" ht="13" customHeight="1" s="189">
      <c r="A711" s="289" t="n"/>
      <c r="B711" s="290" t="n"/>
      <c r="C711" s="290" t="n"/>
      <c r="D711" s="289" t="n"/>
      <c r="E711" s="289" t="n"/>
      <c r="F711" s="290" t="n"/>
      <c r="G711" s="290" t="n"/>
      <c r="H711" s="290" t="n"/>
    </row>
    <row r="712" ht="13" customHeight="1" s="189">
      <c r="A712" s="289" t="n"/>
      <c r="B712" s="290" t="n"/>
      <c r="C712" s="290" t="n"/>
      <c r="D712" s="289" t="n"/>
      <c r="E712" s="289" t="n"/>
      <c r="F712" s="290" t="n"/>
      <c r="G712" s="290" t="n"/>
      <c r="H712" s="290" t="n"/>
    </row>
    <row r="713" ht="13" customHeight="1" s="189">
      <c r="A713" s="289" t="n"/>
      <c r="B713" s="290" t="n"/>
      <c r="C713" s="290" t="n"/>
      <c r="D713" s="289" t="n"/>
      <c r="E713" s="289" t="n"/>
      <c r="F713" s="290" t="n"/>
      <c r="G713" s="290" t="n"/>
      <c r="H713" s="290" t="n"/>
    </row>
    <row r="714" ht="13" customHeight="1" s="189">
      <c r="A714" s="289" t="n"/>
      <c r="B714" s="290" t="n"/>
      <c r="C714" s="290" t="n"/>
      <c r="D714" s="289" t="n"/>
      <c r="E714" s="289" t="n"/>
      <c r="F714" s="290" t="n"/>
      <c r="G714" s="290" t="n"/>
      <c r="H714" s="290" t="n"/>
    </row>
    <row r="715" ht="13" customHeight="1" s="189">
      <c r="A715" s="289" t="n"/>
      <c r="B715" s="290" t="n"/>
      <c r="C715" s="290" t="n"/>
      <c r="D715" s="289" t="n"/>
      <c r="E715" s="289" t="n"/>
      <c r="F715" s="290" t="n"/>
      <c r="G715" s="290" t="n"/>
      <c r="H715" s="290" t="n"/>
    </row>
    <row r="716" ht="13" customHeight="1" s="189">
      <c r="A716" s="289" t="n"/>
      <c r="B716" s="290" t="n"/>
      <c r="C716" s="290" t="n"/>
      <c r="D716" s="289" t="n"/>
      <c r="E716" s="289" t="n"/>
      <c r="F716" s="290" t="n"/>
      <c r="G716" s="290" t="n"/>
      <c r="H716" s="290" t="n"/>
    </row>
    <row r="717" ht="13" customHeight="1" s="189">
      <c r="A717" s="289" t="n"/>
      <c r="B717" s="290" t="n"/>
      <c r="C717" s="290" t="n"/>
      <c r="D717" s="289" t="n"/>
      <c r="E717" s="289" t="n"/>
      <c r="F717" s="290" t="n"/>
      <c r="G717" s="290" t="n"/>
      <c r="H717" s="290" t="n"/>
    </row>
    <row r="718" ht="13" customHeight="1" s="189">
      <c r="A718" s="289" t="n"/>
      <c r="B718" s="290" t="n"/>
      <c r="C718" s="290" t="n"/>
      <c r="D718" s="289" t="n"/>
      <c r="E718" s="289" t="n"/>
      <c r="F718" s="290" t="n"/>
      <c r="G718" s="290" t="n"/>
      <c r="H718" s="290" t="n"/>
    </row>
    <row r="719" ht="13" customHeight="1" s="189">
      <c r="A719" s="289" t="n"/>
      <c r="B719" s="290" t="n"/>
      <c r="C719" s="290" t="n"/>
      <c r="D719" s="289" t="n"/>
      <c r="E719" s="289" t="n"/>
      <c r="F719" s="290" t="n"/>
      <c r="G719" s="290" t="n"/>
      <c r="H719" s="290" t="n"/>
    </row>
    <row r="720" ht="13" customHeight="1" s="189">
      <c r="A720" s="289" t="n"/>
      <c r="B720" s="290" t="n"/>
      <c r="C720" s="290" t="n"/>
      <c r="D720" s="289" t="n"/>
      <c r="E720" s="289" t="n"/>
      <c r="F720" s="290" t="n"/>
      <c r="G720" s="290" t="n"/>
      <c r="H720" s="290" t="n"/>
    </row>
    <row r="721" ht="13" customHeight="1" s="189">
      <c r="A721" s="289" t="n"/>
      <c r="B721" s="290" t="n"/>
      <c r="C721" s="290" t="n"/>
      <c r="D721" s="289" t="n"/>
      <c r="E721" s="289" t="n"/>
      <c r="F721" s="290" t="n"/>
      <c r="G721" s="290" t="n"/>
      <c r="H721" s="290" t="n"/>
    </row>
    <row r="722" ht="13" customHeight="1" s="189">
      <c r="A722" s="289" t="n"/>
      <c r="B722" s="290" t="n"/>
      <c r="C722" s="290" t="n"/>
      <c r="D722" s="289" t="n"/>
      <c r="E722" s="289" t="n"/>
      <c r="F722" s="290" t="n"/>
      <c r="G722" s="290" t="n"/>
      <c r="H722" s="290" t="n"/>
    </row>
    <row r="723" ht="13" customHeight="1" s="189">
      <c r="A723" s="289" t="n"/>
      <c r="B723" s="290" t="n"/>
      <c r="C723" s="290" t="n"/>
      <c r="D723" s="289" t="n"/>
      <c r="E723" s="289" t="n"/>
      <c r="F723" s="290" t="n"/>
      <c r="G723" s="290" t="n"/>
      <c r="H723" s="290" t="n"/>
    </row>
    <row r="724" ht="13" customHeight="1" s="189">
      <c r="A724" s="289" t="n"/>
      <c r="B724" s="290" t="n"/>
      <c r="C724" s="290" t="n"/>
      <c r="D724" s="289" t="n"/>
      <c r="E724" s="289" t="n"/>
      <c r="F724" s="290" t="n"/>
      <c r="G724" s="290" t="n"/>
      <c r="H724" s="290" t="n"/>
    </row>
    <row r="725" ht="13" customHeight="1" s="189">
      <c r="A725" s="289" t="n"/>
      <c r="B725" s="290" t="n"/>
      <c r="C725" s="290" t="n"/>
      <c r="D725" s="289" t="n"/>
      <c r="E725" s="289" t="n"/>
      <c r="F725" s="290" t="n"/>
      <c r="G725" s="290" t="n"/>
      <c r="H725" s="290" t="n"/>
    </row>
    <row r="726" ht="13" customHeight="1" s="189">
      <c r="A726" s="289" t="n"/>
      <c r="B726" s="290" t="n"/>
      <c r="C726" s="290" t="n"/>
      <c r="D726" s="289" t="n"/>
      <c r="E726" s="289" t="n"/>
      <c r="F726" s="290" t="n"/>
      <c r="G726" s="290" t="n"/>
      <c r="H726" s="290" t="n"/>
    </row>
    <row r="727" ht="13" customHeight="1" s="189">
      <c r="A727" s="289" t="n"/>
      <c r="B727" s="290" t="n"/>
      <c r="C727" s="290" t="n"/>
      <c r="D727" s="289" t="n"/>
      <c r="E727" s="289" t="n"/>
      <c r="F727" s="290" t="n"/>
      <c r="G727" s="290" t="n"/>
      <c r="H727" s="290" t="n"/>
    </row>
    <row r="728" ht="13" customHeight="1" s="189">
      <c r="A728" s="289" t="n"/>
      <c r="B728" s="290" t="n"/>
      <c r="C728" s="290" t="n"/>
      <c r="D728" s="289" t="n"/>
      <c r="E728" s="289" t="n"/>
      <c r="F728" s="290" t="n"/>
      <c r="G728" s="290" t="n"/>
      <c r="H728" s="290" t="n"/>
    </row>
    <row r="729" ht="13" customHeight="1" s="189">
      <c r="A729" s="289" t="n"/>
      <c r="B729" s="290" t="n"/>
      <c r="C729" s="290" t="n"/>
      <c r="D729" s="289" t="n"/>
      <c r="E729" s="289" t="n"/>
      <c r="F729" s="290" t="n"/>
      <c r="G729" s="290" t="n"/>
      <c r="H729" s="290" t="n"/>
    </row>
    <row r="730" ht="13" customHeight="1" s="189">
      <c r="A730" s="289" t="n"/>
      <c r="B730" s="290" t="n"/>
      <c r="C730" s="290" t="n"/>
      <c r="D730" s="289" t="n"/>
      <c r="E730" s="289" t="n"/>
      <c r="F730" s="290" t="n"/>
      <c r="G730" s="290" t="n"/>
      <c r="H730" s="290" t="n"/>
    </row>
    <row r="731" ht="13" customHeight="1" s="189">
      <c r="A731" s="289" t="n"/>
      <c r="B731" s="290" t="n"/>
      <c r="C731" s="290" t="n"/>
      <c r="D731" s="289" t="n"/>
      <c r="E731" s="289" t="n"/>
      <c r="F731" s="290" t="n"/>
      <c r="G731" s="290" t="n"/>
      <c r="H731" s="290" t="n"/>
    </row>
    <row r="732" ht="13" customHeight="1" s="189">
      <c r="A732" s="289" t="n"/>
      <c r="B732" s="290" t="n"/>
      <c r="C732" s="290" t="n"/>
      <c r="D732" s="289" t="n"/>
      <c r="E732" s="289" t="n"/>
      <c r="F732" s="290" t="n"/>
      <c r="G732" s="290" t="n"/>
      <c r="H732" s="290" t="n"/>
    </row>
    <row r="733" ht="13" customHeight="1" s="189">
      <c r="A733" s="289" t="n"/>
      <c r="B733" s="290" t="n"/>
      <c r="C733" s="290" t="n"/>
      <c r="D733" s="289" t="n"/>
      <c r="E733" s="289" t="n"/>
      <c r="F733" s="290" t="n"/>
      <c r="G733" s="290" t="n"/>
      <c r="H733" s="290" t="n"/>
    </row>
    <row r="734" ht="13" customHeight="1" s="189">
      <c r="A734" s="289" t="n"/>
      <c r="B734" s="290" t="n"/>
      <c r="C734" s="290" t="n"/>
      <c r="D734" s="289" t="n"/>
      <c r="E734" s="289" t="n"/>
      <c r="F734" s="290" t="n"/>
      <c r="G734" s="290" t="n"/>
      <c r="H734" s="290" t="n"/>
    </row>
    <row r="735" ht="13" customHeight="1" s="189">
      <c r="A735" s="289" t="n"/>
      <c r="B735" s="290" t="n"/>
      <c r="C735" s="290" t="n"/>
      <c r="D735" s="289" t="n"/>
      <c r="E735" s="289" t="n"/>
      <c r="F735" s="290" t="n"/>
      <c r="G735" s="290" t="n"/>
      <c r="H735" s="290" t="n"/>
    </row>
    <row r="736" ht="13" customHeight="1" s="189">
      <c r="A736" s="289" t="n"/>
      <c r="B736" s="290" t="n"/>
      <c r="C736" s="290" t="n"/>
      <c r="D736" s="289" t="n"/>
      <c r="E736" s="289" t="n"/>
      <c r="F736" s="290" t="n"/>
      <c r="G736" s="290" t="n"/>
      <c r="H736" s="290" t="n"/>
    </row>
    <row r="737" ht="13" customHeight="1" s="189">
      <c r="A737" s="289" t="n"/>
      <c r="B737" s="290" t="n"/>
      <c r="C737" s="290" t="n"/>
      <c r="D737" s="289" t="n"/>
      <c r="E737" s="289" t="n"/>
      <c r="F737" s="290" t="n"/>
      <c r="G737" s="290" t="n"/>
      <c r="H737" s="290" t="n"/>
    </row>
    <row r="738" ht="13" customHeight="1" s="189">
      <c r="A738" s="289" t="n"/>
      <c r="B738" s="290" t="n"/>
      <c r="C738" s="290" t="n"/>
      <c r="D738" s="289" t="n"/>
      <c r="E738" s="289" t="n"/>
      <c r="F738" s="290" t="n"/>
      <c r="G738" s="290" t="n"/>
      <c r="H738" s="290" t="n"/>
    </row>
    <row r="739" ht="13" customHeight="1" s="189">
      <c r="A739" s="289" t="n"/>
      <c r="B739" s="290" t="n"/>
      <c r="C739" s="290" t="n"/>
      <c r="D739" s="289" t="n"/>
      <c r="E739" s="289" t="n"/>
      <c r="F739" s="290" t="n"/>
      <c r="G739" s="290" t="n"/>
      <c r="H739" s="290" t="n"/>
    </row>
    <row r="740" ht="13" customHeight="1" s="189">
      <c r="A740" s="289" t="n"/>
      <c r="B740" s="290" t="n"/>
      <c r="C740" s="290" t="n"/>
      <c r="D740" s="289" t="n"/>
      <c r="E740" s="289" t="n"/>
      <c r="F740" s="290" t="n"/>
      <c r="G740" s="290" t="n"/>
      <c r="H740" s="290" t="n"/>
    </row>
    <row r="741" ht="13" customHeight="1" s="189">
      <c r="A741" s="289" t="n"/>
      <c r="B741" s="290" t="n"/>
      <c r="C741" s="290" t="n"/>
      <c r="D741" s="289" t="n"/>
      <c r="E741" s="289" t="n"/>
      <c r="F741" s="290" t="n"/>
      <c r="G741" s="290" t="n"/>
      <c r="H741" s="290" t="n"/>
    </row>
    <row r="742" ht="13" customHeight="1" s="189">
      <c r="A742" s="289" t="n"/>
      <c r="B742" s="290" t="n"/>
      <c r="C742" s="290" t="n"/>
      <c r="D742" s="289" t="n"/>
      <c r="E742" s="289" t="n"/>
      <c r="F742" s="290" t="n"/>
      <c r="G742" s="290" t="n"/>
      <c r="H742" s="290" t="n"/>
    </row>
    <row r="743" ht="13" customHeight="1" s="189">
      <c r="A743" s="289" t="n"/>
      <c r="B743" s="290" t="n"/>
      <c r="C743" s="290" t="n"/>
      <c r="D743" s="289" t="n"/>
      <c r="E743" s="289" t="n"/>
      <c r="F743" s="290" t="n"/>
      <c r="G743" s="290" t="n"/>
      <c r="H743" s="290" t="n"/>
    </row>
    <row r="744" ht="13" customHeight="1" s="189">
      <c r="A744" s="289" t="n"/>
      <c r="B744" s="290" t="n"/>
      <c r="C744" s="290" t="n"/>
      <c r="D744" s="289" t="n"/>
      <c r="E744" s="289" t="n"/>
      <c r="F744" s="290" t="n"/>
      <c r="G744" s="290" t="n"/>
      <c r="H744" s="290" t="n"/>
    </row>
    <row r="745" ht="13" customHeight="1" s="189">
      <c r="A745" s="289" t="n"/>
      <c r="B745" s="290" t="n"/>
      <c r="C745" s="290" t="n"/>
      <c r="D745" s="289" t="n"/>
      <c r="E745" s="289" t="n"/>
      <c r="F745" s="290" t="n"/>
      <c r="G745" s="290" t="n"/>
      <c r="H745" s="290" t="n"/>
    </row>
    <row r="746" ht="13" customHeight="1" s="189">
      <c r="A746" s="289" t="n"/>
      <c r="B746" s="290" t="n"/>
      <c r="C746" s="290" t="n"/>
      <c r="D746" s="289" t="n"/>
      <c r="E746" s="289" t="n"/>
      <c r="F746" s="290" t="n"/>
      <c r="G746" s="290" t="n"/>
      <c r="H746" s="290" t="n"/>
    </row>
    <row r="747" ht="13" customHeight="1" s="189">
      <c r="A747" s="289" t="n"/>
      <c r="B747" s="290" t="n"/>
      <c r="C747" s="290" t="n"/>
      <c r="D747" s="289" t="n"/>
      <c r="E747" s="289" t="n"/>
      <c r="F747" s="290" t="n"/>
      <c r="G747" s="290" t="n"/>
      <c r="H747" s="290" t="n"/>
    </row>
    <row r="748" ht="13" customHeight="1" s="189">
      <c r="A748" s="289" t="n"/>
      <c r="B748" s="290" t="n"/>
      <c r="C748" s="290" t="n"/>
      <c r="D748" s="289" t="n"/>
      <c r="E748" s="289" t="n"/>
      <c r="F748" s="290" t="n"/>
      <c r="G748" s="290" t="n"/>
      <c r="H748" s="290" t="n"/>
    </row>
    <row r="749" ht="13" customHeight="1" s="189">
      <c r="A749" s="289" t="n"/>
      <c r="B749" s="290" t="n"/>
      <c r="C749" s="290" t="n"/>
      <c r="D749" s="289" t="n"/>
      <c r="E749" s="289" t="n"/>
      <c r="F749" s="290" t="n"/>
      <c r="G749" s="290" t="n"/>
      <c r="H749" s="290" t="n"/>
    </row>
    <row r="750" ht="13" customHeight="1" s="189">
      <c r="A750" s="289" t="n"/>
      <c r="B750" s="290" t="n"/>
      <c r="C750" s="290" t="n"/>
      <c r="D750" s="289" t="n"/>
      <c r="E750" s="289" t="n"/>
      <c r="F750" s="290" t="n"/>
      <c r="G750" s="290" t="n"/>
      <c r="H750" s="290" t="n"/>
    </row>
    <row r="751" ht="13" customHeight="1" s="189">
      <c r="A751" s="289" t="n"/>
      <c r="B751" s="290" t="n"/>
      <c r="C751" s="290" t="n"/>
      <c r="D751" s="289" t="n"/>
      <c r="E751" s="289" t="n"/>
      <c r="F751" s="290" t="n"/>
      <c r="G751" s="290" t="n"/>
      <c r="H751" s="290" t="n"/>
    </row>
    <row r="752" ht="13" customHeight="1" s="189">
      <c r="A752" s="289" t="n"/>
      <c r="B752" s="290" t="n"/>
      <c r="C752" s="290" t="n"/>
      <c r="D752" s="289" t="n"/>
      <c r="E752" s="289" t="n"/>
      <c r="F752" s="290" t="n"/>
      <c r="G752" s="290" t="n"/>
      <c r="H752" s="290" t="n"/>
    </row>
    <row r="753" ht="13" customHeight="1" s="189">
      <c r="A753" s="289" t="n"/>
      <c r="B753" s="290" t="n"/>
      <c r="C753" s="290" t="n"/>
      <c r="D753" s="289" t="n"/>
      <c r="E753" s="289" t="n"/>
      <c r="F753" s="290" t="n"/>
      <c r="G753" s="290" t="n"/>
      <c r="H753" s="290" t="n"/>
    </row>
    <row r="754" ht="13" customHeight="1" s="189">
      <c r="A754" s="289" t="n"/>
      <c r="B754" s="290" t="n"/>
      <c r="C754" s="290" t="n"/>
      <c r="D754" s="289" t="n"/>
      <c r="E754" s="289" t="n"/>
      <c r="F754" s="290" t="n"/>
      <c r="G754" s="290" t="n"/>
      <c r="H754" s="290" t="n"/>
    </row>
    <row r="755" ht="13" customHeight="1" s="189">
      <c r="A755" s="289" t="n"/>
      <c r="B755" s="290" t="n"/>
      <c r="C755" s="290" t="n"/>
      <c r="D755" s="289" t="n"/>
      <c r="E755" s="289" t="n"/>
      <c r="F755" s="290" t="n"/>
      <c r="G755" s="290" t="n"/>
      <c r="H755" s="290" t="n"/>
    </row>
    <row r="756" ht="13" customHeight="1" s="189">
      <c r="A756" s="289" t="n"/>
      <c r="B756" s="290" t="n"/>
      <c r="C756" s="290" t="n"/>
      <c r="D756" s="289" t="n"/>
      <c r="E756" s="289" t="n"/>
      <c r="F756" s="290" t="n"/>
      <c r="G756" s="290" t="n"/>
      <c r="H756" s="290" t="n"/>
    </row>
    <row r="757" ht="13" customHeight="1" s="189">
      <c r="A757" s="289" t="n"/>
      <c r="B757" s="290" t="n"/>
      <c r="C757" s="290" t="n"/>
      <c r="D757" s="289" t="n"/>
      <c r="E757" s="289" t="n"/>
      <c r="F757" s="290" t="n"/>
      <c r="G757" s="290" t="n"/>
      <c r="H757" s="290" t="n"/>
    </row>
    <row r="758" ht="13" customHeight="1" s="189">
      <c r="A758" s="289" t="n"/>
      <c r="B758" s="290" t="n"/>
      <c r="C758" s="290" t="n"/>
      <c r="D758" s="289" t="n"/>
      <c r="E758" s="289" t="n"/>
      <c r="F758" s="290" t="n"/>
      <c r="G758" s="290" t="n"/>
      <c r="H758" s="290" t="n"/>
    </row>
    <row r="759" ht="13" customHeight="1" s="189">
      <c r="A759" s="289" t="n"/>
      <c r="B759" s="290" t="n"/>
      <c r="C759" s="290" t="n"/>
      <c r="D759" s="289" t="n"/>
      <c r="E759" s="289" t="n"/>
      <c r="F759" s="290" t="n"/>
      <c r="G759" s="290" t="n"/>
      <c r="H759" s="290" t="n"/>
    </row>
    <row r="760" ht="13" customHeight="1" s="189">
      <c r="A760" s="289" t="n"/>
      <c r="B760" s="290" t="n"/>
      <c r="C760" s="290" t="n"/>
      <c r="D760" s="289" t="n"/>
      <c r="E760" s="289" t="n"/>
      <c r="F760" s="290" t="n"/>
      <c r="G760" s="290" t="n"/>
      <c r="H760" s="290" t="n"/>
    </row>
    <row r="761" ht="13" customHeight="1" s="189">
      <c r="A761" s="289" t="n"/>
      <c r="B761" s="290" t="n"/>
      <c r="C761" s="290" t="n"/>
      <c r="D761" s="289" t="n"/>
      <c r="E761" s="289" t="n"/>
      <c r="F761" s="290" t="n"/>
      <c r="G761" s="290" t="n"/>
      <c r="H761" s="290" t="n"/>
    </row>
    <row r="762" ht="13" customHeight="1" s="189">
      <c r="A762" s="289" t="n"/>
      <c r="B762" s="290" t="n"/>
      <c r="C762" s="290" t="n"/>
      <c r="D762" s="289" t="n"/>
      <c r="E762" s="289" t="n"/>
      <c r="F762" s="290" t="n"/>
      <c r="G762" s="290" t="n"/>
      <c r="H762" s="290" t="n"/>
    </row>
    <row r="763" ht="13" customHeight="1" s="189">
      <c r="A763" s="289" t="n"/>
      <c r="B763" s="290" t="n"/>
      <c r="C763" s="290" t="n"/>
      <c r="D763" s="289" t="n"/>
      <c r="E763" s="289" t="n"/>
      <c r="F763" s="290" t="n"/>
      <c r="G763" s="290" t="n"/>
      <c r="H763" s="290" t="n"/>
    </row>
    <row r="764" ht="13" customHeight="1" s="189">
      <c r="A764" s="289" t="n"/>
      <c r="B764" s="290" t="n"/>
      <c r="C764" s="290" t="n"/>
      <c r="D764" s="289" t="n"/>
      <c r="E764" s="289" t="n"/>
      <c r="F764" s="290" t="n"/>
      <c r="G764" s="290" t="n"/>
      <c r="H764" s="290" t="n"/>
    </row>
    <row r="765" ht="13" customHeight="1" s="189">
      <c r="A765" s="289" t="n"/>
      <c r="B765" s="290" t="n"/>
      <c r="C765" s="290" t="n"/>
      <c r="D765" s="289" t="n"/>
      <c r="E765" s="289" t="n"/>
      <c r="F765" s="290" t="n"/>
      <c r="G765" s="290" t="n"/>
      <c r="H765" s="290" t="n"/>
    </row>
    <row r="766" ht="13" customHeight="1" s="189">
      <c r="A766" s="289" t="n"/>
      <c r="B766" s="290" t="n"/>
      <c r="C766" s="290" t="n"/>
      <c r="D766" s="289" t="n"/>
      <c r="E766" s="289" t="n"/>
      <c r="F766" s="290" t="n"/>
      <c r="G766" s="290" t="n"/>
      <c r="H766" s="290" t="n"/>
    </row>
    <row r="767" ht="13" customHeight="1" s="189">
      <c r="A767" s="289" t="n"/>
      <c r="B767" s="290" t="n"/>
      <c r="C767" s="290" t="n"/>
      <c r="D767" s="289" t="n"/>
      <c r="E767" s="289" t="n"/>
      <c r="F767" s="290" t="n"/>
      <c r="G767" s="290" t="n"/>
      <c r="H767" s="290" t="n"/>
    </row>
    <row r="768" ht="13" customHeight="1" s="189">
      <c r="A768" s="289" t="n"/>
      <c r="B768" s="290" t="n"/>
      <c r="C768" s="290" t="n"/>
      <c r="D768" s="289" t="n"/>
      <c r="E768" s="289" t="n"/>
      <c r="F768" s="290" t="n"/>
      <c r="G768" s="290" t="n"/>
      <c r="H768" s="290" t="n"/>
    </row>
    <row r="769" ht="13" customHeight="1" s="189">
      <c r="A769" s="289" t="n"/>
      <c r="B769" s="290" t="n"/>
      <c r="C769" s="290" t="n"/>
      <c r="D769" s="289" t="n"/>
      <c r="E769" s="289" t="n"/>
      <c r="F769" s="290" t="n"/>
      <c r="G769" s="290" t="n"/>
      <c r="H769" s="290" t="n"/>
    </row>
    <row r="770" ht="13" customHeight="1" s="189">
      <c r="A770" s="289" t="n"/>
      <c r="B770" s="290" t="n"/>
      <c r="C770" s="290" t="n"/>
      <c r="D770" s="289" t="n"/>
      <c r="E770" s="289" t="n"/>
      <c r="F770" s="290" t="n"/>
      <c r="G770" s="290" t="n"/>
      <c r="H770" s="290" t="n"/>
    </row>
    <row r="771" ht="13" customHeight="1" s="189">
      <c r="A771" s="289" t="n"/>
      <c r="B771" s="290" t="n"/>
      <c r="C771" s="290" t="n"/>
      <c r="D771" s="289" t="n"/>
      <c r="E771" s="289" t="n"/>
      <c r="F771" s="290" t="n"/>
      <c r="G771" s="290" t="n"/>
      <c r="H771" s="290" t="n"/>
    </row>
    <row r="772" ht="13" customHeight="1" s="189">
      <c r="A772" s="289" t="n"/>
      <c r="B772" s="290" t="n"/>
      <c r="C772" s="290" t="n"/>
      <c r="D772" s="289" t="n"/>
      <c r="E772" s="289" t="n"/>
      <c r="F772" s="290" t="n"/>
      <c r="G772" s="290" t="n"/>
      <c r="H772" s="290" t="n"/>
    </row>
    <row r="773" ht="13" customHeight="1" s="189">
      <c r="A773" s="289" t="n"/>
      <c r="B773" s="290" t="n"/>
      <c r="C773" s="290" t="n"/>
      <c r="D773" s="289" t="n"/>
      <c r="E773" s="289" t="n"/>
      <c r="F773" s="290" t="n"/>
      <c r="G773" s="290" t="n"/>
      <c r="H773" s="290" t="n"/>
    </row>
    <row r="774" ht="13" customHeight="1" s="189">
      <c r="A774" s="289" t="n"/>
      <c r="B774" s="290" t="n"/>
      <c r="C774" s="290" t="n"/>
      <c r="D774" s="289" t="n"/>
      <c r="E774" s="289" t="n"/>
      <c r="F774" s="290" t="n"/>
      <c r="G774" s="290" t="n"/>
      <c r="H774" s="290" t="n"/>
    </row>
    <row r="775" ht="13" customHeight="1" s="189">
      <c r="A775" s="289" t="n"/>
      <c r="B775" s="290" t="n"/>
      <c r="C775" s="290" t="n"/>
      <c r="D775" s="289" t="n"/>
      <c r="E775" s="289" t="n"/>
      <c r="F775" s="290" t="n"/>
      <c r="G775" s="290" t="n"/>
      <c r="H775" s="290" t="n"/>
    </row>
    <row r="776" ht="13" customHeight="1" s="189">
      <c r="A776" s="289" t="n"/>
      <c r="B776" s="290" t="n"/>
      <c r="C776" s="290" t="n"/>
      <c r="D776" s="289" t="n"/>
      <c r="E776" s="289" t="n"/>
      <c r="F776" s="290" t="n"/>
      <c r="G776" s="290" t="n"/>
      <c r="H776" s="290" t="n"/>
    </row>
    <row r="777" ht="13" customHeight="1" s="189">
      <c r="A777" s="289" t="n"/>
      <c r="B777" s="290" t="n"/>
      <c r="C777" s="290" t="n"/>
      <c r="D777" s="289" t="n"/>
      <c r="E777" s="289" t="n"/>
      <c r="F777" s="290" t="n"/>
      <c r="G777" s="290" t="n"/>
      <c r="H777" s="290" t="n"/>
    </row>
    <row r="778" ht="13" customHeight="1" s="189">
      <c r="A778" s="289" t="n"/>
      <c r="B778" s="290" t="n"/>
      <c r="C778" s="290" t="n"/>
      <c r="D778" s="289" t="n"/>
      <c r="E778" s="289" t="n"/>
      <c r="F778" s="290" t="n"/>
      <c r="G778" s="290" t="n"/>
      <c r="H778" s="290" t="n"/>
    </row>
    <row r="779" ht="13" customHeight="1" s="189">
      <c r="A779" s="289" t="n"/>
      <c r="B779" s="290" t="n"/>
      <c r="C779" s="290" t="n"/>
      <c r="D779" s="289" t="n"/>
      <c r="E779" s="289" t="n"/>
      <c r="F779" s="290" t="n"/>
      <c r="G779" s="290" t="n"/>
      <c r="H779" s="290" t="n"/>
    </row>
    <row r="780" ht="13" customHeight="1" s="189">
      <c r="A780" s="289" t="n"/>
      <c r="B780" s="290" t="n"/>
      <c r="C780" s="290" t="n"/>
      <c r="D780" s="289" t="n"/>
      <c r="E780" s="289" t="n"/>
      <c r="F780" s="290" t="n"/>
      <c r="G780" s="290" t="n"/>
      <c r="H780" s="290" t="n"/>
    </row>
    <row r="781" ht="13" customHeight="1" s="189">
      <c r="A781" s="289" t="n"/>
      <c r="B781" s="290" t="n"/>
      <c r="C781" s="290" t="n"/>
      <c r="D781" s="289" t="n"/>
      <c r="E781" s="289" t="n"/>
      <c r="F781" s="290" t="n"/>
      <c r="G781" s="290" t="n"/>
      <c r="H781" s="290" t="n"/>
    </row>
    <row r="782" ht="13" customHeight="1" s="189">
      <c r="A782" s="289" t="n"/>
      <c r="B782" s="290" t="n"/>
      <c r="C782" s="290" t="n"/>
      <c r="D782" s="289" t="n"/>
      <c r="E782" s="289" t="n"/>
      <c r="F782" s="290" t="n"/>
      <c r="G782" s="290" t="n"/>
      <c r="H782" s="290" t="n"/>
    </row>
    <row r="783" ht="13" customHeight="1" s="189">
      <c r="A783" s="289" t="n"/>
      <c r="B783" s="290" t="n"/>
      <c r="C783" s="290" t="n"/>
      <c r="D783" s="289" t="n"/>
      <c r="E783" s="289" t="n"/>
      <c r="F783" s="290" t="n"/>
      <c r="G783" s="290" t="n"/>
      <c r="H783" s="290" t="n"/>
    </row>
    <row r="784" ht="13" customHeight="1" s="189">
      <c r="A784" s="289" t="n"/>
      <c r="B784" s="290" t="n"/>
      <c r="C784" s="290" t="n"/>
      <c r="D784" s="289" t="n"/>
      <c r="E784" s="289" t="n"/>
      <c r="F784" s="290" t="n"/>
      <c r="G784" s="290" t="n"/>
      <c r="H784" s="290" t="n"/>
    </row>
    <row r="785" ht="13" customHeight="1" s="189">
      <c r="A785" s="289" t="n"/>
      <c r="B785" s="290" t="n"/>
      <c r="C785" s="290" t="n"/>
      <c r="D785" s="289" t="n"/>
      <c r="E785" s="289" t="n"/>
      <c r="F785" s="290" t="n"/>
      <c r="G785" s="290" t="n"/>
      <c r="H785" s="290" t="n"/>
    </row>
    <row r="786" ht="13" customHeight="1" s="189">
      <c r="A786" s="289" t="n"/>
      <c r="B786" s="290" t="n"/>
      <c r="C786" s="290" t="n"/>
      <c r="D786" s="289" t="n"/>
      <c r="E786" s="289" t="n"/>
      <c r="F786" s="290" t="n"/>
      <c r="G786" s="290" t="n"/>
      <c r="H786" s="290" t="n"/>
    </row>
    <row r="787" ht="13" customHeight="1" s="189">
      <c r="A787" s="289" t="n"/>
      <c r="B787" s="290" t="n"/>
      <c r="C787" s="290" t="n"/>
      <c r="D787" s="289" t="n"/>
      <c r="E787" s="289" t="n"/>
      <c r="F787" s="290" t="n"/>
      <c r="G787" s="290" t="n"/>
      <c r="H787" s="290" t="n"/>
    </row>
    <row r="788" ht="13" customHeight="1" s="189">
      <c r="A788" s="289" t="n"/>
      <c r="B788" s="290" t="n"/>
      <c r="C788" s="290" t="n"/>
      <c r="D788" s="289" t="n"/>
      <c r="E788" s="289" t="n"/>
      <c r="F788" s="290" t="n"/>
      <c r="G788" s="290" t="n"/>
      <c r="H788" s="290" t="n"/>
    </row>
    <row r="789" ht="13" customHeight="1" s="189">
      <c r="A789" s="289" t="n"/>
      <c r="B789" s="290" t="n"/>
      <c r="C789" s="290" t="n"/>
      <c r="D789" s="289" t="n"/>
      <c r="E789" s="289" t="n"/>
      <c r="F789" s="290" t="n"/>
      <c r="G789" s="290" t="n"/>
      <c r="H789" s="290" t="n"/>
    </row>
    <row r="790" ht="13" customHeight="1" s="189">
      <c r="A790" s="289" t="n"/>
      <c r="B790" s="290" t="n"/>
      <c r="C790" s="290" t="n"/>
      <c r="D790" s="289" t="n"/>
      <c r="E790" s="289" t="n"/>
      <c r="F790" s="290" t="n"/>
      <c r="G790" s="290" t="n"/>
      <c r="H790" s="290" t="n"/>
    </row>
    <row r="791" ht="13" customHeight="1" s="189">
      <c r="A791" s="289" t="n"/>
      <c r="B791" s="290" t="n"/>
      <c r="C791" s="290" t="n"/>
      <c r="D791" s="289" t="n"/>
      <c r="E791" s="289" t="n"/>
      <c r="F791" s="290" t="n"/>
      <c r="G791" s="290" t="n"/>
      <c r="H791" s="290" t="n"/>
    </row>
    <row r="792" ht="13" customHeight="1" s="189">
      <c r="A792" s="289" t="n"/>
      <c r="B792" s="290" t="n"/>
      <c r="C792" s="290" t="n"/>
      <c r="D792" s="289" t="n"/>
      <c r="E792" s="289" t="n"/>
      <c r="F792" s="290" t="n"/>
      <c r="G792" s="290" t="n"/>
      <c r="H792" s="290" t="n"/>
    </row>
    <row r="793" ht="13" customHeight="1" s="189">
      <c r="A793" s="289" t="n"/>
      <c r="B793" s="290" t="n"/>
      <c r="C793" s="290" t="n"/>
      <c r="D793" s="289" t="n"/>
      <c r="E793" s="289" t="n"/>
      <c r="F793" s="290" t="n"/>
      <c r="G793" s="290" t="n"/>
      <c r="H793" s="290" t="n"/>
    </row>
    <row r="794" ht="13" customHeight="1" s="189">
      <c r="A794" s="289" t="n"/>
      <c r="B794" s="290" t="n"/>
      <c r="C794" s="290" t="n"/>
      <c r="D794" s="289" t="n"/>
      <c r="E794" s="289" t="n"/>
      <c r="F794" s="290" t="n"/>
      <c r="G794" s="290" t="n"/>
      <c r="H794" s="290" t="n"/>
    </row>
    <row r="795" ht="13" customHeight="1" s="189">
      <c r="A795" s="289" t="n"/>
      <c r="B795" s="290" t="n"/>
      <c r="C795" s="290" t="n"/>
      <c r="D795" s="289" t="n"/>
      <c r="E795" s="289" t="n"/>
      <c r="F795" s="290" t="n"/>
      <c r="G795" s="290" t="n"/>
      <c r="H795" s="290" t="n"/>
    </row>
    <row r="796" ht="13" customHeight="1" s="189">
      <c r="A796" s="289" t="n"/>
      <c r="B796" s="290" t="n"/>
      <c r="C796" s="290" t="n"/>
      <c r="D796" s="289" t="n"/>
      <c r="E796" s="289" t="n"/>
      <c r="F796" s="290" t="n"/>
      <c r="G796" s="290" t="n"/>
      <c r="H796" s="290" t="n"/>
    </row>
    <row r="797" ht="13" customHeight="1" s="189">
      <c r="A797" s="289" t="n"/>
      <c r="B797" s="290" t="n"/>
      <c r="C797" s="290" t="n"/>
      <c r="D797" s="289" t="n"/>
      <c r="E797" s="289" t="n"/>
      <c r="F797" s="290" t="n"/>
      <c r="G797" s="290" t="n"/>
      <c r="H797" s="290" t="n"/>
    </row>
    <row r="798" ht="13" customHeight="1" s="189">
      <c r="A798" s="289" t="n"/>
      <c r="B798" s="290" t="n"/>
      <c r="C798" s="290" t="n"/>
      <c r="D798" s="289" t="n"/>
      <c r="E798" s="289" t="n"/>
      <c r="F798" s="290" t="n"/>
      <c r="G798" s="290" t="n"/>
      <c r="H798" s="290" t="n"/>
    </row>
    <row r="799" ht="13" customHeight="1" s="189">
      <c r="A799" s="289" t="n"/>
      <c r="B799" s="290" t="n"/>
      <c r="C799" s="290" t="n"/>
      <c r="D799" s="289" t="n"/>
      <c r="E799" s="289" t="n"/>
      <c r="F799" s="290" t="n"/>
      <c r="G799" s="290" t="n"/>
      <c r="H799" s="290" t="n"/>
    </row>
    <row r="800" ht="13" customHeight="1" s="189">
      <c r="A800" s="289" t="n"/>
      <c r="B800" s="290" t="n"/>
      <c r="C800" s="290" t="n"/>
      <c r="D800" s="289" t="n"/>
      <c r="E800" s="289" t="n"/>
      <c r="F800" s="290" t="n"/>
      <c r="G800" s="290" t="n"/>
      <c r="H800" s="290" t="n"/>
    </row>
    <row r="801" ht="13" customHeight="1" s="189">
      <c r="A801" s="289" t="n"/>
      <c r="B801" s="290" t="n"/>
      <c r="C801" s="290" t="n"/>
      <c r="D801" s="289" t="n"/>
      <c r="E801" s="289" t="n"/>
      <c r="F801" s="290" t="n"/>
      <c r="G801" s="290" t="n"/>
      <c r="H801" s="290" t="n"/>
    </row>
    <row r="802" ht="13" customHeight="1" s="189">
      <c r="A802" s="289" t="n"/>
      <c r="B802" s="290" t="n"/>
      <c r="C802" s="290" t="n"/>
      <c r="D802" s="289" t="n"/>
      <c r="E802" s="289" t="n"/>
      <c r="F802" s="290" t="n"/>
      <c r="G802" s="290" t="n"/>
      <c r="H802" s="290" t="n"/>
    </row>
    <row r="803" ht="13" customHeight="1" s="189">
      <c r="A803" s="289" t="n"/>
      <c r="B803" s="290" t="n"/>
      <c r="C803" s="290" t="n"/>
      <c r="D803" s="289" t="n"/>
      <c r="E803" s="289" t="n"/>
      <c r="F803" s="290" t="n"/>
      <c r="G803" s="290" t="n"/>
      <c r="H803" s="290" t="n"/>
    </row>
    <row r="804" ht="13" customHeight="1" s="189">
      <c r="A804" s="289" t="n"/>
      <c r="B804" s="290" t="n"/>
      <c r="C804" s="290" t="n"/>
      <c r="D804" s="289" t="n"/>
      <c r="E804" s="289" t="n"/>
      <c r="F804" s="290" t="n"/>
      <c r="G804" s="290" t="n"/>
      <c r="H804" s="290" t="n"/>
    </row>
    <row r="805" ht="13" customHeight="1" s="189">
      <c r="A805" s="289" t="n"/>
      <c r="B805" s="290" t="n"/>
      <c r="C805" s="290" t="n"/>
      <c r="D805" s="289" t="n"/>
      <c r="E805" s="289" t="n"/>
      <c r="F805" s="290" t="n"/>
      <c r="G805" s="290" t="n"/>
      <c r="H805" s="290" t="n"/>
    </row>
    <row r="806" ht="13" customHeight="1" s="189">
      <c r="A806" s="289" t="n"/>
      <c r="B806" s="290" t="n"/>
      <c r="C806" s="290" t="n"/>
      <c r="D806" s="289" t="n"/>
      <c r="E806" s="289" t="n"/>
      <c r="F806" s="290" t="n"/>
      <c r="G806" s="290" t="n"/>
      <c r="H806" s="290" t="n"/>
    </row>
    <row r="807" ht="13" customHeight="1" s="189">
      <c r="A807" s="289" t="n"/>
      <c r="B807" s="290" t="n"/>
      <c r="C807" s="290" t="n"/>
      <c r="D807" s="289" t="n"/>
      <c r="E807" s="289" t="n"/>
      <c r="F807" s="290" t="n"/>
      <c r="G807" s="290" t="n"/>
      <c r="H807" s="290" t="n"/>
    </row>
    <row r="808" ht="13" customHeight="1" s="189">
      <c r="A808" s="289" t="n"/>
      <c r="B808" s="290" t="n"/>
      <c r="C808" s="290" t="n"/>
      <c r="D808" s="289" t="n"/>
      <c r="E808" s="289" t="n"/>
      <c r="F808" s="290" t="n"/>
      <c r="G808" s="290" t="n"/>
      <c r="H808" s="290" t="n"/>
    </row>
    <row r="809" ht="13" customHeight="1" s="189">
      <c r="A809" s="289" t="n"/>
      <c r="B809" s="290" t="n"/>
      <c r="C809" s="290" t="n"/>
      <c r="D809" s="289" t="n"/>
      <c r="E809" s="289" t="n"/>
      <c r="F809" s="290" t="n"/>
      <c r="G809" s="290" t="n"/>
      <c r="H809" s="290" t="n"/>
    </row>
    <row r="810" ht="13" customHeight="1" s="189">
      <c r="A810" s="289" t="n"/>
      <c r="B810" s="290" t="n"/>
      <c r="C810" s="290" t="n"/>
      <c r="D810" s="289" t="n"/>
      <c r="E810" s="289" t="n"/>
      <c r="F810" s="290" t="n"/>
      <c r="G810" s="290" t="n"/>
      <c r="H810" s="290" t="n"/>
    </row>
    <row r="811" ht="13" customHeight="1" s="189">
      <c r="A811" s="289" t="n"/>
      <c r="B811" s="290" t="n"/>
      <c r="C811" s="290" t="n"/>
      <c r="D811" s="289" t="n"/>
      <c r="E811" s="289" t="n"/>
      <c r="F811" s="290" t="n"/>
      <c r="G811" s="290" t="n"/>
      <c r="H811" s="290" t="n"/>
    </row>
    <row r="812" ht="13" customHeight="1" s="189">
      <c r="A812" s="289" t="n"/>
      <c r="B812" s="290" t="n"/>
      <c r="C812" s="290" t="n"/>
      <c r="D812" s="289" t="n"/>
      <c r="E812" s="289" t="n"/>
      <c r="F812" s="290" t="n"/>
      <c r="G812" s="290" t="n"/>
      <c r="H812" s="290" t="n"/>
    </row>
    <row r="813" ht="13" customHeight="1" s="189">
      <c r="A813" s="289" t="n"/>
      <c r="B813" s="290" t="n"/>
      <c r="C813" s="290" t="n"/>
      <c r="D813" s="289" t="n"/>
      <c r="E813" s="289" t="n"/>
      <c r="F813" s="290" t="n"/>
      <c r="G813" s="290" t="n"/>
      <c r="H813" s="290" t="n"/>
    </row>
    <row r="814" ht="13" customHeight="1" s="189">
      <c r="A814" s="289" t="n"/>
      <c r="B814" s="290" t="n"/>
      <c r="C814" s="290" t="n"/>
      <c r="D814" s="289" t="n"/>
      <c r="E814" s="289" t="n"/>
      <c r="F814" s="290" t="n"/>
      <c r="G814" s="290" t="n"/>
      <c r="H814" s="290" t="n"/>
    </row>
    <row r="815" ht="13" customHeight="1" s="189">
      <c r="A815" s="289" t="n"/>
      <c r="B815" s="290" t="n"/>
      <c r="C815" s="290" t="n"/>
      <c r="D815" s="289" t="n"/>
      <c r="E815" s="289" t="n"/>
      <c r="F815" s="290" t="n"/>
      <c r="G815" s="290" t="n"/>
      <c r="H815" s="290" t="n"/>
    </row>
    <row r="816" ht="13" customHeight="1" s="189">
      <c r="A816" s="289" t="n"/>
      <c r="B816" s="290" t="n"/>
      <c r="C816" s="290" t="n"/>
      <c r="D816" s="289" t="n"/>
      <c r="E816" s="289" t="n"/>
      <c r="F816" s="290" t="n"/>
      <c r="G816" s="290" t="n"/>
      <c r="H816" s="290" t="n"/>
    </row>
    <row r="817" ht="13" customHeight="1" s="189">
      <c r="A817" s="289" t="n"/>
      <c r="B817" s="290" t="n"/>
      <c r="C817" s="290" t="n"/>
      <c r="D817" s="289" t="n"/>
      <c r="E817" s="289" t="n"/>
      <c r="F817" s="290" t="n"/>
      <c r="G817" s="290" t="n"/>
      <c r="H817" s="290" t="n"/>
    </row>
    <row r="818" ht="13" customHeight="1" s="189">
      <c r="A818" s="289" t="n"/>
      <c r="B818" s="290" t="n"/>
      <c r="C818" s="290" t="n"/>
      <c r="D818" s="289" t="n"/>
      <c r="E818" s="289" t="n"/>
      <c r="F818" s="290" t="n"/>
      <c r="G818" s="290" t="n"/>
      <c r="H818" s="290" t="n"/>
    </row>
    <row r="819" ht="13" customHeight="1" s="189">
      <c r="A819" s="289" t="n"/>
      <c r="B819" s="290" t="n"/>
      <c r="C819" s="290" t="n"/>
      <c r="D819" s="289" t="n"/>
      <c r="E819" s="289" t="n"/>
      <c r="F819" s="290" t="n"/>
      <c r="G819" s="290" t="n"/>
      <c r="H819" s="290" t="n"/>
    </row>
    <row r="820" ht="13" customHeight="1" s="189">
      <c r="A820" s="289" t="n"/>
      <c r="B820" s="290" t="n"/>
      <c r="C820" s="290" t="n"/>
      <c r="D820" s="289" t="n"/>
      <c r="E820" s="289" t="n"/>
      <c r="F820" s="290" t="n"/>
      <c r="G820" s="290" t="n"/>
      <c r="H820" s="290" t="n"/>
    </row>
    <row r="821" ht="13" customHeight="1" s="189">
      <c r="A821" s="289" t="n"/>
      <c r="B821" s="290" t="n"/>
      <c r="C821" s="290" t="n"/>
      <c r="D821" s="289" t="n"/>
      <c r="E821" s="289" t="n"/>
      <c r="F821" s="290" t="n"/>
      <c r="G821" s="290" t="n"/>
      <c r="H821" s="290" t="n"/>
    </row>
    <row r="822" ht="13" customHeight="1" s="189">
      <c r="A822" s="289" t="n"/>
      <c r="B822" s="290" t="n"/>
      <c r="C822" s="290" t="n"/>
      <c r="D822" s="289" t="n"/>
      <c r="E822" s="289" t="n"/>
      <c r="F822" s="290" t="n"/>
      <c r="G822" s="290" t="n"/>
      <c r="H822" s="290" t="n"/>
    </row>
    <row r="823" ht="13" customHeight="1" s="189">
      <c r="A823" s="289" t="n"/>
      <c r="B823" s="290" t="n"/>
      <c r="C823" s="290" t="n"/>
      <c r="D823" s="289" t="n"/>
      <c r="E823" s="289" t="n"/>
      <c r="F823" s="290" t="n"/>
      <c r="G823" s="290" t="n"/>
      <c r="H823" s="290" t="n"/>
    </row>
    <row r="824" ht="13" customHeight="1" s="189">
      <c r="A824" s="289" t="n"/>
      <c r="B824" s="290" t="n"/>
      <c r="C824" s="290" t="n"/>
      <c r="D824" s="289" t="n"/>
      <c r="E824" s="289" t="n"/>
      <c r="F824" s="290" t="n"/>
      <c r="G824" s="290" t="n"/>
      <c r="H824" s="290" t="n"/>
    </row>
    <row r="825" ht="13" customHeight="1" s="189">
      <c r="A825" s="289" t="n"/>
      <c r="B825" s="290" t="n"/>
      <c r="C825" s="290" t="n"/>
      <c r="D825" s="289" t="n"/>
      <c r="E825" s="289" t="n"/>
      <c r="F825" s="290" t="n"/>
      <c r="G825" s="290" t="n"/>
      <c r="H825" s="290" t="n"/>
    </row>
    <row r="826" ht="13" customHeight="1" s="189">
      <c r="A826" s="289" t="n"/>
      <c r="B826" s="290" t="n"/>
      <c r="C826" s="290" t="n"/>
      <c r="D826" s="289" t="n"/>
      <c r="E826" s="289" t="n"/>
      <c r="F826" s="290" t="n"/>
      <c r="G826" s="290" t="n"/>
      <c r="H826" s="290" t="n"/>
    </row>
    <row r="827" ht="13" customHeight="1" s="189">
      <c r="A827" s="289" t="n"/>
      <c r="B827" s="290" t="n"/>
      <c r="C827" s="290" t="n"/>
      <c r="D827" s="289" t="n"/>
      <c r="E827" s="289" t="n"/>
      <c r="F827" s="290" t="n"/>
      <c r="G827" s="290" t="n"/>
      <c r="H827" s="290" t="n"/>
    </row>
    <row r="828" ht="13" customHeight="1" s="189">
      <c r="A828" s="289" t="n"/>
      <c r="B828" s="290" t="n"/>
      <c r="C828" s="290" t="n"/>
      <c r="D828" s="289" t="n"/>
      <c r="E828" s="289" t="n"/>
      <c r="F828" s="290" t="n"/>
      <c r="G828" s="290" t="n"/>
      <c r="H828" s="290" t="n"/>
    </row>
    <row r="829" ht="13" customHeight="1" s="189">
      <c r="A829" s="289" t="n"/>
      <c r="B829" s="290" t="n"/>
      <c r="C829" s="290" t="n"/>
      <c r="D829" s="289" t="n"/>
      <c r="E829" s="289" t="n"/>
      <c r="F829" s="290" t="n"/>
      <c r="G829" s="290" t="n"/>
      <c r="H829" s="290" t="n"/>
    </row>
    <row r="830" ht="13" customHeight="1" s="189">
      <c r="A830" s="289" t="n"/>
      <c r="B830" s="290" t="n"/>
      <c r="C830" s="290" t="n"/>
      <c r="D830" s="289" t="n"/>
      <c r="E830" s="289" t="n"/>
      <c r="F830" s="290" t="n"/>
      <c r="G830" s="290" t="n"/>
      <c r="H830" s="290" t="n"/>
    </row>
    <row r="831" ht="13" customHeight="1" s="189">
      <c r="A831" s="289" t="n"/>
      <c r="B831" s="290" t="n"/>
      <c r="C831" s="290" t="n"/>
      <c r="D831" s="289" t="n"/>
      <c r="E831" s="289" t="n"/>
      <c r="F831" s="290" t="n"/>
      <c r="G831" s="290" t="n"/>
      <c r="H831" s="290" t="n"/>
    </row>
    <row r="832" ht="13" customHeight="1" s="189">
      <c r="A832" s="289" t="n"/>
      <c r="B832" s="290" t="n"/>
      <c r="C832" s="290" t="n"/>
      <c r="D832" s="289" t="n"/>
      <c r="E832" s="289" t="n"/>
      <c r="F832" s="290" t="n"/>
      <c r="G832" s="290" t="n"/>
      <c r="H832" s="290" t="n"/>
    </row>
    <row r="833" ht="13" customHeight="1" s="189">
      <c r="A833" s="289" t="n"/>
      <c r="B833" s="290" t="n"/>
      <c r="C833" s="290" t="n"/>
      <c r="D833" s="289" t="n"/>
      <c r="E833" s="289" t="n"/>
      <c r="F833" s="290" t="n"/>
      <c r="G833" s="290" t="n"/>
      <c r="H833" s="290" t="n"/>
    </row>
    <row r="834" ht="13" customHeight="1" s="189">
      <c r="A834" s="289" t="n"/>
      <c r="B834" s="290" t="n"/>
      <c r="C834" s="290" t="n"/>
      <c r="D834" s="289" t="n"/>
      <c r="E834" s="289" t="n"/>
      <c r="F834" s="290" t="n"/>
      <c r="G834" s="290" t="n"/>
      <c r="H834" s="290" t="n"/>
    </row>
    <row r="835" ht="13" customHeight="1" s="189">
      <c r="A835" s="289" t="n"/>
      <c r="B835" s="290" t="n"/>
      <c r="C835" s="290" t="n"/>
      <c r="D835" s="289" t="n"/>
      <c r="E835" s="289" t="n"/>
      <c r="F835" s="290" t="n"/>
      <c r="G835" s="290" t="n"/>
      <c r="H835" s="290" t="n"/>
    </row>
    <row r="836" ht="13" customHeight="1" s="189">
      <c r="A836" s="289" t="n"/>
      <c r="B836" s="290" t="n"/>
      <c r="C836" s="290" t="n"/>
      <c r="D836" s="289" t="n"/>
      <c r="E836" s="289" t="n"/>
      <c r="F836" s="290" t="n"/>
      <c r="G836" s="290" t="n"/>
      <c r="H836" s="290" t="n"/>
    </row>
    <row r="837" ht="13" customHeight="1" s="189">
      <c r="A837" s="289" t="n"/>
      <c r="B837" s="290" t="n"/>
      <c r="C837" s="290" t="n"/>
      <c r="D837" s="289" t="n"/>
      <c r="E837" s="289" t="n"/>
      <c r="F837" s="290" t="n"/>
      <c r="G837" s="290" t="n"/>
      <c r="H837" s="290" t="n"/>
    </row>
    <row r="838" ht="13" customHeight="1" s="189">
      <c r="A838" s="289" t="n"/>
      <c r="B838" s="290" t="n"/>
      <c r="C838" s="290" t="n"/>
      <c r="D838" s="289" t="n"/>
      <c r="E838" s="289" t="n"/>
      <c r="F838" s="290" t="n"/>
      <c r="G838" s="290" t="n"/>
      <c r="H838" s="290" t="n"/>
    </row>
    <row r="839" ht="13" customHeight="1" s="189">
      <c r="A839" s="289" t="n"/>
      <c r="B839" s="290" t="n"/>
      <c r="C839" s="290" t="n"/>
      <c r="D839" s="289" t="n"/>
      <c r="E839" s="289" t="n"/>
      <c r="F839" s="290" t="n"/>
      <c r="G839" s="290" t="n"/>
      <c r="H839" s="290" t="n"/>
    </row>
    <row r="840" ht="13" customHeight="1" s="189">
      <c r="A840" s="289" t="n"/>
      <c r="B840" s="290" t="n"/>
      <c r="C840" s="290" t="n"/>
      <c r="D840" s="289" t="n"/>
      <c r="E840" s="289" t="n"/>
      <c r="F840" s="290" t="n"/>
      <c r="G840" s="290" t="n"/>
      <c r="H840" s="290" t="n"/>
    </row>
    <row r="841" ht="13" customHeight="1" s="189">
      <c r="A841" s="289" t="n"/>
      <c r="B841" s="290" t="n"/>
      <c r="C841" s="290" t="n"/>
      <c r="D841" s="289" t="n"/>
      <c r="E841" s="289" t="n"/>
      <c r="F841" s="290" t="n"/>
      <c r="G841" s="290" t="n"/>
      <c r="H841" s="290" t="n"/>
    </row>
    <row r="842" ht="13" customHeight="1" s="189">
      <c r="A842" s="289" t="n"/>
      <c r="B842" s="290" t="n"/>
      <c r="C842" s="290" t="n"/>
      <c r="D842" s="289" t="n"/>
      <c r="E842" s="289" t="n"/>
      <c r="F842" s="290" t="n"/>
      <c r="G842" s="290" t="n"/>
      <c r="H842" s="290" t="n"/>
    </row>
    <row r="843" ht="13" customHeight="1" s="189">
      <c r="A843" s="289" t="n"/>
      <c r="B843" s="290" t="n"/>
      <c r="C843" s="290" t="n"/>
      <c r="D843" s="289" t="n"/>
      <c r="E843" s="289" t="n"/>
      <c r="F843" s="290" t="n"/>
      <c r="G843" s="290" t="n"/>
      <c r="H843" s="290" t="n"/>
    </row>
    <row r="844" ht="13" customHeight="1" s="189">
      <c r="A844" s="289" t="n"/>
      <c r="B844" s="290" t="n"/>
      <c r="C844" s="290" t="n"/>
      <c r="D844" s="289" t="n"/>
      <c r="E844" s="289" t="n"/>
      <c r="F844" s="290" t="n"/>
      <c r="G844" s="290" t="n"/>
      <c r="H844" s="290" t="n"/>
    </row>
    <row r="845" ht="13" customHeight="1" s="189">
      <c r="A845" s="289" t="n"/>
      <c r="B845" s="290" t="n"/>
      <c r="C845" s="290" t="n"/>
      <c r="D845" s="289" t="n"/>
      <c r="E845" s="289" t="n"/>
      <c r="F845" s="290" t="n"/>
      <c r="G845" s="290" t="n"/>
      <c r="H845" s="290" t="n"/>
    </row>
    <row r="846" ht="13" customHeight="1" s="189">
      <c r="A846" s="289" t="n"/>
      <c r="B846" s="290" t="n"/>
      <c r="C846" s="290" t="n"/>
      <c r="D846" s="289" t="n"/>
      <c r="E846" s="289" t="n"/>
      <c r="F846" s="290" t="n"/>
      <c r="G846" s="290" t="n"/>
      <c r="H846" s="290" t="n"/>
    </row>
    <row r="847" ht="13" customHeight="1" s="189">
      <c r="A847" s="289" t="n"/>
      <c r="B847" s="290" t="n"/>
      <c r="C847" s="290" t="n"/>
      <c r="D847" s="289" t="n"/>
      <c r="E847" s="289" t="n"/>
      <c r="F847" s="290" t="n"/>
      <c r="G847" s="290" t="n"/>
      <c r="H847" s="290" t="n"/>
    </row>
    <row r="848" ht="13" customHeight="1" s="189">
      <c r="A848" s="289" t="n"/>
      <c r="B848" s="290" t="n"/>
      <c r="C848" s="290" t="n"/>
      <c r="D848" s="289" t="n"/>
      <c r="E848" s="289" t="n"/>
      <c r="F848" s="290" t="n"/>
      <c r="G848" s="290" t="n"/>
      <c r="H848" s="290" t="n"/>
    </row>
    <row r="849" ht="13" customHeight="1" s="189">
      <c r="A849" s="289" t="n"/>
      <c r="B849" s="290" t="n"/>
      <c r="C849" s="290" t="n"/>
      <c r="D849" s="289" t="n"/>
      <c r="E849" s="289" t="n"/>
      <c r="F849" s="290" t="n"/>
      <c r="G849" s="290" t="n"/>
      <c r="H849" s="290" t="n"/>
    </row>
    <row r="850" ht="13" customHeight="1" s="189">
      <c r="A850" s="289" t="n"/>
      <c r="B850" s="290" t="n"/>
      <c r="C850" s="290" t="n"/>
      <c r="D850" s="289" t="n"/>
      <c r="E850" s="289" t="n"/>
      <c r="F850" s="290" t="n"/>
      <c r="G850" s="290" t="n"/>
      <c r="H850" s="290" t="n"/>
    </row>
    <row r="851" ht="13" customHeight="1" s="189">
      <c r="A851" s="289" t="n"/>
      <c r="B851" s="290" t="n"/>
      <c r="C851" s="290" t="n"/>
      <c r="D851" s="289" t="n"/>
      <c r="E851" s="289" t="n"/>
      <c r="F851" s="290" t="n"/>
      <c r="G851" s="290" t="n"/>
      <c r="H851" s="290" t="n"/>
    </row>
    <row r="852" ht="13" customHeight="1" s="189">
      <c r="A852" s="289" t="n"/>
      <c r="B852" s="290" t="n"/>
      <c r="C852" s="290" t="n"/>
      <c r="D852" s="289" t="n"/>
      <c r="E852" s="289" t="n"/>
      <c r="F852" s="290" t="n"/>
      <c r="G852" s="290" t="n"/>
      <c r="H852" s="290" t="n"/>
    </row>
    <row r="853" ht="13" customHeight="1" s="189">
      <c r="A853" s="289" t="n"/>
      <c r="B853" s="290" t="n"/>
      <c r="C853" s="290" t="n"/>
      <c r="D853" s="289" t="n"/>
      <c r="E853" s="289" t="n"/>
      <c r="F853" s="290" t="n"/>
      <c r="G853" s="290" t="n"/>
      <c r="H853" s="290" t="n"/>
    </row>
    <row r="854" ht="13" customHeight="1" s="189">
      <c r="A854" s="289" t="n"/>
      <c r="B854" s="290" t="n"/>
      <c r="C854" s="290" t="n"/>
      <c r="D854" s="289" t="n"/>
      <c r="E854" s="289" t="n"/>
      <c r="F854" s="290" t="n"/>
      <c r="G854" s="290" t="n"/>
      <c r="H854" s="290" t="n"/>
    </row>
    <row r="855" ht="13" customHeight="1" s="189">
      <c r="A855" s="289" t="n"/>
      <c r="B855" s="290" t="n"/>
      <c r="C855" s="290" t="n"/>
      <c r="D855" s="289" t="n"/>
      <c r="E855" s="289" t="n"/>
      <c r="F855" s="290" t="n"/>
      <c r="G855" s="290" t="n"/>
      <c r="H855" s="290" t="n"/>
    </row>
    <row r="856" ht="13" customHeight="1" s="189">
      <c r="A856" s="289" t="n"/>
      <c r="B856" s="290" t="n"/>
      <c r="C856" s="290" t="n"/>
      <c r="D856" s="289" t="n"/>
      <c r="E856" s="289" t="n"/>
      <c r="F856" s="290" t="n"/>
      <c r="G856" s="290" t="n"/>
      <c r="H856" s="290" t="n"/>
    </row>
    <row r="857" ht="13" customHeight="1" s="189">
      <c r="A857" s="289" t="n"/>
      <c r="B857" s="290" t="n"/>
      <c r="C857" s="290" t="n"/>
      <c r="D857" s="289" t="n"/>
      <c r="E857" s="289" t="n"/>
      <c r="F857" s="290" t="n"/>
      <c r="G857" s="290" t="n"/>
      <c r="H857" s="290" t="n"/>
    </row>
    <row r="858" ht="13" customHeight="1" s="189">
      <c r="A858" s="289" t="n"/>
      <c r="B858" s="290" t="n"/>
      <c r="C858" s="290" t="n"/>
      <c r="D858" s="289" t="n"/>
      <c r="E858" s="289" t="n"/>
      <c r="F858" s="290" t="n"/>
      <c r="G858" s="290" t="n"/>
      <c r="H858" s="290" t="n"/>
    </row>
    <row r="859" ht="13" customHeight="1" s="189">
      <c r="A859" s="289" t="n"/>
      <c r="B859" s="290" t="n"/>
      <c r="C859" s="290" t="n"/>
      <c r="D859" s="289" t="n"/>
      <c r="E859" s="289" t="n"/>
      <c r="F859" s="290" t="n"/>
      <c r="G859" s="290" t="n"/>
      <c r="H859" s="290" t="n"/>
    </row>
    <row r="860" ht="13" customHeight="1" s="189">
      <c r="A860" s="289" t="n"/>
      <c r="B860" s="290" t="n"/>
      <c r="C860" s="290" t="n"/>
      <c r="D860" s="289" t="n"/>
      <c r="E860" s="289" t="n"/>
      <c r="F860" s="290" t="n"/>
      <c r="G860" s="290" t="n"/>
      <c r="H860" s="290" t="n"/>
    </row>
    <row r="861" ht="13" customHeight="1" s="189">
      <c r="A861" s="289" t="n"/>
      <c r="B861" s="290" t="n"/>
      <c r="C861" s="290" t="n"/>
      <c r="D861" s="289" t="n"/>
      <c r="E861" s="289" t="n"/>
      <c r="F861" s="290" t="n"/>
      <c r="G861" s="290" t="n"/>
      <c r="H861" s="290" t="n"/>
    </row>
    <row r="862" ht="13" customHeight="1" s="189">
      <c r="A862" s="289" t="n"/>
      <c r="B862" s="290" t="n"/>
      <c r="C862" s="290" t="n"/>
      <c r="D862" s="289" t="n"/>
      <c r="E862" s="289" t="n"/>
      <c r="F862" s="290" t="n"/>
      <c r="G862" s="290" t="n"/>
      <c r="H862" s="290" t="n"/>
    </row>
    <row r="863" ht="13" customHeight="1" s="189">
      <c r="A863" s="289" t="n"/>
      <c r="B863" s="290" t="n"/>
      <c r="C863" s="290" t="n"/>
      <c r="D863" s="289" t="n"/>
      <c r="E863" s="289" t="n"/>
      <c r="F863" s="290" t="n"/>
      <c r="G863" s="290" t="n"/>
      <c r="H863" s="290" t="n"/>
    </row>
    <row r="864" ht="13" customHeight="1" s="189">
      <c r="A864" s="289" t="n"/>
      <c r="B864" s="290" t="n"/>
      <c r="C864" s="290" t="n"/>
      <c r="D864" s="289" t="n"/>
      <c r="E864" s="289" t="n"/>
      <c r="F864" s="290" t="n"/>
      <c r="G864" s="290" t="n"/>
      <c r="H864" s="290" t="n"/>
    </row>
    <row r="865" ht="13" customHeight="1" s="189">
      <c r="A865" s="289" t="n"/>
      <c r="B865" s="290" t="n"/>
      <c r="C865" s="290" t="n"/>
      <c r="D865" s="289" t="n"/>
      <c r="E865" s="289" t="n"/>
      <c r="F865" s="290" t="n"/>
      <c r="G865" s="290" t="n"/>
      <c r="H865" s="290" t="n"/>
    </row>
    <row r="866" ht="13" customHeight="1" s="189">
      <c r="A866" s="289" t="n"/>
      <c r="B866" s="290" t="n"/>
      <c r="C866" s="290" t="n"/>
      <c r="D866" s="289" t="n"/>
      <c r="E866" s="289" t="n"/>
      <c r="F866" s="290" t="n"/>
      <c r="G866" s="290" t="n"/>
      <c r="H866" s="290" t="n"/>
    </row>
    <row r="867" ht="13" customHeight="1" s="189">
      <c r="A867" s="289" t="n"/>
      <c r="B867" s="290" t="n"/>
      <c r="C867" s="290" t="n"/>
      <c r="D867" s="289" t="n"/>
      <c r="E867" s="289" t="n"/>
      <c r="F867" s="290" t="n"/>
      <c r="G867" s="290" t="n"/>
      <c r="H867" s="290" t="n"/>
    </row>
    <row r="868" ht="13" customHeight="1" s="189">
      <c r="A868" s="289" t="n"/>
      <c r="B868" s="290" t="n"/>
      <c r="C868" s="290" t="n"/>
      <c r="D868" s="289" t="n"/>
      <c r="E868" s="289" t="n"/>
      <c r="F868" s="290" t="n"/>
      <c r="G868" s="290" t="n"/>
      <c r="H868" s="290" t="n"/>
    </row>
    <row r="869" ht="13" customHeight="1" s="189">
      <c r="A869" s="289" t="n"/>
      <c r="B869" s="290" t="n"/>
      <c r="C869" s="290" t="n"/>
      <c r="D869" s="289" t="n"/>
      <c r="E869" s="289" t="n"/>
      <c r="F869" s="290" t="n"/>
      <c r="G869" s="290" t="n"/>
      <c r="H869" s="290" t="n"/>
    </row>
    <row r="870" ht="13" customHeight="1" s="189">
      <c r="A870" s="289" t="n"/>
      <c r="B870" s="290" t="n"/>
      <c r="C870" s="290" t="n"/>
      <c r="D870" s="289" t="n"/>
      <c r="E870" s="289" t="n"/>
      <c r="F870" s="290" t="n"/>
      <c r="G870" s="290" t="n"/>
      <c r="H870" s="290" t="n"/>
    </row>
    <row r="871" ht="13" customHeight="1" s="189">
      <c r="A871" s="289" t="n"/>
      <c r="B871" s="290" t="n"/>
      <c r="C871" s="290" t="n"/>
      <c r="D871" s="289" t="n"/>
      <c r="E871" s="289" t="n"/>
      <c r="F871" s="290" t="n"/>
      <c r="G871" s="290" t="n"/>
      <c r="H871" s="290" t="n"/>
    </row>
    <row r="872" ht="13" customHeight="1" s="189">
      <c r="A872" s="289" t="n"/>
      <c r="B872" s="290" t="n"/>
      <c r="C872" s="290" t="n"/>
      <c r="D872" s="289" t="n"/>
      <c r="E872" s="289" t="n"/>
      <c r="F872" s="290" t="n"/>
      <c r="G872" s="290" t="n"/>
      <c r="H872" s="290" t="n"/>
    </row>
    <row r="873" ht="13" customHeight="1" s="189">
      <c r="A873" s="289" t="n"/>
      <c r="B873" s="290" t="n"/>
      <c r="C873" s="290" t="n"/>
      <c r="D873" s="289" t="n"/>
      <c r="E873" s="289" t="n"/>
      <c r="F873" s="290" t="n"/>
      <c r="G873" s="290" t="n"/>
      <c r="H873" s="290" t="n"/>
    </row>
    <row r="874" ht="13" customHeight="1" s="189">
      <c r="A874" s="289" t="n"/>
      <c r="B874" s="290" t="n"/>
      <c r="C874" s="290" t="n"/>
      <c r="D874" s="289" t="n"/>
      <c r="E874" s="289" t="n"/>
      <c r="F874" s="290" t="n"/>
      <c r="G874" s="290" t="n"/>
      <c r="H874" s="290" t="n"/>
    </row>
    <row r="875" ht="13" customHeight="1" s="189">
      <c r="A875" s="289" t="n"/>
      <c r="B875" s="290" t="n"/>
      <c r="C875" s="290" t="n"/>
      <c r="D875" s="289" t="n"/>
      <c r="E875" s="289" t="n"/>
      <c r="F875" s="290" t="n"/>
      <c r="G875" s="290" t="n"/>
      <c r="H875" s="290" t="n"/>
    </row>
    <row r="876" ht="13" customHeight="1" s="189">
      <c r="A876" s="289" t="n"/>
      <c r="B876" s="290" t="n"/>
      <c r="C876" s="290" t="n"/>
      <c r="D876" s="289" t="n"/>
      <c r="E876" s="289" t="n"/>
      <c r="F876" s="290" t="n"/>
      <c r="G876" s="290" t="n"/>
      <c r="H876" s="290" t="n"/>
    </row>
    <row r="877" ht="13" customHeight="1" s="189">
      <c r="A877" s="289" t="n"/>
      <c r="B877" s="290" t="n"/>
      <c r="C877" s="290" t="n"/>
      <c r="D877" s="289" t="n"/>
      <c r="E877" s="289" t="n"/>
      <c r="F877" s="290" t="n"/>
      <c r="G877" s="290" t="n"/>
      <c r="H877" s="290" t="n"/>
    </row>
    <row r="878" ht="13" customHeight="1" s="189">
      <c r="A878" s="289" t="n"/>
      <c r="B878" s="290" t="n"/>
      <c r="C878" s="290" t="n"/>
      <c r="D878" s="289" t="n"/>
      <c r="E878" s="289" t="n"/>
      <c r="F878" s="290" t="n"/>
      <c r="G878" s="290" t="n"/>
      <c r="H878" s="290" t="n"/>
    </row>
    <row r="879" ht="13" customHeight="1" s="189">
      <c r="A879" s="289" t="n"/>
      <c r="B879" s="290" t="n"/>
      <c r="C879" s="290" t="n"/>
      <c r="D879" s="289" t="n"/>
      <c r="E879" s="289" t="n"/>
      <c r="F879" s="290" t="n"/>
      <c r="G879" s="290" t="n"/>
      <c r="H879" s="290" t="n"/>
    </row>
    <row r="880" ht="13" customHeight="1" s="189">
      <c r="A880" s="289" t="n"/>
      <c r="B880" s="290" t="n"/>
      <c r="C880" s="290" t="n"/>
      <c r="D880" s="289" t="n"/>
      <c r="E880" s="289" t="n"/>
      <c r="F880" s="290" t="n"/>
      <c r="G880" s="290" t="n"/>
      <c r="H880" s="290" t="n"/>
    </row>
    <row r="881" ht="13" customHeight="1" s="189">
      <c r="A881" s="289" t="n"/>
      <c r="B881" s="290" t="n"/>
      <c r="C881" s="290" t="n"/>
      <c r="D881" s="289" t="n"/>
      <c r="E881" s="289" t="n"/>
      <c r="F881" s="290" t="n"/>
      <c r="G881" s="290" t="n"/>
      <c r="H881" s="290" t="n"/>
    </row>
    <row r="882" ht="13" customHeight="1" s="189">
      <c r="A882" s="289" t="n"/>
      <c r="B882" s="290" t="n"/>
      <c r="C882" s="290" t="n"/>
      <c r="D882" s="289" t="n"/>
      <c r="E882" s="289" t="n"/>
      <c r="F882" s="290" t="n"/>
      <c r="G882" s="290" t="n"/>
      <c r="H882" s="290" t="n"/>
    </row>
    <row r="883" ht="13" customHeight="1" s="189">
      <c r="A883" s="289" t="n"/>
      <c r="B883" s="290" t="n"/>
      <c r="C883" s="290" t="n"/>
      <c r="D883" s="289" t="n"/>
      <c r="E883" s="289" t="n"/>
      <c r="F883" s="290" t="n"/>
      <c r="G883" s="290" t="n"/>
      <c r="H883" s="290" t="n"/>
    </row>
    <row r="884" ht="13" customHeight="1" s="189">
      <c r="A884" s="289" t="n"/>
      <c r="B884" s="290" t="n"/>
      <c r="C884" s="290" t="n"/>
      <c r="D884" s="289" t="n"/>
      <c r="E884" s="289" t="n"/>
      <c r="F884" s="290" t="n"/>
      <c r="G884" s="290" t="n"/>
      <c r="H884" s="290" t="n"/>
    </row>
    <row r="885" ht="13" customHeight="1" s="189">
      <c r="A885" s="289" t="n"/>
      <c r="B885" s="290" t="n"/>
      <c r="C885" s="290" t="n"/>
      <c r="D885" s="289" t="n"/>
      <c r="E885" s="289" t="n"/>
      <c r="F885" s="290" t="n"/>
      <c r="G885" s="290" t="n"/>
      <c r="H885" s="290" t="n"/>
    </row>
    <row r="886" ht="13" customHeight="1" s="189">
      <c r="A886" s="289" t="n"/>
      <c r="B886" s="290" t="n"/>
      <c r="C886" s="290" t="n"/>
      <c r="D886" s="289" t="n"/>
      <c r="E886" s="289" t="n"/>
      <c r="F886" s="290" t="n"/>
      <c r="G886" s="290" t="n"/>
      <c r="H886" s="290" t="n"/>
    </row>
    <row r="887" ht="13" customHeight="1" s="189">
      <c r="A887" s="289" t="n"/>
      <c r="B887" s="290" t="n"/>
      <c r="C887" s="290" t="n"/>
      <c r="D887" s="289" t="n"/>
      <c r="E887" s="289" t="n"/>
      <c r="F887" s="290" t="n"/>
      <c r="G887" s="290" t="n"/>
      <c r="H887" s="290" t="n"/>
    </row>
    <row r="888" ht="13" customHeight="1" s="189">
      <c r="A888" s="289" t="n"/>
      <c r="B888" s="290" t="n"/>
      <c r="C888" s="290" t="n"/>
      <c r="D888" s="289" t="n"/>
      <c r="E888" s="289" t="n"/>
      <c r="F888" s="290" t="n"/>
      <c r="G888" s="290" t="n"/>
      <c r="H888" s="290" t="n"/>
    </row>
    <row r="889" ht="13" customHeight="1" s="189">
      <c r="A889" s="289" t="n"/>
      <c r="B889" s="290" t="n"/>
      <c r="C889" s="290" t="n"/>
      <c r="D889" s="289" t="n"/>
      <c r="E889" s="289" t="n"/>
      <c r="F889" s="290" t="n"/>
      <c r="G889" s="290" t="n"/>
      <c r="H889" s="290" t="n"/>
    </row>
    <row r="890" ht="13" customHeight="1" s="189">
      <c r="A890" s="289" t="n"/>
      <c r="B890" s="290" t="n"/>
      <c r="C890" s="290" t="n"/>
      <c r="D890" s="289" t="n"/>
      <c r="E890" s="289" t="n"/>
      <c r="F890" s="290" t="n"/>
      <c r="G890" s="290" t="n"/>
      <c r="H890" s="290" t="n"/>
    </row>
    <row r="891" ht="13" customHeight="1" s="189">
      <c r="A891" s="289" t="n"/>
      <c r="B891" s="290" t="n"/>
      <c r="C891" s="290" t="n"/>
      <c r="D891" s="289" t="n"/>
      <c r="E891" s="289" t="n"/>
      <c r="F891" s="290" t="n"/>
      <c r="G891" s="290" t="n"/>
      <c r="H891" s="290" t="n"/>
    </row>
    <row r="892" ht="13" customHeight="1" s="189">
      <c r="A892" s="289" t="n"/>
      <c r="B892" s="290" t="n"/>
      <c r="C892" s="290" t="n"/>
      <c r="D892" s="289" t="n"/>
      <c r="E892" s="289" t="n"/>
      <c r="F892" s="290" t="n"/>
      <c r="G892" s="290" t="n"/>
      <c r="H892" s="290" t="n"/>
    </row>
    <row r="893" ht="13" customHeight="1" s="189">
      <c r="A893" s="289" t="n"/>
      <c r="B893" s="290" t="n"/>
      <c r="C893" s="290" t="n"/>
      <c r="D893" s="289" t="n"/>
      <c r="E893" s="289" t="n"/>
      <c r="F893" s="290" t="n"/>
      <c r="G893" s="290" t="n"/>
      <c r="H893" s="290" t="n"/>
    </row>
    <row r="894" ht="13" customHeight="1" s="189">
      <c r="A894" s="289" t="n"/>
      <c r="B894" s="290" t="n"/>
      <c r="C894" s="290" t="n"/>
      <c r="D894" s="289" t="n"/>
      <c r="E894" s="289" t="n"/>
      <c r="F894" s="290" t="n"/>
      <c r="G894" s="290" t="n"/>
      <c r="H894" s="290" t="n"/>
    </row>
    <row r="895" ht="13" customHeight="1" s="189">
      <c r="A895" s="289" t="n"/>
      <c r="B895" s="290" t="n"/>
      <c r="C895" s="290" t="n"/>
      <c r="D895" s="289" t="n"/>
      <c r="E895" s="289" t="n"/>
      <c r="F895" s="290" t="n"/>
      <c r="G895" s="290" t="n"/>
      <c r="H895" s="290" t="n"/>
    </row>
    <row r="896" ht="13" customHeight="1" s="189">
      <c r="A896" s="289" t="n"/>
      <c r="B896" s="290" t="n"/>
      <c r="C896" s="290" t="n"/>
      <c r="D896" s="289" t="n"/>
      <c r="E896" s="289" t="n"/>
      <c r="F896" s="290" t="n"/>
      <c r="G896" s="290" t="n"/>
      <c r="H896" s="290" t="n"/>
    </row>
    <row r="897" ht="13" customHeight="1" s="189">
      <c r="A897" s="289" t="n"/>
      <c r="B897" s="290" t="n"/>
      <c r="C897" s="290" t="n"/>
      <c r="D897" s="289" t="n"/>
      <c r="E897" s="289" t="n"/>
      <c r="F897" s="290" t="n"/>
      <c r="G897" s="290" t="n"/>
      <c r="H897" s="290" t="n"/>
    </row>
    <row r="898" ht="13" customHeight="1" s="189">
      <c r="A898" s="289" t="n"/>
      <c r="B898" s="290" t="n"/>
      <c r="C898" s="290" t="n"/>
      <c r="D898" s="289" t="n"/>
      <c r="E898" s="289" t="n"/>
      <c r="F898" s="290" t="n"/>
      <c r="G898" s="290" t="n"/>
      <c r="H898" s="290" t="n"/>
    </row>
    <row r="899" ht="13" customHeight="1" s="189">
      <c r="A899" s="289" t="n"/>
      <c r="B899" s="290" t="n"/>
      <c r="C899" s="290" t="n"/>
      <c r="D899" s="289" t="n"/>
      <c r="E899" s="289" t="n"/>
      <c r="F899" s="290" t="n"/>
      <c r="G899" s="290" t="n"/>
      <c r="H899" s="290" t="n"/>
    </row>
    <row r="900" ht="13" customHeight="1" s="189">
      <c r="A900" s="289" t="n"/>
      <c r="B900" s="290" t="n"/>
      <c r="C900" s="290" t="n"/>
      <c r="D900" s="289" t="n"/>
      <c r="E900" s="289" t="n"/>
      <c r="F900" s="290" t="n"/>
      <c r="G900" s="290" t="n"/>
      <c r="H900" s="290" t="n"/>
    </row>
    <row r="901" ht="13" customHeight="1" s="189">
      <c r="A901" s="289" t="n"/>
      <c r="B901" s="290" t="n"/>
      <c r="C901" s="290" t="n"/>
      <c r="D901" s="289" t="n"/>
      <c r="E901" s="289" t="n"/>
      <c r="F901" s="290" t="n"/>
      <c r="G901" s="290" t="n"/>
      <c r="H901" s="290" t="n"/>
    </row>
    <row r="902" ht="13" customHeight="1" s="189">
      <c r="A902" s="289" t="n"/>
      <c r="B902" s="290" t="n"/>
      <c r="C902" s="290" t="n"/>
      <c r="D902" s="289" t="n"/>
      <c r="E902" s="289" t="n"/>
      <c r="F902" s="290" t="n"/>
      <c r="G902" s="290" t="n"/>
      <c r="H902" s="290" t="n"/>
    </row>
    <row r="903" ht="13" customHeight="1" s="189">
      <c r="A903" s="289" t="n"/>
      <c r="B903" s="290" t="n"/>
      <c r="C903" s="290" t="n"/>
      <c r="D903" s="289" t="n"/>
      <c r="E903" s="289" t="n"/>
      <c r="F903" s="290" t="n"/>
      <c r="G903" s="290" t="n"/>
      <c r="H903" s="290" t="n"/>
    </row>
    <row r="904" ht="13" customHeight="1" s="189">
      <c r="A904" s="289" t="n"/>
      <c r="B904" s="290" t="n"/>
      <c r="C904" s="290" t="n"/>
      <c r="D904" s="289" t="n"/>
      <c r="E904" s="289" t="n"/>
      <c r="F904" s="290" t="n"/>
      <c r="G904" s="290" t="n"/>
      <c r="H904" s="290" t="n"/>
    </row>
    <row r="905" ht="13" customHeight="1" s="189">
      <c r="A905" s="289" t="n"/>
      <c r="B905" s="290" t="n"/>
      <c r="C905" s="290" t="n"/>
      <c r="D905" s="289" t="n"/>
      <c r="E905" s="289" t="n"/>
      <c r="F905" s="290" t="n"/>
      <c r="G905" s="290" t="n"/>
      <c r="H905" s="290" t="n"/>
    </row>
    <row r="906" ht="13" customHeight="1" s="189">
      <c r="A906" s="289" t="n"/>
      <c r="B906" s="290" t="n"/>
      <c r="C906" s="290" t="n"/>
      <c r="D906" s="289" t="n"/>
      <c r="E906" s="289" t="n"/>
      <c r="F906" s="290" t="n"/>
      <c r="G906" s="290" t="n"/>
      <c r="H906" s="290" t="n"/>
    </row>
    <row r="907" ht="13" customHeight="1" s="189">
      <c r="A907" s="289" t="n"/>
      <c r="B907" s="290" t="n"/>
      <c r="C907" s="290" t="n"/>
      <c r="D907" s="289" t="n"/>
      <c r="E907" s="289" t="n"/>
      <c r="F907" s="290" t="n"/>
      <c r="G907" s="290" t="n"/>
      <c r="H907" s="290" t="n"/>
    </row>
    <row r="908" ht="13" customHeight="1" s="189">
      <c r="A908" s="289" t="n"/>
      <c r="B908" s="290" t="n"/>
      <c r="C908" s="290" t="n"/>
      <c r="D908" s="289" t="n"/>
      <c r="E908" s="289" t="n"/>
      <c r="F908" s="290" t="n"/>
      <c r="G908" s="290" t="n"/>
      <c r="H908" s="290" t="n"/>
    </row>
    <row r="909" ht="13" customHeight="1" s="189">
      <c r="A909" s="289" t="n"/>
      <c r="B909" s="290" t="n"/>
      <c r="C909" s="290" t="n"/>
      <c r="D909" s="289" t="n"/>
      <c r="E909" s="289" t="n"/>
      <c r="F909" s="290" t="n"/>
      <c r="G909" s="290" t="n"/>
      <c r="H909" s="290" t="n"/>
    </row>
    <row r="910" ht="13" customHeight="1" s="189">
      <c r="A910" s="289" t="n"/>
      <c r="B910" s="290" t="n"/>
      <c r="C910" s="290" t="n"/>
      <c r="D910" s="289" t="n"/>
      <c r="E910" s="289" t="n"/>
      <c r="F910" s="290" t="n"/>
      <c r="G910" s="290" t="n"/>
      <c r="H910" s="290" t="n"/>
    </row>
    <row r="911" ht="13" customHeight="1" s="189">
      <c r="A911" s="289" t="n"/>
      <c r="B911" s="290" t="n"/>
      <c r="C911" s="290" t="n"/>
      <c r="D911" s="289" t="n"/>
      <c r="E911" s="289" t="n"/>
      <c r="F911" s="290" t="n"/>
      <c r="G911" s="290" t="n"/>
      <c r="H911" s="290" t="n"/>
    </row>
    <row r="912" ht="13" customHeight="1" s="189">
      <c r="A912" s="289" t="n"/>
      <c r="B912" s="290" t="n"/>
      <c r="C912" s="290" t="n"/>
      <c r="D912" s="289" t="n"/>
      <c r="E912" s="289" t="n"/>
      <c r="F912" s="290" t="n"/>
      <c r="G912" s="290" t="n"/>
      <c r="H912" s="290" t="n"/>
    </row>
    <row r="913" ht="13" customHeight="1" s="189">
      <c r="A913" s="289" t="n"/>
      <c r="B913" s="290" t="n"/>
      <c r="C913" s="290" t="n"/>
      <c r="D913" s="289" t="n"/>
      <c r="E913" s="289" t="n"/>
      <c r="F913" s="290" t="n"/>
      <c r="G913" s="290" t="n"/>
      <c r="H913" s="290" t="n"/>
    </row>
    <row r="914" ht="13" customHeight="1" s="189">
      <c r="A914" s="289" t="n"/>
      <c r="B914" s="290" t="n"/>
      <c r="C914" s="290" t="n"/>
      <c r="D914" s="289" t="n"/>
      <c r="E914" s="289" t="n"/>
      <c r="F914" s="290" t="n"/>
      <c r="G914" s="290" t="n"/>
      <c r="H914" s="290" t="n"/>
    </row>
    <row r="915" ht="13" customHeight="1" s="189">
      <c r="A915" s="289" t="n"/>
      <c r="B915" s="290" t="n"/>
      <c r="C915" s="290" t="n"/>
      <c r="D915" s="289" t="n"/>
      <c r="E915" s="289" t="n"/>
      <c r="F915" s="290" t="n"/>
      <c r="G915" s="290" t="n"/>
      <c r="H915" s="290" t="n"/>
    </row>
    <row r="916" ht="13" customHeight="1" s="189">
      <c r="A916" s="289" t="n"/>
      <c r="B916" s="290" t="n"/>
      <c r="C916" s="290" t="n"/>
      <c r="D916" s="289" t="n"/>
      <c r="E916" s="289" t="n"/>
      <c r="F916" s="290" t="n"/>
      <c r="G916" s="290" t="n"/>
      <c r="H916" s="290" t="n"/>
    </row>
    <row r="917" ht="13" customHeight="1" s="189">
      <c r="A917" s="289" t="n"/>
      <c r="B917" s="290" t="n"/>
      <c r="C917" s="290" t="n"/>
      <c r="D917" s="289" t="n"/>
      <c r="E917" s="289" t="n"/>
      <c r="F917" s="290" t="n"/>
      <c r="G917" s="290" t="n"/>
      <c r="H917" s="290" t="n"/>
    </row>
    <row r="918" ht="13" customHeight="1" s="189">
      <c r="A918" s="289" t="n"/>
      <c r="B918" s="290" t="n"/>
      <c r="C918" s="290" t="n"/>
      <c r="D918" s="289" t="n"/>
      <c r="E918" s="289" t="n"/>
      <c r="F918" s="290" t="n"/>
      <c r="G918" s="290" t="n"/>
      <c r="H918" s="290" t="n"/>
    </row>
    <row r="919" ht="13" customHeight="1" s="189">
      <c r="A919" s="289" t="n"/>
      <c r="B919" s="290" t="n"/>
      <c r="C919" s="290" t="n"/>
      <c r="D919" s="289" t="n"/>
      <c r="E919" s="289" t="n"/>
      <c r="F919" s="290" t="n"/>
      <c r="G919" s="290" t="n"/>
      <c r="H919" s="290" t="n"/>
    </row>
    <row r="920" ht="13" customHeight="1" s="189">
      <c r="A920" s="289" t="n"/>
      <c r="B920" s="290" t="n"/>
      <c r="C920" s="290" t="n"/>
      <c r="D920" s="289" t="n"/>
      <c r="E920" s="289" t="n"/>
      <c r="F920" s="290" t="n"/>
      <c r="G920" s="290" t="n"/>
      <c r="H920" s="290" t="n"/>
    </row>
    <row r="921" ht="13" customHeight="1" s="189">
      <c r="A921" s="289" t="n"/>
      <c r="B921" s="290" t="n"/>
      <c r="C921" s="290" t="n"/>
      <c r="D921" s="289" t="n"/>
      <c r="E921" s="289" t="n"/>
      <c r="F921" s="290" t="n"/>
      <c r="G921" s="290" t="n"/>
      <c r="H921" s="290" t="n"/>
    </row>
    <row r="922" ht="13" customHeight="1" s="189">
      <c r="A922" s="289" t="n"/>
      <c r="B922" s="290" t="n"/>
      <c r="C922" s="290" t="n"/>
      <c r="D922" s="289" t="n"/>
      <c r="E922" s="289" t="n"/>
      <c r="F922" s="290" t="n"/>
      <c r="G922" s="290" t="n"/>
      <c r="H922" s="290" t="n"/>
    </row>
    <row r="923" ht="13" customHeight="1" s="189">
      <c r="A923" s="289" t="n"/>
      <c r="B923" s="290" t="n"/>
      <c r="C923" s="290" t="n"/>
      <c r="D923" s="289" t="n"/>
      <c r="E923" s="289" t="n"/>
      <c r="F923" s="290" t="n"/>
      <c r="G923" s="290" t="n"/>
      <c r="H923" s="290" t="n"/>
    </row>
    <row r="924" ht="13" customHeight="1" s="189">
      <c r="A924" s="289" t="n"/>
      <c r="B924" s="290" t="n"/>
      <c r="C924" s="290" t="n"/>
      <c r="D924" s="289" t="n"/>
      <c r="E924" s="289" t="n"/>
      <c r="F924" s="290" t="n"/>
      <c r="G924" s="290" t="n"/>
      <c r="H924" s="290" t="n"/>
    </row>
    <row r="925" ht="13" customHeight="1" s="189">
      <c r="A925" s="289" t="n"/>
      <c r="B925" s="290" t="n"/>
      <c r="C925" s="290" t="n"/>
      <c r="D925" s="289" t="n"/>
      <c r="E925" s="289" t="n"/>
      <c r="F925" s="290" t="n"/>
      <c r="G925" s="290" t="n"/>
      <c r="H925" s="290" t="n"/>
    </row>
    <row r="926" ht="13" customHeight="1" s="189">
      <c r="A926" s="289" t="n"/>
      <c r="B926" s="290" t="n"/>
      <c r="C926" s="290" t="n"/>
      <c r="D926" s="289" t="n"/>
      <c r="E926" s="289" t="n"/>
      <c r="F926" s="290" t="n"/>
      <c r="G926" s="290" t="n"/>
      <c r="H926" s="290" t="n"/>
    </row>
    <row r="927" ht="13" customHeight="1" s="189">
      <c r="A927" s="289" t="n"/>
      <c r="B927" s="290" t="n"/>
      <c r="C927" s="290" t="n"/>
      <c r="D927" s="289" t="n"/>
      <c r="E927" s="289" t="n"/>
      <c r="F927" s="290" t="n"/>
      <c r="G927" s="290" t="n"/>
      <c r="H927" s="290" t="n"/>
    </row>
    <row r="928" ht="13" customHeight="1" s="189">
      <c r="A928" s="289" t="n"/>
      <c r="B928" s="290" t="n"/>
      <c r="C928" s="290" t="n"/>
      <c r="D928" s="289" t="n"/>
      <c r="E928" s="289" t="n"/>
      <c r="F928" s="290" t="n"/>
      <c r="G928" s="290" t="n"/>
      <c r="H928" s="290" t="n"/>
    </row>
    <row r="929" ht="13" customHeight="1" s="189">
      <c r="A929" s="289" t="n"/>
      <c r="B929" s="290" t="n"/>
      <c r="C929" s="290" t="n"/>
      <c r="D929" s="289" t="n"/>
      <c r="E929" s="289" t="n"/>
      <c r="F929" s="290" t="n"/>
      <c r="G929" s="290" t="n"/>
      <c r="H929" s="290" t="n"/>
    </row>
    <row r="930" ht="13" customHeight="1" s="189">
      <c r="A930" s="289" t="n"/>
      <c r="B930" s="290" t="n"/>
      <c r="C930" s="290" t="n"/>
      <c r="D930" s="289" t="n"/>
      <c r="E930" s="289" t="n"/>
      <c r="F930" s="290" t="n"/>
      <c r="G930" s="290" t="n"/>
      <c r="H930" s="290" t="n"/>
    </row>
    <row r="931" ht="13" customHeight="1" s="189">
      <c r="A931" s="289" t="n"/>
      <c r="B931" s="290" t="n"/>
      <c r="C931" s="290" t="n"/>
      <c r="D931" s="289" t="n"/>
      <c r="E931" s="289" t="n"/>
      <c r="F931" s="290" t="n"/>
      <c r="G931" s="290" t="n"/>
      <c r="H931" s="290" t="n"/>
    </row>
    <row r="932" ht="13" customHeight="1" s="189">
      <c r="A932" s="289" t="n"/>
      <c r="B932" s="290" t="n"/>
      <c r="C932" s="290" t="n"/>
      <c r="D932" s="289" t="n"/>
      <c r="E932" s="289" t="n"/>
      <c r="F932" s="290" t="n"/>
      <c r="G932" s="290" t="n"/>
      <c r="H932" s="290" t="n"/>
    </row>
    <row r="933" ht="13" customHeight="1" s="189">
      <c r="A933" s="289" t="n"/>
      <c r="B933" s="290" t="n"/>
      <c r="C933" s="290" t="n"/>
      <c r="D933" s="289" t="n"/>
      <c r="E933" s="289" t="n"/>
      <c r="F933" s="290" t="n"/>
      <c r="G933" s="290" t="n"/>
      <c r="H933" s="290" t="n"/>
    </row>
    <row r="934" ht="13" customHeight="1" s="189">
      <c r="A934" s="289" t="n"/>
      <c r="B934" s="290" t="n"/>
      <c r="C934" s="290" t="n"/>
      <c r="D934" s="289" t="n"/>
      <c r="E934" s="289" t="n"/>
      <c r="F934" s="290" t="n"/>
      <c r="G934" s="290" t="n"/>
      <c r="H934" s="290" t="n"/>
    </row>
    <row r="935" ht="13" customHeight="1" s="189">
      <c r="A935" s="289" t="n"/>
      <c r="B935" s="290" t="n"/>
      <c r="C935" s="290" t="n"/>
      <c r="D935" s="289" t="n"/>
      <c r="E935" s="289" t="n"/>
      <c r="F935" s="290" t="n"/>
      <c r="G935" s="290" t="n"/>
      <c r="H935" s="290" t="n"/>
    </row>
    <row r="936" ht="13" customHeight="1" s="189">
      <c r="A936" s="289" t="n"/>
      <c r="B936" s="290" t="n"/>
      <c r="C936" s="290" t="n"/>
      <c r="D936" s="289" t="n"/>
      <c r="E936" s="289" t="n"/>
      <c r="F936" s="290" t="n"/>
      <c r="G936" s="290" t="n"/>
      <c r="H936" s="290" t="n"/>
    </row>
    <row r="937" ht="13" customHeight="1" s="189">
      <c r="A937" s="289" t="n"/>
      <c r="B937" s="290" t="n"/>
      <c r="C937" s="290" t="n"/>
      <c r="D937" s="289" t="n"/>
      <c r="E937" s="289" t="n"/>
      <c r="F937" s="290" t="n"/>
      <c r="G937" s="290" t="n"/>
      <c r="H937" s="290" t="n"/>
    </row>
    <row r="938" ht="13" customHeight="1" s="189">
      <c r="A938" s="289" t="n"/>
      <c r="B938" s="290" t="n"/>
      <c r="C938" s="290" t="n"/>
      <c r="D938" s="289" t="n"/>
      <c r="E938" s="289" t="n"/>
      <c r="F938" s="290" t="n"/>
      <c r="G938" s="290" t="n"/>
      <c r="H938" s="290" t="n"/>
    </row>
    <row r="939" ht="13" customHeight="1" s="189">
      <c r="A939" s="289" t="n"/>
      <c r="B939" s="290" t="n"/>
      <c r="C939" s="290" t="n"/>
      <c r="D939" s="289" t="n"/>
      <c r="E939" s="289" t="n"/>
      <c r="F939" s="290" t="n"/>
      <c r="G939" s="290" t="n"/>
      <c r="H939" s="290" t="n"/>
    </row>
    <row r="940" ht="13" customHeight="1" s="189">
      <c r="A940" s="289" t="n"/>
      <c r="B940" s="290" t="n"/>
      <c r="C940" s="290" t="n"/>
      <c r="D940" s="289" t="n"/>
      <c r="E940" s="289" t="n"/>
      <c r="F940" s="290" t="n"/>
      <c r="G940" s="290" t="n"/>
      <c r="H940" s="290" t="n"/>
    </row>
    <row r="941" ht="13" customHeight="1" s="189">
      <c r="A941" s="289" t="n"/>
      <c r="B941" s="290" t="n"/>
      <c r="C941" s="290" t="n"/>
      <c r="D941" s="289" t="n"/>
      <c r="E941" s="289" t="n"/>
      <c r="F941" s="290" t="n"/>
      <c r="G941" s="290" t="n"/>
      <c r="H941" s="290" t="n"/>
    </row>
    <row r="942" ht="13" customHeight="1" s="189">
      <c r="A942" s="289" t="n"/>
      <c r="B942" s="290" t="n"/>
      <c r="C942" s="290" t="n"/>
      <c r="D942" s="289" t="n"/>
      <c r="E942" s="289" t="n"/>
      <c r="F942" s="290" t="n"/>
      <c r="G942" s="290" t="n"/>
      <c r="H942" s="290" t="n"/>
    </row>
    <row r="943" ht="13" customHeight="1" s="189">
      <c r="A943" s="289" t="n"/>
      <c r="B943" s="290" t="n"/>
      <c r="C943" s="290" t="n"/>
      <c r="D943" s="289" t="n"/>
      <c r="E943" s="289" t="n"/>
      <c r="F943" s="290" t="n"/>
      <c r="G943" s="290" t="n"/>
      <c r="H943" s="290" t="n"/>
    </row>
    <row r="944" ht="13" customHeight="1" s="189">
      <c r="A944" s="289" t="n"/>
      <c r="B944" s="290" t="n"/>
      <c r="C944" s="290" t="n"/>
      <c r="D944" s="289" t="n"/>
      <c r="E944" s="289" t="n"/>
      <c r="F944" s="290" t="n"/>
      <c r="G944" s="290" t="n"/>
      <c r="H944" s="290" t="n"/>
    </row>
    <row r="945" ht="13" customHeight="1" s="189">
      <c r="A945" s="289" t="n"/>
      <c r="B945" s="290" t="n"/>
      <c r="C945" s="290" t="n"/>
      <c r="D945" s="289" t="n"/>
      <c r="E945" s="289" t="n"/>
      <c r="F945" s="290" t="n"/>
      <c r="G945" s="290" t="n"/>
      <c r="H945" s="290" t="n"/>
    </row>
    <row r="946" ht="13" customHeight="1" s="189">
      <c r="A946" s="289" t="n"/>
      <c r="B946" s="290" t="n"/>
      <c r="C946" s="290" t="n"/>
      <c r="D946" s="289" t="n"/>
      <c r="E946" s="289" t="n"/>
      <c r="F946" s="290" t="n"/>
      <c r="G946" s="290" t="n"/>
      <c r="H946" s="290" t="n"/>
    </row>
    <row r="947" ht="13" customHeight="1" s="189">
      <c r="A947" s="289" t="n"/>
      <c r="B947" s="290" t="n"/>
      <c r="C947" s="290" t="n"/>
      <c r="D947" s="289" t="n"/>
      <c r="E947" s="289" t="n"/>
      <c r="F947" s="290" t="n"/>
      <c r="G947" s="290" t="n"/>
      <c r="H947" s="290" t="n"/>
    </row>
    <row r="948" ht="13" customHeight="1" s="189">
      <c r="A948" s="289" t="n"/>
      <c r="B948" s="290" t="n"/>
      <c r="C948" s="290" t="n"/>
      <c r="D948" s="289" t="n"/>
      <c r="E948" s="289" t="n"/>
      <c r="F948" s="290" t="n"/>
      <c r="G948" s="290" t="n"/>
      <c r="H948" s="290" t="n"/>
    </row>
    <row r="949" ht="13" customHeight="1" s="189">
      <c r="A949" s="289" t="n"/>
      <c r="B949" s="290" t="n"/>
      <c r="C949" s="290" t="n"/>
      <c r="D949" s="289" t="n"/>
      <c r="E949" s="289" t="n"/>
      <c r="F949" s="290" t="n"/>
      <c r="G949" s="290" t="n"/>
      <c r="H949" s="290" t="n"/>
    </row>
    <row r="950" ht="13" customHeight="1" s="189">
      <c r="A950" s="289" t="n"/>
      <c r="B950" s="290" t="n"/>
      <c r="C950" s="290" t="n"/>
      <c r="D950" s="289" t="n"/>
      <c r="E950" s="289" t="n"/>
      <c r="F950" s="290" t="n"/>
      <c r="G950" s="290" t="n"/>
      <c r="H950" s="290" t="n"/>
    </row>
    <row r="951" ht="13" customHeight="1" s="189">
      <c r="A951" s="289" t="n"/>
      <c r="B951" s="290" t="n"/>
      <c r="C951" s="290" t="n"/>
      <c r="D951" s="289" t="n"/>
      <c r="E951" s="289" t="n"/>
      <c r="F951" s="290" t="n"/>
      <c r="G951" s="290" t="n"/>
      <c r="H951" s="290" t="n"/>
    </row>
    <row r="952" ht="13" customHeight="1" s="189">
      <c r="A952" s="289" t="n"/>
      <c r="B952" s="290" t="n"/>
      <c r="C952" s="290" t="n"/>
      <c r="D952" s="289" t="n"/>
      <c r="E952" s="289" t="n"/>
      <c r="F952" s="290" t="n"/>
      <c r="G952" s="290" t="n"/>
      <c r="H952" s="290" t="n"/>
    </row>
    <row r="953" ht="13" customHeight="1" s="189">
      <c r="A953" s="289" t="n"/>
      <c r="B953" s="290" t="n"/>
      <c r="C953" s="290" t="n"/>
      <c r="D953" s="289" t="n"/>
      <c r="E953" s="289" t="n"/>
      <c r="F953" s="290" t="n"/>
      <c r="G953" s="290" t="n"/>
      <c r="H953" s="290" t="n"/>
    </row>
    <row r="954" ht="13" customHeight="1" s="189">
      <c r="A954" s="289" t="n"/>
      <c r="B954" s="290" t="n"/>
      <c r="C954" s="290" t="n"/>
      <c r="D954" s="289" t="n"/>
      <c r="E954" s="289" t="n"/>
      <c r="F954" s="290" t="n"/>
      <c r="G954" s="290" t="n"/>
      <c r="H954" s="290" t="n"/>
    </row>
    <row r="955" ht="13" customHeight="1" s="189">
      <c r="A955" s="289" t="n"/>
      <c r="B955" s="290" t="n"/>
      <c r="C955" s="290" t="n"/>
      <c r="D955" s="289" t="n"/>
      <c r="E955" s="289" t="n"/>
      <c r="F955" s="290" t="n"/>
      <c r="G955" s="290" t="n"/>
      <c r="H955" s="290" t="n"/>
    </row>
    <row r="956" ht="13" customHeight="1" s="189">
      <c r="A956" s="289" t="n"/>
      <c r="B956" s="290" t="n"/>
      <c r="C956" s="290" t="n"/>
      <c r="D956" s="289" t="n"/>
      <c r="E956" s="289" t="n"/>
      <c r="F956" s="290" t="n"/>
      <c r="G956" s="290" t="n"/>
      <c r="H956" s="290" t="n"/>
    </row>
    <row r="957" ht="13" customHeight="1" s="189">
      <c r="A957" s="289" t="n"/>
      <c r="B957" s="290" t="n"/>
      <c r="C957" s="290" t="n"/>
      <c r="D957" s="289" t="n"/>
      <c r="E957" s="289" t="n"/>
      <c r="F957" s="290" t="n"/>
      <c r="G957" s="290" t="n"/>
      <c r="H957" s="290" t="n"/>
    </row>
    <row r="958" ht="13" customHeight="1" s="189">
      <c r="A958" s="289" t="n"/>
      <c r="B958" s="290" t="n"/>
      <c r="C958" s="290" t="n"/>
      <c r="D958" s="289" t="n"/>
      <c r="E958" s="289" t="n"/>
      <c r="F958" s="290" t="n"/>
      <c r="G958" s="290" t="n"/>
      <c r="H958" s="290" t="n"/>
    </row>
    <row r="959" ht="13" customHeight="1" s="189">
      <c r="A959" s="289" t="n"/>
      <c r="B959" s="290" t="n"/>
      <c r="C959" s="290" t="n"/>
      <c r="D959" s="289" t="n"/>
      <c r="E959" s="289" t="n"/>
      <c r="F959" s="290" t="n"/>
      <c r="G959" s="290" t="n"/>
      <c r="H959" s="290" t="n"/>
    </row>
    <row r="960" ht="13" customHeight="1" s="189">
      <c r="A960" s="289" t="n"/>
      <c r="B960" s="290" t="n"/>
      <c r="C960" s="290" t="n"/>
      <c r="D960" s="289" t="n"/>
      <c r="E960" s="289" t="n"/>
      <c r="F960" s="290" t="n"/>
      <c r="G960" s="290" t="n"/>
      <c r="H960" s="290" t="n"/>
    </row>
    <row r="961" ht="13" customHeight="1" s="189">
      <c r="A961" s="289" t="n"/>
      <c r="B961" s="290" t="n"/>
      <c r="C961" s="290" t="n"/>
      <c r="D961" s="289" t="n"/>
      <c r="E961" s="289" t="n"/>
      <c r="F961" s="290" t="n"/>
      <c r="G961" s="290" t="n"/>
      <c r="H961" s="290" t="n"/>
    </row>
    <row r="962" ht="13" customHeight="1" s="189">
      <c r="A962" s="289" t="n"/>
      <c r="B962" s="290" t="n"/>
      <c r="C962" s="290" t="n"/>
      <c r="D962" s="289" t="n"/>
      <c r="E962" s="289" t="n"/>
      <c r="F962" s="290" t="n"/>
      <c r="G962" s="290" t="n"/>
      <c r="H962" s="290" t="n"/>
    </row>
    <row r="963" ht="13" customHeight="1" s="189">
      <c r="A963" s="289" t="n"/>
      <c r="B963" s="290" t="n"/>
      <c r="C963" s="290" t="n"/>
      <c r="D963" s="289" t="n"/>
      <c r="E963" s="289" t="n"/>
      <c r="F963" s="290" t="n"/>
      <c r="G963" s="290" t="n"/>
      <c r="H963" s="290" t="n"/>
    </row>
    <row r="964" ht="13" customHeight="1" s="189">
      <c r="A964" s="289" t="n"/>
      <c r="B964" s="290" t="n"/>
      <c r="C964" s="290" t="n"/>
      <c r="D964" s="289" t="n"/>
      <c r="E964" s="289" t="n"/>
      <c r="F964" s="290" t="n"/>
      <c r="G964" s="290" t="n"/>
      <c r="H964" s="290" t="n"/>
    </row>
    <row r="965" ht="13" customHeight="1" s="189">
      <c r="A965" s="289" t="n"/>
      <c r="B965" s="290" t="n"/>
      <c r="C965" s="290" t="n"/>
      <c r="D965" s="289" t="n"/>
      <c r="E965" s="289" t="n"/>
      <c r="F965" s="290" t="n"/>
      <c r="G965" s="290" t="n"/>
      <c r="H965" s="290" t="n"/>
    </row>
    <row r="966" ht="13" customHeight="1" s="189">
      <c r="A966" s="289" t="n"/>
      <c r="B966" s="290" t="n"/>
      <c r="C966" s="290" t="n"/>
      <c r="D966" s="289" t="n"/>
      <c r="E966" s="289" t="n"/>
      <c r="F966" s="290" t="n"/>
      <c r="G966" s="290" t="n"/>
      <c r="H966" s="290" t="n"/>
    </row>
    <row r="967" ht="13" customHeight="1" s="189">
      <c r="A967" s="289" t="n"/>
      <c r="B967" s="290" t="n"/>
      <c r="C967" s="290" t="n"/>
      <c r="D967" s="289" t="n"/>
      <c r="E967" s="289" t="n"/>
      <c r="F967" s="290" t="n"/>
      <c r="G967" s="290" t="n"/>
      <c r="H967" s="290" t="n"/>
    </row>
    <row r="968" ht="13" customHeight="1" s="189">
      <c r="A968" s="289" t="n"/>
      <c r="B968" s="290" t="n"/>
      <c r="C968" s="290" t="n"/>
      <c r="D968" s="289" t="n"/>
      <c r="E968" s="289" t="n"/>
      <c r="F968" s="290" t="n"/>
      <c r="G968" s="290" t="n"/>
      <c r="H968" s="290" t="n"/>
    </row>
    <row r="969" ht="13" customHeight="1" s="189">
      <c r="A969" s="289" t="n"/>
      <c r="B969" s="290" t="n"/>
      <c r="C969" s="290" t="n"/>
      <c r="D969" s="289" t="n"/>
      <c r="E969" s="289" t="n"/>
      <c r="F969" s="290" t="n"/>
      <c r="G969" s="290" t="n"/>
      <c r="H969" s="290" t="n"/>
    </row>
    <row r="970" ht="13" customHeight="1" s="189">
      <c r="A970" s="289" t="n"/>
      <c r="B970" s="290" t="n"/>
      <c r="C970" s="290" t="n"/>
      <c r="D970" s="289" t="n"/>
      <c r="E970" s="289" t="n"/>
      <c r="F970" s="290" t="n"/>
      <c r="G970" s="290" t="n"/>
      <c r="H970" s="290" t="n"/>
    </row>
    <row r="971" ht="13" customHeight="1" s="189">
      <c r="A971" s="289" t="n"/>
      <c r="B971" s="290" t="n"/>
      <c r="C971" s="290" t="n"/>
      <c r="D971" s="289" t="n"/>
      <c r="E971" s="289" t="n"/>
      <c r="F971" s="290" t="n"/>
      <c r="G971" s="290" t="n"/>
      <c r="H971" s="290" t="n"/>
    </row>
    <row r="972" ht="13" customHeight="1" s="189">
      <c r="A972" s="289" t="n"/>
      <c r="B972" s="290" t="n"/>
      <c r="C972" s="290" t="n"/>
      <c r="D972" s="289" t="n"/>
      <c r="E972" s="289" t="n"/>
      <c r="F972" s="290" t="n"/>
      <c r="G972" s="290" t="n"/>
      <c r="H972" s="290" t="n"/>
    </row>
    <row r="973" ht="13" customHeight="1" s="189">
      <c r="A973" s="289" t="n"/>
      <c r="B973" s="290" t="n"/>
      <c r="C973" s="290" t="n"/>
      <c r="D973" s="289" t="n"/>
      <c r="E973" s="289" t="n"/>
      <c r="F973" s="290" t="n"/>
      <c r="G973" s="290" t="n"/>
      <c r="H973" s="290" t="n"/>
    </row>
    <row r="974" ht="13" customHeight="1" s="189">
      <c r="A974" s="289" t="n"/>
      <c r="B974" s="290" t="n"/>
      <c r="C974" s="290" t="n"/>
      <c r="D974" s="289" t="n"/>
      <c r="E974" s="289" t="n"/>
      <c r="F974" s="290" t="n"/>
      <c r="G974" s="290" t="n"/>
      <c r="H974" s="290" t="n"/>
    </row>
    <row r="975" ht="13" customHeight="1" s="189">
      <c r="A975" s="289" t="n"/>
      <c r="B975" s="290" t="n"/>
      <c r="C975" s="290" t="n"/>
      <c r="D975" s="289" t="n"/>
      <c r="E975" s="289" t="n"/>
      <c r="F975" s="290" t="n"/>
      <c r="G975" s="290" t="n"/>
      <c r="H975" s="290" t="n"/>
    </row>
    <row r="976" ht="13" customHeight="1" s="189">
      <c r="A976" s="289" t="n"/>
      <c r="B976" s="290" t="n"/>
      <c r="C976" s="290" t="n"/>
      <c r="D976" s="289" t="n"/>
      <c r="E976" s="289" t="n"/>
      <c r="F976" s="290" t="n"/>
      <c r="G976" s="290" t="n"/>
      <c r="H976" s="290" t="n"/>
    </row>
    <row r="977" ht="13" customHeight="1" s="189">
      <c r="A977" s="289" t="n"/>
      <c r="B977" s="290" t="n"/>
      <c r="C977" s="290" t="n"/>
      <c r="D977" s="289" t="n"/>
      <c r="E977" s="289" t="n"/>
      <c r="F977" s="290" t="n"/>
      <c r="G977" s="290" t="n"/>
      <c r="H977" s="290" t="n"/>
    </row>
    <row r="978" ht="13" customHeight="1" s="189">
      <c r="A978" s="289" t="n"/>
      <c r="B978" s="290" t="n"/>
      <c r="C978" s="290" t="n"/>
      <c r="D978" s="289" t="n"/>
      <c r="E978" s="289" t="n"/>
      <c r="F978" s="290" t="n"/>
      <c r="G978" s="290" t="n"/>
      <c r="H978" s="290" t="n"/>
    </row>
    <row r="979" ht="13" customHeight="1" s="189">
      <c r="A979" s="289" t="n"/>
      <c r="B979" s="290" t="n"/>
      <c r="C979" s="290" t="n"/>
      <c r="D979" s="289" t="n"/>
      <c r="E979" s="289" t="n"/>
      <c r="F979" s="290" t="n"/>
      <c r="G979" s="290" t="n"/>
      <c r="H979" s="290" t="n"/>
    </row>
    <row r="980" ht="13" customHeight="1" s="189">
      <c r="A980" s="289" t="n"/>
      <c r="B980" s="290" t="n"/>
      <c r="C980" s="290" t="n"/>
      <c r="D980" s="289" t="n"/>
      <c r="E980" s="289" t="n"/>
      <c r="F980" s="290" t="n"/>
      <c r="G980" s="290" t="n"/>
      <c r="H980" s="290" t="n"/>
    </row>
    <row r="981" ht="13" customHeight="1" s="189">
      <c r="A981" s="289" t="n"/>
      <c r="B981" s="290" t="n"/>
      <c r="C981" s="290" t="n"/>
      <c r="D981" s="289" t="n"/>
      <c r="E981" s="289" t="n"/>
      <c r="F981" s="290" t="n"/>
      <c r="G981" s="290" t="n"/>
      <c r="H981" s="290" t="n"/>
    </row>
    <row r="982" ht="13" customHeight="1" s="189">
      <c r="A982" s="289" t="n"/>
      <c r="B982" s="290" t="n"/>
      <c r="C982" s="290" t="n"/>
      <c r="D982" s="289" t="n"/>
      <c r="E982" s="289" t="n"/>
      <c r="F982" s="290" t="n"/>
      <c r="G982" s="290" t="n"/>
      <c r="H982" s="290" t="n"/>
    </row>
    <row r="983" ht="13" customHeight="1" s="189">
      <c r="A983" s="289" t="n"/>
      <c r="B983" s="290" t="n"/>
      <c r="C983" s="290" t="n"/>
      <c r="D983" s="289" t="n"/>
      <c r="E983" s="289" t="n"/>
      <c r="F983" s="290" t="n"/>
      <c r="G983" s="290" t="n"/>
      <c r="H983" s="290" t="n"/>
    </row>
    <row r="984" ht="13" customHeight="1" s="189">
      <c r="A984" s="289" t="n"/>
      <c r="B984" s="290" t="n"/>
      <c r="C984" s="290" t="n"/>
      <c r="D984" s="289" t="n"/>
      <c r="E984" s="289" t="n"/>
      <c r="F984" s="290" t="n"/>
      <c r="G984" s="290" t="n"/>
      <c r="H984" s="290" t="n"/>
    </row>
    <row r="985" ht="13" customHeight="1" s="189">
      <c r="A985" s="289" t="n"/>
      <c r="B985" s="290" t="n"/>
      <c r="C985" s="290" t="n"/>
      <c r="D985" s="289" t="n"/>
      <c r="E985" s="289" t="n"/>
      <c r="F985" s="290" t="n"/>
      <c r="G985" s="290" t="n"/>
      <c r="H985" s="290" t="n"/>
    </row>
    <row r="986" ht="13" customHeight="1" s="189">
      <c r="A986" s="289" t="n"/>
      <c r="B986" s="290" t="n"/>
      <c r="C986" s="290" t="n"/>
      <c r="D986" s="289" t="n"/>
      <c r="E986" s="289" t="n"/>
      <c r="F986" s="290" t="n"/>
      <c r="G986" s="290" t="n"/>
      <c r="H986" s="290" t="n"/>
    </row>
    <row r="987" ht="13" customHeight="1" s="189">
      <c r="A987" s="289" t="n"/>
      <c r="B987" s="290" t="n"/>
      <c r="C987" s="290" t="n"/>
      <c r="D987" s="289" t="n"/>
      <c r="E987" s="289" t="n"/>
      <c r="F987" s="290" t="n"/>
      <c r="G987" s="290" t="n"/>
      <c r="H987" s="290" t="n"/>
    </row>
    <row r="988" ht="13" customHeight="1" s="189">
      <c r="A988" s="289" t="n"/>
      <c r="B988" s="290" t="n"/>
      <c r="C988" s="290" t="n"/>
      <c r="D988" s="289" t="n"/>
      <c r="E988" s="289" t="n"/>
      <c r="F988" s="290" t="n"/>
      <c r="G988" s="290" t="n"/>
      <c r="H988" s="290" t="n"/>
    </row>
    <row r="989" ht="13" customHeight="1" s="189">
      <c r="A989" s="289" t="n"/>
      <c r="B989" s="290" t="n"/>
      <c r="C989" s="290" t="n"/>
      <c r="D989" s="289" t="n"/>
      <c r="E989" s="289" t="n"/>
      <c r="F989" s="290" t="n"/>
      <c r="G989" s="290" t="n"/>
      <c r="H989" s="290" t="n"/>
    </row>
    <row r="990" ht="13" customHeight="1" s="189">
      <c r="A990" s="289" t="n"/>
      <c r="B990" s="290" t="n"/>
      <c r="C990" s="290" t="n"/>
      <c r="D990" s="289" t="n"/>
      <c r="E990" s="289" t="n"/>
      <c r="F990" s="290" t="n"/>
      <c r="G990" s="290" t="n"/>
      <c r="H990" s="290" t="n"/>
    </row>
    <row r="991" ht="13" customHeight="1" s="189">
      <c r="A991" s="289" t="n"/>
      <c r="B991" s="290" t="n"/>
      <c r="C991" s="290" t="n"/>
      <c r="D991" s="289" t="n"/>
      <c r="E991" s="289" t="n"/>
      <c r="F991" s="290" t="n"/>
      <c r="G991" s="290" t="n"/>
      <c r="H991" s="290" t="n"/>
    </row>
    <row r="992" ht="13" customHeight="1" s="189">
      <c r="A992" s="289" t="n"/>
      <c r="B992" s="290" t="n"/>
      <c r="C992" s="290" t="n"/>
      <c r="D992" s="289" t="n"/>
      <c r="E992" s="289" t="n"/>
      <c r="F992" s="290" t="n"/>
      <c r="G992" s="290" t="n"/>
      <c r="H992" s="290" t="n"/>
    </row>
    <row r="993" ht="13" customHeight="1" s="189">
      <c r="A993" s="289" t="n"/>
      <c r="B993" s="290" t="n"/>
      <c r="C993" s="290" t="n"/>
      <c r="D993" s="289" t="n"/>
      <c r="E993" s="289" t="n"/>
      <c r="F993" s="290" t="n"/>
      <c r="G993" s="290" t="n"/>
      <c r="H993" s="290" t="n"/>
    </row>
    <row r="994" ht="13" customHeight="1" s="189">
      <c r="A994" s="289" t="n"/>
      <c r="B994" s="290" t="n"/>
      <c r="C994" s="290" t="n"/>
      <c r="D994" s="289" t="n"/>
      <c r="E994" s="289" t="n"/>
      <c r="F994" s="290" t="n"/>
      <c r="G994" s="290" t="n"/>
      <c r="H994" s="290" t="n"/>
    </row>
    <row r="995" ht="13" customHeight="1" s="189">
      <c r="A995" s="289" t="n"/>
      <c r="B995" s="290" t="n"/>
      <c r="C995" s="290" t="n"/>
      <c r="D995" s="289" t="n"/>
      <c r="E995" s="289" t="n"/>
      <c r="F995" s="290" t="n"/>
      <c r="G995" s="290" t="n"/>
      <c r="H995" s="290" t="n"/>
    </row>
    <row r="996" ht="13" customHeight="1" s="189">
      <c r="A996" s="289" t="n"/>
      <c r="B996" s="290" t="n"/>
      <c r="C996" s="290" t="n"/>
      <c r="D996" s="289" t="n"/>
      <c r="E996" s="289" t="n"/>
      <c r="F996" s="290" t="n"/>
      <c r="G996" s="290" t="n"/>
      <c r="H996" s="290" t="n"/>
    </row>
    <row r="997" ht="13" customHeight="1" s="189">
      <c r="A997" s="289" t="n"/>
      <c r="B997" s="290" t="n"/>
      <c r="C997" s="290" t="n"/>
      <c r="D997" s="289" t="n"/>
      <c r="E997" s="289" t="n"/>
      <c r="F997" s="290" t="n"/>
      <c r="G997" s="290" t="n"/>
      <c r="H997" s="290" t="n"/>
    </row>
    <row r="998" ht="13" customHeight="1" s="189">
      <c r="A998" s="289" t="n"/>
      <c r="B998" s="290" t="n"/>
      <c r="C998" s="290" t="n"/>
      <c r="D998" s="289" t="n"/>
      <c r="E998" s="289" t="n"/>
      <c r="F998" s="290" t="n"/>
      <c r="G998" s="290" t="n"/>
      <c r="H998" s="290" t="n"/>
    </row>
    <row r="999" ht="13" customHeight="1" s="189">
      <c r="A999" s="289" t="n"/>
      <c r="B999" s="290" t="n"/>
      <c r="C999" s="290" t="n"/>
      <c r="D999" s="289" t="n"/>
      <c r="E999" s="289" t="n"/>
      <c r="F999" s="290" t="n"/>
      <c r="G999" s="290" t="n"/>
      <c r="H999" s="290" t="n"/>
    </row>
    <row r="1000" ht="13" customHeight="1" s="189">
      <c r="A1000" s="289" t="n"/>
      <c r="B1000" s="290" t="n"/>
      <c r="C1000" s="290" t="n"/>
      <c r="D1000" s="289" t="n"/>
      <c r="E1000" s="289" t="n"/>
      <c r="F1000" s="290" t="n"/>
      <c r="G1000" s="290" t="n"/>
      <c r="H1000" s="290" t="n"/>
    </row>
    <row r="1001" ht="13" customHeight="1" s="189">
      <c r="A1001" s="289" t="n"/>
      <c r="B1001" s="290" t="n"/>
      <c r="C1001" s="290" t="n"/>
      <c r="D1001" s="289" t="n"/>
      <c r="E1001" s="289" t="n"/>
      <c r="F1001" s="290" t="n"/>
      <c r="G1001" s="290" t="n"/>
      <c r="H1001" s="290" t="n"/>
    </row>
    <row r="1002" ht="13" customHeight="1" s="189">
      <c r="A1002" s="289" t="n"/>
      <c r="B1002" s="290" t="n"/>
      <c r="C1002" s="290" t="n"/>
      <c r="D1002" s="289" t="n"/>
      <c r="E1002" s="289" t="n"/>
      <c r="F1002" s="290" t="n"/>
      <c r="G1002" s="290" t="n"/>
      <c r="H1002" s="290" t="n"/>
    </row>
    <row r="1003" ht="13" customHeight="1" s="189">
      <c r="A1003" s="289" t="n"/>
      <c r="B1003" s="290" t="n"/>
      <c r="C1003" s="290" t="n"/>
      <c r="D1003" s="289" t="n"/>
      <c r="E1003" s="289" t="n"/>
      <c r="F1003" s="290" t="n"/>
      <c r="G1003" s="290" t="n"/>
      <c r="H1003" s="290" t="n"/>
    </row>
    <row r="1004" ht="13" customHeight="1" s="189">
      <c r="A1004" s="289" t="n"/>
      <c r="B1004" s="290" t="n"/>
      <c r="C1004" s="290" t="n"/>
      <c r="D1004" s="289" t="n"/>
      <c r="E1004" s="289" t="n"/>
      <c r="F1004" s="290" t="n"/>
      <c r="G1004" s="290" t="n"/>
      <c r="H1004" s="290" t="n"/>
    </row>
    <row r="1005" ht="13" customHeight="1" s="189">
      <c r="A1005" s="289" t="n"/>
      <c r="B1005" s="290" t="n"/>
      <c r="C1005" s="290" t="n"/>
      <c r="D1005" s="289" t="n"/>
      <c r="E1005" s="289" t="n"/>
      <c r="F1005" s="290" t="n"/>
      <c r="G1005" s="290" t="n"/>
      <c r="H1005" s="290" t="n"/>
    </row>
    <row r="1006" ht="13" customHeight="1" s="189">
      <c r="A1006" s="289" t="n"/>
      <c r="B1006" s="290" t="n"/>
      <c r="C1006" s="290" t="n"/>
      <c r="D1006" s="289" t="n"/>
      <c r="E1006" s="289" t="n"/>
      <c r="F1006" s="290" t="n"/>
      <c r="G1006" s="290" t="n"/>
      <c r="H1006" s="290" t="n"/>
    </row>
    <row r="1007" ht="13" customHeight="1" s="189">
      <c r="A1007" s="289" t="n"/>
      <c r="B1007" s="290" t="n"/>
      <c r="C1007" s="290" t="n"/>
      <c r="D1007" s="289" t="n"/>
      <c r="E1007" s="289" t="n"/>
      <c r="F1007" s="290" t="n"/>
      <c r="G1007" s="290" t="n"/>
      <c r="H1007" s="290" t="n"/>
    </row>
    <row r="1008" ht="13" customHeight="1" s="189">
      <c r="A1008" s="289" t="n"/>
      <c r="B1008" s="290" t="n"/>
      <c r="C1008" s="290" t="n"/>
      <c r="D1008" s="289" t="n"/>
      <c r="E1008" s="289" t="n"/>
      <c r="F1008" s="290" t="n"/>
      <c r="G1008" s="290" t="n"/>
      <c r="H1008" s="290" t="n"/>
    </row>
    <row r="1009" ht="13" customHeight="1" s="189">
      <c r="A1009" s="289" t="n"/>
      <c r="B1009" s="290" t="n"/>
      <c r="C1009" s="290" t="n"/>
      <c r="D1009" s="289" t="n"/>
      <c r="E1009" s="289" t="n"/>
      <c r="F1009" s="290" t="n"/>
      <c r="G1009" s="290" t="n"/>
      <c r="H1009" s="290" t="n"/>
    </row>
    <row r="1010" ht="13" customHeight="1" s="189">
      <c r="A1010" s="289" t="n"/>
      <c r="B1010" s="290" t="n"/>
      <c r="C1010" s="290" t="n"/>
      <c r="D1010" s="289" t="n"/>
      <c r="E1010" s="289" t="n"/>
      <c r="F1010" s="290" t="n"/>
      <c r="G1010" s="290" t="n"/>
      <c r="H1010" s="290" t="n"/>
    </row>
    <row r="1011" ht="13" customHeight="1" s="189">
      <c r="A1011" s="289" t="n"/>
      <c r="B1011" s="290" t="n"/>
      <c r="C1011" s="290" t="n"/>
      <c r="D1011" s="289" t="n"/>
      <c r="E1011" s="289" t="n"/>
      <c r="F1011" s="290" t="n"/>
      <c r="G1011" s="290" t="n"/>
      <c r="H1011" s="290" t="n"/>
    </row>
    <row r="1012" ht="13" customHeight="1" s="189">
      <c r="A1012" s="289" t="n"/>
      <c r="B1012" s="290" t="n"/>
      <c r="C1012" s="290" t="n"/>
      <c r="D1012" s="289" t="n"/>
      <c r="E1012" s="289" t="n"/>
      <c r="F1012" s="290" t="n"/>
      <c r="G1012" s="290" t="n"/>
      <c r="H1012" s="290" t="n"/>
    </row>
    <row r="1013" ht="13" customHeight="1" s="189">
      <c r="A1013" s="289" t="n"/>
      <c r="B1013" s="290" t="n"/>
      <c r="C1013" s="290" t="n"/>
      <c r="D1013" s="289" t="n"/>
      <c r="E1013" s="289" t="n"/>
      <c r="F1013" s="290" t="n"/>
      <c r="G1013" s="290" t="n"/>
      <c r="H1013" s="290" t="n"/>
    </row>
    <row r="1014" ht="13" customHeight="1" s="189">
      <c r="A1014" s="289" t="n"/>
      <c r="B1014" s="290" t="n"/>
      <c r="C1014" s="290" t="n"/>
      <c r="D1014" s="289" t="n"/>
      <c r="E1014" s="289" t="n"/>
      <c r="F1014" s="290" t="n"/>
      <c r="G1014" s="290" t="n"/>
      <c r="H1014" s="290" t="n"/>
    </row>
    <row r="1015" ht="13" customHeight="1" s="189">
      <c r="A1015" s="289" t="n"/>
      <c r="B1015" s="290" t="n"/>
      <c r="C1015" s="290" t="n"/>
      <c r="D1015" s="289" t="n"/>
      <c r="E1015" s="289" t="n"/>
      <c r="F1015" s="290" t="n"/>
      <c r="G1015" s="290" t="n"/>
      <c r="H1015" s="290" t="n"/>
    </row>
    <row r="1016" ht="13" customHeight="1" s="189">
      <c r="A1016" s="289" t="n"/>
      <c r="B1016" s="290" t="n"/>
      <c r="C1016" s="290" t="n"/>
      <c r="D1016" s="289" t="n"/>
      <c r="E1016" s="289" t="n"/>
      <c r="F1016" s="290" t="n"/>
      <c r="G1016" s="290" t="n"/>
      <c r="H1016" s="290" t="n"/>
    </row>
    <row r="1017" ht="13" customHeight="1" s="189">
      <c r="A1017" s="289" t="n"/>
      <c r="B1017" s="290" t="n"/>
      <c r="C1017" s="290" t="n"/>
      <c r="D1017" s="289" t="n"/>
      <c r="E1017" s="289" t="n"/>
      <c r="F1017" s="290" t="n"/>
      <c r="G1017" s="290" t="n"/>
      <c r="H1017" s="290" t="n"/>
    </row>
    <row r="1018" ht="13" customHeight="1" s="189">
      <c r="A1018" s="289" t="n"/>
      <c r="B1018" s="290" t="n"/>
      <c r="C1018" s="290" t="n"/>
      <c r="D1018" s="289" t="n"/>
      <c r="E1018" s="289" t="n"/>
      <c r="F1018" s="290" t="n"/>
      <c r="G1018" s="290" t="n"/>
      <c r="H1018" s="290" t="n"/>
    </row>
    <row r="1019" ht="13" customHeight="1" s="189">
      <c r="A1019" s="289" t="n"/>
      <c r="B1019" s="290" t="n"/>
      <c r="C1019" s="290" t="n"/>
      <c r="D1019" s="289" t="n"/>
      <c r="E1019" s="289" t="n"/>
      <c r="F1019" s="290" t="n"/>
      <c r="G1019" s="290" t="n"/>
      <c r="H1019" s="290" t="n"/>
    </row>
    <row r="1020" ht="13" customHeight="1" s="189">
      <c r="A1020" s="289" t="n"/>
      <c r="B1020" s="290" t="n"/>
      <c r="C1020" s="290" t="n"/>
      <c r="D1020" s="289" t="n"/>
      <c r="E1020" s="289" t="n"/>
      <c r="F1020" s="290" t="n"/>
      <c r="G1020" s="290" t="n"/>
      <c r="H1020" s="290" t="n"/>
    </row>
    <row r="1021" ht="13" customHeight="1" s="189">
      <c r="A1021" s="289" t="n"/>
      <c r="B1021" s="290" t="n"/>
      <c r="C1021" s="290" t="n"/>
      <c r="D1021" s="289" t="n"/>
      <c r="E1021" s="289" t="n"/>
      <c r="F1021" s="290" t="n"/>
      <c r="G1021" s="290" t="n"/>
      <c r="H1021" s="290" t="n"/>
    </row>
    <row r="1022" ht="13" customHeight="1" s="189">
      <c r="A1022" s="289" t="n"/>
      <c r="B1022" s="290" t="n"/>
      <c r="C1022" s="290" t="n"/>
      <c r="D1022" s="289" t="n"/>
      <c r="E1022" s="289" t="n"/>
      <c r="F1022" s="290" t="n"/>
      <c r="G1022" s="290" t="n"/>
      <c r="H1022" s="290" t="n"/>
    </row>
    <row r="1023" ht="13" customHeight="1" s="189">
      <c r="A1023" s="289" t="n"/>
      <c r="B1023" s="290" t="n"/>
      <c r="C1023" s="290" t="n"/>
      <c r="D1023" s="289" t="n"/>
      <c r="E1023" s="289" t="n"/>
      <c r="F1023" s="290" t="n"/>
      <c r="G1023" s="290" t="n"/>
      <c r="H1023" s="290" t="n"/>
    </row>
    <row r="1024" ht="13" customHeight="1" s="189">
      <c r="A1024" s="289" t="n"/>
      <c r="B1024" s="290" t="n"/>
      <c r="C1024" s="290" t="n"/>
      <c r="D1024" s="289" t="n"/>
      <c r="E1024" s="289" t="n"/>
      <c r="F1024" s="290" t="n"/>
      <c r="G1024" s="290" t="n"/>
      <c r="H1024" s="290" t="n"/>
    </row>
    <row r="1025" ht="13" customHeight="1" s="189"/>
    <row r="1026" ht="13" customHeight="1" s="189"/>
    <row r="1027" ht="13" customHeight="1" s="189"/>
    <row r="1028" ht="13" customHeight="1" s="189"/>
    <row r="1029" ht="13" customHeight="1" s="189"/>
    <row r="1030" ht="13" customHeight="1" s="189"/>
    <row r="1031" ht="13" customHeight="1" s="189"/>
    <row r="1032" ht="13" customHeight="1" s="189"/>
    <row r="1033" ht="13" customHeight="1" s="189"/>
    <row r="1034" ht="13" customHeight="1" s="189"/>
    <row r="1035" ht="13" customHeight="1" s="189"/>
    <row r="1036" ht="13" customHeight="1" s="189"/>
    <row r="1037" ht="13" customHeight="1" s="189"/>
    <row r="1038" ht="13" customHeight="1" s="189"/>
    <row r="1039" ht="13" customHeight="1" s="189"/>
    <row r="1040" ht="13" customHeight="1" s="189"/>
    <row r="1041" ht="13" customHeight="1" s="189"/>
    <row r="1042" ht="13" customHeight="1" s="189"/>
    <row r="1043" ht="13" customHeight="1" s="189"/>
    <row r="1044" ht="13" customHeight="1" s="189"/>
    <row r="1045" ht="13" customHeight="1" s="189"/>
    <row r="1046" ht="13" customHeight="1" s="189"/>
    <row r="1047" ht="13" customHeight="1" s="189"/>
    <row r="1048" ht="13" customHeight="1" s="189"/>
    <row r="1049" ht="13" customHeight="1" s="189"/>
    <row r="1050" ht="13" customHeight="1" s="189"/>
    <row r="1051" ht="13" customHeight="1" s="189"/>
    <row r="1052" ht="13" customHeight="1" s="189"/>
    <row r="1053" ht="13" customHeight="1" s="189"/>
    <row r="1054" ht="13" customHeight="1" s="189"/>
    <row r="1055" ht="13" customHeight="1" s="189"/>
    <row r="1056" ht="13" customHeight="1" s="189"/>
    <row r="1057" ht="13" customHeight="1" s="189"/>
    <row r="1058" ht="13" customHeight="1" s="189"/>
    <row r="1059" ht="13" customHeight="1" s="189"/>
    <row r="1060" ht="13" customHeight="1" s="189"/>
    <row r="1061" ht="13" customHeight="1" s="189"/>
    <row r="1062" ht="13" customHeight="1" s="189"/>
    <row r="1063" ht="13" customHeight="1" s="189"/>
    <row r="1064" ht="13" customHeight="1" s="189"/>
    <row r="1065" ht="13" customHeight="1" s="189"/>
    <row r="1066" ht="13" customHeight="1" s="189"/>
    <row r="1067" ht="13" customHeight="1" s="189"/>
    <row r="1068" ht="13" customHeight="1" s="189"/>
    <row r="1069" ht="13" customHeight="1" s="189"/>
    <row r="1070" ht="13" customHeight="1" s="189"/>
    <row r="1071" ht="13" customHeight="1" s="189"/>
    <row r="1072" ht="13" customHeight="1" s="189"/>
    <row r="1073" ht="13" customHeight="1" s="189"/>
    <row r="1074" ht="13" customHeight="1" s="189"/>
    <row r="1075" ht="13" customHeight="1" s="189"/>
    <row r="1076" ht="13" customHeight="1" s="189"/>
    <row r="1077" ht="13" customHeight="1" s="189"/>
    <row r="1078" ht="13" customHeight="1" s="189"/>
    <row r="1079" ht="13" customHeight="1" s="189"/>
    <row r="1080" ht="13" customHeight="1" s="189"/>
    <row r="1081" ht="13" customHeight="1" s="189"/>
    <row r="1082" ht="13" customHeight="1" s="189"/>
    <row r="1083" ht="13" customHeight="1" s="189"/>
    <row r="1084" ht="13" customHeight="1" s="189"/>
    <row r="1085" ht="13" customHeight="1" s="189"/>
    <row r="1086" ht="13" customHeight="1" s="189"/>
    <row r="1087" ht="13" customHeight="1" s="189"/>
    <row r="1088" ht="13" customHeight="1" s="189"/>
    <row r="1089" ht="13" customHeight="1" s="189"/>
    <row r="1090" ht="13" customHeight="1" s="189"/>
    <row r="1091" ht="13" customHeight="1" s="189"/>
    <row r="1092" ht="13" customHeight="1" s="189"/>
    <row r="1093" ht="13" customHeight="1" s="189"/>
    <row r="1094" ht="13" customHeight="1" s="189"/>
    <row r="1095" ht="13" customHeight="1" s="189"/>
    <row r="1096" ht="13" customHeight="1" s="189"/>
    <row r="1097" ht="13" customHeight="1" s="189"/>
    <row r="1098" ht="13" customHeight="1" s="189"/>
    <row r="1099" ht="13" customHeight="1" s="189"/>
    <row r="1100" ht="13" customHeight="1" s="189"/>
    <row r="1101" ht="13" customHeight="1" s="189"/>
    <row r="1102" ht="13" customHeight="1" s="189"/>
    <row r="1103" ht="13" customHeight="1" s="189"/>
    <row r="1104" ht="13" customHeight="1" s="189"/>
    <row r="1105" ht="13" customHeight="1" s="189"/>
    <row r="1106" ht="13" customHeight="1" s="189"/>
    <row r="1107" ht="13" customHeight="1" s="189"/>
    <row r="1108" ht="13" customHeight="1" s="189"/>
    <row r="1109" ht="13" customHeight="1" s="189"/>
    <row r="1110" ht="13" customHeight="1" s="189"/>
    <row r="1111" ht="13" customHeight="1" s="189"/>
    <row r="1112" ht="13" customHeight="1" s="189"/>
    <row r="1113" ht="13" customHeight="1" s="189"/>
    <row r="1114" ht="13" customHeight="1" s="189"/>
    <row r="1115" ht="13" customHeight="1" s="189"/>
    <row r="1116" ht="13" customHeight="1" s="189"/>
    <row r="1117" ht="13" customHeight="1" s="189"/>
    <row r="1118" ht="13" customHeight="1" s="189"/>
    <row r="1119" ht="13" customHeight="1" s="189"/>
    <row r="1120" ht="13" customHeight="1" s="189"/>
    <row r="1121" ht="13" customHeight="1" s="189"/>
    <row r="1122" ht="13" customHeight="1" s="189"/>
    <row r="1123" ht="13" customHeight="1" s="189"/>
    <row r="1124" ht="13" customHeight="1" s="189"/>
    <row r="1125" ht="13" customHeight="1" s="189"/>
    <row r="1126" ht="13" customHeight="1" s="189"/>
    <row r="1127" ht="13" customHeight="1" s="189"/>
    <row r="1128" ht="13" customHeight="1" s="189"/>
    <row r="1129" ht="13" customHeight="1" s="189"/>
    <row r="1130" ht="13" customHeight="1" s="189"/>
    <row r="1131" ht="13" customHeight="1" s="189"/>
    <row r="1132" ht="13" customHeight="1" s="189"/>
    <row r="1133" ht="13" customHeight="1" s="189"/>
    <row r="1134" ht="13" customHeight="1" s="189"/>
    <row r="1135" ht="13" customHeight="1" s="189"/>
    <row r="1136" ht="13" customHeight="1" s="189"/>
    <row r="1137" ht="13" customHeight="1" s="189"/>
    <row r="1138" ht="13" customHeight="1" s="189"/>
    <row r="1139" ht="13" customHeight="1" s="189"/>
    <row r="1140" ht="13" customHeight="1" s="189"/>
    <row r="1141" ht="13" customHeight="1" s="189"/>
    <row r="1142" ht="13" customHeight="1" s="189"/>
    <row r="1143" ht="13" customHeight="1" s="189"/>
    <row r="1144" ht="13" customHeight="1" s="189"/>
    <row r="1145" ht="13" customHeight="1" s="189"/>
    <row r="1146" ht="13" customHeight="1" s="189"/>
    <row r="1147" ht="13" customHeight="1" s="189"/>
    <row r="1148" ht="13" customHeight="1" s="189"/>
    <row r="1149" ht="13" customHeight="1" s="189"/>
    <row r="1150" ht="13" customHeight="1" s="189"/>
    <row r="1151" ht="13" customHeight="1" s="189"/>
    <row r="1152" ht="13" customHeight="1" s="189"/>
    <row r="1153" ht="13" customHeight="1" s="189"/>
    <row r="1154" ht="13" customHeight="1" s="189"/>
    <row r="1155" ht="13" customHeight="1" s="189"/>
    <row r="1156" ht="13" customHeight="1" s="189"/>
    <row r="1157" ht="13" customHeight="1" s="189"/>
    <row r="1158" ht="13" customHeight="1" s="189"/>
    <row r="1159" ht="13" customHeight="1" s="189"/>
    <row r="1160" ht="13" customHeight="1" s="189"/>
    <row r="1161" ht="13" customHeight="1" s="189"/>
    <row r="1162" ht="13" customHeight="1" s="189"/>
    <row r="1163" ht="13" customHeight="1" s="189"/>
    <row r="1164" ht="13" customHeight="1" s="189"/>
    <row r="1165" ht="13" customHeight="1" s="189"/>
    <row r="1166" ht="13" customHeight="1" s="189"/>
    <row r="1167" ht="13" customHeight="1" s="189"/>
    <row r="1168" ht="13" customHeight="1" s="189"/>
    <row r="1169" ht="13" customHeight="1" s="189"/>
    <row r="1170" ht="13" customHeight="1" s="189"/>
    <row r="1171" ht="13" customHeight="1" s="189"/>
    <row r="1172" ht="13" customHeight="1" s="189"/>
    <row r="1173" ht="13" customHeight="1" s="189"/>
    <row r="1174" ht="13" customHeight="1" s="189"/>
    <row r="1175" ht="13" customHeight="1" s="189"/>
    <row r="1176" ht="13" customHeight="1" s="189"/>
    <row r="1177" ht="13" customHeight="1" s="189"/>
    <row r="1178" ht="13" customHeight="1" s="189"/>
    <row r="1179" ht="13" customHeight="1" s="189"/>
    <row r="1180" ht="13" customHeight="1" s="189"/>
    <row r="1181" ht="13" customHeight="1" s="189"/>
    <row r="1182" ht="13" customHeight="1" s="189"/>
    <row r="1183" ht="13" customHeight="1" s="189"/>
    <row r="1184" ht="13" customHeight="1" s="189"/>
    <row r="1185" ht="13" customHeight="1" s="189"/>
    <row r="1186" ht="13" customHeight="1" s="189"/>
    <row r="1187" ht="13" customHeight="1" s="189"/>
    <row r="1188" ht="13" customHeight="1" s="189"/>
    <row r="1189" ht="13" customHeight="1" s="189"/>
    <row r="1190" ht="13" customHeight="1" s="189"/>
    <row r="1191" ht="13" customHeight="1" s="189"/>
    <row r="1192" ht="13" customHeight="1" s="189"/>
    <row r="1193" ht="13" customHeight="1" s="189"/>
    <row r="1194" ht="13" customHeight="1" s="189"/>
    <row r="1195" ht="13" customHeight="1" s="189"/>
    <row r="1196" ht="13" customHeight="1" s="189"/>
    <row r="1197" ht="13" customHeight="1" s="189"/>
    <row r="1198" ht="13" customHeight="1" s="189"/>
    <row r="1199" ht="13" customHeight="1" s="189"/>
    <row r="1200" ht="13" customHeight="1" s="189"/>
    <row r="1201" ht="13" customHeight="1" s="189"/>
    <row r="1202" ht="13" customHeight="1" s="189"/>
    <row r="1203" ht="13" customHeight="1" s="189"/>
    <row r="1204" ht="13" customHeight="1" s="189"/>
    <row r="1205" ht="13" customHeight="1" s="189"/>
    <row r="1206" ht="13" customHeight="1" s="189"/>
    <row r="1207" ht="13" customHeight="1" s="189"/>
    <row r="1208" ht="13" customHeight="1" s="189"/>
    <row r="1209" ht="13" customHeight="1" s="189"/>
    <row r="1210" ht="13" customHeight="1" s="189"/>
    <row r="1211" ht="13" customHeight="1" s="189"/>
    <row r="1212" ht="13" customHeight="1" s="189"/>
    <row r="1213" ht="13" customHeight="1" s="189"/>
    <row r="1214" ht="13" customHeight="1" s="189"/>
    <row r="1215" ht="13" customHeight="1" s="189"/>
    <row r="1216" ht="13" customHeight="1" s="189"/>
    <row r="1217" ht="13" customHeight="1" s="189"/>
    <row r="1218" ht="13" customHeight="1" s="189"/>
    <row r="1219" ht="13" customHeight="1" s="189"/>
    <row r="1220" ht="13" customHeight="1" s="189"/>
    <row r="1221" ht="13" customHeight="1" s="189"/>
    <row r="1222" ht="13" customHeight="1" s="189"/>
    <row r="1223" ht="13" customHeight="1" s="189"/>
    <row r="1224" ht="13" customHeight="1" s="189"/>
    <row r="1225" ht="13" customHeight="1" s="189"/>
    <row r="1226" ht="13" customHeight="1" s="189"/>
    <row r="1227" ht="13" customHeight="1" s="189"/>
    <row r="1228" ht="13" customHeight="1" s="189"/>
    <row r="1229" ht="13" customHeight="1" s="189"/>
    <row r="1230" ht="13" customHeight="1" s="189"/>
    <row r="1231" ht="13" customHeight="1" s="189"/>
    <row r="1232" ht="13" customHeight="1" s="189"/>
    <row r="1233" ht="13" customHeight="1" s="189"/>
    <row r="1234" ht="13" customHeight="1" s="189"/>
    <row r="1235" ht="13" customHeight="1" s="189"/>
    <row r="1236" ht="13" customHeight="1" s="189"/>
    <row r="1237" ht="13" customHeight="1" s="189"/>
    <row r="1238" ht="13" customHeight="1" s="189"/>
    <row r="1239" ht="13" customHeight="1" s="189"/>
    <row r="1240" ht="13" customHeight="1" s="189"/>
    <row r="1241" ht="13" customHeight="1" s="189"/>
    <row r="1242" ht="13" customHeight="1" s="189"/>
    <row r="1243" ht="13" customHeight="1" s="189"/>
    <row r="1244" ht="13" customHeight="1" s="189"/>
    <row r="1245" ht="13" customHeight="1" s="189"/>
    <row r="1246" ht="13" customHeight="1" s="189"/>
    <row r="1247" ht="13" customHeight="1" s="189"/>
    <row r="1248" ht="13" customHeight="1" s="189"/>
    <row r="1249" ht="13" customHeight="1" s="189"/>
    <row r="1250" ht="13" customHeight="1" s="189"/>
    <row r="1251" ht="13" customHeight="1" s="189"/>
    <row r="1252" ht="13" customHeight="1" s="189"/>
    <row r="1253" ht="13" customHeight="1" s="189"/>
    <row r="1254" ht="13" customHeight="1" s="189"/>
    <row r="1255" ht="13" customHeight="1" s="189"/>
    <row r="1256" ht="13" customHeight="1" s="189"/>
    <row r="1257" ht="13" customHeight="1" s="189"/>
    <row r="1258" ht="13" customHeight="1" s="189"/>
    <row r="1259" ht="13" customHeight="1" s="189"/>
    <row r="1260" ht="13" customHeight="1" s="189"/>
    <row r="1261" ht="13" customHeight="1" s="189"/>
    <row r="1262" ht="13" customHeight="1" s="189"/>
    <row r="1263" ht="13" customHeight="1" s="189"/>
    <row r="1264" ht="13" customHeight="1" s="189"/>
    <row r="1265" ht="13" customHeight="1" s="189"/>
    <row r="1266" ht="13" customHeight="1" s="189"/>
    <row r="1267" ht="13" customHeight="1" s="189"/>
    <row r="1268" ht="13" customHeight="1" s="189"/>
    <row r="1269" ht="13" customHeight="1" s="189"/>
    <row r="1270" ht="13" customHeight="1" s="189"/>
    <row r="1271" ht="13" customHeight="1" s="189"/>
    <row r="1272" ht="13" customHeight="1" s="189"/>
    <row r="1273" ht="13" customHeight="1" s="189"/>
    <row r="1274" ht="13" customHeight="1" s="189"/>
    <row r="1275" ht="13" customHeight="1" s="189"/>
    <row r="1276" ht="13" customHeight="1" s="189"/>
    <row r="1277" ht="13" customHeight="1" s="189"/>
    <row r="1278" ht="13" customHeight="1" s="189"/>
    <row r="1279" ht="13" customHeight="1" s="189"/>
    <row r="1280" ht="13" customHeight="1" s="189"/>
    <row r="1281" ht="13" customHeight="1" s="189"/>
    <row r="1282" ht="13" customHeight="1" s="189"/>
    <row r="1283" ht="13" customHeight="1" s="189"/>
    <row r="1284" ht="13" customHeight="1" s="189"/>
    <row r="1285" ht="13" customHeight="1" s="189"/>
    <row r="1286" ht="13" customHeight="1" s="189"/>
    <row r="1287" ht="13" customHeight="1" s="189"/>
    <row r="1288" ht="13" customHeight="1" s="189"/>
    <row r="1289" ht="13" customHeight="1" s="189"/>
    <row r="1290" ht="13" customHeight="1" s="189"/>
    <row r="1291" ht="13" customHeight="1" s="189"/>
    <row r="1292" ht="13" customHeight="1" s="189"/>
    <row r="1293" ht="13" customHeight="1" s="189"/>
    <row r="1294" ht="13" customHeight="1" s="189"/>
    <row r="1295" ht="13" customHeight="1" s="189"/>
    <row r="1296" ht="13" customHeight="1" s="189"/>
    <row r="1297" ht="13" customHeight="1" s="189"/>
    <row r="1298" ht="13" customHeight="1" s="189"/>
    <row r="1299" ht="13" customHeight="1" s="189"/>
    <row r="1300" ht="13" customHeight="1" s="189"/>
    <row r="1301" ht="13" customHeight="1" s="189"/>
    <row r="1302" ht="13" customHeight="1" s="189"/>
    <row r="1303" ht="13" customHeight="1" s="189"/>
    <row r="1304" ht="13" customHeight="1" s="189"/>
    <row r="1305" ht="13" customHeight="1" s="189"/>
    <row r="1306" ht="13" customHeight="1" s="189"/>
    <row r="1307" ht="13" customHeight="1" s="189"/>
    <row r="1308" ht="13" customHeight="1" s="189"/>
    <row r="1309" ht="13" customHeight="1" s="189"/>
    <row r="1310" ht="13" customHeight="1" s="189"/>
    <row r="1311" ht="13" customHeight="1" s="189"/>
    <row r="1312" ht="13" customHeight="1" s="189"/>
    <row r="1313" ht="13" customHeight="1" s="189"/>
    <row r="1314" ht="13" customHeight="1" s="189"/>
    <row r="1315" ht="13" customHeight="1" s="189"/>
    <row r="1316" ht="13" customHeight="1" s="189"/>
    <row r="1317" ht="13" customHeight="1" s="189"/>
    <row r="1318" ht="13" customHeight="1" s="189"/>
    <row r="1319" ht="13" customHeight="1" s="189"/>
    <row r="1320" ht="13" customHeight="1" s="189"/>
    <row r="1321" ht="13" customHeight="1" s="189"/>
    <row r="1322" ht="13" customHeight="1" s="189"/>
    <row r="1323" ht="13" customHeight="1" s="189"/>
    <row r="1324" ht="13" customHeight="1" s="189"/>
    <row r="1325" ht="13" customHeight="1" s="189"/>
    <row r="1326" ht="13" customHeight="1" s="189"/>
    <row r="1327" ht="13" customHeight="1" s="189"/>
    <row r="1328" ht="13" customHeight="1" s="189"/>
    <row r="1329" ht="13" customHeight="1" s="189"/>
    <row r="1330" ht="13" customHeight="1" s="189"/>
    <row r="1331" ht="13" customHeight="1" s="189"/>
    <row r="1332" ht="13" customHeight="1" s="189"/>
    <row r="1333" ht="13" customHeight="1" s="189"/>
    <row r="1334" ht="13" customHeight="1" s="189"/>
    <row r="1335" ht="13" customHeight="1" s="189"/>
    <row r="1336" ht="13" customHeight="1" s="189"/>
    <row r="1337" ht="13" customHeight="1" s="189"/>
    <row r="1338" ht="13" customHeight="1" s="189"/>
    <row r="1339" ht="13" customHeight="1" s="189"/>
    <row r="1340" ht="13" customHeight="1" s="189"/>
    <row r="1341" ht="13" customHeight="1" s="189"/>
    <row r="1342" ht="13" customHeight="1" s="189"/>
    <row r="1343" ht="13" customHeight="1" s="189"/>
    <row r="1344" ht="13" customHeight="1" s="189"/>
    <row r="1345" ht="13" customHeight="1" s="189"/>
    <row r="1346" ht="13" customHeight="1" s="189"/>
    <row r="1347" ht="13" customHeight="1" s="189"/>
    <row r="1348" ht="13" customHeight="1" s="189"/>
    <row r="1349" ht="13" customHeight="1" s="189"/>
    <row r="1350" ht="13" customHeight="1" s="189"/>
    <row r="1351" ht="13" customHeight="1" s="189"/>
    <row r="1352" ht="13" customHeight="1" s="189"/>
    <row r="1353" ht="13" customHeight="1" s="189"/>
    <row r="1354" ht="13" customHeight="1" s="189"/>
    <row r="1355" ht="13" customHeight="1" s="189"/>
    <row r="1356" ht="13" customHeight="1" s="189"/>
    <row r="1357" ht="13" customHeight="1" s="189"/>
    <row r="1358" ht="13" customHeight="1" s="189"/>
    <row r="1359" ht="13" customHeight="1" s="189"/>
    <row r="1360" ht="13" customHeight="1" s="189"/>
    <row r="1361" ht="13" customHeight="1" s="189"/>
    <row r="1362" ht="13" customHeight="1" s="189"/>
    <row r="1363" ht="13" customHeight="1" s="189"/>
    <row r="1364" ht="13" customHeight="1" s="189"/>
    <row r="1365" ht="13" customHeight="1" s="189"/>
    <row r="1366" ht="13" customHeight="1" s="189"/>
    <row r="1367" ht="13" customHeight="1" s="189"/>
    <row r="1368" ht="13" customHeight="1" s="189"/>
    <row r="1369" ht="13" customHeight="1" s="189"/>
    <row r="1370" ht="13" customHeight="1" s="189"/>
    <row r="1371" ht="13" customHeight="1" s="189"/>
    <row r="1372" ht="13" customHeight="1" s="189"/>
    <row r="1373" ht="13" customHeight="1" s="189"/>
    <row r="1374" ht="13" customHeight="1" s="189"/>
    <row r="1375" ht="13" customHeight="1" s="189"/>
    <row r="1376" ht="13" customHeight="1" s="189"/>
    <row r="1377" ht="13" customHeight="1" s="189"/>
    <row r="1378" ht="13" customHeight="1" s="189"/>
    <row r="1379" ht="13" customHeight="1" s="189"/>
    <row r="1380" ht="13" customHeight="1" s="189"/>
    <row r="1381" ht="13" customHeight="1" s="189"/>
    <row r="1382" ht="13" customHeight="1" s="189"/>
    <row r="1383" ht="13" customHeight="1" s="189"/>
    <row r="1384" ht="13" customHeight="1" s="189"/>
    <row r="1385" ht="13" customHeight="1" s="189"/>
    <row r="1386" ht="13" customHeight="1" s="189"/>
    <row r="1387" ht="13" customHeight="1" s="189"/>
    <row r="1388" ht="13" customHeight="1" s="189"/>
    <row r="1389" ht="13" customHeight="1" s="189"/>
    <row r="1390" ht="13" customHeight="1" s="189"/>
    <row r="1391" ht="13" customHeight="1" s="189"/>
    <row r="1392" ht="13" customHeight="1" s="189"/>
    <row r="1393" ht="13" customHeight="1" s="189"/>
    <row r="1394" ht="13" customHeight="1" s="189"/>
    <row r="1395" ht="13" customHeight="1" s="189"/>
    <row r="1396" ht="13" customHeight="1" s="189"/>
    <row r="1397" ht="13" customHeight="1" s="189"/>
    <row r="1398" ht="13" customHeight="1" s="189"/>
    <row r="1399" ht="13" customHeight="1" s="189"/>
    <row r="1400" ht="13" customHeight="1" s="189"/>
    <row r="1401" ht="13" customHeight="1" s="189"/>
    <row r="1402" ht="13" customHeight="1" s="189"/>
    <row r="1403" ht="13" customHeight="1" s="189"/>
    <row r="1404" ht="13" customHeight="1" s="189"/>
    <row r="1405" ht="13" customHeight="1" s="189"/>
    <row r="1406" ht="13" customHeight="1" s="189"/>
    <row r="1407" ht="13" customHeight="1" s="189"/>
    <row r="1408" ht="13" customHeight="1" s="189"/>
    <row r="1409" ht="13" customHeight="1" s="189"/>
    <row r="1410" ht="13" customHeight="1" s="189"/>
    <row r="1411" ht="13" customHeight="1" s="189"/>
    <row r="1412" ht="13" customHeight="1" s="189"/>
    <row r="1413" ht="13" customHeight="1" s="189"/>
    <row r="1414" ht="13" customHeight="1" s="189"/>
    <row r="1415" ht="13" customHeight="1" s="189"/>
    <row r="1416" ht="13" customHeight="1" s="189"/>
    <row r="1417" ht="13" customHeight="1" s="189"/>
    <row r="1418" ht="13" customHeight="1" s="189"/>
    <row r="1419" ht="13" customHeight="1" s="189"/>
    <row r="1420" ht="13" customHeight="1" s="189"/>
    <row r="1421" ht="13" customHeight="1" s="189"/>
    <row r="1422" ht="13" customHeight="1" s="189"/>
    <row r="1423" ht="13" customHeight="1" s="189"/>
    <row r="1424" ht="13" customHeight="1" s="189"/>
    <row r="1425" ht="13" customHeight="1" s="189"/>
    <row r="1426" ht="13" customHeight="1" s="189"/>
    <row r="1427" ht="13" customHeight="1" s="189"/>
    <row r="1428" ht="13" customHeight="1" s="189"/>
    <row r="1429" ht="13" customHeight="1" s="189"/>
    <row r="1430" ht="13" customHeight="1" s="189"/>
    <row r="1431" ht="13" customHeight="1" s="189"/>
    <row r="1432" ht="13" customHeight="1" s="189"/>
    <row r="1433" ht="13" customHeight="1" s="189"/>
    <row r="1434" ht="13" customHeight="1" s="189"/>
    <row r="1435" ht="13" customHeight="1" s="189"/>
    <row r="1436" ht="13" customHeight="1" s="189"/>
    <row r="1437" ht="13" customHeight="1" s="189"/>
    <row r="1438" ht="13" customHeight="1" s="189"/>
    <row r="1439" ht="13" customHeight="1" s="189"/>
    <row r="1440" ht="13" customHeight="1" s="189"/>
    <row r="1441" ht="13" customHeight="1" s="189"/>
    <row r="1442" ht="13" customHeight="1" s="189"/>
    <row r="1443" ht="13" customHeight="1" s="189"/>
    <row r="1444" ht="13" customHeight="1" s="189"/>
    <row r="1445" ht="13" customHeight="1" s="189"/>
    <row r="1446" ht="13" customHeight="1" s="189"/>
    <row r="1447" ht="13" customHeight="1" s="189"/>
    <row r="1448" ht="13" customHeight="1" s="189"/>
    <row r="1449" ht="13" customHeight="1" s="189"/>
    <row r="1450" ht="13" customHeight="1" s="189"/>
    <row r="1451" ht="13" customHeight="1" s="189"/>
    <row r="1452" ht="13" customHeight="1" s="189"/>
    <row r="1453" ht="13" customHeight="1" s="189"/>
    <row r="1454" ht="13" customHeight="1" s="189"/>
    <row r="1455" ht="13" customHeight="1" s="189"/>
    <row r="1456" ht="13" customHeight="1" s="189"/>
    <row r="1457" ht="13" customHeight="1" s="189"/>
    <row r="1458" ht="13" customHeight="1" s="189"/>
    <row r="1459" ht="13" customHeight="1" s="189"/>
    <row r="1460" ht="13" customHeight="1" s="189"/>
    <row r="1461" ht="13" customHeight="1" s="189"/>
    <row r="1462" ht="13" customHeight="1" s="189"/>
    <row r="1463" ht="13" customHeight="1" s="189"/>
    <row r="1464" ht="13" customHeight="1" s="189"/>
    <row r="1465" ht="13" customHeight="1" s="189"/>
    <row r="1466" ht="13" customHeight="1" s="189"/>
    <row r="1467" ht="13" customHeight="1" s="189"/>
    <row r="1468" ht="13" customHeight="1" s="189"/>
    <row r="1469" ht="13" customHeight="1" s="189"/>
    <row r="1470" ht="13" customHeight="1" s="189"/>
    <row r="1471" ht="13" customHeight="1" s="189"/>
    <row r="1472" ht="13" customHeight="1" s="189"/>
    <row r="1473" ht="13" customHeight="1" s="189"/>
    <row r="1474" ht="13" customHeight="1" s="189"/>
    <row r="1475" ht="13" customHeight="1" s="189"/>
    <row r="1476" ht="13" customHeight="1" s="189"/>
    <row r="1477" ht="13" customHeight="1" s="189"/>
    <row r="1478" ht="13" customHeight="1" s="189"/>
    <row r="1479" ht="13" customHeight="1" s="189"/>
    <row r="1480" ht="13" customHeight="1" s="189"/>
    <row r="1481" ht="13" customHeight="1" s="189"/>
    <row r="1482" ht="13" customHeight="1" s="189"/>
    <row r="1483" ht="13" customHeight="1" s="189"/>
    <row r="1484" ht="13" customHeight="1" s="189"/>
    <row r="1485" ht="13" customHeight="1" s="189"/>
    <row r="1486" ht="13" customHeight="1" s="189"/>
    <row r="1487" ht="13" customHeight="1" s="189"/>
    <row r="1488" ht="13" customHeight="1" s="189"/>
    <row r="1489" ht="13" customHeight="1" s="189"/>
    <row r="1490" ht="13" customHeight="1" s="189"/>
    <row r="1491" ht="13" customHeight="1" s="189"/>
    <row r="1492" ht="13" customHeight="1" s="189"/>
    <row r="1493" ht="13" customHeight="1" s="189"/>
    <row r="1494" ht="13" customHeight="1" s="189"/>
    <row r="1495" ht="13" customHeight="1" s="189"/>
    <row r="1496" ht="13" customHeight="1" s="189"/>
    <row r="1497" ht="13" customHeight="1" s="189"/>
    <row r="1498" ht="13" customHeight="1" s="189"/>
    <row r="1499" ht="13" customHeight="1" s="189"/>
    <row r="1500" ht="13" customHeight="1" s="189"/>
    <row r="1501" ht="13" customHeight="1" s="189"/>
    <row r="1502" ht="13" customHeight="1" s="189"/>
    <row r="1503" ht="13" customHeight="1" s="189"/>
    <row r="1504" ht="13" customHeight="1" s="189"/>
    <row r="1505" ht="13" customHeight="1" s="189"/>
    <row r="1506" ht="13" customHeight="1" s="189"/>
    <row r="1507" ht="13" customHeight="1" s="189"/>
    <row r="1508" ht="13" customHeight="1" s="189"/>
    <row r="1509" ht="13" customHeight="1" s="189"/>
    <row r="1510" ht="13" customHeight="1" s="189"/>
    <row r="1511" ht="13" customHeight="1" s="189"/>
    <row r="1512" ht="13" customHeight="1" s="189"/>
    <row r="1513" ht="13" customHeight="1" s="189"/>
    <row r="1514" ht="13" customHeight="1" s="189"/>
    <row r="1515" ht="13" customHeight="1" s="189"/>
    <row r="1516" ht="13" customHeight="1" s="189"/>
    <row r="1517" ht="13" customHeight="1" s="189"/>
    <row r="1518" ht="13" customHeight="1" s="189"/>
    <row r="1519" ht="13" customHeight="1" s="189"/>
    <row r="1520" ht="13" customHeight="1" s="189"/>
    <row r="1521" ht="13" customHeight="1" s="189"/>
    <row r="1522" ht="13" customHeight="1" s="189"/>
    <row r="1523" ht="13" customHeight="1" s="189"/>
    <row r="1524" ht="13" customHeight="1" s="189"/>
    <row r="1525" ht="13" customHeight="1" s="189"/>
    <row r="1526" ht="13" customHeight="1" s="189"/>
    <row r="1527" ht="13" customHeight="1" s="189"/>
    <row r="1528" ht="13" customHeight="1" s="189"/>
    <row r="1529" ht="13" customHeight="1" s="189"/>
    <row r="1530" ht="13" customHeight="1" s="189"/>
    <row r="1531" ht="13" customHeight="1" s="189"/>
    <row r="1532" ht="13" customHeight="1" s="189"/>
    <row r="1533" ht="13" customHeight="1" s="189"/>
    <row r="1534" ht="13" customHeight="1" s="189"/>
    <row r="1535" ht="13" customHeight="1" s="189"/>
    <row r="1536" ht="13" customHeight="1" s="189"/>
    <row r="1537" ht="13" customHeight="1" s="189"/>
    <row r="1538" ht="13" customHeight="1" s="189"/>
    <row r="1539" ht="13" customHeight="1" s="189"/>
    <row r="1540" ht="13" customHeight="1" s="189"/>
    <row r="1541" ht="13" customHeight="1" s="189"/>
    <row r="1542" ht="13" customHeight="1" s="189"/>
    <row r="1543" ht="13" customHeight="1" s="189"/>
    <row r="1544" ht="13" customHeight="1" s="189"/>
    <row r="1545" ht="13" customHeight="1" s="189"/>
    <row r="1546" ht="13" customHeight="1" s="189"/>
    <row r="1547" ht="13" customHeight="1" s="189"/>
    <row r="1548" ht="13" customHeight="1" s="189"/>
    <row r="1549" ht="13" customHeight="1" s="189"/>
    <row r="1550" ht="13" customHeight="1" s="189"/>
    <row r="1551" ht="13" customHeight="1" s="189"/>
    <row r="1552" ht="13" customHeight="1" s="189"/>
    <row r="1553" ht="13" customHeight="1" s="189"/>
    <row r="1554" ht="13" customHeight="1" s="189"/>
    <row r="1555" ht="13" customHeight="1" s="189"/>
    <row r="1556" ht="13" customHeight="1" s="189"/>
    <row r="1557" ht="13" customHeight="1" s="189"/>
    <row r="1558" ht="13" customHeight="1" s="189"/>
    <row r="1559" ht="13" customHeight="1" s="189"/>
    <row r="1560" ht="13" customHeight="1" s="189"/>
    <row r="1561" ht="13" customHeight="1" s="189"/>
    <row r="1562" ht="13" customHeight="1" s="189"/>
    <row r="1563" ht="13" customHeight="1" s="189"/>
    <row r="1564" ht="13" customHeight="1" s="189"/>
    <row r="1565" ht="13" customHeight="1" s="189"/>
    <row r="1566" ht="13" customHeight="1" s="189"/>
    <row r="1567" ht="13" customHeight="1" s="189"/>
    <row r="1568" ht="13" customHeight="1" s="189"/>
    <row r="1569" ht="13" customHeight="1" s="189"/>
    <row r="1570" ht="13" customHeight="1" s="189"/>
    <row r="1571" ht="13" customHeight="1" s="189"/>
    <row r="1572" ht="13" customHeight="1" s="189"/>
    <row r="1573" ht="13" customHeight="1" s="189"/>
    <row r="1574" ht="13" customHeight="1" s="189"/>
    <row r="1575" ht="13" customHeight="1" s="189"/>
    <row r="1576" ht="13" customHeight="1" s="189"/>
    <row r="1577" ht="13" customHeight="1" s="189"/>
    <row r="1578" ht="13" customHeight="1" s="189"/>
    <row r="1579" ht="13" customHeight="1" s="189"/>
    <row r="1580" ht="13" customHeight="1" s="189"/>
    <row r="1581" ht="13" customHeight="1" s="189"/>
    <row r="1582" ht="13" customHeight="1" s="189"/>
    <row r="1583" ht="13" customHeight="1" s="189"/>
    <row r="1584" ht="13" customHeight="1" s="189"/>
    <row r="1585" ht="13" customHeight="1" s="189"/>
    <row r="1586" ht="13" customHeight="1" s="189"/>
    <row r="1587" ht="13" customHeight="1" s="189"/>
    <row r="1588" ht="13" customHeight="1" s="189"/>
    <row r="1589" ht="13" customHeight="1" s="189"/>
    <row r="1590" ht="13" customHeight="1" s="189"/>
    <row r="1591" ht="13" customHeight="1" s="189"/>
    <row r="1592" ht="13" customHeight="1" s="189"/>
    <row r="1593" ht="13" customHeight="1" s="189"/>
    <row r="1594" ht="13" customHeight="1" s="189"/>
    <row r="1595" ht="13" customHeight="1" s="189"/>
    <row r="1596" ht="13" customHeight="1" s="189"/>
    <row r="1597" ht="13" customHeight="1" s="189"/>
    <row r="1598" ht="13" customHeight="1" s="189"/>
    <row r="1599" ht="13" customHeight="1" s="189"/>
    <row r="1600" ht="13" customHeight="1" s="189"/>
    <row r="1601" ht="13" customHeight="1" s="189"/>
    <row r="1602" ht="13" customHeight="1" s="189"/>
    <row r="1603" ht="13" customHeight="1" s="189"/>
    <row r="1604" ht="13" customHeight="1" s="189"/>
    <row r="1605" ht="13" customHeight="1" s="189"/>
    <row r="1606" ht="13" customHeight="1" s="189"/>
    <row r="1607" ht="13" customHeight="1" s="189"/>
    <row r="1608" ht="13" customHeight="1" s="189"/>
    <row r="1609" ht="13" customHeight="1" s="189"/>
    <row r="1610" ht="13" customHeight="1" s="189"/>
    <row r="1611" ht="13" customHeight="1" s="189"/>
    <row r="1612" ht="13" customHeight="1" s="189"/>
    <row r="1613" ht="13" customHeight="1" s="189"/>
    <row r="1614" ht="13" customHeight="1" s="189"/>
    <row r="1615" ht="13" customHeight="1" s="189"/>
    <row r="1616" ht="13" customHeight="1" s="189"/>
    <row r="1617" ht="13" customHeight="1" s="189"/>
    <row r="1618" ht="13" customHeight="1" s="189"/>
    <row r="1619" ht="13" customHeight="1" s="189"/>
    <row r="1620" ht="13" customHeight="1" s="189"/>
    <row r="1621" ht="13" customHeight="1" s="189"/>
    <row r="1622" ht="13" customHeight="1" s="189"/>
    <row r="1623" ht="13" customHeight="1" s="189"/>
    <row r="1624" ht="13" customHeight="1" s="189"/>
    <row r="1625" ht="13" customHeight="1" s="189"/>
    <row r="1626" ht="13" customHeight="1" s="189"/>
    <row r="1627" ht="13" customHeight="1" s="189"/>
    <row r="1628" ht="13" customHeight="1" s="189"/>
    <row r="1629" ht="13" customHeight="1" s="189"/>
    <row r="1630" ht="13" customHeight="1" s="189"/>
    <row r="1631" ht="13" customHeight="1" s="189"/>
    <row r="1632" ht="13" customHeight="1" s="189"/>
    <row r="1633" ht="13" customHeight="1" s="189"/>
    <row r="1634" ht="13" customHeight="1" s="189"/>
    <row r="1635" ht="13" customHeight="1" s="189"/>
    <row r="1636" ht="13" customHeight="1" s="189"/>
    <row r="1637" ht="13" customHeight="1" s="189"/>
    <row r="1638" ht="13" customHeight="1" s="189"/>
    <row r="1639" ht="13" customHeight="1" s="189"/>
    <row r="1640" ht="13" customHeight="1" s="189"/>
    <row r="1641" ht="13" customHeight="1" s="189"/>
    <row r="1642" ht="13" customHeight="1" s="189"/>
    <row r="1643" ht="13" customHeight="1" s="189"/>
    <row r="1644" ht="13" customHeight="1" s="189"/>
    <row r="1645" ht="13" customHeight="1" s="189"/>
    <row r="1646" ht="13" customHeight="1" s="189"/>
    <row r="1647" ht="13" customHeight="1" s="189"/>
    <row r="1648" ht="13" customHeight="1" s="189"/>
    <row r="1649" ht="13" customHeight="1" s="189"/>
    <row r="1650" ht="13" customHeight="1" s="189"/>
    <row r="1651" ht="13" customHeight="1" s="189"/>
    <row r="1652" ht="13" customHeight="1" s="189"/>
    <row r="1653" ht="13" customHeight="1" s="189"/>
    <row r="1654" ht="13" customHeight="1" s="189"/>
    <row r="1655" ht="13" customHeight="1" s="189"/>
    <row r="1656" ht="13" customHeight="1" s="189"/>
    <row r="1657" ht="13" customHeight="1" s="189"/>
    <row r="1658" ht="13" customHeight="1" s="189"/>
    <row r="1659" ht="13" customHeight="1" s="189"/>
    <row r="1660" ht="13" customHeight="1" s="189"/>
    <row r="1661" ht="13" customHeight="1" s="189"/>
    <row r="1662" ht="13" customHeight="1" s="189"/>
    <row r="1663" ht="13" customHeight="1" s="189"/>
    <row r="1664" ht="13" customHeight="1" s="189"/>
    <row r="1665" ht="13" customHeight="1" s="189"/>
    <row r="1666" ht="13" customHeight="1" s="189"/>
    <row r="1667" ht="13" customHeight="1" s="189"/>
    <row r="1668" ht="13" customHeight="1" s="189"/>
    <row r="1669" ht="13" customHeight="1" s="189"/>
    <row r="1670" ht="13" customHeight="1" s="189"/>
    <row r="1671" ht="13" customHeight="1" s="189"/>
    <row r="1672" ht="13" customHeight="1" s="189"/>
    <row r="1673" ht="13" customHeight="1" s="189"/>
    <row r="1674" ht="13" customHeight="1" s="189"/>
    <row r="1675" ht="13" customHeight="1" s="189"/>
    <row r="1676" ht="13" customHeight="1" s="189"/>
    <row r="1677" ht="13" customHeight="1" s="189"/>
    <row r="1678" ht="13" customHeight="1" s="189"/>
    <row r="1679" ht="13" customHeight="1" s="189"/>
    <row r="1680" ht="13" customHeight="1" s="189"/>
    <row r="1681" ht="13" customHeight="1" s="189"/>
    <row r="1682" ht="13" customHeight="1" s="189"/>
    <row r="1683" ht="13" customHeight="1" s="189"/>
    <row r="1684" ht="13" customHeight="1" s="189"/>
    <row r="1685" ht="13" customHeight="1" s="189"/>
    <row r="1686" ht="13" customHeight="1" s="189"/>
    <row r="1687" ht="13" customHeight="1" s="189"/>
    <row r="1688" ht="13" customHeight="1" s="189"/>
    <row r="1689" ht="13" customHeight="1" s="189"/>
    <row r="1690" ht="13" customHeight="1" s="189"/>
    <row r="1691" ht="13" customHeight="1" s="189"/>
    <row r="1692" ht="13" customHeight="1" s="189"/>
    <row r="1693" ht="13" customHeight="1" s="189"/>
    <row r="1694" ht="13" customHeight="1" s="189"/>
    <row r="1695" ht="13" customHeight="1" s="189"/>
    <row r="1696" ht="13" customHeight="1" s="189"/>
    <row r="1697" ht="13" customHeight="1" s="189"/>
    <row r="1698" ht="13" customHeight="1" s="189"/>
    <row r="1699" ht="13" customHeight="1" s="189"/>
    <row r="1700" ht="13" customHeight="1" s="189"/>
    <row r="1701" ht="13" customHeight="1" s="189"/>
    <row r="1702" ht="13" customHeight="1" s="189"/>
    <row r="1703" ht="13" customHeight="1" s="189"/>
    <row r="1704" ht="13" customHeight="1" s="189"/>
    <row r="1705" ht="13" customHeight="1" s="189"/>
    <row r="1706" ht="13" customHeight="1" s="189"/>
    <row r="1707" ht="13" customHeight="1" s="189"/>
    <row r="1708" ht="13" customHeight="1" s="189"/>
    <row r="1709" ht="13" customHeight="1" s="189"/>
    <row r="1710" ht="13" customHeight="1" s="189"/>
    <row r="1711" ht="13" customHeight="1" s="189"/>
    <row r="1712" ht="13" customHeight="1" s="189"/>
    <row r="1713" ht="13" customHeight="1" s="189"/>
    <row r="1714" ht="13" customHeight="1" s="189"/>
    <row r="1715" ht="13" customHeight="1" s="189"/>
    <row r="1716" ht="13" customHeight="1" s="189"/>
    <row r="1717" ht="13" customHeight="1" s="189"/>
    <row r="1718" ht="13" customHeight="1" s="189"/>
    <row r="1719" ht="13" customHeight="1" s="189"/>
    <row r="1720" ht="13" customHeight="1" s="189"/>
    <row r="1721" ht="13" customHeight="1" s="189"/>
    <row r="1722" ht="13" customHeight="1" s="189"/>
    <row r="1723" ht="13" customHeight="1" s="189"/>
    <row r="1724" ht="13" customHeight="1" s="189"/>
    <row r="1725" ht="13" customHeight="1" s="189"/>
    <row r="1726" ht="13" customHeight="1" s="189"/>
    <row r="1727" ht="13" customHeight="1" s="189"/>
    <row r="1728" ht="13" customHeight="1" s="189"/>
    <row r="1729" ht="13" customHeight="1" s="189"/>
    <row r="1730" ht="13" customHeight="1" s="189"/>
    <row r="1731" ht="13" customHeight="1" s="189"/>
    <row r="1732" ht="13" customHeight="1" s="189"/>
    <row r="1733" ht="13" customHeight="1" s="189"/>
    <row r="1734" ht="13" customHeight="1" s="189"/>
    <row r="1735" ht="13" customHeight="1" s="189"/>
    <row r="1736" ht="13" customHeight="1" s="189"/>
    <row r="1737" ht="13" customHeight="1" s="189"/>
    <row r="1738" ht="13" customHeight="1" s="189"/>
    <row r="1739" ht="13" customHeight="1" s="189"/>
    <row r="1740" ht="13" customHeight="1" s="189"/>
    <row r="1741" ht="13" customHeight="1" s="189"/>
    <row r="1742" ht="13" customHeight="1" s="189"/>
    <row r="1743" ht="13" customHeight="1" s="189"/>
    <row r="1744" ht="13" customHeight="1" s="189"/>
    <row r="1745" ht="13" customHeight="1" s="189"/>
    <row r="1746" ht="13" customHeight="1" s="189"/>
    <row r="1747" ht="13" customHeight="1" s="189"/>
    <row r="1748" ht="13" customHeight="1" s="189"/>
    <row r="1749" ht="13" customHeight="1" s="189"/>
    <row r="1750" ht="13" customHeight="1" s="189"/>
    <row r="1751" ht="13" customHeight="1" s="189"/>
    <row r="1752" ht="13" customHeight="1" s="189"/>
    <row r="1753" ht="13" customHeight="1" s="189"/>
    <row r="1754" ht="13" customHeight="1" s="189"/>
    <row r="1755" ht="13" customHeight="1" s="189"/>
    <row r="1756" ht="13" customHeight="1" s="189"/>
    <row r="1757" ht="13" customHeight="1" s="189"/>
    <row r="1758" ht="13" customHeight="1" s="189"/>
    <row r="1759" ht="13" customHeight="1" s="189"/>
    <row r="1760" ht="13" customHeight="1" s="189"/>
    <row r="1761" ht="13" customHeight="1" s="189"/>
    <row r="1762" ht="13" customHeight="1" s="189"/>
    <row r="1763" ht="13" customHeight="1" s="189"/>
    <row r="1764" ht="13" customHeight="1" s="189"/>
    <row r="1765" ht="13" customHeight="1" s="189"/>
    <row r="1766" ht="13" customHeight="1" s="189"/>
    <row r="1767" ht="13" customHeight="1" s="189"/>
    <row r="1768" ht="13" customHeight="1" s="189"/>
    <row r="1769" ht="13" customHeight="1" s="189"/>
    <row r="1770" ht="13" customHeight="1" s="189"/>
    <row r="1771" ht="13" customHeight="1" s="189"/>
    <row r="1772" ht="13" customHeight="1" s="189"/>
    <row r="1773" ht="13" customHeight="1" s="189"/>
    <row r="1774" ht="13" customHeight="1" s="189"/>
    <row r="1775" ht="13" customHeight="1" s="189"/>
    <row r="1776" ht="13" customHeight="1" s="189"/>
    <row r="1777" ht="13" customHeight="1" s="189"/>
    <row r="1778" ht="13" customHeight="1" s="189"/>
    <row r="1779" ht="13" customHeight="1" s="189"/>
    <row r="1780" ht="13" customHeight="1" s="189"/>
    <row r="1781" ht="13" customHeight="1" s="189"/>
    <row r="1782" ht="13" customHeight="1" s="189"/>
    <row r="1783" ht="13" customHeight="1" s="189"/>
    <row r="1784" ht="13" customHeight="1" s="189"/>
    <row r="1785" ht="13" customHeight="1" s="189"/>
    <row r="1786" ht="13" customHeight="1" s="189"/>
    <row r="1787" ht="13" customHeight="1" s="189"/>
    <row r="1788" ht="13" customHeight="1" s="189"/>
    <row r="1789" ht="13" customHeight="1" s="189"/>
    <row r="1790" ht="13" customHeight="1" s="189"/>
    <row r="1791" ht="13" customHeight="1" s="189"/>
    <row r="1792" ht="13" customHeight="1" s="189"/>
    <row r="1793" ht="13" customHeight="1" s="189"/>
    <row r="1794" ht="13" customHeight="1" s="189"/>
    <row r="1795" ht="13" customHeight="1" s="189"/>
    <row r="1796" ht="13" customHeight="1" s="189"/>
    <row r="1797" ht="13" customHeight="1" s="189"/>
    <row r="1798" ht="13" customHeight="1" s="189"/>
    <row r="1799" ht="13" customHeight="1" s="189"/>
    <row r="1800" ht="13" customHeight="1" s="189"/>
    <row r="1801" ht="13" customHeight="1" s="189"/>
    <row r="1802" ht="13" customHeight="1" s="189"/>
    <row r="1803" ht="13" customHeight="1" s="189"/>
    <row r="1804" ht="13" customHeight="1" s="189"/>
    <row r="1805" ht="13" customHeight="1" s="189"/>
    <row r="1806" ht="13" customHeight="1" s="189"/>
    <row r="1807" ht="13" customHeight="1" s="189"/>
    <row r="1808" ht="13" customHeight="1" s="189"/>
    <row r="1809" ht="13" customHeight="1" s="189"/>
    <row r="1810" ht="13" customHeight="1" s="189"/>
    <row r="1811" ht="13" customHeight="1" s="189"/>
    <row r="1812" ht="13" customHeight="1" s="189"/>
    <row r="1813" ht="13" customHeight="1" s="189"/>
    <row r="1814" ht="13" customHeight="1" s="189"/>
    <row r="1815" ht="13" customHeight="1" s="189"/>
    <row r="1816" ht="13" customHeight="1" s="189"/>
    <row r="1817" ht="13" customHeight="1" s="189"/>
    <row r="1818" ht="13" customHeight="1" s="189"/>
    <row r="1819" ht="13" customHeight="1" s="189"/>
    <row r="1820" ht="13" customHeight="1" s="189"/>
    <row r="1821" ht="13" customHeight="1" s="189"/>
    <row r="1822" ht="13" customHeight="1" s="189"/>
    <row r="1823" ht="13" customHeight="1" s="189"/>
    <row r="1824" ht="13" customHeight="1" s="189"/>
    <row r="1825" ht="13" customHeight="1" s="189"/>
    <row r="1826" ht="13" customHeight="1" s="189"/>
    <row r="1827" ht="13" customHeight="1" s="189"/>
    <row r="1828" ht="13" customHeight="1" s="189"/>
    <row r="1829" ht="13" customHeight="1" s="189"/>
    <row r="1830" ht="13" customHeight="1" s="189"/>
    <row r="1831" ht="13" customHeight="1" s="189"/>
    <row r="1832" ht="13" customHeight="1" s="189"/>
    <row r="1833" ht="13" customHeight="1" s="189"/>
    <row r="1834" ht="13" customHeight="1" s="189"/>
    <row r="1835" ht="13" customHeight="1" s="189"/>
    <row r="1836" ht="13" customHeight="1" s="189"/>
    <row r="1837" ht="13" customHeight="1" s="189"/>
    <row r="1838" ht="13" customHeight="1" s="189"/>
    <row r="1839" ht="13" customHeight="1" s="189"/>
    <row r="1840" ht="13" customHeight="1" s="189"/>
    <row r="1841" ht="13" customHeight="1" s="189"/>
    <row r="1842" ht="13" customHeight="1" s="189"/>
    <row r="1843" ht="13" customHeight="1" s="189"/>
    <row r="1844" ht="13" customHeight="1" s="189"/>
    <row r="1845" ht="13" customHeight="1" s="189"/>
    <row r="1846" ht="13" customHeight="1" s="189"/>
    <row r="1847" ht="13" customHeight="1" s="189"/>
    <row r="1848" ht="13" customHeight="1" s="189"/>
    <row r="1849" ht="13" customHeight="1" s="189"/>
    <row r="1850" ht="13" customHeight="1" s="189"/>
    <row r="1851" ht="13" customHeight="1" s="189"/>
    <row r="1852" ht="13" customHeight="1" s="189"/>
    <row r="1853" ht="13" customHeight="1" s="189"/>
    <row r="1854" ht="13" customHeight="1" s="189"/>
    <row r="1855" ht="13" customHeight="1" s="189"/>
    <row r="1856" ht="13" customHeight="1" s="189"/>
    <row r="1857" ht="13" customHeight="1" s="189"/>
    <row r="1858" ht="13" customHeight="1" s="189"/>
    <row r="1859" ht="13" customHeight="1" s="189"/>
    <row r="1860" ht="13" customHeight="1" s="189"/>
    <row r="1861" ht="13" customHeight="1" s="189"/>
    <row r="1862" ht="13" customHeight="1" s="189"/>
    <row r="1863" ht="13" customHeight="1" s="189"/>
    <row r="1864" ht="13" customHeight="1" s="189"/>
    <row r="1865" ht="13" customHeight="1" s="189"/>
    <row r="1866" ht="13" customHeight="1" s="189"/>
    <row r="1867" ht="13" customHeight="1" s="189"/>
    <row r="1868" ht="13" customHeight="1" s="189"/>
    <row r="1869" ht="13" customHeight="1" s="189"/>
    <row r="1870" ht="13" customHeight="1" s="189"/>
    <row r="1871" ht="13" customHeight="1" s="189"/>
    <row r="1872" ht="13" customHeight="1" s="189"/>
    <row r="1873" ht="13" customHeight="1" s="189"/>
    <row r="1874" ht="13" customHeight="1" s="189"/>
    <row r="1875" ht="13" customHeight="1" s="189"/>
    <row r="1876" ht="13" customHeight="1" s="189"/>
    <row r="1877" ht="13" customHeight="1" s="189"/>
    <row r="1878" ht="13" customHeight="1" s="189"/>
    <row r="1879" ht="13" customHeight="1" s="189"/>
    <row r="1880" ht="13" customHeight="1" s="189"/>
  </sheetData>
  <mergeCells count="11">
    <mergeCell ref="C2:E2"/>
    <mergeCell ref="G4:H4"/>
    <mergeCell ref="A4:B4"/>
    <mergeCell ref="A1:H1"/>
    <mergeCell ref="A2:B2"/>
    <mergeCell ref="G2:H2"/>
    <mergeCell ref="C4:E4"/>
    <mergeCell ref="C3:E3"/>
    <mergeCell ref="A5:H5"/>
    <mergeCell ref="A3:B3"/>
    <mergeCell ref="G3:H3"/>
  </mergeCells>
  <printOptions horizontalCentered="0" verticalCentered="0" headings="0" gridLines="1"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K1024"/>
  <sheetViews>
    <sheetView showFormulas="0" showGridLines="1" showRowColHeaders="1" showZeros="1" rightToLeft="0" tabSelected="0" showOutlineSymbols="1" defaultGridColor="1" view="normal" topLeftCell="A16" colorId="64" zoomScale="100" zoomScaleNormal="100" zoomScalePageLayoutView="100" workbookViewId="0">
      <selection pane="topLeft" activeCell="K24" activeCellId="0" sqref="K24"/>
    </sheetView>
  </sheetViews>
  <sheetFormatPr baseColWidth="8" defaultColWidth="9.0546875" defaultRowHeight="12.5" zeroHeight="0" outlineLevelRow="0"/>
  <cols>
    <col width="3.17" customWidth="1" style="287" min="1" max="1"/>
    <col width="30.72" customWidth="1" style="188" min="2" max="2"/>
    <col width="10.72" customWidth="1" style="293" min="3" max="3"/>
    <col width="6.53" customWidth="1" style="293" min="4" max="4"/>
    <col width="6.17" customWidth="1" style="293" min="5" max="5"/>
    <col width="10.26" customWidth="1" style="293" min="6" max="6"/>
    <col width="11.26" customWidth="1" style="293" min="7" max="7"/>
    <col width="11.26" customWidth="1" style="188" min="8" max="9"/>
    <col width="20.72" customWidth="1" style="188" min="10" max="10"/>
  </cols>
  <sheetData>
    <row r="1" ht="15.5" customHeight="1" s="189">
      <c r="A1" s="243" t="inlineStr">
        <is>
          <t>Work Breakdown Structure</t>
        </is>
      </c>
      <c r="B1" s="213" t="n"/>
      <c r="C1" s="213" t="n"/>
      <c r="D1" s="213" t="n"/>
      <c r="E1" s="213" t="n"/>
      <c r="F1" s="213" t="n"/>
      <c r="G1" s="213" t="n"/>
      <c r="H1" s="213" t="n"/>
      <c r="I1" s="213" t="n"/>
      <c r="J1" s="213" t="n"/>
      <c r="K1" s="214" t="n"/>
    </row>
    <row r="2" ht="13" customHeight="1" s="189">
      <c r="A2" s="266" t="inlineStr">
        <is>
          <t>Project</t>
        </is>
      </c>
      <c r="B2" s="214" t="n"/>
      <c r="C2" s="294">
        <f>Data!B1</f>
        <v/>
      </c>
      <c r="D2" s="213" t="n"/>
      <c r="E2" s="213" t="n"/>
      <c r="F2" s="214" t="n"/>
      <c r="G2" s="266" t="inlineStr">
        <is>
          <t>Project #</t>
        </is>
      </c>
      <c r="H2" s="294">
        <f>Data!B2</f>
        <v/>
      </c>
      <c r="I2" s="213" t="n"/>
      <c r="J2" s="213" t="n"/>
      <c r="K2" s="214" t="n"/>
    </row>
    <row r="3" ht="13" customHeight="1" s="189">
      <c r="A3" s="266" t="inlineStr">
        <is>
          <t>Project manager</t>
        </is>
      </c>
      <c r="B3" s="214" t="n"/>
      <c r="C3" s="294">
        <f>Data!B3</f>
        <v/>
      </c>
      <c r="D3" s="213" t="n"/>
      <c r="E3" s="213" t="n"/>
      <c r="F3" s="214" t="n"/>
      <c r="G3" s="266" t="inlineStr">
        <is>
          <t>Sponsor</t>
        </is>
      </c>
      <c r="H3" s="294">
        <f>Data!B4</f>
        <v/>
      </c>
      <c r="I3" s="213" t="n"/>
      <c r="J3" s="213" t="n"/>
      <c r="K3" s="214" t="n"/>
    </row>
    <row r="4" ht="13" customHeight="1" s="189">
      <c r="A4" s="266" t="inlineStr">
        <is>
          <t>Project artifacts</t>
        </is>
      </c>
      <c r="B4" s="214" t="n"/>
      <c r="C4" s="294">
        <f>Data!B5</f>
        <v/>
      </c>
      <c r="D4" s="213" t="n"/>
      <c r="E4" s="213" t="n"/>
      <c r="F4" s="214" t="n"/>
      <c r="G4" s="266" t="inlineStr">
        <is>
          <t>Updated</t>
        </is>
      </c>
      <c r="H4" s="294">
        <f>Data!B6</f>
        <v/>
      </c>
      <c r="I4" s="213" t="n"/>
      <c r="J4" s="213" t="n"/>
      <c r="K4" s="214" t="n"/>
    </row>
    <row r="5" ht="12.5" customHeight="1" s="189">
      <c r="A5" s="288" t="n"/>
      <c r="B5" s="213" t="n"/>
      <c r="C5" s="213" t="n"/>
      <c r="D5" s="213" t="n"/>
      <c r="E5" s="213" t="n"/>
      <c r="F5" s="213" t="n"/>
      <c r="G5" s="213" t="n"/>
      <c r="H5" s="214" t="n"/>
      <c r="I5" s="222" t="n"/>
      <c r="J5" s="222" t="n"/>
      <c r="K5" s="222" t="n"/>
    </row>
    <row r="6" ht="66.75" customHeight="1" s="189">
      <c r="A6" s="281" t="inlineStr">
        <is>
          <t>ID</t>
        </is>
      </c>
      <c r="B6" s="281" t="inlineStr">
        <is>
          <t>Task</t>
        </is>
      </c>
      <c r="C6" s="282" t="inlineStr">
        <is>
          <t>Dependencies</t>
        </is>
      </c>
      <c r="D6" s="220" t="inlineStr">
        <is>
          <t>Status</t>
        </is>
      </c>
      <c r="E6" s="281" t="inlineStr">
        <is>
          <t>Effort Hours</t>
        </is>
      </c>
      <c r="F6" s="281" t="inlineStr">
        <is>
          <t>Cost</t>
        </is>
      </c>
      <c r="G6" s="220" t="inlineStr">
        <is>
          <t>Start Date</t>
        </is>
      </c>
      <c r="H6" s="281" t="inlineStr">
        <is>
          <t>Planned Completion</t>
        </is>
      </c>
      <c r="I6" s="281" t="inlineStr">
        <is>
          <t>Estimate to Completion</t>
        </is>
      </c>
      <c r="J6" s="281" t="inlineStr">
        <is>
          <t>Actual Completion</t>
        </is>
      </c>
      <c r="K6" s="281" t="inlineStr">
        <is>
          <t>Resource</t>
        </is>
      </c>
    </row>
    <row r="7" ht="21.75" customHeight="1" s="189">
      <c r="A7" s="272" t="n">
        <v>1</v>
      </c>
      <c r="B7" s="199" t="inlineStr">
        <is>
          <t>Project Initiation</t>
        </is>
      </c>
      <c r="C7" s="199" t="inlineStr"/>
      <c r="D7" s="272" t="inlineStr">
        <is>
          <t>Completed</t>
        </is>
      </c>
      <c r="E7" s="272" t="n">
        <v>16</v>
      </c>
      <c r="F7" s="285" t="n">
        <v>0</v>
      </c>
      <c r="G7" s="285" t="inlineStr">
        <is>
          <t>2026-01-10</t>
        </is>
      </c>
      <c r="H7" s="285" t="inlineStr">
        <is>
          <t>2026-01-20</t>
        </is>
      </c>
      <c r="I7" s="272" t="inlineStr"/>
      <c r="J7" s="200" t="inlineStr">
        <is>
          <t>2026-01-20</t>
        </is>
      </c>
      <c r="K7" s="222" t="inlineStr">
        <is>
          <t>Mohammedreda El aroui</t>
        </is>
      </c>
    </row>
    <row r="8" ht="21.75" customHeight="1" s="189">
      <c r="A8" s="272" t="n">
        <v>2</v>
      </c>
      <c r="B8" s="199" t="inlineStr">
        <is>
          <t>Define scope and objectives</t>
        </is>
      </c>
      <c r="C8" s="199" t="inlineStr">
        <is>
          <t>1</t>
        </is>
      </c>
      <c r="D8" s="272" t="inlineStr">
        <is>
          <t>Completed</t>
        </is>
      </c>
      <c r="E8" s="272" t="n">
        <v>8</v>
      </c>
      <c r="F8" s="272" t="n">
        <v>0</v>
      </c>
      <c r="G8" s="285" t="inlineStr">
        <is>
          <t>2026-01-10</t>
        </is>
      </c>
      <c r="H8" s="285" t="inlineStr">
        <is>
          <t>2026-01-15</t>
        </is>
      </c>
      <c r="I8" s="272" t="inlineStr"/>
      <c r="J8" s="200" t="inlineStr">
        <is>
          <t>2026-01-15</t>
        </is>
      </c>
      <c r="K8" s="222" t="inlineStr">
        <is>
          <t>Mohammedreda El aroui</t>
        </is>
      </c>
    </row>
    <row r="9" ht="21.75" customHeight="1" s="189">
      <c r="A9" s="272" t="n">
        <v>3</v>
      </c>
      <c r="B9" s="199" t="inlineStr">
        <is>
          <t>Stakeholder identification</t>
        </is>
      </c>
      <c r="C9" s="199" t="inlineStr">
        <is>
          <t>1</t>
        </is>
      </c>
      <c r="D9" s="272" t="inlineStr">
        <is>
          <t>Completed</t>
        </is>
      </c>
      <c r="E9" s="272" t="n">
        <v>4</v>
      </c>
      <c r="F9" s="285" t="n">
        <v>0</v>
      </c>
      <c r="G9" s="285" t="inlineStr">
        <is>
          <t>2026-01-12</t>
        </is>
      </c>
      <c r="H9" s="285" t="inlineStr">
        <is>
          <t>2026-01-16</t>
        </is>
      </c>
      <c r="I9" s="272" t="inlineStr"/>
      <c r="J9" s="200" t="inlineStr">
        <is>
          <t>2026-01-16</t>
        </is>
      </c>
      <c r="K9" s="222" t="inlineStr">
        <is>
          <t>Mohammedreda El aroui</t>
        </is>
      </c>
    </row>
    <row r="10" ht="21.75" customHeight="1" s="189">
      <c r="A10" s="272" t="n">
        <v>4</v>
      </c>
      <c r="B10" s="199" t="inlineStr">
        <is>
          <t>Project planning and scheduling</t>
        </is>
      </c>
      <c r="C10" s="199" t="inlineStr">
        <is>
          <t>2,3</t>
        </is>
      </c>
      <c r="D10" s="272" t="inlineStr">
        <is>
          <t>Completed</t>
        </is>
      </c>
      <c r="E10" s="272" t="n">
        <v>12</v>
      </c>
      <c r="F10" s="285" t="n">
        <v>0</v>
      </c>
      <c r="G10" s="285" t="inlineStr">
        <is>
          <t>2026-01-15</t>
        </is>
      </c>
      <c r="H10" s="285" t="inlineStr">
        <is>
          <t>2026-01-22</t>
        </is>
      </c>
      <c r="I10" s="272" t="inlineStr"/>
      <c r="J10" s="200" t="inlineStr">
        <is>
          <t>2026-01-22</t>
        </is>
      </c>
      <c r="K10" s="222" t="inlineStr">
        <is>
          <t>Mohammedreda El aroui</t>
        </is>
      </c>
    </row>
    <row r="11" ht="21.75" customHeight="1" s="189">
      <c r="A11" s="272" t="n">
        <v>5</v>
      </c>
      <c r="B11" s="199" t="inlineStr">
        <is>
          <t>Requirements gathering</t>
        </is>
      </c>
      <c r="C11" s="199" t="inlineStr">
        <is>
          <t>4</t>
        </is>
      </c>
      <c r="D11" s="272" t="inlineStr">
        <is>
          <t>Completed</t>
        </is>
      </c>
      <c r="E11" s="272" t="n">
        <v>20</v>
      </c>
      <c r="F11" s="285" t="n">
        <v>0</v>
      </c>
      <c r="G11" s="285" t="inlineStr">
        <is>
          <t>2026-01-18</t>
        </is>
      </c>
      <c r="H11" s="285" t="inlineStr">
        <is>
          <t>2026-01-28</t>
        </is>
      </c>
      <c r="I11" s="272" t="inlineStr"/>
      <c r="J11" s="200" t="inlineStr">
        <is>
          <t>2026-01-28</t>
        </is>
      </c>
      <c r="K11" s="222" t="inlineStr">
        <is>
          <t>Dev Lead</t>
        </is>
      </c>
    </row>
    <row r="12" ht="21.75" customHeight="1" s="189">
      <c r="A12" s="272" t="n">
        <v>6</v>
      </c>
      <c r="B12" s="199" t="inlineStr">
        <is>
          <t>System architecture design</t>
        </is>
      </c>
      <c r="C12" s="199" t="inlineStr">
        <is>
          <t>5</t>
        </is>
      </c>
      <c r="D12" s="272" t="inlineStr">
        <is>
          <t>Completed</t>
        </is>
      </c>
      <c r="E12" s="272" t="n">
        <v>16</v>
      </c>
      <c r="F12" s="285" t="n">
        <v>0</v>
      </c>
      <c r="G12" s="285" t="inlineStr">
        <is>
          <t>2026-01-25</t>
        </is>
      </c>
      <c r="H12" s="285" t="inlineStr">
        <is>
          <t>2026-02-05</t>
        </is>
      </c>
      <c r="I12" s="272" t="inlineStr"/>
      <c r="J12" s="200" t="inlineStr">
        <is>
          <t>2026-02-05</t>
        </is>
      </c>
      <c r="K12" s="222" t="inlineStr">
        <is>
          <t>Dev Lead</t>
        </is>
      </c>
    </row>
    <row r="13" ht="21.75" customHeight="1" s="189">
      <c r="A13" s="272" t="n">
        <v>7</v>
      </c>
      <c r="B13" s="199" t="inlineStr">
        <is>
          <t>Set up development environment</t>
        </is>
      </c>
      <c r="C13" s="199" t="inlineStr">
        <is>
          <t>6</t>
        </is>
      </c>
      <c r="D13" s="272" t="inlineStr">
        <is>
          <t>Completed</t>
        </is>
      </c>
      <c r="E13" s="272" t="n">
        <v>8</v>
      </c>
      <c r="F13" s="285" t="n">
        <v>0</v>
      </c>
      <c r="G13" s="285" t="inlineStr">
        <is>
          <t>2026-02-01</t>
        </is>
      </c>
      <c r="H13" s="285" t="inlineStr">
        <is>
          <t>2026-02-07</t>
        </is>
      </c>
      <c r="I13" s="272" t="inlineStr"/>
      <c r="J13" s="200" t="inlineStr">
        <is>
          <t>2026-02-07</t>
        </is>
      </c>
      <c r="K13" s="222" t="inlineStr">
        <is>
          <t>Dev Team</t>
        </is>
      </c>
    </row>
    <row r="14" ht="21.75" customHeight="1" s="189">
      <c r="A14" s="272" t="n">
        <v>8</v>
      </c>
      <c r="B14" s="199" t="inlineStr">
        <is>
          <t>Develop port scanning module</t>
        </is>
      </c>
      <c r="C14" s="199" t="inlineStr">
        <is>
          <t>7</t>
        </is>
      </c>
      <c r="D14" s="272" t="inlineStr">
        <is>
          <t>In Progress</t>
        </is>
      </c>
      <c r="E14" s="272" t="n">
        <v>30</v>
      </c>
      <c r="F14" s="285" t="n">
        <v>0</v>
      </c>
      <c r="G14" s="285" t="inlineStr">
        <is>
          <t>2026-02-08</t>
        </is>
      </c>
      <c r="H14" s="285" t="inlineStr">
        <is>
          <t>2026-02-20</t>
        </is>
      </c>
      <c r="I14" s="272" t="inlineStr">
        <is>
          <t>2026-02-20</t>
        </is>
      </c>
      <c r="J14" s="200" t="inlineStr"/>
      <c r="K14" s="222" t="inlineStr">
        <is>
          <t>Dev Team</t>
        </is>
      </c>
    </row>
    <row r="15" ht="21.75" customHeight="1" s="189">
      <c r="A15" s="272" t="n">
        <v>9</v>
      </c>
      <c r="B15" s="199" t="inlineStr">
        <is>
          <t>Develop password strength evaluator</t>
        </is>
      </c>
      <c r="C15" s="199" t="inlineStr">
        <is>
          <t>7</t>
        </is>
      </c>
      <c r="D15" s="272" t="inlineStr">
        <is>
          <t>In Progress</t>
        </is>
      </c>
      <c r="E15" s="272" t="n">
        <v>20</v>
      </c>
      <c r="F15" s="285" t="n">
        <v>0</v>
      </c>
      <c r="G15" s="285" t="inlineStr">
        <is>
          <t>2026-02-08</t>
        </is>
      </c>
      <c r="H15" s="285" t="inlineStr">
        <is>
          <t>2026-02-20</t>
        </is>
      </c>
      <c r="I15" s="272" t="inlineStr">
        <is>
          <t>2026-02-20</t>
        </is>
      </c>
      <c r="J15" s="200" t="inlineStr"/>
      <c r="K15" s="222" t="inlineStr">
        <is>
          <t>Dev Team</t>
        </is>
      </c>
    </row>
    <row r="16" ht="21.75" customHeight="1" s="189">
      <c r="A16" s="272" t="n">
        <v>10</v>
      </c>
      <c r="B16" s="199" t="inlineStr">
        <is>
          <t>Develop vulnerability/config checker</t>
        </is>
      </c>
      <c r="C16" s="199" t="inlineStr">
        <is>
          <t>8,9</t>
        </is>
      </c>
      <c r="D16" s="272" t="inlineStr">
        <is>
          <t>Not Started</t>
        </is>
      </c>
      <c r="E16" s="272" t="n">
        <v>40</v>
      </c>
      <c r="F16" s="285" t="n">
        <v>0</v>
      </c>
      <c r="G16" s="285" t="inlineStr">
        <is>
          <t>2026-02-20</t>
        </is>
      </c>
      <c r="H16" s="285" t="inlineStr">
        <is>
          <t>2026-03-10</t>
        </is>
      </c>
      <c r="I16" s="272" t="inlineStr">
        <is>
          <t>2026-03-10</t>
        </is>
      </c>
      <c r="J16" s="200" t="inlineStr"/>
      <c r="K16" s="222" t="inlineStr">
        <is>
          <t>Dev Team</t>
        </is>
      </c>
    </row>
    <row r="17" ht="21.75" customHeight="1" s="189">
      <c r="A17" s="272" t="n">
        <v>11</v>
      </c>
      <c r="B17" s="199" t="inlineStr">
        <is>
          <t>Develop risk scoring algorithm</t>
        </is>
      </c>
      <c r="C17" s="199" t="inlineStr">
        <is>
          <t>10</t>
        </is>
      </c>
      <c r="D17" s="272" t="inlineStr">
        <is>
          <t>Not Started</t>
        </is>
      </c>
      <c r="E17" s="272" t="n">
        <v>24</v>
      </c>
      <c r="F17" s="285" t="n">
        <v>0</v>
      </c>
      <c r="G17" s="285" t="inlineStr">
        <is>
          <t>2026-03-01</t>
        </is>
      </c>
      <c r="H17" s="285" t="inlineStr">
        <is>
          <t>2026-03-15</t>
        </is>
      </c>
      <c r="I17" s="272" t="inlineStr">
        <is>
          <t>2026-03-15</t>
        </is>
      </c>
      <c r="J17" s="200" t="inlineStr"/>
      <c r="K17" s="222" t="inlineStr">
        <is>
          <t>Dev Lead</t>
        </is>
      </c>
    </row>
    <row r="18" ht="21.75" customHeight="1" s="189">
      <c r="A18" s="272" t="n">
        <v>12</v>
      </c>
      <c r="B18" s="199" t="inlineStr">
        <is>
          <t>Build dashboard/report UI</t>
        </is>
      </c>
      <c r="C18" s="199" t="inlineStr">
        <is>
          <t>11</t>
        </is>
      </c>
      <c r="D18" s="272" t="inlineStr">
        <is>
          <t>Not Started</t>
        </is>
      </c>
      <c r="E18" s="272" t="n">
        <v>40</v>
      </c>
      <c r="F18" s="285" t="n">
        <v>0</v>
      </c>
      <c r="G18" s="285" t="inlineStr">
        <is>
          <t>2026-03-10</t>
        </is>
      </c>
      <c r="H18" s="285" t="inlineStr">
        <is>
          <t>2026-04-01</t>
        </is>
      </c>
      <c r="I18" s="272" t="inlineStr">
        <is>
          <t>2026-04-01</t>
        </is>
      </c>
      <c r="J18" s="200" t="inlineStr"/>
      <c r="K18" s="222" t="inlineStr">
        <is>
          <t>Dev Team</t>
        </is>
      </c>
    </row>
    <row r="19" ht="21.75" customHeight="1" s="189">
      <c r="A19" s="272" t="n">
        <v>13</v>
      </c>
      <c r="B19" s="199" t="inlineStr">
        <is>
          <t>Internal QA testing</t>
        </is>
      </c>
      <c r="C19" s="199" t="inlineStr">
        <is>
          <t>12</t>
        </is>
      </c>
      <c r="D19" s="272" t="inlineStr">
        <is>
          <t>Not Started</t>
        </is>
      </c>
      <c r="E19" s="272" t="n">
        <v>20</v>
      </c>
      <c r="F19" s="285" t="n">
        <v>0</v>
      </c>
      <c r="G19" s="285" t="inlineStr">
        <is>
          <t>2026-04-01</t>
        </is>
      </c>
      <c r="H19" s="285" t="inlineStr">
        <is>
          <t>2026-04-15</t>
        </is>
      </c>
      <c r="I19" s="272" t="inlineStr">
        <is>
          <t>2026-04-15</t>
        </is>
      </c>
      <c r="J19" s="200" t="inlineStr"/>
      <c r="K19" s="222" t="inlineStr">
        <is>
          <t>QA Team</t>
        </is>
      </c>
    </row>
    <row r="20" ht="21.75" customHeight="1" s="189">
      <c r="A20" s="272" t="n">
        <v>14</v>
      </c>
      <c r="B20" s="199" t="inlineStr">
        <is>
          <t>Beta user testing</t>
        </is>
      </c>
      <c r="C20" s="199" t="inlineStr">
        <is>
          <t>13</t>
        </is>
      </c>
      <c r="D20" s="272" t="inlineStr">
        <is>
          <t>Not Started</t>
        </is>
      </c>
      <c r="E20" s="272" t="n">
        <v>16</v>
      </c>
      <c r="F20" s="285" t="n">
        <v>0</v>
      </c>
      <c r="G20" s="285" t="inlineStr">
        <is>
          <t>2026-04-15</t>
        </is>
      </c>
      <c r="H20" s="285" t="inlineStr">
        <is>
          <t>2026-04-30</t>
        </is>
      </c>
      <c r="I20" s="272" t="inlineStr">
        <is>
          <t>2026-04-30</t>
        </is>
      </c>
      <c r="J20" s="200" t="inlineStr"/>
      <c r="K20" s="222" t="inlineStr">
        <is>
          <t>QA Team</t>
        </is>
      </c>
    </row>
    <row r="21" ht="21.75" customHeight="1" s="189">
      <c r="A21" s="272" t="n">
        <v>15</v>
      </c>
      <c r="B21" s="199" t="inlineStr">
        <is>
          <t>Project closure and documentation</t>
        </is>
      </c>
      <c r="C21" s="199" t="inlineStr">
        <is>
          <t>14</t>
        </is>
      </c>
      <c r="D21" s="272" t="inlineStr">
        <is>
          <t>Not Started</t>
        </is>
      </c>
      <c r="E21" s="272" t="n">
        <v>12</v>
      </c>
      <c r="F21" s="285" t="n">
        <v>0</v>
      </c>
      <c r="G21" s="285" t="inlineStr">
        <is>
          <t>2026-04-30</t>
        </is>
      </c>
      <c r="H21" s="285" t="inlineStr">
        <is>
          <t>2026-05-07</t>
        </is>
      </c>
      <c r="I21" s="272" t="inlineStr">
        <is>
          <t>2026-05-07</t>
        </is>
      </c>
      <c r="J21" s="200" t="inlineStr"/>
      <c r="K21" s="222" t="inlineStr">
        <is>
          <t>Mohammedreda El aroui</t>
        </is>
      </c>
    </row>
    <row r="22" ht="21.75" customHeight="1" s="189">
      <c r="A22" s="272" t="n"/>
      <c r="B22" s="199" t="n"/>
      <c r="C22" s="199" t="n"/>
      <c r="D22" s="272" t="n"/>
      <c r="E22" s="272" t="n"/>
      <c r="F22" s="285" t="n"/>
      <c r="G22" s="285" t="n"/>
      <c r="H22" s="285" t="n"/>
      <c r="I22" s="272" t="n"/>
      <c r="J22" s="200" t="n"/>
      <c r="K22" s="222" t="n"/>
    </row>
    <row r="23" ht="21.75" customHeight="1" s="189">
      <c r="A23" s="289" t="n"/>
      <c r="B23" s="290" t="n"/>
      <c r="C23" s="290" t="n"/>
      <c r="D23" s="289" t="n"/>
      <c r="E23" s="289" t="n"/>
      <c r="F23" s="291" t="n"/>
      <c r="G23" s="291" t="n"/>
      <c r="H23" s="291" t="n"/>
      <c r="I23" s="289" t="n"/>
      <c r="J23" s="203" t="n"/>
    </row>
    <row r="24" ht="13" customHeight="1" s="189">
      <c r="A24" s="289" t="n"/>
      <c r="B24" s="290" t="n"/>
      <c r="C24" s="290" t="n"/>
      <c r="D24" s="289" t="n"/>
      <c r="E24" s="289" t="n"/>
      <c r="F24" s="291" t="n"/>
      <c r="G24" s="291" t="n"/>
      <c r="H24" s="291" t="n"/>
      <c r="I24" s="289" t="n"/>
      <c r="J24" s="203" t="n"/>
      <c r="K24" s="201" t="inlineStr">
        <is>
          <t>© Global Knowledge Training LLC</t>
        </is>
      </c>
    </row>
    <row r="25" ht="21.75" customHeight="1" s="189">
      <c r="A25" s="289" t="n"/>
      <c r="B25" s="290" t="n"/>
      <c r="C25" s="290" t="n"/>
      <c r="D25" s="289" t="n"/>
      <c r="E25" s="289" t="n"/>
      <c r="F25" s="291" t="n"/>
      <c r="G25" s="291" t="n"/>
      <c r="H25" s="291" t="n"/>
      <c r="I25" s="289" t="n"/>
      <c r="J25" s="203" t="n"/>
    </row>
    <row r="26" ht="21.75" customHeight="1" s="189">
      <c r="A26" s="289" t="n"/>
      <c r="B26" s="290" t="n"/>
      <c r="C26" s="290" t="n"/>
      <c r="D26" s="289" t="n"/>
      <c r="E26" s="289" t="n"/>
      <c r="F26" s="291" t="n"/>
      <c r="G26" s="291" t="n"/>
      <c r="H26" s="291" t="n"/>
      <c r="I26" s="289" t="n"/>
      <c r="J26" s="203" t="n"/>
    </row>
    <row r="27" ht="13" customHeight="1" s="189">
      <c r="A27" s="289" t="n"/>
      <c r="B27" s="290" t="n"/>
      <c r="C27" s="290" t="n"/>
      <c r="D27" s="289" t="n"/>
      <c r="E27" s="289" t="n"/>
      <c r="F27" s="291" t="n"/>
      <c r="G27" s="291" t="n"/>
      <c r="H27" s="291" t="n"/>
      <c r="I27" s="289" t="n"/>
      <c r="J27" s="203" t="n"/>
    </row>
    <row r="28" ht="13" customHeight="1" s="189">
      <c r="A28" s="289" t="n"/>
      <c r="B28" s="290" t="n"/>
      <c r="C28" s="290" t="n"/>
      <c r="D28" s="289" t="n"/>
      <c r="E28" s="289" t="n"/>
      <c r="F28" s="291" t="n"/>
      <c r="G28" s="291" t="n"/>
      <c r="H28" s="291" t="n"/>
      <c r="I28" s="289" t="n"/>
      <c r="J28" s="203" t="n"/>
    </row>
    <row r="29" ht="13" customHeight="1" s="189">
      <c r="A29" s="289" t="n"/>
      <c r="B29" s="290" t="n"/>
      <c r="C29" s="290" t="n"/>
      <c r="D29" s="289" t="n"/>
      <c r="E29" s="289" t="n"/>
      <c r="F29" s="291" t="n"/>
      <c r="G29" s="291" t="n"/>
      <c r="H29" s="291" t="n"/>
      <c r="I29" s="289" t="n"/>
      <c r="J29" s="203" t="n"/>
    </row>
    <row r="30" ht="13" customHeight="1" s="189">
      <c r="A30" s="289" t="n"/>
      <c r="B30" s="290" t="n"/>
      <c r="C30" s="290" t="n"/>
      <c r="D30" s="289" t="n"/>
      <c r="E30" s="289" t="n"/>
      <c r="F30" s="291" t="n"/>
      <c r="G30" s="291" t="n"/>
      <c r="H30" s="291" t="n"/>
      <c r="I30" s="289" t="n"/>
      <c r="J30" s="203" t="n"/>
    </row>
    <row r="31" ht="13" customHeight="1" s="189">
      <c r="A31" s="289" t="n"/>
      <c r="B31" s="290" t="n"/>
      <c r="C31" s="290" t="n"/>
      <c r="D31" s="289" t="n"/>
      <c r="E31" s="289" t="n"/>
      <c r="F31" s="291" t="n"/>
      <c r="G31" s="291" t="n"/>
      <c r="H31" s="291" t="n"/>
      <c r="I31" s="289" t="n"/>
      <c r="J31" s="203" t="n"/>
    </row>
    <row r="32" ht="13" customHeight="1" s="189">
      <c r="A32" s="289" t="n"/>
      <c r="B32" s="290" t="n"/>
      <c r="C32" s="290" t="n"/>
      <c r="D32" s="289" t="n"/>
      <c r="E32" s="289" t="n"/>
      <c r="F32" s="291" t="n"/>
      <c r="G32" s="291" t="n"/>
      <c r="H32" s="291" t="n"/>
      <c r="I32" s="289" t="n"/>
      <c r="J32" s="203" t="n"/>
    </row>
    <row r="33" ht="13" customHeight="1" s="189">
      <c r="A33" s="289" t="n"/>
      <c r="B33" s="290" t="n"/>
      <c r="C33" s="290" t="n"/>
      <c r="D33" s="289" t="n"/>
      <c r="E33" s="289" t="n"/>
      <c r="F33" s="291" t="n"/>
      <c r="G33" s="291" t="n"/>
      <c r="H33" s="291" t="n"/>
      <c r="I33" s="289" t="n"/>
      <c r="J33" s="203" t="n"/>
    </row>
    <row r="34" ht="13" customHeight="1" s="189">
      <c r="A34" s="289" t="n"/>
      <c r="B34" s="290" t="n"/>
      <c r="C34" s="290" t="n"/>
      <c r="D34" s="289" t="n"/>
      <c r="E34" s="289" t="n"/>
      <c r="F34" s="291" t="n"/>
      <c r="G34" s="291" t="n"/>
      <c r="H34" s="291" t="n"/>
      <c r="I34" s="289" t="n"/>
      <c r="J34" s="203" t="n"/>
    </row>
    <row r="35" ht="13" customHeight="1" s="189">
      <c r="A35" s="289" t="n"/>
      <c r="B35" s="290" t="n"/>
      <c r="C35" s="290" t="n"/>
      <c r="D35" s="289" t="n"/>
      <c r="E35" s="289" t="n"/>
      <c r="F35" s="291" t="n"/>
      <c r="G35" s="291" t="n"/>
      <c r="H35" s="291" t="n"/>
      <c r="I35" s="289" t="n"/>
      <c r="J35" s="203" t="n"/>
    </row>
    <row r="36" ht="13" customHeight="1" s="189">
      <c r="A36" s="289" t="n"/>
      <c r="B36" s="290" t="n"/>
      <c r="C36" s="290" t="n"/>
      <c r="D36" s="289" t="n"/>
      <c r="E36" s="289" t="n"/>
      <c r="F36" s="291" t="n"/>
      <c r="G36" s="291" t="n"/>
      <c r="H36" s="291" t="n"/>
      <c r="I36" s="289" t="n"/>
      <c r="J36" s="203" t="n"/>
    </row>
    <row r="37" ht="13" customHeight="1" s="189">
      <c r="A37" s="289" t="n"/>
      <c r="B37" s="290" t="n"/>
      <c r="C37" s="290" t="n"/>
      <c r="D37" s="289" t="n"/>
      <c r="E37" s="289" t="n"/>
      <c r="F37" s="291" t="n"/>
      <c r="G37" s="291" t="n"/>
      <c r="H37" s="291" t="n"/>
      <c r="I37" s="289" t="n"/>
      <c r="J37" s="203" t="n"/>
    </row>
    <row r="38" ht="13" customHeight="1" s="189">
      <c r="A38" s="289" t="n"/>
      <c r="B38" s="290" t="n"/>
      <c r="C38" s="290" t="n"/>
      <c r="D38" s="289" t="n"/>
      <c r="E38" s="289" t="n"/>
      <c r="F38" s="291" t="n"/>
      <c r="G38" s="291" t="n"/>
      <c r="H38" s="291" t="n"/>
      <c r="I38" s="289" t="n"/>
      <c r="J38" s="203" t="n"/>
    </row>
    <row r="39" ht="13" customHeight="1" s="189">
      <c r="A39" s="289" t="n"/>
      <c r="B39" s="290" t="n"/>
      <c r="C39" s="290" t="n"/>
      <c r="D39" s="289" t="n"/>
      <c r="E39" s="289" t="n"/>
      <c r="F39" s="291" t="n"/>
      <c r="G39" s="291" t="n"/>
      <c r="H39" s="291" t="n"/>
      <c r="I39" s="289" t="n"/>
      <c r="J39" s="203" t="n"/>
    </row>
    <row r="40" ht="13" customHeight="1" s="189">
      <c r="A40" s="289" t="n"/>
      <c r="B40" s="290" t="n"/>
      <c r="C40" s="290" t="n"/>
      <c r="D40" s="289" t="n"/>
      <c r="E40" s="289" t="n"/>
      <c r="F40" s="291" t="n"/>
      <c r="G40" s="291" t="n"/>
      <c r="H40" s="291" t="n"/>
      <c r="I40" s="289" t="n"/>
      <c r="J40" s="203" t="n"/>
    </row>
    <row r="41" ht="13" customHeight="1" s="189">
      <c r="A41" s="289" t="n"/>
      <c r="B41" s="290" t="n"/>
      <c r="C41" s="290" t="n"/>
      <c r="D41" s="289" t="n"/>
      <c r="E41" s="289" t="n"/>
      <c r="F41" s="291" t="n"/>
      <c r="G41" s="291" t="n"/>
      <c r="H41" s="291" t="n"/>
      <c r="I41" s="289" t="n"/>
      <c r="J41" s="203" t="n"/>
    </row>
    <row r="42" ht="13" customHeight="1" s="189">
      <c r="A42" s="289" t="n"/>
      <c r="B42" s="290" t="n"/>
      <c r="C42" s="290" t="n"/>
      <c r="D42" s="289" t="n"/>
      <c r="E42" s="289" t="n"/>
      <c r="F42" s="291" t="n"/>
      <c r="G42" s="291" t="n"/>
      <c r="H42" s="291" t="n"/>
      <c r="I42" s="289" t="n"/>
      <c r="J42" s="203" t="n"/>
    </row>
    <row r="43" ht="13" customHeight="1" s="189">
      <c r="A43" s="289" t="n"/>
      <c r="B43" s="290" t="n"/>
      <c r="C43" s="290" t="n"/>
      <c r="D43" s="289" t="n"/>
      <c r="E43" s="289" t="n"/>
      <c r="F43" s="291" t="n"/>
      <c r="G43" s="291" t="n"/>
      <c r="H43" s="291" t="n"/>
      <c r="I43" s="289" t="n"/>
      <c r="J43" s="203" t="n"/>
    </row>
    <row r="44" ht="13" customHeight="1" s="189">
      <c r="A44" s="289" t="n"/>
      <c r="B44" s="290" t="n"/>
      <c r="C44" s="290" t="n"/>
      <c r="D44" s="289" t="n"/>
      <c r="E44" s="289" t="n"/>
      <c r="F44" s="291" t="n"/>
      <c r="G44" s="291" t="n"/>
      <c r="H44" s="291" t="n"/>
      <c r="I44" s="289" t="n"/>
      <c r="J44" s="203" t="n"/>
    </row>
    <row r="45" ht="13" customHeight="1" s="189">
      <c r="A45" s="289" t="n"/>
      <c r="B45" s="290" t="n"/>
      <c r="C45" s="290" t="n"/>
      <c r="D45" s="289" t="n"/>
      <c r="E45" s="289" t="n"/>
      <c r="F45" s="291" t="n"/>
      <c r="G45" s="291" t="n"/>
      <c r="H45" s="291" t="n"/>
      <c r="I45" s="289" t="n"/>
      <c r="J45" s="203" t="n"/>
    </row>
    <row r="46" ht="13" customHeight="1" s="189">
      <c r="A46" s="289" t="n"/>
      <c r="B46" s="290" t="n"/>
      <c r="C46" s="290" t="n"/>
      <c r="D46" s="289" t="n"/>
      <c r="E46" s="289" t="n"/>
      <c r="F46" s="291" t="n"/>
      <c r="G46" s="291" t="n"/>
      <c r="H46" s="291" t="n"/>
      <c r="I46" s="289" t="n"/>
      <c r="J46" s="203" t="n"/>
    </row>
    <row r="47" ht="13" customHeight="1" s="189">
      <c r="A47" s="289" t="n"/>
      <c r="B47" s="290" t="n"/>
      <c r="C47" s="290" t="n"/>
      <c r="D47" s="289" t="n"/>
      <c r="E47" s="289" t="n"/>
      <c r="F47" s="291" t="n"/>
      <c r="G47" s="291" t="n"/>
      <c r="H47" s="291" t="n"/>
      <c r="I47" s="289" t="n"/>
      <c r="J47" s="203" t="n"/>
    </row>
    <row r="48" ht="13" customHeight="1" s="189">
      <c r="A48" s="289" t="n"/>
      <c r="B48" s="290" t="n"/>
      <c r="C48" s="290" t="n"/>
      <c r="D48" s="289" t="n"/>
      <c r="E48" s="289" t="n"/>
      <c r="F48" s="291" t="n"/>
      <c r="G48" s="291" t="n"/>
      <c r="H48" s="291" t="n"/>
      <c r="I48" s="289" t="n"/>
      <c r="J48" s="203" t="n"/>
    </row>
    <row r="49" ht="13" customHeight="1" s="189">
      <c r="A49" s="289" t="n"/>
      <c r="B49" s="290" t="n"/>
      <c r="C49" s="290" t="n"/>
      <c r="D49" s="289" t="n"/>
      <c r="E49" s="289" t="n"/>
      <c r="F49" s="291" t="n"/>
      <c r="G49" s="291" t="n"/>
      <c r="H49" s="291" t="n"/>
      <c r="I49" s="289" t="n"/>
      <c r="J49" s="203" t="n"/>
    </row>
    <row r="50" ht="13" customHeight="1" s="189">
      <c r="A50" s="289" t="n"/>
      <c r="B50" s="290" t="n"/>
      <c r="C50" s="290" t="n"/>
      <c r="D50" s="289" t="n"/>
      <c r="E50" s="289" t="n"/>
      <c r="F50" s="291" t="n"/>
      <c r="G50" s="291" t="n"/>
      <c r="H50" s="291" t="n"/>
      <c r="I50" s="289" t="n"/>
      <c r="J50" s="203" t="n"/>
    </row>
    <row r="51" ht="13" customHeight="1" s="189">
      <c r="A51" s="289" t="n"/>
      <c r="B51" s="290" t="n"/>
      <c r="C51" s="290" t="n"/>
      <c r="D51" s="289" t="n"/>
      <c r="E51" s="289" t="n"/>
      <c r="F51" s="291" t="n"/>
      <c r="G51" s="291" t="n"/>
      <c r="H51" s="291" t="n"/>
      <c r="I51" s="289" t="n"/>
      <c r="J51" s="203" t="n"/>
    </row>
    <row r="52" ht="13" customHeight="1" s="189">
      <c r="A52" s="289" t="n"/>
      <c r="B52" s="290" t="n"/>
      <c r="C52" s="290" t="n"/>
      <c r="D52" s="289" t="n"/>
      <c r="E52" s="289" t="n"/>
      <c r="F52" s="291" t="n"/>
      <c r="G52" s="291" t="n"/>
      <c r="H52" s="291" t="n"/>
      <c r="I52" s="289" t="n"/>
      <c r="J52" s="203" t="n"/>
    </row>
    <row r="53" ht="13" customHeight="1" s="189">
      <c r="A53" s="289" t="n"/>
      <c r="B53" s="290" t="n"/>
      <c r="C53" s="290" t="n"/>
      <c r="D53" s="289" t="n"/>
      <c r="E53" s="289" t="n"/>
      <c r="F53" s="291" t="n"/>
      <c r="G53" s="291" t="n"/>
      <c r="H53" s="291" t="n"/>
      <c r="I53" s="289" t="n"/>
      <c r="J53" s="203" t="n"/>
    </row>
    <row r="54" ht="13" customHeight="1" s="189">
      <c r="A54" s="289" t="n"/>
      <c r="B54" s="290" t="n"/>
      <c r="C54" s="290" t="n"/>
      <c r="D54" s="289" t="n"/>
      <c r="E54" s="289" t="n"/>
      <c r="F54" s="291" t="n"/>
      <c r="G54" s="291" t="n"/>
      <c r="H54" s="291" t="n"/>
      <c r="I54" s="289" t="n"/>
      <c r="J54" s="203" t="n"/>
    </row>
    <row r="55" ht="13" customHeight="1" s="189">
      <c r="A55" s="289" t="n"/>
      <c r="B55" s="290" t="n"/>
      <c r="C55" s="290" t="n"/>
      <c r="D55" s="289" t="n"/>
      <c r="E55" s="289" t="n"/>
      <c r="F55" s="291" t="n"/>
      <c r="G55" s="291" t="n"/>
      <c r="H55" s="291" t="n"/>
      <c r="I55" s="289" t="n"/>
      <c r="J55" s="203" t="n"/>
    </row>
    <row r="56" ht="13" customHeight="1" s="189">
      <c r="A56" s="289" t="n"/>
      <c r="B56" s="290" t="n"/>
      <c r="C56" s="290" t="n"/>
      <c r="D56" s="289" t="n"/>
      <c r="E56" s="289" t="n"/>
      <c r="F56" s="291" t="n"/>
      <c r="G56" s="291" t="n"/>
      <c r="H56" s="291" t="n"/>
      <c r="I56" s="289" t="n"/>
      <c r="J56" s="203" t="n"/>
    </row>
    <row r="57" ht="13" customHeight="1" s="189">
      <c r="A57" s="289" t="n"/>
      <c r="B57" s="290" t="n"/>
      <c r="C57" s="290" t="n"/>
      <c r="D57" s="289" t="n"/>
      <c r="E57" s="289" t="n"/>
      <c r="F57" s="291" t="n"/>
      <c r="G57" s="291" t="n"/>
      <c r="H57" s="291" t="n"/>
      <c r="I57" s="289" t="n"/>
      <c r="J57" s="203" t="n"/>
    </row>
    <row r="58" ht="13" customHeight="1" s="189">
      <c r="A58" s="289" t="n"/>
      <c r="B58" s="290" t="n"/>
      <c r="C58" s="290" t="n"/>
      <c r="D58" s="289" t="n"/>
      <c r="E58" s="289" t="n"/>
      <c r="F58" s="291" t="n"/>
      <c r="G58" s="291" t="n"/>
      <c r="H58" s="291" t="n"/>
      <c r="I58" s="289" t="n"/>
      <c r="J58" s="203" t="n"/>
    </row>
    <row r="59" ht="13" customHeight="1" s="189">
      <c r="A59" s="289" t="n"/>
      <c r="B59" s="290" t="n"/>
      <c r="C59" s="290" t="n"/>
      <c r="D59" s="289" t="n"/>
      <c r="E59" s="289" t="n"/>
      <c r="F59" s="291" t="n"/>
      <c r="G59" s="291" t="n"/>
      <c r="H59" s="291" t="n"/>
      <c r="I59" s="289" t="n"/>
      <c r="J59" s="203" t="n"/>
    </row>
    <row r="60" ht="13" customHeight="1" s="189">
      <c r="A60" s="289" t="n"/>
      <c r="B60" s="290" t="n"/>
      <c r="C60" s="290" t="n"/>
      <c r="D60" s="289" t="n"/>
      <c r="E60" s="289" t="n"/>
      <c r="F60" s="291" t="n"/>
      <c r="G60" s="291" t="n"/>
      <c r="H60" s="291" t="n"/>
      <c r="I60" s="289" t="n"/>
      <c r="J60" s="203" t="n"/>
    </row>
    <row r="61" ht="13" customHeight="1" s="189">
      <c r="A61" s="289" t="n"/>
      <c r="B61" s="290" t="n"/>
      <c r="C61" s="290" t="n"/>
      <c r="D61" s="289" t="n"/>
      <c r="E61" s="289" t="n"/>
      <c r="F61" s="291" t="n"/>
      <c r="G61" s="291" t="n"/>
      <c r="H61" s="291" t="n"/>
      <c r="I61" s="289" t="n"/>
      <c r="J61" s="203" t="n"/>
    </row>
    <row r="62" ht="13" customHeight="1" s="189">
      <c r="A62" s="289" t="n"/>
      <c r="B62" s="290" t="n"/>
      <c r="C62" s="290" t="n"/>
      <c r="D62" s="289" t="n"/>
      <c r="E62" s="289" t="n"/>
      <c r="F62" s="291" t="n"/>
      <c r="G62" s="291" t="n"/>
      <c r="H62" s="291" t="n"/>
      <c r="I62" s="289" t="n"/>
      <c r="J62" s="203" t="n"/>
    </row>
    <row r="63" ht="13" customHeight="1" s="189">
      <c r="A63" s="289" t="n"/>
      <c r="B63" s="290" t="n"/>
      <c r="C63" s="290" t="n"/>
      <c r="D63" s="289" t="n"/>
      <c r="E63" s="289" t="n"/>
      <c r="F63" s="291" t="n"/>
      <c r="G63" s="291" t="n"/>
      <c r="H63" s="291" t="n"/>
      <c r="I63" s="289" t="n"/>
      <c r="J63" s="203" t="n"/>
    </row>
    <row r="64" ht="13" customHeight="1" s="189">
      <c r="A64" s="289" t="n"/>
      <c r="B64" s="290" t="n"/>
      <c r="C64" s="290" t="n"/>
      <c r="D64" s="289" t="n"/>
      <c r="E64" s="289" t="n"/>
      <c r="F64" s="291" t="n"/>
      <c r="G64" s="291" t="n"/>
      <c r="H64" s="291" t="n"/>
      <c r="I64" s="289" t="n"/>
      <c r="J64" s="203" t="n"/>
    </row>
    <row r="65" ht="13" customHeight="1" s="189">
      <c r="A65" s="289" t="n"/>
      <c r="B65" s="290" t="n"/>
      <c r="C65" s="290" t="n"/>
      <c r="D65" s="289" t="n"/>
      <c r="E65" s="289" t="n"/>
      <c r="F65" s="291" t="n"/>
      <c r="G65" s="291" t="n"/>
      <c r="H65" s="291" t="n"/>
      <c r="I65" s="289" t="n"/>
      <c r="J65" s="203" t="n"/>
    </row>
    <row r="66" ht="13" customHeight="1" s="189">
      <c r="A66" s="289" t="n"/>
      <c r="B66" s="290" t="n"/>
      <c r="C66" s="290" t="n"/>
      <c r="D66" s="289" t="n"/>
      <c r="E66" s="289" t="n"/>
      <c r="F66" s="291" t="n"/>
      <c r="G66" s="291" t="n"/>
      <c r="H66" s="291" t="n"/>
      <c r="I66" s="289" t="n"/>
      <c r="J66" s="203" t="n"/>
    </row>
    <row r="67" ht="13" customHeight="1" s="189">
      <c r="A67" s="289" t="n"/>
      <c r="B67" s="290" t="n"/>
      <c r="C67" s="290" t="n"/>
      <c r="D67" s="289" t="n"/>
      <c r="E67" s="289" t="n"/>
      <c r="F67" s="291" t="n"/>
      <c r="G67" s="291" t="n"/>
      <c r="H67" s="291" t="n"/>
      <c r="I67" s="289" t="n"/>
      <c r="J67" s="203" t="n"/>
    </row>
    <row r="68" ht="13" customHeight="1" s="189">
      <c r="A68" s="289" t="n"/>
      <c r="B68" s="290" t="n"/>
      <c r="C68" s="290" t="n"/>
      <c r="D68" s="289" t="n"/>
      <c r="E68" s="289" t="n"/>
      <c r="F68" s="291" t="n"/>
      <c r="G68" s="291" t="n"/>
      <c r="H68" s="291" t="n"/>
      <c r="I68" s="289" t="n"/>
      <c r="J68" s="203" t="n"/>
    </row>
    <row r="69" ht="13" customHeight="1" s="189">
      <c r="A69" s="289" t="n"/>
      <c r="B69" s="290" t="n"/>
      <c r="C69" s="290" t="n"/>
      <c r="D69" s="289" t="n"/>
      <c r="E69" s="289" t="n"/>
      <c r="F69" s="291" t="n"/>
      <c r="G69" s="291" t="n"/>
      <c r="H69" s="291" t="n"/>
      <c r="I69" s="289" t="n"/>
      <c r="J69" s="203" t="n"/>
    </row>
    <row r="70" ht="13" customHeight="1" s="189">
      <c r="A70" s="289" t="n"/>
      <c r="B70" s="290" t="n"/>
      <c r="C70" s="290" t="n"/>
      <c r="D70" s="289" t="n"/>
      <c r="E70" s="289" t="n"/>
      <c r="F70" s="291" t="n"/>
      <c r="G70" s="291" t="n"/>
      <c r="H70" s="291" t="n"/>
      <c r="I70" s="289" t="n"/>
      <c r="J70" s="203" t="n"/>
    </row>
    <row r="71" ht="13" customHeight="1" s="189">
      <c r="A71" s="289" t="n"/>
      <c r="B71" s="290" t="n"/>
      <c r="C71" s="290" t="n"/>
      <c r="D71" s="289" t="n"/>
      <c r="E71" s="289" t="n"/>
      <c r="F71" s="291" t="n"/>
      <c r="G71" s="291" t="n"/>
      <c r="H71" s="291" t="n"/>
      <c r="I71" s="289" t="n"/>
      <c r="J71" s="203" t="n"/>
    </row>
    <row r="72" ht="13" customHeight="1" s="189">
      <c r="A72" s="289" t="n"/>
      <c r="B72" s="290" t="n"/>
      <c r="C72" s="290" t="n"/>
      <c r="D72" s="289" t="n"/>
      <c r="E72" s="289" t="n"/>
      <c r="F72" s="291" t="n"/>
      <c r="G72" s="291" t="n"/>
      <c r="H72" s="291" t="n"/>
      <c r="I72" s="289" t="n"/>
      <c r="J72" s="203" t="n"/>
    </row>
    <row r="73" ht="13" customHeight="1" s="189">
      <c r="A73" s="289" t="n"/>
      <c r="B73" s="290" t="n"/>
      <c r="C73" s="290" t="n"/>
      <c r="D73" s="289" t="n"/>
      <c r="E73" s="289" t="n"/>
      <c r="F73" s="291" t="n"/>
      <c r="G73" s="291" t="n"/>
      <c r="H73" s="291" t="n"/>
      <c r="I73" s="289" t="n"/>
      <c r="J73" s="203" t="n"/>
    </row>
    <row r="74" ht="13" customHeight="1" s="189">
      <c r="A74" s="289" t="n"/>
      <c r="B74" s="290" t="n"/>
      <c r="C74" s="290" t="n"/>
      <c r="D74" s="289" t="n"/>
      <c r="E74" s="289" t="n"/>
      <c r="F74" s="291" t="n"/>
      <c r="G74" s="291" t="n"/>
      <c r="H74" s="291" t="n"/>
      <c r="I74" s="289" t="n"/>
      <c r="J74" s="203" t="n"/>
    </row>
    <row r="75" ht="13" customHeight="1" s="189">
      <c r="A75" s="289" t="n"/>
      <c r="B75" s="290" t="n"/>
      <c r="C75" s="290" t="n"/>
      <c r="D75" s="289" t="n"/>
      <c r="E75" s="289" t="n"/>
      <c r="F75" s="291" t="n"/>
      <c r="G75" s="291" t="n"/>
      <c r="H75" s="291" t="n"/>
      <c r="I75" s="289" t="n"/>
      <c r="J75" s="203" t="n"/>
    </row>
    <row r="76" ht="13" customHeight="1" s="189">
      <c r="A76" s="289" t="n"/>
      <c r="B76" s="290" t="n"/>
      <c r="C76" s="290" t="n"/>
      <c r="D76" s="289" t="n"/>
      <c r="E76" s="289" t="n"/>
      <c r="F76" s="291" t="n"/>
      <c r="G76" s="291" t="n"/>
      <c r="H76" s="291" t="n"/>
      <c r="I76" s="289" t="n"/>
      <c r="J76" s="203" t="n"/>
    </row>
    <row r="77" ht="13" customHeight="1" s="189">
      <c r="A77" s="289" t="n"/>
      <c r="B77" s="290" t="n"/>
      <c r="C77" s="290" t="n"/>
      <c r="D77" s="289" t="n"/>
      <c r="E77" s="289" t="n"/>
      <c r="F77" s="291" t="n"/>
      <c r="G77" s="291" t="n"/>
      <c r="H77" s="291" t="n"/>
      <c r="I77" s="289" t="n"/>
      <c r="J77" s="203" t="n"/>
    </row>
    <row r="78" ht="13" customHeight="1" s="189">
      <c r="A78" s="289" t="n"/>
      <c r="B78" s="290" t="n"/>
      <c r="C78" s="290" t="n"/>
      <c r="D78" s="289" t="n"/>
      <c r="E78" s="289" t="n"/>
      <c r="F78" s="291" t="n"/>
      <c r="G78" s="291" t="n"/>
      <c r="H78" s="291" t="n"/>
      <c r="I78" s="289" t="n"/>
      <c r="J78" s="203" t="n"/>
    </row>
    <row r="79" ht="13" customHeight="1" s="189">
      <c r="A79" s="289" t="n"/>
      <c r="B79" s="290" t="n"/>
      <c r="C79" s="290" t="n"/>
      <c r="D79" s="289" t="n"/>
      <c r="E79" s="289" t="n"/>
      <c r="F79" s="291" t="n"/>
      <c r="G79" s="291" t="n"/>
      <c r="H79" s="291" t="n"/>
      <c r="I79" s="289" t="n"/>
      <c r="J79" s="203" t="n"/>
    </row>
    <row r="80" ht="13" customHeight="1" s="189">
      <c r="A80" s="289" t="n"/>
      <c r="B80" s="290" t="n"/>
      <c r="C80" s="290" t="n"/>
      <c r="D80" s="289" t="n"/>
      <c r="E80" s="289" t="n"/>
      <c r="F80" s="291" t="n"/>
      <c r="G80" s="291" t="n"/>
      <c r="H80" s="291" t="n"/>
      <c r="I80" s="289" t="n"/>
      <c r="J80" s="203" t="n"/>
    </row>
    <row r="81" ht="13" customHeight="1" s="189">
      <c r="A81" s="289" t="n"/>
      <c r="B81" s="290" t="n"/>
      <c r="C81" s="290" t="n"/>
      <c r="D81" s="289" t="n"/>
      <c r="E81" s="289" t="n"/>
      <c r="F81" s="291" t="n"/>
      <c r="G81" s="291" t="n"/>
      <c r="H81" s="291" t="n"/>
      <c r="I81" s="289" t="n"/>
      <c r="J81" s="203" t="n"/>
    </row>
    <row r="82" ht="13" customHeight="1" s="189">
      <c r="A82" s="289" t="n"/>
      <c r="B82" s="290" t="n"/>
      <c r="C82" s="290" t="n"/>
      <c r="D82" s="289" t="n"/>
      <c r="E82" s="289" t="n"/>
      <c r="F82" s="291" t="n"/>
      <c r="G82" s="291" t="n"/>
      <c r="H82" s="291" t="n"/>
      <c r="I82" s="289" t="n"/>
      <c r="J82" s="203" t="n"/>
    </row>
    <row r="83" ht="13" customHeight="1" s="189">
      <c r="A83" s="289" t="n"/>
      <c r="B83" s="290" t="n"/>
      <c r="C83" s="290" t="n"/>
      <c r="D83" s="289" t="n"/>
      <c r="E83" s="289" t="n"/>
      <c r="F83" s="291" t="n"/>
      <c r="G83" s="291" t="n"/>
      <c r="H83" s="291" t="n"/>
      <c r="I83" s="289" t="n"/>
      <c r="J83" s="203" t="n"/>
    </row>
    <row r="84" ht="13" customHeight="1" s="189">
      <c r="A84" s="289" t="n"/>
      <c r="B84" s="290" t="n"/>
      <c r="C84" s="290" t="n"/>
      <c r="D84" s="289" t="n"/>
      <c r="E84" s="289" t="n"/>
      <c r="F84" s="291" t="n"/>
      <c r="G84" s="291" t="n"/>
      <c r="H84" s="291" t="n"/>
      <c r="I84" s="289" t="n"/>
      <c r="J84" s="203" t="n"/>
    </row>
    <row r="85" ht="13" customHeight="1" s="189">
      <c r="A85" s="289" t="n"/>
      <c r="B85" s="290" t="n"/>
      <c r="C85" s="290" t="n"/>
      <c r="D85" s="289" t="n"/>
      <c r="E85" s="289" t="n"/>
      <c r="F85" s="291" t="n"/>
      <c r="G85" s="291" t="n"/>
      <c r="H85" s="291" t="n"/>
      <c r="I85" s="289" t="n"/>
      <c r="J85" s="203" t="n"/>
    </row>
    <row r="86" ht="13" customHeight="1" s="189">
      <c r="A86" s="289" t="n"/>
      <c r="B86" s="290" t="n"/>
      <c r="C86" s="290" t="n"/>
      <c r="D86" s="289" t="n"/>
      <c r="E86" s="289" t="n"/>
      <c r="F86" s="291" t="n"/>
      <c r="G86" s="291" t="n"/>
      <c r="H86" s="291" t="n"/>
      <c r="I86" s="289" t="n"/>
      <c r="J86" s="203" t="n"/>
    </row>
    <row r="87" ht="13" customHeight="1" s="189">
      <c r="A87" s="289" t="n"/>
      <c r="B87" s="290" t="n"/>
      <c r="C87" s="290" t="n"/>
      <c r="D87" s="289" t="n"/>
      <c r="E87" s="289" t="n"/>
      <c r="F87" s="291" t="n"/>
      <c r="G87" s="291" t="n"/>
      <c r="H87" s="291" t="n"/>
      <c r="I87" s="289" t="n"/>
      <c r="J87" s="203" t="n"/>
    </row>
    <row r="88" ht="13" customHeight="1" s="189">
      <c r="A88" s="289" t="n"/>
      <c r="B88" s="290" t="n"/>
      <c r="C88" s="290" t="n"/>
      <c r="D88" s="289" t="n"/>
      <c r="E88" s="289" t="n"/>
      <c r="F88" s="291" t="n"/>
      <c r="G88" s="291" t="n"/>
      <c r="H88" s="291" t="n"/>
      <c r="I88" s="289" t="n"/>
      <c r="J88" s="203" t="n"/>
    </row>
    <row r="89" ht="13" customHeight="1" s="189">
      <c r="A89" s="289" t="n"/>
      <c r="B89" s="290" t="n"/>
      <c r="C89" s="290" t="n"/>
      <c r="D89" s="289" t="n"/>
      <c r="E89" s="289" t="n"/>
      <c r="F89" s="291" t="n"/>
      <c r="G89" s="291" t="n"/>
      <c r="H89" s="291" t="n"/>
      <c r="I89" s="289" t="n"/>
      <c r="J89" s="203" t="n"/>
    </row>
    <row r="90" ht="13" customHeight="1" s="189">
      <c r="A90" s="289" t="n"/>
      <c r="B90" s="290" t="n"/>
      <c r="C90" s="290" t="n"/>
      <c r="D90" s="289" t="n"/>
      <c r="E90" s="289" t="n"/>
      <c r="F90" s="291" t="n"/>
      <c r="G90" s="291" t="n"/>
      <c r="H90" s="291" t="n"/>
      <c r="I90" s="289" t="n"/>
      <c r="J90" s="203" t="n"/>
    </row>
    <row r="91" ht="13" customHeight="1" s="189">
      <c r="A91" s="289" t="n"/>
      <c r="B91" s="290" t="n"/>
      <c r="C91" s="290" t="n"/>
      <c r="D91" s="289" t="n"/>
      <c r="E91" s="289" t="n"/>
      <c r="F91" s="291" t="n"/>
      <c r="G91" s="291" t="n"/>
      <c r="H91" s="291" t="n"/>
      <c r="I91" s="289" t="n"/>
      <c r="J91" s="203" t="n"/>
    </row>
    <row r="92" ht="13" customHeight="1" s="189">
      <c r="A92" s="289" t="n"/>
      <c r="B92" s="290" t="n"/>
      <c r="C92" s="290" t="n"/>
      <c r="D92" s="289" t="n"/>
      <c r="E92" s="289" t="n"/>
      <c r="F92" s="291" t="n"/>
      <c r="G92" s="291" t="n"/>
      <c r="H92" s="291" t="n"/>
      <c r="I92" s="289" t="n"/>
      <c r="J92" s="203" t="n"/>
    </row>
    <row r="93" ht="13" customHeight="1" s="189">
      <c r="A93" s="289" t="n"/>
      <c r="B93" s="290" t="n"/>
      <c r="C93" s="290" t="n"/>
      <c r="D93" s="289" t="n"/>
      <c r="E93" s="289" t="n"/>
      <c r="F93" s="291" t="n"/>
      <c r="G93" s="291" t="n"/>
      <c r="H93" s="291" t="n"/>
      <c r="I93" s="289" t="n"/>
      <c r="J93" s="203" t="n"/>
    </row>
    <row r="94" ht="13" customHeight="1" s="189">
      <c r="A94" s="289" t="n"/>
      <c r="B94" s="290" t="n"/>
      <c r="C94" s="290" t="n"/>
      <c r="D94" s="289" t="n"/>
      <c r="E94" s="289" t="n"/>
      <c r="F94" s="291" t="n"/>
      <c r="G94" s="291" t="n"/>
      <c r="H94" s="291" t="n"/>
      <c r="I94" s="289" t="n"/>
      <c r="J94" s="203" t="n"/>
    </row>
    <row r="95" ht="13" customHeight="1" s="189">
      <c r="A95" s="289" t="n"/>
      <c r="B95" s="290" t="n"/>
      <c r="C95" s="290" t="n"/>
      <c r="D95" s="289" t="n"/>
      <c r="E95" s="289" t="n"/>
      <c r="F95" s="291" t="n"/>
      <c r="G95" s="291" t="n"/>
      <c r="H95" s="291" t="n"/>
      <c r="I95" s="289" t="n"/>
      <c r="J95" s="203" t="n"/>
    </row>
    <row r="96" ht="13" customHeight="1" s="189">
      <c r="A96" s="289" t="n"/>
      <c r="B96" s="290" t="n"/>
      <c r="C96" s="290" t="n"/>
      <c r="D96" s="289" t="n"/>
      <c r="E96" s="289" t="n"/>
      <c r="F96" s="291" t="n"/>
      <c r="G96" s="291" t="n"/>
      <c r="H96" s="291" t="n"/>
      <c r="I96" s="289" t="n"/>
      <c r="J96" s="203" t="n"/>
    </row>
    <row r="97" ht="13" customHeight="1" s="189">
      <c r="A97" s="289" t="n"/>
      <c r="B97" s="290" t="n"/>
      <c r="C97" s="290" t="n"/>
      <c r="D97" s="289" t="n"/>
      <c r="E97" s="289" t="n"/>
      <c r="F97" s="291" t="n"/>
      <c r="G97" s="291" t="n"/>
      <c r="H97" s="291" t="n"/>
      <c r="I97" s="289" t="n"/>
      <c r="J97" s="203" t="n"/>
    </row>
    <row r="98" ht="13" customHeight="1" s="189">
      <c r="A98" s="289" t="n"/>
      <c r="B98" s="290" t="n"/>
      <c r="C98" s="290" t="n"/>
      <c r="D98" s="289" t="n"/>
      <c r="E98" s="289" t="n"/>
      <c r="F98" s="291" t="n"/>
      <c r="G98" s="291" t="n"/>
      <c r="H98" s="291" t="n"/>
      <c r="I98" s="289" t="n"/>
      <c r="J98" s="203" t="n"/>
    </row>
    <row r="99" ht="13" customHeight="1" s="189">
      <c r="A99" s="289" t="n"/>
      <c r="B99" s="290" t="n"/>
      <c r="C99" s="290" t="n"/>
      <c r="D99" s="289" t="n"/>
      <c r="E99" s="289" t="n"/>
      <c r="F99" s="291" t="n"/>
      <c r="G99" s="291" t="n"/>
      <c r="H99" s="291" t="n"/>
      <c r="I99" s="289" t="n"/>
      <c r="J99" s="203" t="n"/>
    </row>
    <row r="100" ht="13" customHeight="1" s="189">
      <c r="A100" s="289" t="n"/>
      <c r="B100" s="290" t="n"/>
      <c r="C100" s="290" t="n"/>
      <c r="D100" s="289" t="n"/>
      <c r="E100" s="289" t="n"/>
      <c r="F100" s="291" t="n"/>
      <c r="G100" s="291" t="n"/>
      <c r="H100" s="291" t="n"/>
      <c r="I100" s="289" t="n"/>
      <c r="J100" s="203" t="n"/>
    </row>
    <row r="101" ht="13" customHeight="1" s="189">
      <c r="A101" s="289" t="n"/>
      <c r="B101" s="290" t="n"/>
      <c r="C101" s="290" t="n"/>
      <c r="D101" s="289" t="n"/>
      <c r="E101" s="289" t="n"/>
      <c r="F101" s="291" t="n"/>
      <c r="G101" s="291" t="n"/>
      <c r="H101" s="291" t="n"/>
      <c r="I101" s="289" t="n"/>
      <c r="J101" s="203" t="n"/>
    </row>
    <row r="102" ht="13" customHeight="1" s="189">
      <c r="A102" s="289" t="n"/>
      <c r="B102" s="290" t="n"/>
      <c r="C102" s="290" t="n"/>
      <c r="D102" s="289" t="n"/>
      <c r="E102" s="289" t="n"/>
      <c r="F102" s="291" t="n"/>
      <c r="G102" s="291" t="n"/>
      <c r="H102" s="291" t="n"/>
      <c r="I102" s="289" t="n"/>
      <c r="J102" s="203" t="n"/>
    </row>
    <row r="103" ht="13" customHeight="1" s="189">
      <c r="A103" s="289" t="n"/>
      <c r="B103" s="290" t="n"/>
      <c r="C103" s="290" t="n"/>
      <c r="D103" s="289" t="n"/>
      <c r="E103" s="289" t="n"/>
      <c r="F103" s="291" t="n"/>
      <c r="G103" s="291" t="n"/>
      <c r="H103" s="291" t="n"/>
      <c r="I103" s="289" t="n"/>
      <c r="J103" s="203" t="n"/>
    </row>
    <row r="104" ht="13" customHeight="1" s="189">
      <c r="A104" s="289" t="n"/>
      <c r="B104" s="290" t="n"/>
      <c r="C104" s="290" t="n"/>
      <c r="D104" s="289" t="n"/>
      <c r="E104" s="289" t="n"/>
      <c r="F104" s="291" t="n"/>
      <c r="G104" s="291" t="n"/>
      <c r="H104" s="291" t="n"/>
      <c r="I104" s="289" t="n"/>
      <c r="J104" s="203" t="n"/>
    </row>
    <row r="105" ht="13" customHeight="1" s="189">
      <c r="A105" s="289" t="n"/>
      <c r="B105" s="290" t="n"/>
      <c r="C105" s="290" t="n"/>
      <c r="D105" s="289" t="n"/>
      <c r="E105" s="289" t="n"/>
      <c r="F105" s="291" t="n"/>
      <c r="G105" s="291" t="n"/>
      <c r="H105" s="291" t="n"/>
      <c r="I105" s="289" t="n"/>
      <c r="J105" s="203" t="n"/>
    </row>
    <row r="106" ht="13" customHeight="1" s="189">
      <c r="A106" s="289" t="n"/>
      <c r="B106" s="290" t="n"/>
      <c r="C106" s="290" t="n"/>
      <c r="D106" s="289" t="n"/>
      <c r="E106" s="289" t="n"/>
      <c r="F106" s="291" t="n"/>
      <c r="G106" s="291" t="n"/>
      <c r="H106" s="291" t="n"/>
      <c r="I106" s="289" t="n"/>
      <c r="J106" s="203" t="n"/>
    </row>
    <row r="107" ht="13" customHeight="1" s="189">
      <c r="A107" s="289" t="n"/>
      <c r="B107" s="290" t="n"/>
      <c r="C107" s="290" t="n"/>
      <c r="D107" s="289" t="n"/>
      <c r="E107" s="289" t="n"/>
      <c r="F107" s="291" t="n"/>
      <c r="G107" s="291" t="n"/>
      <c r="H107" s="291" t="n"/>
      <c r="I107" s="289" t="n"/>
      <c r="J107" s="203" t="n"/>
    </row>
    <row r="108" ht="13" customHeight="1" s="189">
      <c r="A108" s="289" t="n"/>
      <c r="B108" s="290" t="n"/>
      <c r="C108" s="290" t="n"/>
      <c r="D108" s="289" t="n"/>
      <c r="E108" s="289" t="n"/>
      <c r="F108" s="291" t="n"/>
      <c r="G108" s="291" t="n"/>
      <c r="H108" s="291" t="n"/>
      <c r="I108" s="289" t="n"/>
      <c r="J108" s="203" t="n"/>
    </row>
    <row r="109" ht="13" customHeight="1" s="189">
      <c r="A109" s="289" t="n"/>
      <c r="B109" s="290" t="n"/>
      <c r="C109" s="290" t="n"/>
      <c r="D109" s="289" t="n"/>
      <c r="E109" s="289" t="n"/>
      <c r="F109" s="291" t="n"/>
      <c r="G109" s="291" t="n"/>
      <c r="H109" s="291" t="n"/>
      <c r="I109" s="289" t="n"/>
      <c r="J109" s="203" t="n"/>
    </row>
    <row r="110" ht="13" customHeight="1" s="189">
      <c r="A110" s="289" t="n"/>
      <c r="B110" s="290" t="n"/>
      <c r="C110" s="290" t="n"/>
      <c r="D110" s="289" t="n"/>
      <c r="E110" s="289" t="n"/>
      <c r="F110" s="291" t="n"/>
      <c r="G110" s="291" t="n"/>
      <c r="H110" s="291" t="n"/>
      <c r="I110" s="289" t="n"/>
      <c r="J110" s="203" t="n"/>
    </row>
    <row r="111" ht="13" customHeight="1" s="189">
      <c r="A111" s="289" t="n"/>
      <c r="B111" s="290" t="n"/>
      <c r="C111" s="290" t="n"/>
      <c r="D111" s="289" t="n"/>
      <c r="E111" s="289" t="n"/>
      <c r="F111" s="291" t="n"/>
      <c r="G111" s="291" t="n"/>
      <c r="H111" s="291" t="n"/>
      <c r="I111" s="289" t="n"/>
      <c r="J111" s="203" t="n"/>
    </row>
    <row r="112" ht="13" customHeight="1" s="189">
      <c r="A112" s="289" t="n"/>
      <c r="B112" s="290" t="n"/>
      <c r="C112" s="290" t="n"/>
      <c r="D112" s="289" t="n"/>
      <c r="E112" s="289" t="n"/>
      <c r="F112" s="291" t="n"/>
      <c r="G112" s="291" t="n"/>
      <c r="H112" s="291" t="n"/>
      <c r="I112" s="289" t="n"/>
      <c r="J112" s="203" t="n"/>
    </row>
    <row r="113" ht="13" customHeight="1" s="189">
      <c r="A113" s="289" t="n"/>
      <c r="B113" s="290" t="n"/>
      <c r="C113" s="290" t="n"/>
      <c r="D113" s="289" t="n"/>
      <c r="E113" s="289" t="n"/>
      <c r="F113" s="291" t="n"/>
      <c r="G113" s="291" t="n"/>
      <c r="H113" s="291" t="n"/>
      <c r="I113" s="289" t="n"/>
      <c r="J113" s="203" t="n"/>
    </row>
    <row r="114" ht="13" customHeight="1" s="189">
      <c r="A114" s="289" t="n"/>
      <c r="B114" s="290" t="n"/>
      <c r="C114" s="290" t="n"/>
      <c r="D114" s="289" t="n"/>
      <c r="E114" s="289" t="n"/>
      <c r="F114" s="291" t="n"/>
      <c r="G114" s="291" t="n"/>
      <c r="H114" s="291" t="n"/>
      <c r="I114" s="289" t="n"/>
      <c r="J114" s="203" t="n"/>
    </row>
    <row r="115" ht="13" customHeight="1" s="189">
      <c r="A115" s="289" t="n"/>
      <c r="B115" s="290" t="n"/>
      <c r="C115" s="290" t="n"/>
      <c r="D115" s="289" t="n"/>
      <c r="E115" s="289" t="n"/>
      <c r="F115" s="291" t="n"/>
      <c r="G115" s="291" t="n"/>
      <c r="H115" s="291" t="n"/>
      <c r="I115" s="289" t="n"/>
      <c r="J115" s="203" t="n"/>
    </row>
    <row r="116" ht="13" customHeight="1" s="189">
      <c r="A116" s="289" t="n"/>
      <c r="B116" s="290" t="n"/>
      <c r="C116" s="290" t="n"/>
      <c r="D116" s="289" t="n"/>
      <c r="E116" s="289" t="n"/>
      <c r="F116" s="291" t="n"/>
      <c r="G116" s="291" t="n"/>
      <c r="H116" s="291" t="n"/>
      <c r="I116" s="289" t="n"/>
      <c r="J116" s="203" t="n"/>
    </row>
    <row r="117" ht="13" customHeight="1" s="189">
      <c r="A117" s="289" t="n"/>
      <c r="B117" s="290" t="n"/>
      <c r="C117" s="290" t="n"/>
      <c r="D117" s="289" t="n"/>
      <c r="E117" s="289" t="n"/>
      <c r="F117" s="291" t="n"/>
      <c r="G117" s="291" t="n"/>
      <c r="H117" s="291" t="n"/>
      <c r="I117" s="289" t="n"/>
      <c r="J117" s="203" t="n"/>
    </row>
    <row r="118" ht="13" customHeight="1" s="189">
      <c r="A118" s="289" t="n"/>
      <c r="B118" s="290" t="n"/>
      <c r="C118" s="290" t="n"/>
      <c r="D118" s="289" t="n"/>
      <c r="E118" s="289" t="n"/>
      <c r="F118" s="291" t="n"/>
      <c r="G118" s="291" t="n"/>
      <c r="H118" s="291" t="n"/>
      <c r="I118" s="289" t="n"/>
      <c r="J118" s="203" t="n"/>
    </row>
    <row r="119" ht="13" customHeight="1" s="189">
      <c r="A119" s="289" t="n"/>
      <c r="B119" s="290" t="n"/>
      <c r="C119" s="290" t="n"/>
      <c r="D119" s="289" t="n"/>
      <c r="E119" s="289" t="n"/>
      <c r="F119" s="291" t="n"/>
      <c r="G119" s="291" t="n"/>
      <c r="H119" s="291" t="n"/>
      <c r="I119" s="289" t="n"/>
      <c r="J119" s="203" t="n"/>
    </row>
    <row r="120" ht="13" customHeight="1" s="189">
      <c r="A120" s="289" t="n"/>
      <c r="B120" s="290" t="n"/>
      <c r="C120" s="290" t="n"/>
      <c r="D120" s="289" t="n"/>
      <c r="E120" s="289" t="n"/>
      <c r="F120" s="291" t="n"/>
      <c r="G120" s="291" t="n"/>
      <c r="H120" s="291" t="n"/>
      <c r="I120" s="289" t="n"/>
      <c r="J120" s="203" t="n"/>
    </row>
    <row r="121" ht="13" customHeight="1" s="189">
      <c r="A121" s="289" t="n"/>
      <c r="B121" s="290" t="n"/>
      <c r="C121" s="290" t="n"/>
      <c r="D121" s="289" t="n"/>
      <c r="E121" s="289" t="n"/>
      <c r="F121" s="291" t="n"/>
      <c r="G121" s="291" t="n"/>
      <c r="H121" s="291" t="n"/>
      <c r="I121" s="289" t="n"/>
      <c r="J121" s="203" t="n"/>
    </row>
    <row r="122" ht="13" customHeight="1" s="189">
      <c r="A122" s="289" t="n"/>
      <c r="B122" s="290" t="n"/>
      <c r="C122" s="290" t="n"/>
      <c r="D122" s="289" t="n"/>
      <c r="E122" s="289" t="n"/>
      <c r="F122" s="291" t="n"/>
      <c r="G122" s="291" t="n"/>
      <c r="H122" s="291" t="n"/>
      <c r="I122" s="289" t="n"/>
      <c r="J122" s="203" t="n"/>
    </row>
    <row r="123" ht="13" customHeight="1" s="189">
      <c r="A123" s="289" t="n"/>
      <c r="B123" s="290" t="n"/>
      <c r="C123" s="290" t="n"/>
      <c r="D123" s="289" t="n"/>
      <c r="E123" s="289" t="n"/>
      <c r="F123" s="291" t="n"/>
      <c r="G123" s="291" t="n"/>
      <c r="H123" s="291" t="n"/>
      <c r="I123" s="289" t="n"/>
      <c r="J123" s="203" t="n"/>
    </row>
    <row r="124" ht="13" customHeight="1" s="189">
      <c r="A124" s="289" t="n"/>
      <c r="B124" s="290" t="n"/>
      <c r="C124" s="290" t="n"/>
      <c r="D124" s="289" t="n"/>
      <c r="E124" s="289" t="n"/>
      <c r="F124" s="291" t="n"/>
      <c r="G124" s="291" t="n"/>
      <c r="H124" s="291" t="n"/>
      <c r="I124" s="289" t="n"/>
      <c r="J124" s="203" t="n"/>
    </row>
    <row r="125" ht="13" customHeight="1" s="189">
      <c r="A125" s="289" t="n"/>
      <c r="B125" s="290" t="n"/>
      <c r="C125" s="290" t="n"/>
      <c r="D125" s="289" t="n"/>
      <c r="E125" s="289" t="n"/>
      <c r="F125" s="291" t="n"/>
      <c r="G125" s="291" t="n"/>
      <c r="H125" s="291" t="n"/>
      <c r="I125" s="289" t="n"/>
      <c r="J125" s="203" t="n"/>
    </row>
    <row r="126" ht="13" customHeight="1" s="189">
      <c r="A126" s="289" t="n"/>
      <c r="B126" s="290" t="n"/>
      <c r="C126" s="290" t="n"/>
      <c r="D126" s="289" t="n"/>
      <c r="E126" s="289" t="n"/>
      <c r="F126" s="291" t="n"/>
      <c r="G126" s="291" t="n"/>
      <c r="H126" s="291" t="n"/>
      <c r="I126" s="289" t="n"/>
      <c r="J126" s="203" t="n"/>
    </row>
    <row r="127" ht="13" customHeight="1" s="189">
      <c r="A127" s="289" t="n"/>
      <c r="B127" s="290" t="n"/>
      <c r="C127" s="290" t="n"/>
      <c r="D127" s="289" t="n"/>
      <c r="E127" s="289" t="n"/>
      <c r="F127" s="291" t="n"/>
      <c r="G127" s="291" t="n"/>
      <c r="H127" s="291" t="n"/>
      <c r="I127" s="289" t="n"/>
      <c r="J127" s="203" t="n"/>
    </row>
    <row r="128" ht="13" customHeight="1" s="189">
      <c r="A128" s="289" t="n"/>
      <c r="B128" s="290" t="n"/>
      <c r="C128" s="290" t="n"/>
      <c r="D128" s="289" t="n"/>
      <c r="E128" s="289" t="n"/>
      <c r="F128" s="291" t="n"/>
      <c r="G128" s="291" t="n"/>
      <c r="H128" s="291" t="n"/>
      <c r="I128" s="289" t="n"/>
      <c r="J128" s="203" t="n"/>
    </row>
    <row r="129" ht="13" customHeight="1" s="189">
      <c r="A129" s="289" t="n"/>
      <c r="B129" s="290" t="n"/>
      <c r="C129" s="290" t="n"/>
      <c r="D129" s="289" t="n"/>
      <c r="E129" s="289" t="n"/>
      <c r="F129" s="291" t="n"/>
      <c r="G129" s="291" t="n"/>
      <c r="H129" s="291" t="n"/>
      <c r="I129" s="289" t="n"/>
      <c r="J129" s="203" t="n"/>
    </row>
    <row r="130" ht="13" customHeight="1" s="189">
      <c r="A130" s="289" t="n"/>
      <c r="B130" s="290" t="n"/>
      <c r="C130" s="290" t="n"/>
      <c r="D130" s="289" t="n"/>
      <c r="E130" s="289" t="n"/>
      <c r="F130" s="291" t="n"/>
      <c r="G130" s="291" t="n"/>
      <c r="H130" s="291" t="n"/>
      <c r="I130" s="289" t="n"/>
      <c r="J130" s="203" t="n"/>
    </row>
    <row r="131" ht="13" customHeight="1" s="189">
      <c r="A131" s="289" t="n"/>
      <c r="B131" s="290" t="n"/>
      <c r="C131" s="290" t="n"/>
      <c r="D131" s="289" t="n"/>
      <c r="E131" s="289" t="n"/>
      <c r="F131" s="291" t="n"/>
      <c r="G131" s="291" t="n"/>
      <c r="H131" s="291" t="n"/>
      <c r="I131" s="289" t="n"/>
      <c r="J131" s="203" t="n"/>
    </row>
    <row r="132" ht="13" customHeight="1" s="189">
      <c r="A132" s="289" t="n"/>
      <c r="B132" s="290" t="n"/>
      <c r="C132" s="290" t="n"/>
      <c r="D132" s="289" t="n"/>
      <c r="E132" s="289" t="n"/>
      <c r="F132" s="291" t="n"/>
      <c r="G132" s="291" t="n"/>
      <c r="H132" s="291" t="n"/>
      <c r="I132" s="289" t="n"/>
      <c r="J132" s="203" t="n"/>
    </row>
    <row r="133" ht="13" customHeight="1" s="189">
      <c r="A133" s="289" t="n"/>
      <c r="B133" s="290" t="n"/>
      <c r="C133" s="290" t="n"/>
      <c r="D133" s="289" t="n"/>
      <c r="E133" s="289" t="n"/>
      <c r="F133" s="291" t="n"/>
      <c r="G133" s="291" t="n"/>
      <c r="H133" s="291" t="n"/>
      <c r="I133" s="289" t="n"/>
      <c r="J133" s="203" t="n"/>
    </row>
    <row r="134" ht="13" customHeight="1" s="189">
      <c r="A134" s="289" t="n"/>
      <c r="B134" s="290" t="n"/>
      <c r="C134" s="290" t="n"/>
      <c r="D134" s="289" t="n"/>
      <c r="E134" s="289" t="n"/>
      <c r="F134" s="291" t="n"/>
      <c r="G134" s="291" t="n"/>
      <c r="H134" s="291" t="n"/>
      <c r="I134" s="289" t="n"/>
      <c r="J134" s="203" t="n"/>
    </row>
    <row r="135" ht="13" customHeight="1" s="189">
      <c r="A135" s="289" t="n"/>
      <c r="B135" s="290" t="n"/>
      <c r="C135" s="290" t="n"/>
      <c r="D135" s="289" t="n"/>
      <c r="E135" s="289" t="n"/>
      <c r="F135" s="291" t="n"/>
      <c r="G135" s="291" t="n"/>
      <c r="H135" s="291" t="n"/>
      <c r="I135" s="289" t="n"/>
      <c r="J135" s="203" t="n"/>
    </row>
    <row r="136" ht="13" customHeight="1" s="189">
      <c r="A136" s="289" t="n"/>
      <c r="B136" s="290" t="n"/>
      <c r="C136" s="290" t="n"/>
      <c r="D136" s="289" t="n"/>
      <c r="E136" s="289" t="n"/>
      <c r="F136" s="291" t="n"/>
      <c r="G136" s="291" t="n"/>
      <c r="H136" s="291" t="n"/>
      <c r="I136" s="289" t="n"/>
      <c r="J136" s="203" t="n"/>
    </row>
    <row r="137" ht="13" customHeight="1" s="189">
      <c r="A137" s="289" t="n"/>
      <c r="B137" s="290" t="n"/>
      <c r="C137" s="290" t="n"/>
      <c r="D137" s="289" t="n"/>
      <c r="E137" s="289" t="n"/>
      <c r="F137" s="291" t="n"/>
      <c r="G137" s="291" t="n"/>
      <c r="H137" s="291" t="n"/>
      <c r="I137" s="289" t="n"/>
      <c r="J137" s="203" t="n"/>
    </row>
    <row r="138" ht="13" customHeight="1" s="189">
      <c r="A138" s="289" t="n"/>
      <c r="B138" s="290" t="n"/>
      <c r="C138" s="290" t="n"/>
      <c r="D138" s="289" t="n"/>
      <c r="E138" s="289" t="n"/>
      <c r="F138" s="291" t="n"/>
      <c r="G138" s="291" t="n"/>
      <c r="H138" s="291" t="n"/>
      <c r="I138" s="289" t="n"/>
      <c r="J138" s="203" t="n"/>
    </row>
    <row r="139" ht="13" customHeight="1" s="189">
      <c r="A139" s="289" t="n"/>
      <c r="B139" s="290" t="n"/>
      <c r="C139" s="290" t="n"/>
      <c r="D139" s="289" t="n"/>
      <c r="E139" s="289" t="n"/>
      <c r="F139" s="291" t="n"/>
      <c r="G139" s="291" t="n"/>
      <c r="H139" s="291" t="n"/>
      <c r="I139" s="289" t="n"/>
      <c r="J139" s="203" t="n"/>
    </row>
    <row r="140" ht="13" customHeight="1" s="189">
      <c r="A140" s="289" t="n"/>
      <c r="B140" s="290" t="n"/>
      <c r="C140" s="290" t="n"/>
      <c r="D140" s="289" t="n"/>
      <c r="E140" s="289" t="n"/>
      <c r="F140" s="291" t="n"/>
      <c r="G140" s="291" t="n"/>
      <c r="H140" s="291" t="n"/>
      <c r="I140" s="289" t="n"/>
      <c r="J140" s="203" t="n"/>
    </row>
    <row r="141" ht="13" customHeight="1" s="189">
      <c r="A141" s="289" t="n"/>
      <c r="B141" s="290" t="n"/>
      <c r="C141" s="290" t="n"/>
      <c r="D141" s="289" t="n"/>
      <c r="E141" s="289" t="n"/>
      <c r="F141" s="291" t="n"/>
      <c r="G141" s="291" t="n"/>
      <c r="H141" s="291" t="n"/>
      <c r="I141" s="289" t="n"/>
      <c r="J141" s="203" t="n"/>
    </row>
    <row r="142" ht="13" customHeight="1" s="189">
      <c r="A142" s="289" t="n"/>
      <c r="B142" s="290" t="n"/>
      <c r="C142" s="290" t="n"/>
      <c r="D142" s="289" t="n"/>
      <c r="E142" s="289" t="n"/>
      <c r="F142" s="291" t="n"/>
      <c r="G142" s="291" t="n"/>
      <c r="H142" s="291" t="n"/>
      <c r="I142" s="289" t="n"/>
      <c r="J142" s="203" t="n"/>
    </row>
    <row r="143" ht="13" customHeight="1" s="189">
      <c r="A143" s="289" t="n"/>
      <c r="B143" s="290" t="n"/>
      <c r="C143" s="290" t="n"/>
      <c r="D143" s="289" t="n"/>
      <c r="E143" s="289" t="n"/>
      <c r="F143" s="291" t="n"/>
      <c r="G143" s="291" t="n"/>
      <c r="H143" s="291" t="n"/>
      <c r="I143" s="289" t="n"/>
      <c r="J143" s="203" t="n"/>
    </row>
    <row r="144" ht="13" customHeight="1" s="189">
      <c r="A144" s="289" t="n"/>
      <c r="B144" s="290" t="n"/>
      <c r="C144" s="290" t="n"/>
      <c r="D144" s="289" t="n"/>
      <c r="E144" s="289" t="n"/>
      <c r="F144" s="291" t="n"/>
      <c r="G144" s="291" t="n"/>
      <c r="H144" s="291" t="n"/>
      <c r="I144" s="289" t="n"/>
      <c r="J144" s="203" t="n"/>
    </row>
    <row r="145" ht="13" customHeight="1" s="189">
      <c r="A145" s="289" t="n"/>
      <c r="B145" s="290" t="n"/>
      <c r="C145" s="290" t="n"/>
      <c r="D145" s="289" t="n"/>
      <c r="E145" s="289" t="n"/>
      <c r="F145" s="291" t="n"/>
      <c r="G145" s="291" t="n"/>
      <c r="H145" s="291" t="n"/>
      <c r="I145" s="289" t="n"/>
      <c r="J145" s="203" t="n"/>
    </row>
    <row r="146" ht="13" customHeight="1" s="189">
      <c r="A146" s="289" t="n"/>
      <c r="B146" s="290" t="n"/>
      <c r="C146" s="290" t="n"/>
      <c r="D146" s="289" t="n"/>
      <c r="E146" s="289" t="n"/>
      <c r="F146" s="291" t="n"/>
      <c r="G146" s="291" t="n"/>
      <c r="H146" s="291" t="n"/>
      <c r="I146" s="289" t="n"/>
      <c r="J146" s="203" t="n"/>
    </row>
    <row r="147" ht="13" customHeight="1" s="189">
      <c r="A147" s="289" t="n"/>
      <c r="B147" s="290" t="n"/>
      <c r="C147" s="290" t="n"/>
      <c r="D147" s="289" t="n"/>
      <c r="E147" s="289" t="n"/>
      <c r="F147" s="291" t="n"/>
      <c r="G147" s="291" t="n"/>
      <c r="H147" s="291" t="n"/>
      <c r="I147" s="289" t="n"/>
      <c r="J147" s="203" t="n"/>
    </row>
    <row r="148" ht="13" customHeight="1" s="189">
      <c r="A148" s="289" t="n"/>
      <c r="B148" s="290" t="n"/>
      <c r="C148" s="290" t="n"/>
      <c r="D148" s="289" t="n"/>
      <c r="E148" s="289" t="n"/>
      <c r="F148" s="291" t="n"/>
      <c r="G148" s="291" t="n"/>
      <c r="H148" s="291" t="n"/>
      <c r="I148" s="289" t="n"/>
      <c r="J148" s="203" t="n"/>
    </row>
    <row r="149" ht="13" customHeight="1" s="189">
      <c r="A149" s="289" t="n"/>
      <c r="B149" s="290" t="n"/>
      <c r="C149" s="290" t="n"/>
      <c r="D149" s="289" t="n"/>
      <c r="E149" s="289" t="n"/>
      <c r="F149" s="291" t="n"/>
      <c r="G149" s="291" t="n"/>
      <c r="H149" s="291" t="n"/>
      <c r="I149" s="289" t="n"/>
      <c r="J149" s="203" t="n"/>
    </row>
    <row r="150" ht="13" customHeight="1" s="189">
      <c r="A150" s="289" t="n"/>
      <c r="B150" s="290" t="n"/>
      <c r="C150" s="290" t="n"/>
      <c r="D150" s="289" t="n"/>
      <c r="E150" s="289" t="n"/>
      <c r="F150" s="291" t="n"/>
      <c r="G150" s="291" t="n"/>
      <c r="H150" s="291" t="n"/>
      <c r="I150" s="289" t="n"/>
      <c r="J150" s="203" t="n"/>
    </row>
    <row r="151" ht="13" customHeight="1" s="189">
      <c r="A151" s="289" t="n"/>
      <c r="B151" s="290" t="n"/>
      <c r="C151" s="290" t="n"/>
      <c r="D151" s="289" t="n"/>
      <c r="E151" s="289" t="n"/>
      <c r="F151" s="291" t="n"/>
      <c r="G151" s="291" t="n"/>
      <c r="H151" s="291" t="n"/>
      <c r="I151" s="289" t="n"/>
      <c r="J151" s="203" t="n"/>
    </row>
    <row r="152" ht="13" customHeight="1" s="189">
      <c r="A152" s="289" t="n"/>
      <c r="B152" s="290" t="n"/>
      <c r="C152" s="290" t="n"/>
      <c r="D152" s="289" t="n"/>
      <c r="E152" s="289" t="n"/>
      <c r="F152" s="291" t="n"/>
      <c r="G152" s="291" t="n"/>
      <c r="H152" s="291" t="n"/>
      <c r="I152" s="289" t="n"/>
      <c r="J152" s="203" t="n"/>
    </row>
    <row r="153" ht="13" customHeight="1" s="189">
      <c r="A153" s="289" t="n"/>
      <c r="B153" s="290" t="n"/>
      <c r="C153" s="290" t="n"/>
      <c r="D153" s="289" t="n"/>
      <c r="E153" s="289" t="n"/>
      <c r="F153" s="291" t="n"/>
      <c r="G153" s="291" t="n"/>
      <c r="H153" s="291" t="n"/>
      <c r="I153" s="289" t="n"/>
      <c r="J153" s="203" t="n"/>
    </row>
    <row r="154" ht="13" customHeight="1" s="189">
      <c r="A154" s="289" t="n"/>
      <c r="B154" s="290" t="n"/>
      <c r="C154" s="290" t="n"/>
      <c r="D154" s="289" t="n"/>
      <c r="E154" s="289" t="n"/>
      <c r="F154" s="291" t="n"/>
      <c r="G154" s="291" t="n"/>
      <c r="H154" s="291" t="n"/>
      <c r="I154" s="289" t="n"/>
      <c r="J154" s="203" t="n"/>
    </row>
    <row r="155" ht="13" customHeight="1" s="189">
      <c r="A155" s="289" t="n"/>
      <c r="B155" s="290" t="n"/>
      <c r="C155" s="290" t="n"/>
      <c r="D155" s="289" t="n"/>
      <c r="E155" s="289" t="n"/>
      <c r="F155" s="291" t="n"/>
      <c r="G155" s="291" t="n"/>
      <c r="H155" s="291" t="n"/>
      <c r="I155" s="289" t="n"/>
      <c r="J155" s="203" t="n"/>
    </row>
    <row r="156" ht="13" customHeight="1" s="189">
      <c r="A156" s="289" t="n"/>
      <c r="B156" s="290" t="n"/>
      <c r="C156" s="290" t="n"/>
      <c r="D156" s="289" t="n"/>
      <c r="E156" s="289" t="n"/>
      <c r="F156" s="291" t="n"/>
      <c r="G156" s="291" t="n"/>
      <c r="H156" s="291" t="n"/>
      <c r="I156" s="289" t="n"/>
      <c r="J156" s="203" t="n"/>
    </row>
    <row r="157" ht="13" customHeight="1" s="189">
      <c r="A157" s="289" t="n"/>
      <c r="B157" s="290" t="n"/>
      <c r="C157" s="290" t="n"/>
      <c r="D157" s="289" t="n"/>
      <c r="E157" s="289" t="n"/>
      <c r="F157" s="291" t="n"/>
      <c r="G157" s="291" t="n"/>
      <c r="H157" s="291" t="n"/>
      <c r="I157" s="289" t="n"/>
      <c r="J157" s="203" t="n"/>
    </row>
    <row r="158" ht="13" customHeight="1" s="189">
      <c r="A158" s="289" t="n"/>
      <c r="B158" s="290" t="n"/>
      <c r="C158" s="290" t="n"/>
      <c r="D158" s="289" t="n"/>
      <c r="E158" s="289" t="n"/>
      <c r="F158" s="291" t="n"/>
      <c r="G158" s="291" t="n"/>
      <c r="H158" s="291" t="n"/>
      <c r="I158" s="289" t="n"/>
      <c r="J158" s="203" t="n"/>
    </row>
    <row r="159" ht="13" customHeight="1" s="189">
      <c r="A159" s="289" t="n"/>
      <c r="B159" s="290" t="n"/>
      <c r="C159" s="290" t="n"/>
      <c r="D159" s="289" t="n"/>
      <c r="E159" s="289" t="n"/>
      <c r="F159" s="291" t="n"/>
      <c r="G159" s="291" t="n"/>
      <c r="H159" s="291" t="n"/>
      <c r="I159" s="289" t="n"/>
      <c r="J159" s="203" t="n"/>
    </row>
    <row r="160" ht="13" customHeight="1" s="189">
      <c r="A160" s="289" t="n"/>
      <c r="B160" s="290" t="n"/>
      <c r="C160" s="290" t="n"/>
      <c r="D160" s="289" t="n"/>
      <c r="E160" s="289" t="n"/>
      <c r="F160" s="291" t="n"/>
      <c r="G160" s="291" t="n"/>
      <c r="H160" s="291" t="n"/>
      <c r="I160" s="289" t="n"/>
      <c r="J160" s="203" t="n"/>
    </row>
    <row r="161" ht="13" customHeight="1" s="189">
      <c r="A161" s="289" t="n"/>
      <c r="B161" s="290" t="n"/>
      <c r="C161" s="290" t="n"/>
      <c r="D161" s="289" t="n"/>
      <c r="E161" s="289" t="n"/>
      <c r="F161" s="291" t="n"/>
      <c r="G161" s="291" t="n"/>
      <c r="H161" s="291" t="n"/>
      <c r="I161" s="289" t="n"/>
      <c r="J161" s="203" t="n"/>
    </row>
    <row r="162" ht="13" customHeight="1" s="189">
      <c r="A162" s="289" t="n"/>
      <c r="B162" s="290" t="n"/>
      <c r="C162" s="290" t="n"/>
      <c r="D162" s="289" t="n"/>
      <c r="E162" s="289" t="n"/>
      <c r="F162" s="291" t="n"/>
      <c r="G162" s="291" t="n"/>
      <c r="H162" s="291" t="n"/>
      <c r="I162" s="289" t="n"/>
      <c r="J162" s="203" t="n"/>
    </row>
    <row r="163" ht="13" customHeight="1" s="189">
      <c r="A163" s="289" t="n"/>
      <c r="B163" s="290" t="n"/>
      <c r="C163" s="290" t="n"/>
      <c r="D163" s="289" t="n"/>
      <c r="E163" s="289" t="n"/>
      <c r="F163" s="291" t="n"/>
      <c r="G163" s="291" t="n"/>
      <c r="H163" s="291" t="n"/>
      <c r="I163" s="289" t="n"/>
      <c r="J163" s="203" t="n"/>
    </row>
    <row r="164" ht="13" customHeight="1" s="189">
      <c r="A164" s="289" t="n"/>
      <c r="B164" s="290" t="n"/>
      <c r="C164" s="290" t="n"/>
      <c r="D164" s="289" t="n"/>
      <c r="E164" s="289" t="n"/>
      <c r="F164" s="291" t="n"/>
      <c r="G164" s="291" t="n"/>
      <c r="H164" s="291" t="n"/>
      <c r="I164" s="289" t="n"/>
      <c r="J164" s="203" t="n"/>
    </row>
    <row r="165" ht="13" customHeight="1" s="189">
      <c r="A165" s="289" t="n"/>
      <c r="B165" s="290" t="n"/>
      <c r="C165" s="290" t="n"/>
      <c r="D165" s="289" t="n"/>
      <c r="E165" s="289" t="n"/>
      <c r="F165" s="291" t="n"/>
      <c r="G165" s="291" t="n"/>
      <c r="H165" s="291" t="n"/>
      <c r="I165" s="289" t="n"/>
      <c r="J165" s="203" t="n"/>
    </row>
    <row r="166" ht="13" customHeight="1" s="189">
      <c r="A166" s="289" t="n"/>
      <c r="B166" s="290" t="n"/>
      <c r="C166" s="290" t="n"/>
      <c r="D166" s="289" t="n"/>
      <c r="E166" s="289" t="n"/>
      <c r="F166" s="291" t="n"/>
      <c r="G166" s="291" t="n"/>
      <c r="H166" s="291" t="n"/>
      <c r="I166" s="289" t="n"/>
      <c r="J166" s="203" t="n"/>
    </row>
    <row r="167" ht="13" customHeight="1" s="189">
      <c r="A167" s="289" t="n"/>
      <c r="B167" s="290" t="n"/>
      <c r="C167" s="290" t="n"/>
      <c r="D167" s="289" t="n"/>
      <c r="E167" s="289" t="n"/>
      <c r="F167" s="291" t="n"/>
      <c r="G167" s="291" t="n"/>
      <c r="H167" s="291" t="n"/>
      <c r="I167" s="289" t="n"/>
      <c r="J167" s="203" t="n"/>
    </row>
    <row r="168" ht="13" customHeight="1" s="189">
      <c r="A168" s="289" t="n"/>
      <c r="B168" s="290" t="n"/>
      <c r="C168" s="290" t="n"/>
      <c r="D168" s="289" t="n"/>
      <c r="E168" s="289" t="n"/>
      <c r="F168" s="291" t="n"/>
      <c r="G168" s="291" t="n"/>
      <c r="H168" s="291" t="n"/>
      <c r="I168" s="289" t="n"/>
      <c r="J168" s="203" t="n"/>
    </row>
    <row r="169" ht="13" customHeight="1" s="189">
      <c r="A169" s="289" t="n"/>
      <c r="B169" s="290" t="n"/>
      <c r="C169" s="290" t="n"/>
      <c r="D169" s="289" t="n"/>
      <c r="E169" s="289" t="n"/>
      <c r="F169" s="291" t="n"/>
      <c r="G169" s="291" t="n"/>
      <c r="H169" s="291" t="n"/>
      <c r="I169" s="289" t="n"/>
      <c r="J169" s="203" t="n"/>
    </row>
    <row r="170" ht="13" customHeight="1" s="189">
      <c r="A170" s="289" t="n"/>
      <c r="B170" s="290" t="n"/>
      <c r="C170" s="290" t="n"/>
      <c r="D170" s="289" t="n"/>
      <c r="E170" s="289" t="n"/>
      <c r="F170" s="291" t="n"/>
      <c r="G170" s="291" t="n"/>
      <c r="H170" s="291" t="n"/>
      <c r="I170" s="289" t="n"/>
      <c r="J170" s="203" t="n"/>
    </row>
    <row r="171" ht="13" customHeight="1" s="189">
      <c r="A171" s="289" t="n"/>
      <c r="B171" s="290" t="n"/>
      <c r="C171" s="290" t="n"/>
      <c r="D171" s="289" t="n"/>
      <c r="E171" s="289" t="n"/>
      <c r="F171" s="291" t="n"/>
      <c r="G171" s="291" t="n"/>
      <c r="H171" s="291" t="n"/>
      <c r="I171" s="289" t="n"/>
      <c r="J171" s="203" t="n"/>
    </row>
    <row r="172" ht="13" customHeight="1" s="189">
      <c r="A172" s="289" t="n"/>
      <c r="B172" s="290" t="n"/>
      <c r="C172" s="290" t="n"/>
      <c r="D172" s="289" t="n"/>
      <c r="E172" s="289" t="n"/>
      <c r="F172" s="291" t="n"/>
      <c r="G172" s="291" t="n"/>
      <c r="H172" s="291" t="n"/>
      <c r="I172" s="289" t="n"/>
      <c r="J172" s="203" t="n"/>
    </row>
    <row r="173" ht="13" customHeight="1" s="189">
      <c r="A173" s="289" t="n"/>
      <c r="B173" s="290" t="n"/>
      <c r="C173" s="290" t="n"/>
      <c r="D173" s="289" t="n"/>
      <c r="E173" s="289" t="n"/>
      <c r="F173" s="291" t="n"/>
      <c r="G173" s="291" t="n"/>
      <c r="H173" s="291" t="n"/>
      <c r="I173" s="289" t="n"/>
      <c r="J173" s="203" t="n"/>
    </row>
    <row r="174" ht="13" customHeight="1" s="189">
      <c r="A174" s="289" t="n"/>
      <c r="B174" s="290" t="n"/>
      <c r="C174" s="290" t="n"/>
      <c r="D174" s="289" t="n"/>
      <c r="E174" s="289" t="n"/>
      <c r="F174" s="291" t="n"/>
      <c r="G174" s="291" t="n"/>
      <c r="H174" s="291" t="n"/>
      <c r="I174" s="289" t="n"/>
      <c r="J174" s="203" t="n"/>
    </row>
    <row r="175" ht="13" customHeight="1" s="189">
      <c r="A175" s="289" t="n"/>
      <c r="B175" s="290" t="n"/>
      <c r="C175" s="290" t="n"/>
      <c r="D175" s="289" t="n"/>
      <c r="E175" s="289" t="n"/>
      <c r="F175" s="291" t="n"/>
      <c r="G175" s="291" t="n"/>
      <c r="H175" s="291" t="n"/>
      <c r="I175" s="289" t="n"/>
      <c r="J175" s="203" t="n"/>
    </row>
    <row r="176" ht="13" customHeight="1" s="189">
      <c r="A176" s="289" t="n"/>
      <c r="B176" s="290" t="n"/>
      <c r="C176" s="290" t="n"/>
      <c r="D176" s="289" t="n"/>
      <c r="E176" s="289" t="n"/>
      <c r="F176" s="291" t="n"/>
      <c r="G176" s="291" t="n"/>
      <c r="H176" s="291" t="n"/>
      <c r="I176" s="289" t="n"/>
      <c r="J176" s="203" t="n"/>
    </row>
    <row r="177" ht="13" customHeight="1" s="189">
      <c r="A177" s="289" t="n"/>
      <c r="B177" s="290" t="n"/>
      <c r="C177" s="290" t="n"/>
      <c r="D177" s="289" t="n"/>
      <c r="E177" s="289" t="n"/>
      <c r="F177" s="291" t="n"/>
      <c r="G177" s="291" t="n"/>
      <c r="H177" s="291" t="n"/>
      <c r="I177" s="289" t="n"/>
      <c r="J177" s="203" t="n"/>
    </row>
    <row r="178" ht="13" customHeight="1" s="189">
      <c r="A178" s="289" t="n"/>
      <c r="B178" s="290" t="n"/>
      <c r="C178" s="290" t="n"/>
      <c r="D178" s="289" t="n"/>
      <c r="E178" s="289" t="n"/>
      <c r="F178" s="291" t="n"/>
      <c r="G178" s="291" t="n"/>
      <c r="H178" s="291" t="n"/>
      <c r="I178" s="289" t="n"/>
      <c r="J178" s="203" t="n"/>
    </row>
    <row r="179" ht="13" customHeight="1" s="189">
      <c r="A179" s="289" t="n"/>
      <c r="B179" s="290" t="n"/>
      <c r="C179" s="290" t="n"/>
      <c r="D179" s="289" t="n"/>
      <c r="E179" s="289" t="n"/>
      <c r="F179" s="291" t="n"/>
      <c r="G179" s="291" t="n"/>
      <c r="H179" s="291" t="n"/>
      <c r="I179" s="289" t="n"/>
      <c r="J179" s="203" t="n"/>
    </row>
    <row r="180" ht="13" customHeight="1" s="189">
      <c r="A180" s="289" t="n"/>
      <c r="B180" s="290" t="n"/>
      <c r="C180" s="290" t="n"/>
      <c r="D180" s="289" t="n"/>
      <c r="E180" s="289" t="n"/>
      <c r="F180" s="291" t="n"/>
      <c r="G180" s="291" t="n"/>
      <c r="H180" s="291" t="n"/>
      <c r="I180" s="289" t="n"/>
      <c r="J180" s="203" t="n"/>
    </row>
    <row r="181" ht="13" customHeight="1" s="189">
      <c r="A181" s="289" t="n"/>
      <c r="B181" s="290" t="n"/>
      <c r="C181" s="290" t="n"/>
      <c r="D181" s="289" t="n"/>
      <c r="E181" s="289" t="n"/>
      <c r="F181" s="291" t="n"/>
      <c r="G181" s="291" t="n"/>
      <c r="H181" s="291" t="n"/>
      <c r="I181" s="289" t="n"/>
      <c r="J181" s="203" t="n"/>
    </row>
    <row r="182" ht="13" customHeight="1" s="189">
      <c r="A182" s="289" t="n"/>
      <c r="B182" s="290" t="n"/>
      <c r="C182" s="290" t="n"/>
      <c r="D182" s="289" t="n"/>
      <c r="E182" s="289" t="n"/>
      <c r="F182" s="291" t="n"/>
      <c r="G182" s="291" t="n"/>
      <c r="H182" s="291" t="n"/>
      <c r="I182" s="289" t="n"/>
      <c r="J182" s="203" t="n"/>
    </row>
    <row r="183" ht="13" customHeight="1" s="189">
      <c r="A183" s="289" t="n"/>
      <c r="B183" s="290" t="n"/>
      <c r="C183" s="290" t="n"/>
      <c r="D183" s="289" t="n"/>
      <c r="E183" s="289" t="n"/>
      <c r="F183" s="291" t="n"/>
      <c r="G183" s="291" t="n"/>
      <c r="H183" s="291" t="n"/>
      <c r="I183" s="289" t="n"/>
      <c r="J183" s="203" t="n"/>
    </row>
    <row r="184" ht="13" customHeight="1" s="189">
      <c r="A184" s="289" t="n"/>
      <c r="B184" s="290" t="n"/>
      <c r="C184" s="290" t="n"/>
      <c r="D184" s="289" t="n"/>
      <c r="E184" s="289" t="n"/>
      <c r="F184" s="291" t="n"/>
      <c r="G184" s="291" t="n"/>
      <c r="H184" s="291" t="n"/>
      <c r="I184" s="289" t="n"/>
      <c r="J184" s="203" t="n"/>
    </row>
    <row r="185" ht="13" customHeight="1" s="189">
      <c r="A185" s="289" t="n"/>
      <c r="B185" s="290" t="n"/>
      <c r="C185" s="290" t="n"/>
      <c r="D185" s="289" t="n"/>
      <c r="E185" s="289" t="n"/>
      <c r="F185" s="291" t="n"/>
      <c r="G185" s="291" t="n"/>
      <c r="H185" s="291" t="n"/>
      <c r="I185" s="289" t="n"/>
      <c r="J185" s="203" t="n"/>
    </row>
    <row r="186" ht="13" customHeight="1" s="189">
      <c r="A186" s="289" t="n"/>
      <c r="B186" s="290" t="n"/>
      <c r="C186" s="290" t="n"/>
      <c r="D186" s="289" t="n"/>
      <c r="E186" s="289" t="n"/>
      <c r="F186" s="291" t="n"/>
      <c r="G186" s="291" t="n"/>
      <c r="H186" s="291" t="n"/>
      <c r="I186" s="289" t="n"/>
      <c r="J186" s="203" t="n"/>
    </row>
    <row r="187" ht="13" customHeight="1" s="189">
      <c r="A187" s="289" t="n"/>
      <c r="B187" s="290" t="n"/>
      <c r="C187" s="290" t="n"/>
      <c r="D187" s="289" t="n"/>
      <c r="E187" s="289" t="n"/>
      <c r="F187" s="291" t="n"/>
      <c r="G187" s="291" t="n"/>
      <c r="H187" s="291" t="n"/>
      <c r="I187" s="289" t="n"/>
      <c r="J187" s="203" t="n"/>
    </row>
    <row r="188" ht="13" customHeight="1" s="189">
      <c r="A188" s="289" t="n"/>
      <c r="B188" s="290" t="n"/>
      <c r="C188" s="290" t="n"/>
      <c r="D188" s="289" t="n"/>
      <c r="E188" s="289" t="n"/>
      <c r="F188" s="291" t="n"/>
      <c r="G188" s="291" t="n"/>
      <c r="H188" s="291" t="n"/>
      <c r="I188" s="289" t="n"/>
      <c r="J188" s="203" t="n"/>
    </row>
    <row r="189" ht="13" customHeight="1" s="189">
      <c r="A189" s="289" t="n"/>
      <c r="B189" s="290" t="n"/>
      <c r="C189" s="290" t="n"/>
      <c r="D189" s="289" t="n"/>
      <c r="E189" s="289" t="n"/>
      <c r="F189" s="291" t="n"/>
      <c r="G189" s="291" t="n"/>
      <c r="H189" s="291" t="n"/>
      <c r="I189" s="289" t="n"/>
      <c r="J189" s="203" t="n"/>
    </row>
    <row r="190" ht="13" customHeight="1" s="189">
      <c r="A190" s="289" t="n"/>
      <c r="B190" s="290" t="n"/>
      <c r="C190" s="290" t="n"/>
      <c r="D190" s="289" t="n"/>
      <c r="E190" s="289" t="n"/>
      <c r="F190" s="291" t="n"/>
      <c r="G190" s="291" t="n"/>
      <c r="H190" s="291" t="n"/>
      <c r="I190" s="289" t="n"/>
      <c r="J190" s="203" t="n"/>
    </row>
    <row r="191" ht="13" customHeight="1" s="189">
      <c r="A191" s="289" t="n"/>
      <c r="B191" s="290" t="n"/>
      <c r="C191" s="290" t="n"/>
      <c r="D191" s="289" t="n"/>
      <c r="E191" s="289" t="n"/>
      <c r="F191" s="291" t="n"/>
      <c r="G191" s="291" t="n"/>
      <c r="H191" s="291" t="n"/>
      <c r="I191" s="289" t="n"/>
      <c r="J191" s="203" t="n"/>
    </row>
    <row r="192" ht="13" customHeight="1" s="189">
      <c r="A192" s="289" t="n"/>
      <c r="B192" s="290" t="n"/>
      <c r="C192" s="290" t="n"/>
      <c r="D192" s="289" t="n"/>
      <c r="E192" s="289" t="n"/>
      <c r="F192" s="291" t="n"/>
      <c r="G192" s="291" t="n"/>
      <c r="H192" s="291" t="n"/>
      <c r="I192" s="289" t="n"/>
      <c r="J192" s="203" t="n"/>
    </row>
    <row r="193" ht="13" customHeight="1" s="189">
      <c r="A193" s="289" t="n"/>
      <c r="B193" s="290" t="n"/>
      <c r="C193" s="290" t="n"/>
      <c r="D193" s="289" t="n"/>
      <c r="E193" s="289" t="n"/>
      <c r="F193" s="291" t="n"/>
      <c r="G193" s="291" t="n"/>
      <c r="H193" s="291" t="n"/>
      <c r="I193" s="289" t="n"/>
      <c r="J193" s="203" t="n"/>
    </row>
    <row r="194" ht="13" customHeight="1" s="189">
      <c r="A194" s="289" t="n"/>
      <c r="B194" s="290" t="n"/>
      <c r="C194" s="290" t="n"/>
      <c r="D194" s="289" t="n"/>
      <c r="E194" s="289" t="n"/>
      <c r="F194" s="291" t="n"/>
      <c r="G194" s="291" t="n"/>
      <c r="H194" s="291" t="n"/>
      <c r="I194" s="289" t="n"/>
      <c r="J194" s="203" t="n"/>
    </row>
    <row r="195" ht="13" customHeight="1" s="189">
      <c r="A195" s="289" t="n"/>
      <c r="B195" s="290" t="n"/>
      <c r="C195" s="290" t="n"/>
      <c r="D195" s="289" t="n"/>
      <c r="E195" s="289" t="n"/>
      <c r="F195" s="291" t="n"/>
      <c r="G195" s="291" t="n"/>
      <c r="H195" s="291" t="n"/>
      <c r="I195" s="289" t="n"/>
      <c r="J195" s="203" t="n"/>
    </row>
    <row r="196" ht="13" customHeight="1" s="189">
      <c r="A196" s="289" t="n"/>
      <c r="B196" s="290" t="n"/>
      <c r="C196" s="290" t="n"/>
      <c r="D196" s="289" t="n"/>
      <c r="E196" s="289" t="n"/>
      <c r="F196" s="291" t="n"/>
      <c r="G196" s="291" t="n"/>
      <c r="H196" s="291" t="n"/>
      <c r="I196" s="289" t="n"/>
      <c r="J196" s="203" t="n"/>
    </row>
    <row r="197" ht="13" customHeight="1" s="189">
      <c r="A197" s="289" t="n"/>
      <c r="B197" s="290" t="n"/>
      <c r="C197" s="290" t="n"/>
      <c r="D197" s="289" t="n"/>
      <c r="E197" s="289" t="n"/>
      <c r="F197" s="291" t="n"/>
      <c r="G197" s="291" t="n"/>
      <c r="H197" s="291" t="n"/>
      <c r="I197" s="289" t="n"/>
      <c r="J197" s="203" t="n"/>
    </row>
    <row r="198" ht="13" customHeight="1" s="189">
      <c r="A198" s="289" t="n"/>
      <c r="B198" s="290" t="n"/>
      <c r="C198" s="290" t="n"/>
      <c r="D198" s="289" t="n"/>
      <c r="E198" s="289" t="n"/>
      <c r="F198" s="291" t="n"/>
      <c r="G198" s="291" t="n"/>
      <c r="H198" s="291" t="n"/>
      <c r="I198" s="289" t="n"/>
      <c r="J198" s="203" t="n"/>
    </row>
    <row r="199" ht="13" customHeight="1" s="189">
      <c r="A199" s="289" t="n"/>
      <c r="B199" s="290" t="n"/>
      <c r="C199" s="290" t="n"/>
      <c r="D199" s="289" t="n"/>
      <c r="E199" s="289" t="n"/>
      <c r="F199" s="291" t="n"/>
      <c r="G199" s="291" t="n"/>
      <c r="H199" s="291" t="n"/>
      <c r="I199" s="289" t="n"/>
      <c r="J199" s="203" t="n"/>
    </row>
    <row r="200" ht="13" customHeight="1" s="189">
      <c r="A200" s="289" t="n"/>
      <c r="B200" s="290" t="n"/>
      <c r="C200" s="290" t="n"/>
      <c r="D200" s="289" t="n"/>
      <c r="E200" s="289" t="n"/>
      <c r="F200" s="291" t="n"/>
      <c r="G200" s="291" t="n"/>
      <c r="H200" s="291" t="n"/>
      <c r="I200" s="289" t="n"/>
      <c r="J200" s="203" t="n"/>
    </row>
    <row r="201" ht="13" customHeight="1" s="189">
      <c r="A201" s="289" t="n"/>
      <c r="B201" s="290" t="n"/>
      <c r="C201" s="290" t="n"/>
      <c r="D201" s="289" t="n"/>
      <c r="E201" s="289" t="n"/>
      <c r="F201" s="291" t="n"/>
      <c r="G201" s="291" t="n"/>
      <c r="H201" s="291" t="n"/>
      <c r="I201" s="289" t="n"/>
      <c r="J201" s="203" t="n"/>
    </row>
    <row r="202" ht="13" customHeight="1" s="189">
      <c r="A202" s="289" t="n"/>
      <c r="B202" s="290" t="n"/>
      <c r="C202" s="290" t="n"/>
      <c r="D202" s="289" t="n"/>
      <c r="E202" s="289" t="n"/>
      <c r="F202" s="291" t="n"/>
      <c r="G202" s="291" t="n"/>
      <c r="H202" s="291" t="n"/>
      <c r="I202" s="289" t="n"/>
      <c r="J202" s="203" t="n"/>
    </row>
    <row r="203" ht="13" customHeight="1" s="189">
      <c r="A203" s="289" t="n"/>
      <c r="B203" s="290" t="n"/>
      <c r="C203" s="290" t="n"/>
      <c r="D203" s="289" t="n"/>
      <c r="E203" s="289" t="n"/>
      <c r="F203" s="291" t="n"/>
      <c r="G203" s="291" t="n"/>
      <c r="H203" s="291" t="n"/>
      <c r="I203" s="289" t="n"/>
      <c r="J203" s="203" t="n"/>
    </row>
    <row r="204" ht="13" customHeight="1" s="189">
      <c r="A204" s="289" t="n"/>
      <c r="B204" s="290" t="n"/>
      <c r="C204" s="290" t="n"/>
      <c r="D204" s="289" t="n"/>
      <c r="E204" s="289" t="n"/>
      <c r="F204" s="291" t="n"/>
      <c r="G204" s="291" t="n"/>
      <c r="H204" s="291" t="n"/>
      <c r="I204" s="289" t="n"/>
      <c r="J204" s="203" t="n"/>
    </row>
    <row r="205" ht="13" customHeight="1" s="189">
      <c r="A205" s="289" t="n"/>
      <c r="B205" s="290" t="n"/>
      <c r="C205" s="290" t="n"/>
      <c r="D205" s="289" t="n"/>
      <c r="E205" s="289" t="n"/>
      <c r="F205" s="291" t="n"/>
      <c r="G205" s="291" t="n"/>
      <c r="H205" s="291" t="n"/>
      <c r="I205" s="289" t="n"/>
      <c r="J205" s="203" t="n"/>
    </row>
    <row r="206" ht="13" customHeight="1" s="189">
      <c r="A206" s="289" t="n"/>
      <c r="B206" s="290" t="n"/>
      <c r="C206" s="290" t="n"/>
      <c r="D206" s="289" t="n"/>
      <c r="E206" s="289" t="n"/>
      <c r="F206" s="291" t="n"/>
      <c r="G206" s="291" t="n"/>
      <c r="H206" s="291" t="n"/>
      <c r="I206" s="289" t="n"/>
      <c r="J206" s="203" t="n"/>
    </row>
    <row r="207" ht="13" customHeight="1" s="189">
      <c r="A207" s="289" t="n"/>
      <c r="B207" s="290" t="n"/>
      <c r="C207" s="290" t="n"/>
      <c r="D207" s="289" t="n"/>
      <c r="E207" s="289" t="n"/>
      <c r="F207" s="291" t="n"/>
      <c r="G207" s="291" t="n"/>
      <c r="H207" s="291" t="n"/>
      <c r="I207" s="289" t="n"/>
      <c r="J207" s="203" t="n"/>
    </row>
    <row r="208" ht="13" customHeight="1" s="189">
      <c r="A208" s="289" t="n"/>
      <c r="B208" s="290" t="n"/>
      <c r="C208" s="290" t="n"/>
      <c r="D208" s="289" t="n"/>
      <c r="E208" s="289" t="n"/>
      <c r="F208" s="291" t="n"/>
      <c r="G208" s="291" t="n"/>
      <c r="H208" s="291" t="n"/>
      <c r="I208" s="289" t="n"/>
      <c r="J208" s="203" t="n"/>
    </row>
    <row r="209" ht="13" customHeight="1" s="189">
      <c r="A209" s="289" t="n"/>
      <c r="B209" s="290" t="n"/>
      <c r="C209" s="290" t="n"/>
      <c r="D209" s="289" t="n"/>
      <c r="E209" s="289" t="n"/>
      <c r="F209" s="291" t="n"/>
      <c r="G209" s="291" t="n"/>
      <c r="H209" s="291" t="n"/>
      <c r="I209" s="289" t="n"/>
      <c r="J209" s="203" t="n"/>
    </row>
    <row r="210" ht="13" customHeight="1" s="189">
      <c r="A210" s="289" t="n"/>
      <c r="B210" s="290" t="n"/>
      <c r="C210" s="290" t="n"/>
      <c r="D210" s="289" t="n"/>
      <c r="E210" s="289" t="n"/>
      <c r="F210" s="291" t="n"/>
      <c r="G210" s="291" t="n"/>
      <c r="H210" s="291" t="n"/>
      <c r="I210" s="289" t="n"/>
      <c r="J210" s="203" t="n"/>
    </row>
    <row r="211" ht="13" customHeight="1" s="189">
      <c r="A211" s="289" t="n"/>
      <c r="B211" s="290" t="n"/>
      <c r="C211" s="290" t="n"/>
      <c r="D211" s="289" t="n"/>
      <c r="E211" s="289" t="n"/>
      <c r="F211" s="291" t="n"/>
      <c r="G211" s="291" t="n"/>
      <c r="H211" s="291" t="n"/>
      <c r="I211" s="289" t="n"/>
      <c r="J211" s="203" t="n"/>
    </row>
    <row r="212" ht="13" customHeight="1" s="189">
      <c r="A212" s="289" t="n"/>
      <c r="B212" s="290" t="n"/>
      <c r="C212" s="290" t="n"/>
      <c r="D212" s="289" t="n"/>
      <c r="E212" s="289" t="n"/>
      <c r="F212" s="291" t="n"/>
      <c r="G212" s="291" t="n"/>
      <c r="H212" s="291" t="n"/>
      <c r="I212" s="289" t="n"/>
      <c r="J212" s="203" t="n"/>
    </row>
    <row r="213" ht="13" customHeight="1" s="189">
      <c r="A213" s="289" t="n"/>
      <c r="B213" s="290" t="n"/>
      <c r="C213" s="290" t="n"/>
      <c r="D213" s="289" t="n"/>
      <c r="E213" s="289" t="n"/>
      <c r="F213" s="291" t="n"/>
      <c r="G213" s="291" t="n"/>
      <c r="H213" s="291" t="n"/>
      <c r="I213" s="289" t="n"/>
      <c r="J213" s="203" t="n"/>
    </row>
    <row r="214" ht="13" customHeight="1" s="189">
      <c r="A214" s="289" t="n"/>
      <c r="B214" s="290" t="n"/>
      <c r="C214" s="290" t="n"/>
      <c r="D214" s="289" t="n"/>
      <c r="E214" s="289" t="n"/>
      <c r="F214" s="291" t="n"/>
      <c r="G214" s="291" t="n"/>
      <c r="H214" s="291" t="n"/>
      <c r="I214" s="289" t="n"/>
      <c r="J214" s="203" t="n"/>
    </row>
    <row r="215" ht="13" customHeight="1" s="189">
      <c r="A215" s="289" t="n"/>
      <c r="B215" s="290" t="n"/>
      <c r="C215" s="290" t="n"/>
      <c r="D215" s="289" t="n"/>
      <c r="E215" s="289" t="n"/>
      <c r="F215" s="291" t="n"/>
      <c r="G215" s="291" t="n"/>
      <c r="H215" s="291" t="n"/>
      <c r="I215" s="289" t="n"/>
      <c r="J215" s="203" t="n"/>
    </row>
    <row r="216" ht="13" customHeight="1" s="189">
      <c r="A216" s="289" t="n"/>
      <c r="B216" s="290" t="n"/>
      <c r="C216" s="290" t="n"/>
      <c r="D216" s="289" t="n"/>
      <c r="E216" s="289" t="n"/>
      <c r="F216" s="291" t="n"/>
      <c r="G216" s="291" t="n"/>
      <c r="H216" s="291" t="n"/>
      <c r="I216" s="289" t="n"/>
      <c r="J216" s="203" t="n"/>
    </row>
    <row r="217" ht="13" customHeight="1" s="189">
      <c r="A217" s="289" t="n"/>
      <c r="B217" s="290" t="n"/>
      <c r="C217" s="290" t="n"/>
      <c r="D217" s="289" t="n"/>
      <c r="E217" s="289" t="n"/>
      <c r="F217" s="291" t="n"/>
      <c r="G217" s="291" t="n"/>
      <c r="H217" s="291" t="n"/>
      <c r="I217" s="289" t="n"/>
      <c r="J217" s="203" t="n"/>
    </row>
    <row r="218" ht="13" customHeight="1" s="189">
      <c r="A218" s="289" t="n"/>
      <c r="B218" s="290" t="n"/>
      <c r="C218" s="290" t="n"/>
      <c r="D218" s="289" t="n"/>
      <c r="E218" s="289" t="n"/>
      <c r="F218" s="291" t="n"/>
      <c r="G218" s="291" t="n"/>
      <c r="H218" s="291" t="n"/>
      <c r="I218" s="289" t="n"/>
      <c r="J218" s="203" t="n"/>
    </row>
    <row r="219" ht="13" customHeight="1" s="189">
      <c r="A219" s="289" t="n"/>
      <c r="B219" s="290" t="n"/>
      <c r="C219" s="290" t="n"/>
      <c r="D219" s="289" t="n"/>
      <c r="E219" s="289" t="n"/>
      <c r="F219" s="291" t="n"/>
      <c r="G219" s="291" t="n"/>
      <c r="H219" s="291" t="n"/>
      <c r="I219" s="289" t="n"/>
      <c r="J219" s="203" t="n"/>
    </row>
    <row r="220" ht="13" customHeight="1" s="189">
      <c r="A220" s="289" t="n"/>
      <c r="B220" s="290" t="n"/>
      <c r="C220" s="290" t="n"/>
      <c r="D220" s="289" t="n"/>
      <c r="E220" s="289" t="n"/>
      <c r="F220" s="291" t="n"/>
      <c r="G220" s="291" t="n"/>
      <c r="H220" s="291" t="n"/>
      <c r="I220" s="289" t="n"/>
      <c r="J220" s="203" t="n"/>
    </row>
    <row r="221" ht="13" customHeight="1" s="189">
      <c r="A221" s="289" t="n"/>
      <c r="B221" s="290" t="n"/>
      <c r="C221" s="290" t="n"/>
      <c r="D221" s="289" t="n"/>
      <c r="E221" s="289" t="n"/>
      <c r="F221" s="291" t="n"/>
      <c r="G221" s="291" t="n"/>
      <c r="H221" s="291" t="n"/>
      <c r="I221" s="289" t="n"/>
      <c r="J221" s="203" t="n"/>
    </row>
    <row r="222" ht="13" customHeight="1" s="189">
      <c r="A222" s="289" t="n"/>
      <c r="B222" s="290" t="n"/>
      <c r="C222" s="290" t="n"/>
      <c r="D222" s="289" t="n"/>
      <c r="E222" s="289" t="n"/>
      <c r="F222" s="291" t="n"/>
      <c r="G222" s="291" t="n"/>
      <c r="H222" s="291" t="n"/>
      <c r="I222" s="289" t="n"/>
      <c r="J222" s="203" t="n"/>
    </row>
    <row r="223" ht="13" customHeight="1" s="189">
      <c r="A223" s="289" t="n"/>
      <c r="B223" s="290" t="n"/>
      <c r="C223" s="290" t="n"/>
      <c r="D223" s="289" t="n"/>
      <c r="E223" s="289" t="n"/>
      <c r="F223" s="291" t="n"/>
      <c r="G223" s="291" t="n"/>
      <c r="H223" s="291" t="n"/>
      <c r="I223" s="289" t="n"/>
      <c r="J223" s="203" t="n"/>
    </row>
    <row r="224" ht="13" customHeight="1" s="189">
      <c r="A224" s="289" t="n"/>
      <c r="B224" s="290" t="n"/>
      <c r="C224" s="290" t="n"/>
      <c r="D224" s="289" t="n"/>
      <c r="E224" s="289" t="n"/>
      <c r="F224" s="291" t="n"/>
      <c r="G224" s="291" t="n"/>
      <c r="H224" s="291" t="n"/>
      <c r="I224" s="289" t="n"/>
      <c r="J224" s="203" t="n"/>
    </row>
    <row r="225" ht="13" customHeight="1" s="189">
      <c r="A225" s="289" t="n"/>
      <c r="B225" s="290" t="n"/>
      <c r="C225" s="290" t="n"/>
      <c r="D225" s="289" t="n"/>
      <c r="E225" s="289" t="n"/>
      <c r="F225" s="291" t="n"/>
      <c r="G225" s="291" t="n"/>
      <c r="H225" s="291" t="n"/>
      <c r="I225" s="289" t="n"/>
      <c r="J225" s="203" t="n"/>
    </row>
    <row r="226" ht="13" customHeight="1" s="189">
      <c r="A226" s="289" t="n"/>
      <c r="B226" s="290" t="n"/>
      <c r="C226" s="290" t="n"/>
      <c r="D226" s="289" t="n"/>
      <c r="E226" s="289" t="n"/>
      <c r="F226" s="291" t="n"/>
      <c r="G226" s="291" t="n"/>
      <c r="H226" s="291" t="n"/>
      <c r="I226" s="289" t="n"/>
      <c r="J226" s="203" t="n"/>
    </row>
    <row r="227" ht="13" customHeight="1" s="189">
      <c r="A227" s="289" t="n"/>
      <c r="B227" s="290" t="n"/>
      <c r="C227" s="290" t="n"/>
      <c r="D227" s="289" t="n"/>
      <c r="E227" s="289" t="n"/>
      <c r="F227" s="291" t="n"/>
      <c r="G227" s="291" t="n"/>
      <c r="H227" s="291" t="n"/>
      <c r="I227" s="289" t="n"/>
      <c r="J227" s="203" t="n"/>
    </row>
    <row r="228" ht="13" customHeight="1" s="189">
      <c r="A228" s="289" t="n"/>
      <c r="B228" s="290" t="n"/>
      <c r="C228" s="290" t="n"/>
      <c r="D228" s="289" t="n"/>
      <c r="E228" s="289" t="n"/>
      <c r="F228" s="291" t="n"/>
      <c r="G228" s="291" t="n"/>
      <c r="H228" s="291" t="n"/>
      <c r="I228" s="289" t="n"/>
      <c r="J228" s="203" t="n"/>
    </row>
    <row r="229" ht="13" customHeight="1" s="189">
      <c r="A229" s="289" t="n"/>
      <c r="B229" s="290" t="n"/>
      <c r="C229" s="290" t="n"/>
      <c r="D229" s="289" t="n"/>
      <c r="E229" s="289" t="n"/>
      <c r="F229" s="291" t="n"/>
      <c r="G229" s="291" t="n"/>
      <c r="H229" s="291" t="n"/>
      <c r="I229" s="289" t="n"/>
      <c r="J229" s="203" t="n"/>
    </row>
    <row r="230" ht="13" customHeight="1" s="189">
      <c r="A230" s="289" t="n"/>
      <c r="B230" s="290" t="n"/>
      <c r="C230" s="290" t="n"/>
      <c r="D230" s="289" t="n"/>
      <c r="E230" s="289" t="n"/>
      <c r="F230" s="291" t="n"/>
      <c r="G230" s="291" t="n"/>
      <c r="H230" s="291" t="n"/>
      <c r="I230" s="289" t="n"/>
      <c r="J230" s="203" t="n"/>
    </row>
    <row r="231" ht="13" customHeight="1" s="189">
      <c r="A231" s="289" t="n"/>
      <c r="B231" s="290" t="n"/>
      <c r="C231" s="290" t="n"/>
      <c r="D231" s="289" t="n"/>
      <c r="E231" s="289" t="n"/>
      <c r="F231" s="291" t="n"/>
      <c r="G231" s="291" t="n"/>
      <c r="H231" s="291" t="n"/>
      <c r="I231" s="289" t="n"/>
      <c r="J231" s="203" t="n"/>
    </row>
    <row r="232" ht="13" customHeight="1" s="189">
      <c r="A232" s="289" t="n"/>
      <c r="B232" s="290" t="n"/>
      <c r="C232" s="290" t="n"/>
      <c r="D232" s="289" t="n"/>
      <c r="E232" s="289" t="n"/>
      <c r="F232" s="291" t="n"/>
      <c r="G232" s="291" t="n"/>
      <c r="H232" s="291" t="n"/>
      <c r="I232" s="289" t="n"/>
      <c r="J232" s="203" t="n"/>
    </row>
    <row r="233" ht="13" customHeight="1" s="189">
      <c r="A233" s="289" t="n"/>
      <c r="B233" s="290" t="n"/>
      <c r="C233" s="290" t="n"/>
      <c r="D233" s="289" t="n"/>
      <c r="E233" s="289" t="n"/>
      <c r="F233" s="291" t="n"/>
      <c r="G233" s="291" t="n"/>
      <c r="H233" s="291" t="n"/>
      <c r="I233" s="289" t="n"/>
      <c r="J233" s="203" t="n"/>
    </row>
    <row r="234" ht="13" customHeight="1" s="189">
      <c r="A234" s="289" t="n"/>
      <c r="B234" s="290" t="n"/>
      <c r="C234" s="290" t="n"/>
      <c r="D234" s="289" t="n"/>
      <c r="E234" s="289" t="n"/>
      <c r="F234" s="291" t="n"/>
      <c r="G234" s="291" t="n"/>
      <c r="H234" s="291" t="n"/>
      <c r="I234" s="289" t="n"/>
      <c r="J234" s="203" t="n"/>
    </row>
    <row r="235" ht="13" customHeight="1" s="189">
      <c r="A235" s="289" t="n"/>
      <c r="B235" s="290" t="n"/>
      <c r="C235" s="290" t="n"/>
      <c r="D235" s="289" t="n"/>
      <c r="E235" s="289" t="n"/>
      <c r="F235" s="291" t="n"/>
      <c r="G235" s="291" t="n"/>
      <c r="H235" s="291" t="n"/>
      <c r="I235" s="289" t="n"/>
      <c r="J235" s="203" t="n"/>
    </row>
    <row r="236" ht="13" customHeight="1" s="189">
      <c r="A236" s="289" t="n"/>
      <c r="B236" s="290" t="n"/>
      <c r="C236" s="290" t="n"/>
      <c r="D236" s="289" t="n"/>
      <c r="E236" s="289" t="n"/>
      <c r="F236" s="291" t="n"/>
      <c r="G236" s="291" t="n"/>
      <c r="H236" s="291" t="n"/>
      <c r="I236" s="289" t="n"/>
      <c r="J236" s="203" t="n"/>
    </row>
    <row r="237" ht="13" customHeight="1" s="189">
      <c r="A237" s="289" t="n"/>
      <c r="B237" s="290" t="n"/>
      <c r="C237" s="290" t="n"/>
      <c r="D237" s="289" t="n"/>
      <c r="E237" s="289" t="n"/>
      <c r="F237" s="291" t="n"/>
      <c r="G237" s="291" t="n"/>
      <c r="H237" s="291" t="n"/>
      <c r="I237" s="289" t="n"/>
      <c r="J237" s="203" t="n"/>
    </row>
    <row r="238" ht="13" customHeight="1" s="189">
      <c r="A238" s="289" t="n"/>
      <c r="B238" s="290" t="n"/>
      <c r="C238" s="290" t="n"/>
      <c r="D238" s="289" t="n"/>
      <c r="E238" s="289" t="n"/>
      <c r="F238" s="291" t="n"/>
      <c r="G238" s="291" t="n"/>
      <c r="H238" s="291" t="n"/>
      <c r="I238" s="289" t="n"/>
      <c r="J238" s="203" t="n"/>
    </row>
    <row r="239" ht="13" customHeight="1" s="189">
      <c r="A239" s="289" t="n"/>
      <c r="B239" s="290" t="n"/>
      <c r="C239" s="290" t="n"/>
      <c r="D239" s="289" t="n"/>
      <c r="E239" s="289" t="n"/>
      <c r="F239" s="291" t="n"/>
      <c r="G239" s="291" t="n"/>
      <c r="H239" s="291" t="n"/>
      <c r="I239" s="289" t="n"/>
      <c r="J239" s="203" t="n"/>
    </row>
    <row r="240" ht="13" customHeight="1" s="189">
      <c r="A240" s="289" t="n"/>
      <c r="B240" s="290" t="n"/>
      <c r="C240" s="290" t="n"/>
      <c r="D240" s="289" t="n"/>
      <c r="E240" s="289" t="n"/>
      <c r="F240" s="291" t="n"/>
      <c r="G240" s="291" t="n"/>
      <c r="H240" s="291" t="n"/>
      <c r="I240" s="289" t="n"/>
      <c r="J240" s="203" t="n"/>
    </row>
    <row r="241" ht="13" customHeight="1" s="189">
      <c r="A241" s="289" t="n"/>
      <c r="B241" s="290" t="n"/>
      <c r="C241" s="290" t="n"/>
      <c r="D241" s="289" t="n"/>
      <c r="E241" s="289" t="n"/>
      <c r="F241" s="291" t="n"/>
      <c r="G241" s="291" t="n"/>
      <c r="H241" s="291" t="n"/>
      <c r="I241" s="289" t="n"/>
      <c r="J241" s="203" t="n"/>
    </row>
    <row r="242" ht="13" customHeight="1" s="189">
      <c r="A242" s="289" t="n"/>
      <c r="B242" s="290" t="n"/>
      <c r="C242" s="290" t="n"/>
      <c r="D242" s="289" t="n"/>
      <c r="E242" s="289" t="n"/>
      <c r="F242" s="291" t="n"/>
      <c r="G242" s="291" t="n"/>
      <c r="H242" s="291" t="n"/>
      <c r="I242" s="289" t="n"/>
      <c r="J242" s="203" t="n"/>
    </row>
    <row r="243" ht="13" customHeight="1" s="189">
      <c r="A243" s="289" t="n"/>
      <c r="B243" s="290" t="n"/>
      <c r="C243" s="290" t="n"/>
      <c r="D243" s="289" t="n"/>
      <c r="E243" s="289" t="n"/>
      <c r="F243" s="291" t="n"/>
      <c r="G243" s="291" t="n"/>
      <c r="H243" s="291" t="n"/>
      <c r="I243" s="289" t="n"/>
      <c r="J243" s="203" t="n"/>
    </row>
    <row r="244" ht="13" customHeight="1" s="189">
      <c r="A244" s="289" t="n"/>
      <c r="B244" s="290" t="n"/>
      <c r="C244" s="290" t="n"/>
      <c r="D244" s="289" t="n"/>
      <c r="E244" s="289" t="n"/>
      <c r="F244" s="291" t="n"/>
      <c r="G244" s="291" t="n"/>
      <c r="H244" s="291" t="n"/>
      <c r="I244" s="289" t="n"/>
      <c r="J244" s="203" t="n"/>
    </row>
    <row r="245" ht="13" customHeight="1" s="189">
      <c r="A245" s="289" t="n"/>
      <c r="B245" s="290" t="n"/>
      <c r="C245" s="290" t="n"/>
      <c r="D245" s="289" t="n"/>
      <c r="E245" s="289" t="n"/>
      <c r="F245" s="291" t="n"/>
      <c r="G245" s="291" t="n"/>
      <c r="H245" s="291" t="n"/>
      <c r="I245" s="289" t="n"/>
      <c r="J245" s="203" t="n"/>
    </row>
    <row r="246" ht="13" customHeight="1" s="189">
      <c r="A246" s="289" t="n"/>
      <c r="B246" s="290" t="n"/>
      <c r="C246" s="290" t="n"/>
      <c r="D246" s="289" t="n"/>
      <c r="E246" s="289" t="n"/>
      <c r="F246" s="291" t="n"/>
      <c r="G246" s="291" t="n"/>
      <c r="H246" s="291" t="n"/>
      <c r="I246" s="289" t="n"/>
      <c r="J246" s="203" t="n"/>
    </row>
    <row r="247" ht="13" customHeight="1" s="189">
      <c r="A247" s="289" t="n"/>
      <c r="B247" s="290" t="n"/>
      <c r="C247" s="290" t="n"/>
      <c r="D247" s="289" t="n"/>
      <c r="E247" s="289" t="n"/>
      <c r="F247" s="291" t="n"/>
      <c r="G247" s="291" t="n"/>
      <c r="H247" s="291" t="n"/>
      <c r="I247" s="289" t="n"/>
      <c r="J247" s="203" t="n"/>
    </row>
    <row r="248" ht="13" customHeight="1" s="189">
      <c r="A248" s="289" t="n"/>
      <c r="B248" s="290" t="n"/>
      <c r="C248" s="290" t="n"/>
      <c r="D248" s="289" t="n"/>
      <c r="E248" s="289" t="n"/>
      <c r="F248" s="291" t="n"/>
      <c r="G248" s="291" t="n"/>
      <c r="H248" s="291" t="n"/>
      <c r="I248" s="289" t="n"/>
      <c r="J248" s="203" t="n"/>
    </row>
    <row r="249" ht="13" customHeight="1" s="189">
      <c r="A249" s="289" t="n"/>
      <c r="B249" s="290" t="n"/>
      <c r="C249" s="290" t="n"/>
      <c r="D249" s="289" t="n"/>
      <c r="E249" s="289" t="n"/>
      <c r="F249" s="291" t="n"/>
      <c r="G249" s="291" t="n"/>
      <c r="H249" s="291" t="n"/>
      <c r="I249" s="289" t="n"/>
      <c r="J249" s="203" t="n"/>
    </row>
    <row r="250" ht="13" customHeight="1" s="189">
      <c r="A250" s="289" t="n"/>
      <c r="B250" s="290" t="n"/>
      <c r="C250" s="290" t="n"/>
      <c r="D250" s="289" t="n"/>
      <c r="E250" s="289" t="n"/>
      <c r="F250" s="291" t="n"/>
      <c r="G250" s="291" t="n"/>
      <c r="H250" s="291" t="n"/>
      <c r="I250" s="289" t="n"/>
      <c r="J250" s="203" t="n"/>
    </row>
    <row r="251" ht="13" customHeight="1" s="189">
      <c r="A251" s="289" t="n"/>
      <c r="B251" s="290" t="n"/>
      <c r="C251" s="290" t="n"/>
      <c r="D251" s="289" t="n"/>
      <c r="E251" s="289" t="n"/>
      <c r="F251" s="291" t="n"/>
      <c r="G251" s="291" t="n"/>
      <c r="H251" s="291" t="n"/>
      <c r="I251" s="289" t="n"/>
      <c r="J251" s="203" t="n"/>
    </row>
    <row r="252" ht="13" customHeight="1" s="189">
      <c r="A252" s="289" t="n"/>
      <c r="B252" s="290" t="n"/>
      <c r="C252" s="290" t="n"/>
      <c r="D252" s="289" t="n"/>
      <c r="E252" s="289" t="n"/>
      <c r="F252" s="291" t="n"/>
      <c r="G252" s="291" t="n"/>
      <c r="H252" s="291" t="n"/>
      <c r="I252" s="289" t="n"/>
      <c r="J252" s="203" t="n"/>
    </row>
    <row r="253" ht="13" customHeight="1" s="189">
      <c r="A253" s="289" t="n"/>
      <c r="B253" s="290" t="n"/>
      <c r="C253" s="290" t="n"/>
      <c r="D253" s="289" t="n"/>
      <c r="E253" s="289" t="n"/>
      <c r="F253" s="291" t="n"/>
      <c r="G253" s="291" t="n"/>
      <c r="H253" s="291" t="n"/>
      <c r="I253" s="289" t="n"/>
      <c r="J253" s="203" t="n"/>
    </row>
    <row r="254" ht="13" customHeight="1" s="189">
      <c r="A254" s="289" t="n"/>
      <c r="B254" s="290" t="n"/>
      <c r="C254" s="290" t="n"/>
      <c r="D254" s="289" t="n"/>
      <c r="E254" s="289" t="n"/>
      <c r="F254" s="291" t="n"/>
      <c r="G254" s="291" t="n"/>
      <c r="H254" s="291" t="n"/>
      <c r="I254" s="289" t="n"/>
      <c r="J254" s="203" t="n"/>
    </row>
    <row r="255" ht="13" customHeight="1" s="189">
      <c r="A255" s="289" t="n"/>
      <c r="B255" s="290" t="n"/>
      <c r="C255" s="290" t="n"/>
      <c r="D255" s="289" t="n"/>
      <c r="E255" s="289" t="n"/>
      <c r="F255" s="291" t="n"/>
      <c r="G255" s="291" t="n"/>
      <c r="H255" s="291" t="n"/>
      <c r="I255" s="289" t="n"/>
      <c r="J255" s="203" t="n"/>
    </row>
    <row r="256" ht="13" customHeight="1" s="189">
      <c r="A256" s="289" t="n"/>
      <c r="B256" s="290" t="n"/>
      <c r="C256" s="290" t="n"/>
      <c r="D256" s="289" t="n"/>
      <c r="E256" s="289" t="n"/>
      <c r="F256" s="291" t="n"/>
      <c r="G256" s="291" t="n"/>
      <c r="H256" s="291" t="n"/>
      <c r="I256" s="289" t="n"/>
      <c r="J256" s="203" t="n"/>
    </row>
    <row r="257" ht="13" customHeight="1" s="189">
      <c r="A257" s="289" t="n"/>
      <c r="B257" s="290" t="n"/>
      <c r="C257" s="290" t="n"/>
      <c r="D257" s="289" t="n"/>
      <c r="E257" s="289" t="n"/>
      <c r="F257" s="291" t="n"/>
      <c r="G257" s="291" t="n"/>
      <c r="H257" s="291" t="n"/>
      <c r="I257" s="289" t="n"/>
      <c r="J257" s="203" t="n"/>
    </row>
    <row r="258" ht="13" customHeight="1" s="189">
      <c r="A258" s="289" t="n"/>
      <c r="B258" s="290" t="n"/>
      <c r="C258" s="290" t="n"/>
      <c r="D258" s="289" t="n"/>
      <c r="E258" s="289" t="n"/>
      <c r="F258" s="291" t="n"/>
      <c r="G258" s="291" t="n"/>
      <c r="H258" s="291" t="n"/>
      <c r="I258" s="289" t="n"/>
      <c r="J258" s="203" t="n"/>
    </row>
    <row r="259" ht="13" customHeight="1" s="189">
      <c r="A259" s="289" t="n"/>
      <c r="B259" s="290" t="n"/>
      <c r="C259" s="290" t="n"/>
      <c r="D259" s="289" t="n"/>
      <c r="E259" s="289" t="n"/>
      <c r="F259" s="291" t="n"/>
      <c r="G259" s="291" t="n"/>
      <c r="H259" s="291" t="n"/>
      <c r="I259" s="289" t="n"/>
      <c r="J259" s="203" t="n"/>
    </row>
    <row r="260" ht="13" customHeight="1" s="189">
      <c r="A260" s="289" t="n"/>
      <c r="B260" s="290" t="n"/>
      <c r="C260" s="290" t="n"/>
      <c r="D260" s="289" t="n"/>
      <c r="E260" s="289" t="n"/>
      <c r="F260" s="291" t="n"/>
      <c r="G260" s="291" t="n"/>
      <c r="H260" s="291" t="n"/>
      <c r="I260" s="289" t="n"/>
      <c r="J260" s="203" t="n"/>
    </row>
    <row r="261" ht="13" customHeight="1" s="189">
      <c r="A261" s="289" t="n"/>
      <c r="B261" s="290" t="n"/>
      <c r="C261" s="290" t="n"/>
      <c r="D261" s="289" t="n"/>
      <c r="E261" s="289" t="n"/>
      <c r="F261" s="291" t="n"/>
      <c r="G261" s="291" t="n"/>
      <c r="H261" s="291" t="n"/>
      <c r="I261" s="289" t="n"/>
      <c r="J261" s="203" t="n"/>
    </row>
    <row r="262" ht="13" customHeight="1" s="189">
      <c r="A262" s="289" t="n"/>
      <c r="B262" s="290" t="n"/>
      <c r="C262" s="290" t="n"/>
      <c r="D262" s="289" t="n"/>
      <c r="E262" s="289" t="n"/>
      <c r="F262" s="291" t="n"/>
      <c r="G262" s="291" t="n"/>
      <c r="H262" s="291" t="n"/>
      <c r="I262" s="289" t="n"/>
      <c r="J262" s="203" t="n"/>
    </row>
    <row r="263" ht="13" customHeight="1" s="189">
      <c r="A263" s="289" t="n"/>
      <c r="B263" s="290" t="n"/>
      <c r="C263" s="290" t="n"/>
      <c r="D263" s="289" t="n"/>
      <c r="E263" s="289" t="n"/>
      <c r="F263" s="291" t="n"/>
      <c r="G263" s="291" t="n"/>
      <c r="H263" s="291" t="n"/>
      <c r="I263" s="289" t="n"/>
      <c r="J263" s="203" t="n"/>
    </row>
    <row r="264" ht="13" customHeight="1" s="189">
      <c r="A264" s="289" t="n"/>
      <c r="B264" s="290" t="n"/>
      <c r="C264" s="290" t="n"/>
      <c r="D264" s="289" t="n"/>
      <c r="E264" s="289" t="n"/>
      <c r="F264" s="291" t="n"/>
      <c r="G264" s="291" t="n"/>
      <c r="H264" s="291" t="n"/>
      <c r="I264" s="289" t="n"/>
      <c r="J264" s="203" t="n"/>
    </row>
    <row r="265" ht="13" customHeight="1" s="189">
      <c r="A265" s="289" t="n"/>
      <c r="B265" s="290" t="n"/>
      <c r="C265" s="290" t="n"/>
      <c r="D265" s="289" t="n"/>
      <c r="E265" s="289" t="n"/>
      <c r="F265" s="291" t="n"/>
      <c r="G265" s="291" t="n"/>
      <c r="H265" s="291" t="n"/>
      <c r="I265" s="289" t="n"/>
      <c r="J265" s="203" t="n"/>
    </row>
    <row r="266" ht="13" customHeight="1" s="189">
      <c r="A266" s="289" t="n"/>
      <c r="B266" s="290" t="n"/>
      <c r="C266" s="290" t="n"/>
      <c r="D266" s="289" t="n"/>
      <c r="E266" s="289" t="n"/>
      <c r="F266" s="291" t="n"/>
      <c r="G266" s="291" t="n"/>
      <c r="H266" s="291" t="n"/>
      <c r="I266" s="289" t="n"/>
      <c r="J266" s="203" t="n"/>
    </row>
    <row r="267" ht="13" customHeight="1" s="189">
      <c r="A267" s="289" t="n"/>
      <c r="B267" s="290" t="n"/>
      <c r="C267" s="290" t="n"/>
      <c r="D267" s="289" t="n"/>
      <c r="E267" s="289" t="n"/>
      <c r="F267" s="291" t="n"/>
      <c r="G267" s="291" t="n"/>
      <c r="H267" s="291" t="n"/>
      <c r="I267" s="289" t="n"/>
      <c r="J267" s="203" t="n"/>
    </row>
    <row r="268" ht="13" customHeight="1" s="189">
      <c r="A268" s="289" t="n"/>
      <c r="B268" s="290" t="n"/>
      <c r="C268" s="290" t="n"/>
      <c r="D268" s="289" t="n"/>
      <c r="E268" s="289" t="n"/>
      <c r="F268" s="291" t="n"/>
      <c r="G268" s="291" t="n"/>
      <c r="H268" s="291" t="n"/>
      <c r="I268" s="289" t="n"/>
      <c r="J268" s="203" t="n"/>
    </row>
    <row r="269" ht="13" customHeight="1" s="189">
      <c r="A269" s="289" t="n"/>
      <c r="B269" s="290" t="n"/>
      <c r="C269" s="290" t="n"/>
      <c r="D269" s="289" t="n"/>
      <c r="E269" s="289" t="n"/>
      <c r="F269" s="291" t="n"/>
      <c r="G269" s="291" t="n"/>
      <c r="H269" s="291" t="n"/>
      <c r="I269" s="289" t="n"/>
      <c r="J269" s="203" t="n"/>
    </row>
    <row r="270" ht="13" customHeight="1" s="189">
      <c r="A270" s="289" t="n"/>
      <c r="B270" s="290" t="n"/>
      <c r="C270" s="290" t="n"/>
      <c r="D270" s="289" t="n"/>
      <c r="E270" s="289" t="n"/>
      <c r="F270" s="291" t="n"/>
      <c r="G270" s="291" t="n"/>
      <c r="H270" s="291" t="n"/>
      <c r="I270" s="289" t="n"/>
      <c r="J270" s="203" t="n"/>
    </row>
    <row r="271" ht="13" customHeight="1" s="189">
      <c r="A271" s="289" t="n"/>
      <c r="B271" s="290" t="n"/>
      <c r="C271" s="290" t="n"/>
      <c r="D271" s="289" t="n"/>
      <c r="E271" s="289" t="n"/>
      <c r="F271" s="291" t="n"/>
      <c r="G271" s="291" t="n"/>
      <c r="H271" s="291" t="n"/>
      <c r="I271" s="289" t="n"/>
      <c r="J271" s="203" t="n"/>
    </row>
    <row r="272" ht="13" customHeight="1" s="189">
      <c r="A272" s="289" t="n"/>
      <c r="B272" s="290" t="n"/>
      <c r="C272" s="290" t="n"/>
      <c r="D272" s="289" t="n"/>
      <c r="E272" s="289" t="n"/>
      <c r="F272" s="291" t="n"/>
      <c r="G272" s="291" t="n"/>
      <c r="H272" s="291" t="n"/>
      <c r="I272" s="289" t="n"/>
      <c r="J272" s="203" t="n"/>
    </row>
    <row r="273" ht="13" customHeight="1" s="189">
      <c r="A273" s="289" t="n"/>
      <c r="B273" s="290" t="n"/>
      <c r="C273" s="290" t="n"/>
      <c r="D273" s="289" t="n"/>
      <c r="E273" s="289" t="n"/>
      <c r="F273" s="291" t="n"/>
      <c r="G273" s="291" t="n"/>
      <c r="H273" s="291" t="n"/>
      <c r="I273" s="289" t="n"/>
      <c r="J273" s="203" t="n"/>
    </row>
    <row r="274" ht="13" customHeight="1" s="189">
      <c r="A274" s="289" t="n"/>
      <c r="B274" s="290" t="n"/>
      <c r="C274" s="290" t="n"/>
      <c r="D274" s="289" t="n"/>
      <c r="E274" s="289" t="n"/>
      <c r="F274" s="291" t="n"/>
      <c r="G274" s="291" t="n"/>
      <c r="H274" s="291" t="n"/>
      <c r="I274" s="289" t="n"/>
      <c r="J274" s="203" t="n"/>
    </row>
    <row r="275" ht="13" customHeight="1" s="189">
      <c r="A275" s="289" t="n"/>
      <c r="B275" s="290" t="n"/>
      <c r="C275" s="290" t="n"/>
      <c r="D275" s="289" t="n"/>
      <c r="E275" s="289" t="n"/>
      <c r="F275" s="291" t="n"/>
      <c r="G275" s="291" t="n"/>
      <c r="H275" s="291" t="n"/>
      <c r="I275" s="289" t="n"/>
      <c r="J275" s="203" t="n"/>
    </row>
    <row r="276" ht="13" customHeight="1" s="189">
      <c r="A276" s="289" t="n"/>
      <c r="B276" s="290" t="n"/>
      <c r="C276" s="290" t="n"/>
      <c r="D276" s="289" t="n"/>
      <c r="E276" s="289" t="n"/>
      <c r="F276" s="291" t="n"/>
      <c r="G276" s="291" t="n"/>
      <c r="H276" s="291" t="n"/>
      <c r="I276" s="289" t="n"/>
      <c r="J276" s="203" t="n"/>
    </row>
    <row r="277" ht="13" customHeight="1" s="189">
      <c r="A277" s="289" t="n"/>
      <c r="B277" s="290" t="n"/>
      <c r="C277" s="290" t="n"/>
      <c r="D277" s="289" t="n"/>
      <c r="E277" s="289" t="n"/>
      <c r="F277" s="291" t="n"/>
      <c r="G277" s="291" t="n"/>
      <c r="H277" s="291" t="n"/>
      <c r="I277" s="289" t="n"/>
      <c r="J277" s="203" t="n"/>
    </row>
    <row r="278" ht="13" customHeight="1" s="189">
      <c r="A278" s="289" t="n"/>
      <c r="B278" s="290" t="n"/>
      <c r="C278" s="290" t="n"/>
      <c r="D278" s="289" t="n"/>
      <c r="E278" s="289" t="n"/>
      <c r="F278" s="291" t="n"/>
      <c r="G278" s="291" t="n"/>
      <c r="H278" s="291" t="n"/>
      <c r="I278" s="289" t="n"/>
      <c r="J278" s="203" t="n"/>
    </row>
    <row r="279" ht="13" customHeight="1" s="189">
      <c r="A279" s="289" t="n"/>
      <c r="B279" s="290" t="n"/>
      <c r="C279" s="290" t="n"/>
      <c r="D279" s="289" t="n"/>
      <c r="E279" s="289" t="n"/>
      <c r="F279" s="291" t="n"/>
      <c r="G279" s="291" t="n"/>
      <c r="H279" s="291" t="n"/>
      <c r="I279" s="289" t="n"/>
      <c r="J279" s="203" t="n"/>
    </row>
    <row r="280" ht="13" customHeight="1" s="189">
      <c r="A280" s="289" t="n"/>
      <c r="B280" s="290" t="n"/>
      <c r="C280" s="290" t="n"/>
      <c r="D280" s="289" t="n"/>
      <c r="E280" s="289" t="n"/>
      <c r="F280" s="291" t="n"/>
      <c r="G280" s="291" t="n"/>
      <c r="H280" s="291" t="n"/>
      <c r="I280" s="289" t="n"/>
      <c r="J280" s="203" t="n"/>
    </row>
    <row r="281" ht="13" customHeight="1" s="189">
      <c r="A281" s="289" t="n"/>
      <c r="B281" s="290" t="n"/>
      <c r="C281" s="290" t="n"/>
      <c r="D281" s="289" t="n"/>
      <c r="E281" s="289" t="n"/>
      <c r="F281" s="291" t="n"/>
      <c r="G281" s="291" t="n"/>
      <c r="H281" s="291" t="n"/>
      <c r="I281" s="289" t="n"/>
      <c r="J281" s="203" t="n"/>
    </row>
    <row r="282" ht="13" customHeight="1" s="189">
      <c r="A282" s="289" t="n"/>
      <c r="B282" s="290" t="n"/>
      <c r="C282" s="290" t="n"/>
      <c r="D282" s="289" t="n"/>
      <c r="E282" s="289" t="n"/>
      <c r="F282" s="291" t="n"/>
      <c r="G282" s="291" t="n"/>
      <c r="H282" s="291" t="n"/>
      <c r="I282" s="289" t="n"/>
      <c r="J282" s="203" t="n"/>
    </row>
    <row r="283" ht="13" customHeight="1" s="189">
      <c r="A283" s="289" t="n"/>
      <c r="B283" s="290" t="n"/>
      <c r="C283" s="290" t="n"/>
      <c r="D283" s="289" t="n"/>
      <c r="E283" s="289" t="n"/>
      <c r="F283" s="291" t="n"/>
      <c r="G283" s="291" t="n"/>
      <c r="H283" s="291" t="n"/>
      <c r="I283" s="289" t="n"/>
      <c r="J283" s="203" t="n"/>
    </row>
    <row r="284" ht="13" customHeight="1" s="189">
      <c r="A284" s="289" t="n"/>
      <c r="B284" s="290" t="n"/>
      <c r="C284" s="290" t="n"/>
      <c r="D284" s="289" t="n"/>
      <c r="E284" s="289" t="n"/>
      <c r="F284" s="291" t="n"/>
      <c r="G284" s="291" t="n"/>
      <c r="H284" s="291" t="n"/>
      <c r="I284" s="289" t="n"/>
      <c r="J284" s="203" t="n"/>
    </row>
    <row r="285" ht="13" customHeight="1" s="189">
      <c r="A285" s="289" t="n"/>
      <c r="B285" s="290" t="n"/>
      <c r="C285" s="290" t="n"/>
      <c r="D285" s="289" t="n"/>
      <c r="E285" s="289" t="n"/>
      <c r="F285" s="291" t="n"/>
      <c r="G285" s="291" t="n"/>
      <c r="H285" s="291" t="n"/>
      <c r="I285" s="289" t="n"/>
      <c r="J285" s="203" t="n"/>
    </row>
    <row r="286" ht="13" customHeight="1" s="189">
      <c r="A286" s="289" t="n"/>
      <c r="B286" s="290" t="n"/>
      <c r="C286" s="290" t="n"/>
      <c r="D286" s="289" t="n"/>
      <c r="E286" s="289" t="n"/>
      <c r="F286" s="291" t="n"/>
      <c r="G286" s="291" t="n"/>
      <c r="H286" s="291" t="n"/>
      <c r="I286" s="289" t="n"/>
      <c r="J286" s="203" t="n"/>
    </row>
    <row r="287" ht="13" customHeight="1" s="189">
      <c r="A287" s="289" t="n"/>
      <c r="B287" s="290" t="n"/>
      <c r="C287" s="290" t="n"/>
      <c r="D287" s="289" t="n"/>
      <c r="E287" s="289" t="n"/>
      <c r="F287" s="291" t="n"/>
      <c r="G287" s="291" t="n"/>
      <c r="H287" s="291" t="n"/>
      <c r="I287" s="289" t="n"/>
      <c r="J287" s="203" t="n"/>
    </row>
    <row r="288" ht="13" customHeight="1" s="189">
      <c r="A288" s="289" t="n"/>
      <c r="B288" s="290" t="n"/>
      <c r="C288" s="290" t="n"/>
      <c r="D288" s="289" t="n"/>
      <c r="E288" s="289" t="n"/>
      <c r="F288" s="291" t="n"/>
      <c r="G288" s="291" t="n"/>
      <c r="H288" s="291" t="n"/>
      <c r="I288" s="289" t="n"/>
      <c r="J288" s="203" t="n"/>
    </row>
    <row r="289" ht="13" customHeight="1" s="189">
      <c r="A289" s="289" t="n"/>
      <c r="B289" s="290" t="n"/>
      <c r="C289" s="290" t="n"/>
      <c r="D289" s="289" t="n"/>
      <c r="E289" s="289" t="n"/>
      <c r="F289" s="291" t="n"/>
      <c r="G289" s="291" t="n"/>
      <c r="H289" s="291" t="n"/>
      <c r="I289" s="289" t="n"/>
      <c r="J289" s="203" t="n"/>
    </row>
    <row r="290" ht="13" customHeight="1" s="189">
      <c r="A290" s="289" t="n"/>
      <c r="B290" s="290" t="n"/>
      <c r="C290" s="290" t="n"/>
      <c r="D290" s="289" t="n"/>
      <c r="E290" s="289" t="n"/>
      <c r="F290" s="291" t="n"/>
      <c r="G290" s="291" t="n"/>
      <c r="H290" s="291" t="n"/>
      <c r="I290" s="289" t="n"/>
      <c r="J290" s="203" t="n"/>
    </row>
    <row r="291" ht="13" customHeight="1" s="189">
      <c r="A291" s="289" t="n"/>
      <c r="B291" s="290" t="n"/>
      <c r="C291" s="290" t="n"/>
      <c r="D291" s="289" t="n"/>
      <c r="E291" s="289" t="n"/>
      <c r="F291" s="291" t="n"/>
      <c r="G291" s="291" t="n"/>
      <c r="H291" s="291" t="n"/>
      <c r="I291" s="289" t="n"/>
      <c r="J291" s="203" t="n"/>
    </row>
    <row r="292" ht="13" customHeight="1" s="189">
      <c r="A292" s="289" t="n"/>
      <c r="B292" s="290" t="n"/>
      <c r="C292" s="290" t="n"/>
      <c r="D292" s="289" t="n"/>
      <c r="E292" s="289" t="n"/>
      <c r="F292" s="291" t="n"/>
      <c r="G292" s="291" t="n"/>
      <c r="H292" s="291" t="n"/>
      <c r="I292" s="289" t="n"/>
      <c r="J292" s="203" t="n"/>
    </row>
    <row r="293" ht="13" customHeight="1" s="189">
      <c r="A293" s="289" t="n"/>
      <c r="B293" s="290" t="n"/>
      <c r="C293" s="290" t="n"/>
      <c r="D293" s="289" t="n"/>
      <c r="E293" s="289" t="n"/>
      <c r="F293" s="291" t="n"/>
      <c r="G293" s="291" t="n"/>
      <c r="H293" s="291" t="n"/>
      <c r="I293" s="289" t="n"/>
      <c r="J293" s="203" t="n"/>
    </row>
    <row r="294" ht="13" customHeight="1" s="189">
      <c r="A294" s="289" t="n"/>
      <c r="B294" s="290" t="n"/>
      <c r="C294" s="290" t="n"/>
      <c r="D294" s="289" t="n"/>
      <c r="E294" s="289" t="n"/>
      <c r="F294" s="291" t="n"/>
      <c r="G294" s="291" t="n"/>
      <c r="H294" s="291" t="n"/>
      <c r="I294" s="289" t="n"/>
      <c r="J294" s="203" t="n"/>
    </row>
    <row r="295" ht="13" customHeight="1" s="189">
      <c r="A295" s="289" t="n"/>
      <c r="B295" s="290" t="n"/>
      <c r="C295" s="290" t="n"/>
      <c r="D295" s="289" t="n"/>
      <c r="E295" s="289" t="n"/>
      <c r="F295" s="291" t="n"/>
      <c r="G295" s="291" t="n"/>
      <c r="H295" s="291" t="n"/>
      <c r="I295" s="289" t="n"/>
      <c r="J295" s="203" t="n"/>
    </row>
    <row r="296" ht="13" customHeight="1" s="189">
      <c r="A296" s="289" t="n"/>
      <c r="B296" s="290" t="n"/>
      <c r="C296" s="290" t="n"/>
      <c r="D296" s="289" t="n"/>
      <c r="E296" s="289" t="n"/>
      <c r="F296" s="291" t="n"/>
      <c r="G296" s="291" t="n"/>
      <c r="H296" s="291" t="n"/>
      <c r="I296" s="289" t="n"/>
      <c r="J296" s="203" t="n"/>
    </row>
    <row r="297" ht="13" customHeight="1" s="189">
      <c r="A297" s="289" t="n"/>
      <c r="B297" s="290" t="n"/>
      <c r="C297" s="290" t="n"/>
      <c r="D297" s="289" t="n"/>
      <c r="E297" s="289" t="n"/>
      <c r="F297" s="291" t="n"/>
      <c r="G297" s="291" t="n"/>
      <c r="H297" s="291" t="n"/>
      <c r="I297" s="289" t="n"/>
      <c r="J297" s="203" t="n"/>
    </row>
    <row r="298" ht="13" customHeight="1" s="189">
      <c r="A298" s="289" t="n"/>
      <c r="B298" s="290" t="n"/>
      <c r="C298" s="290" t="n"/>
      <c r="D298" s="289" t="n"/>
      <c r="E298" s="289" t="n"/>
      <c r="F298" s="291" t="n"/>
      <c r="G298" s="291" t="n"/>
      <c r="H298" s="291" t="n"/>
      <c r="I298" s="289" t="n"/>
      <c r="J298" s="203" t="n"/>
    </row>
    <row r="299" ht="13" customHeight="1" s="189">
      <c r="A299" s="289" t="n"/>
      <c r="B299" s="290" t="n"/>
      <c r="C299" s="290" t="n"/>
      <c r="D299" s="289" t="n"/>
      <c r="E299" s="289" t="n"/>
      <c r="F299" s="291" t="n"/>
      <c r="G299" s="291" t="n"/>
      <c r="H299" s="291" t="n"/>
      <c r="I299" s="289" t="n"/>
      <c r="J299" s="203" t="n"/>
    </row>
    <row r="300" ht="13" customHeight="1" s="189">
      <c r="A300" s="289" t="n"/>
      <c r="B300" s="290" t="n"/>
      <c r="C300" s="290" t="n"/>
      <c r="D300" s="289" t="n"/>
      <c r="E300" s="289" t="n"/>
      <c r="F300" s="291" t="n"/>
      <c r="G300" s="291" t="n"/>
      <c r="H300" s="291" t="n"/>
      <c r="I300" s="289" t="n"/>
      <c r="J300" s="203" t="n"/>
    </row>
    <row r="301" ht="13" customHeight="1" s="189">
      <c r="A301" s="289" t="n"/>
      <c r="B301" s="290" t="n"/>
      <c r="C301" s="290" t="n"/>
      <c r="D301" s="289" t="n"/>
      <c r="E301" s="289" t="n"/>
      <c r="F301" s="291" t="n"/>
      <c r="G301" s="291" t="n"/>
      <c r="H301" s="291" t="n"/>
      <c r="I301" s="289" t="n"/>
      <c r="J301" s="203" t="n"/>
    </row>
    <row r="302" ht="13" customHeight="1" s="189">
      <c r="A302" s="289" t="n"/>
      <c r="B302" s="290" t="n"/>
      <c r="C302" s="290" t="n"/>
      <c r="D302" s="289" t="n"/>
      <c r="E302" s="289" t="n"/>
      <c r="F302" s="291" t="n"/>
      <c r="G302" s="291" t="n"/>
      <c r="H302" s="291" t="n"/>
      <c r="I302" s="289" t="n"/>
      <c r="J302" s="203" t="n"/>
    </row>
    <row r="303" ht="13" customHeight="1" s="189">
      <c r="A303" s="289" t="n"/>
      <c r="B303" s="290" t="n"/>
      <c r="C303" s="290" t="n"/>
      <c r="D303" s="289" t="n"/>
      <c r="E303" s="289" t="n"/>
      <c r="F303" s="291" t="n"/>
      <c r="G303" s="291" t="n"/>
      <c r="H303" s="291" t="n"/>
      <c r="I303" s="289" t="n"/>
      <c r="J303" s="203" t="n"/>
    </row>
    <row r="304" ht="13" customHeight="1" s="189">
      <c r="A304" s="289" t="n"/>
      <c r="B304" s="290" t="n"/>
      <c r="C304" s="290" t="n"/>
      <c r="D304" s="289" t="n"/>
      <c r="E304" s="289" t="n"/>
      <c r="F304" s="291" t="n"/>
      <c r="G304" s="291" t="n"/>
      <c r="H304" s="291" t="n"/>
      <c r="I304" s="289" t="n"/>
      <c r="J304" s="203" t="n"/>
    </row>
    <row r="305" ht="13" customHeight="1" s="189">
      <c r="A305" s="289" t="n"/>
      <c r="B305" s="290" t="n"/>
      <c r="C305" s="290" t="n"/>
      <c r="D305" s="289" t="n"/>
      <c r="E305" s="289" t="n"/>
      <c r="F305" s="291" t="n"/>
      <c r="G305" s="291" t="n"/>
      <c r="H305" s="291" t="n"/>
      <c r="I305" s="289" t="n"/>
      <c r="J305" s="203" t="n"/>
    </row>
    <row r="306" ht="13" customHeight="1" s="189">
      <c r="A306" s="289" t="n"/>
      <c r="B306" s="290" t="n"/>
      <c r="C306" s="290" t="n"/>
      <c r="D306" s="289" t="n"/>
      <c r="E306" s="289" t="n"/>
      <c r="F306" s="291" t="n"/>
      <c r="G306" s="291" t="n"/>
      <c r="H306" s="291" t="n"/>
      <c r="I306" s="289" t="n"/>
      <c r="J306" s="203" t="n"/>
    </row>
    <row r="307" ht="13" customHeight="1" s="189">
      <c r="A307" s="289" t="n"/>
      <c r="B307" s="290" t="n"/>
      <c r="C307" s="290" t="n"/>
      <c r="D307" s="289" t="n"/>
      <c r="E307" s="289" t="n"/>
      <c r="F307" s="291" t="n"/>
      <c r="G307" s="291" t="n"/>
      <c r="H307" s="291" t="n"/>
      <c r="I307" s="289" t="n"/>
      <c r="J307" s="203" t="n"/>
    </row>
    <row r="308" ht="13" customHeight="1" s="189">
      <c r="A308" s="289" t="n"/>
      <c r="B308" s="290" t="n"/>
      <c r="C308" s="290" t="n"/>
      <c r="D308" s="289" t="n"/>
      <c r="E308" s="289" t="n"/>
      <c r="F308" s="291" t="n"/>
      <c r="G308" s="291" t="n"/>
      <c r="H308" s="291" t="n"/>
      <c r="I308" s="289" t="n"/>
      <c r="J308" s="203" t="n"/>
    </row>
    <row r="309" ht="13" customHeight="1" s="189">
      <c r="A309" s="289" t="n"/>
      <c r="B309" s="290" t="n"/>
      <c r="C309" s="290" t="n"/>
      <c r="D309" s="289" t="n"/>
      <c r="E309" s="289" t="n"/>
      <c r="F309" s="291" t="n"/>
      <c r="G309" s="291" t="n"/>
      <c r="H309" s="291" t="n"/>
      <c r="I309" s="289" t="n"/>
      <c r="J309" s="203" t="n"/>
    </row>
    <row r="310" ht="13" customHeight="1" s="189">
      <c r="A310" s="289" t="n"/>
      <c r="B310" s="290" t="n"/>
      <c r="C310" s="290" t="n"/>
      <c r="D310" s="289" t="n"/>
      <c r="E310" s="289" t="n"/>
      <c r="F310" s="291" t="n"/>
      <c r="G310" s="291" t="n"/>
      <c r="H310" s="291" t="n"/>
      <c r="I310" s="289" t="n"/>
      <c r="J310" s="203" t="n"/>
    </row>
    <row r="311" ht="13" customHeight="1" s="189">
      <c r="A311" s="289" t="n"/>
      <c r="B311" s="290" t="n"/>
      <c r="C311" s="290" t="n"/>
      <c r="D311" s="289" t="n"/>
      <c r="E311" s="289" t="n"/>
      <c r="F311" s="291" t="n"/>
      <c r="G311" s="291" t="n"/>
      <c r="H311" s="291" t="n"/>
      <c r="I311" s="289" t="n"/>
      <c r="J311" s="203" t="n"/>
    </row>
    <row r="312" ht="13" customHeight="1" s="189">
      <c r="A312" s="289" t="n"/>
      <c r="B312" s="290" t="n"/>
      <c r="C312" s="290" t="n"/>
      <c r="D312" s="289" t="n"/>
      <c r="E312" s="289" t="n"/>
      <c r="F312" s="291" t="n"/>
      <c r="G312" s="291" t="n"/>
      <c r="H312" s="291" t="n"/>
      <c r="I312" s="289" t="n"/>
      <c r="J312" s="203" t="n"/>
    </row>
    <row r="313" ht="13" customHeight="1" s="189">
      <c r="A313" s="289" t="n"/>
      <c r="B313" s="290" t="n"/>
      <c r="C313" s="290" t="n"/>
      <c r="D313" s="289" t="n"/>
      <c r="E313" s="289" t="n"/>
      <c r="F313" s="291" t="n"/>
      <c r="G313" s="291" t="n"/>
      <c r="H313" s="291" t="n"/>
      <c r="I313" s="289" t="n"/>
      <c r="J313" s="203" t="n"/>
    </row>
    <row r="314" ht="13" customHeight="1" s="189">
      <c r="A314" s="289" t="n"/>
      <c r="B314" s="290" t="n"/>
      <c r="C314" s="290" t="n"/>
      <c r="D314" s="289" t="n"/>
      <c r="E314" s="289" t="n"/>
      <c r="F314" s="291" t="n"/>
      <c r="G314" s="291" t="n"/>
      <c r="H314" s="291" t="n"/>
      <c r="I314" s="289" t="n"/>
      <c r="J314" s="203" t="n"/>
    </row>
    <row r="315" ht="13" customHeight="1" s="189">
      <c r="A315" s="289" t="n"/>
      <c r="B315" s="290" t="n"/>
      <c r="C315" s="290" t="n"/>
      <c r="D315" s="289" t="n"/>
      <c r="E315" s="289" t="n"/>
      <c r="F315" s="291" t="n"/>
      <c r="G315" s="291" t="n"/>
      <c r="H315" s="291" t="n"/>
      <c r="I315" s="289" t="n"/>
      <c r="J315" s="203" t="n"/>
    </row>
    <row r="316" ht="13" customHeight="1" s="189">
      <c r="A316" s="289" t="n"/>
      <c r="B316" s="290" t="n"/>
      <c r="C316" s="290" t="n"/>
      <c r="D316" s="289" t="n"/>
      <c r="E316" s="289" t="n"/>
      <c r="F316" s="291" t="n"/>
      <c r="G316" s="291" t="n"/>
      <c r="H316" s="291" t="n"/>
      <c r="I316" s="289" t="n"/>
      <c r="J316" s="203" t="n"/>
    </row>
    <row r="317" ht="13" customHeight="1" s="189">
      <c r="A317" s="289" t="n"/>
      <c r="B317" s="290" t="n"/>
      <c r="C317" s="290" t="n"/>
      <c r="D317" s="289" t="n"/>
      <c r="E317" s="289" t="n"/>
      <c r="F317" s="291" t="n"/>
      <c r="G317" s="291" t="n"/>
      <c r="H317" s="291" t="n"/>
      <c r="I317" s="289" t="n"/>
      <c r="J317" s="203" t="n"/>
    </row>
    <row r="318" ht="13" customHeight="1" s="189">
      <c r="A318" s="289" t="n"/>
      <c r="B318" s="290" t="n"/>
      <c r="C318" s="290" t="n"/>
      <c r="D318" s="289" t="n"/>
      <c r="E318" s="289" t="n"/>
      <c r="F318" s="291" t="n"/>
      <c r="G318" s="291" t="n"/>
      <c r="H318" s="291" t="n"/>
      <c r="I318" s="289" t="n"/>
      <c r="J318" s="203" t="n"/>
    </row>
    <row r="319" ht="13" customHeight="1" s="189">
      <c r="A319" s="289" t="n"/>
      <c r="B319" s="290" t="n"/>
      <c r="C319" s="290" t="n"/>
      <c r="D319" s="289" t="n"/>
      <c r="E319" s="289" t="n"/>
      <c r="F319" s="291" t="n"/>
      <c r="G319" s="291" t="n"/>
      <c r="H319" s="291" t="n"/>
      <c r="I319" s="289" t="n"/>
      <c r="J319" s="203" t="n"/>
    </row>
    <row r="320" ht="13" customHeight="1" s="189">
      <c r="A320" s="289" t="n"/>
      <c r="B320" s="290" t="n"/>
      <c r="C320" s="290" t="n"/>
      <c r="D320" s="289" t="n"/>
      <c r="E320" s="289" t="n"/>
      <c r="F320" s="291" t="n"/>
      <c r="G320" s="291" t="n"/>
      <c r="H320" s="291" t="n"/>
      <c r="I320" s="289" t="n"/>
      <c r="J320" s="203" t="n"/>
    </row>
    <row r="321" ht="13" customHeight="1" s="189">
      <c r="A321" s="289" t="n"/>
      <c r="B321" s="290" t="n"/>
      <c r="C321" s="290" t="n"/>
      <c r="D321" s="289" t="n"/>
      <c r="E321" s="289" t="n"/>
      <c r="F321" s="291" t="n"/>
      <c r="G321" s="291" t="n"/>
      <c r="H321" s="291" t="n"/>
      <c r="I321" s="289" t="n"/>
      <c r="J321" s="203" t="n"/>
    </row>
    <row r="322" ht="13" customHeight="1" s="189">
      <c r="A322" s="289" t="n"/>
      <c r="B322" s="290" t="n"/>
      <c r="C322" s="290" t="n"/>
      <c r="D322" s="289" t="n"/>
      <c r="E322" s="289" t="n"/>
      <c r="F322" s="291" t="n"/>
      <c r="G322" s="291" t="n"/>
      <c r="H322" s="291" t="n"/>
      <c r="I322" s="289" t="n"/>
      <c r="J322" s="203" t="n"/>
    </row>
    <row r="323" ht="13" customHeight="1" s="189">
      <c r="A323" s="289" t="n"/>
      <c r="B323" s="290" t="n"/>
      <c r="C323" s="290" t="n"/>
      <c r="D323" s="289" t="n"/>
      <c r="E323" s="289" t="n"/>
      <c r="F323" s="291" t="n"/>
      <c r="G323" s="291" t="n"/>
      <c r="H323" s="291" t="n"/>
      <c r="I323" s="289" t="n"/>
      <c r="J323" s="203" t="n"/>
    </row>
    <row r="324" ht="13" customHeight="1" s="189">
      <c r="A324" s="289" t="n"/>
      <c r="B324" s="290" t="n"/>
      <c r="C324" s="290" t="n"/>
      <c r="D324" s="289" t="n"/>
      <c r="E324" s="289" t="n"/>
      <c r="F324" s="291" t="n"/>
      <c r="G324" s="291" t="n"/>
      <c r="H324" s="291" t="n"/>
      <c r="I324" s="289" t="n"/>
      <c r="J324" s="203" t="n"/>
    </row>
    <row r="325" ht="13" customHeight="1" s="189">
      <c r="A325" s="289" t="n"/>
      <c r="B325" s="290" t="n"/>
      <c r="C325" s="290" t="n"/>
      <c r="D325" s="289" t="n"/>
      <c r="E325" s="289" t="n"/>
      <c r="F325" s="291" t="n"/>
      <c r="G325" s="291" t="n"/>
      <c r="H325" s="291" t="n"/>
      <c r="I325" s="289" t="n"/>
      <c r="J325" s="203" t="n"/>
    </row>
    <row r="326" ht="13" customHeight="1" s="189">
      <c r="A326" s="289" t="n"/>
      <c r="B326" s="290" t="n"/>
      <c r="C326" s="290" t="n"/>
      <c r="D326" s="289" t="n"/>
      <c r="E326" s="289" t="n"/>
      <c r="F326" s="291" t="n"/>
      <c r="G326" s="291" t="n"/>
      <c r="H326" s="291" t="n"/>
      <c r="I326" s="289" t="n"/>
      <c r="J326" s="203" t="n"/>
    </row>
    <row r="327" ht="13" customHeight="1" s="189">
      <c r="A327" s="289" t="n"/>
      <c r="B327" s="290" t="n"/>
      <c r="C327" s="290" t="n"/>
      <c r="D327" s="289" t="n"/>
      <c r="E327" s="289" t="n"/>
      <c r="F327" s="291" t="n"/>
      <c r="G327" s="291" t="n"/>
      <c r="H327" s="291" t="n"/>
      <c r="I327" s="289" t="n"/>
      <c r="J327" s="203" t="n"/>
    </row>
    <row r="328" ht="13" customHeight="1" s="189">
      <c r="A328" s="289" t="n"/>
      <c r="B328" s="290" t="n"/>
      <c r="C328" s="290" t="n"/>
      <c r="D328" s="289" t="n"/>
      <c r="E328" s="289" t="n"/>
      <c r="F328" s="291" t="n"/>
      <c r="G328" s="291" t="n"/>
      <c r="H328" s="291" t="n"/>
      <c r="I328" s="289" t="n"/>
      <c r="J328" s="203" t="n"/>
    </row>
    <row r="329" ht="13" customHeight="1" s="189">
      <c r="A329" s="289" t="n"/>
      <c r="B329" s="290" t="n"/>
      <c r="C329" s="290" t="n"/>
      <c r="D329" s="289" t="n"/>
      <c r="E329" s="289" t="n"/>
      <c r="F329" s="291" t="n"/>
      <c r="G329" s="291" t="n"/>
      <c r="H329" s="291" t="n"/>
      <c r="I329" s="289" t="n"/>
      <c r="J329" s="203" t="n"/>
    </row>
    <row r="330" ht="13" customHeight="1" s="189">
      <c r="A330" s="289" t="n"/>
      <c r="B330" s="290" t="n"/>
      <c r="C330" s="290" t="n"/>
      <c r="D330" s="289" t="n"/>
      <c r="E330" s="289" t="n"/>
      <c r="F330" s="291" t="n"/>
      <c r="G330" s="291" t="n"/>
      <c r="H330" s="291" t="n"/>
      <c r="I330" s="289" t="n"/>
      <c r="J330" s="203" t="n"/>
    </row>
    <row r="331" ht="13" customHeight="1" s="189">
      <c r="A331" s="289" t="n"/>
      <c r="B331" s="290" t="n"/>
      <c r="C331" s="290" t="n"/>
      <c r="D331" s="289" t="n"/>
      <c r="E331" s="289" t="n"/>
      <c r="F331" s="291" t="n"/>
      <c r="G331" s="291" t="n"/>
      <c r="H331" s="291" t="n"/>
      <c r="I331" s="289" t="n"/>
      <c r="J331" s="203" t="n"/>
    </row>
    <row r="332" ht="13" customHeight="1" s="189">
      <c r="A332" s="289" t="n"/>
      <c r="B332" s="290" t="n"/>
      <c r="C332" s="290" t="n"/>
      <c r="D332" s="289" t="n"/>
      <c r="E332" s="289" t="n"/>
      <c r="F332" s="291" t="n"/>
      <c r="G332" s="291" t="n"/>
      <c r="H332" s="291" t="n"/>
      <c r="I332" s="289" t="n"/>
      <c r="J332" s="203" t="n"/>
    </row>
    <row r="333" ht="13" customHeight="1" s="189">
      <c r="A333" s="289" t="n"/>
      <c r="B333" s="290" t="n"/>
      <c r="C333" s="290" t="n"/>
      <c r="D333" s="289" t="n"/>
      <c r="E333" s="289" t="n"/>
      <c r="F333" s="291" t="n"/>
      <c r="G333" s="291" t="n"/>
      <c r="H333" s="291" t="n"/>
      <c r="I333" s="289" t="n"/>
      <c r="J333" s="203" t="n"/>
    </row>
    <row r="334" ht="13" customHeight="1" s="189">
      <c r="A334" s="289" t="n"/>
      <c r="B334" s="290" t="n"/>
      <c r="C334" s="290" t="n"/>
      <c r="D334" s="289" t="n"/>
      <c r="E334" s="289" t="n"/>
      <c r="F334" s="291" t="n"/>
      <c r="G334" s="291" t="n"/>
      <c r="H334" s="291" t="n"/>
      <c r="I334" s="289" t="n"/>
      <c r="J334" s="203" t="n"/>
    </row>
    <row r="335" ht="13" customHeight="1" s="189">
      <c r="A335" s="289" t="n"/>
      <c r="B335" s="290" t="n"/>
      <c r="C335" s="290" t="n"/>
      <c r="D335" s="289" t="n"/>
      <c r="E335" s="289" t="n"/>
      <c r="F335" s="291" t="n"/>
      <c r="G335" s="291" t="n"/>
      <c r="H335" s="291" t="n"/>
      <c r="I335" s="289" t="n"/>
      <c r="J335" s="203" t="n"/>
    </row>
    <row r="336" ht="13" customHeight="1" s="189">
      <c r="A336" s="289" t="n"/>
      <c r="B336" s="290" t="n"/>
      <c r="C336" s="290" t="n"/>
      <c r="D336" s="289" t="n"/>
      <c r="E336" s="289" t="n"/>
      <c r="F336" s="291" t="n"/>
      <c r="G336" s="291" t="n"/>
      <c r="H336" s="291" t="n"/>
      <c r="I336" s="289" t="n"/>
      <c r="J336" s="203" t="n"/>
    </row>
    <row r="337" ht="13" customHeight="1" s="189">
      <c r="A337" s="289" t="n"/>
      <c r="B337" s="290" t="n"/>
      <c r="C337" s="290" t="n"/>
      <c r="D337" s="289" t="n"/>
      <c r="E337" s="289" t="n"/>
      <c r="F337" s="291" t="n"/>
      <c r="G337" s="291" t="n"/>
      <c r="H337" s="291" t="n"/>
      <c r="I337" s="289" t="n"/>
      <c r="J337" s="203" t="n"/>
    </row>
    <row r="338" ht="13" customHeight="1" s="189">
      <c r="A338" s="289" t="n"/>
      <c r="B338" s="290" t="n"/>
      <c r="C338" s="290" t="n"/>
      <c r="D338" s="289" t="n"/>
      <c r="E338" s="289" t="n"/>
      <c r="F338" s="291" t="n"/>
      <c r="G338" s="291" t="n"/>
      <c r="H338" s="291" t="n"/>
      <c r="I338" s="289" t="n"/>
      <c r="J338" s="203" t="n"/>
    </row>
    <row r="339" ht="13" customHeight="1" s="189">
      <c r="A339" s="289" t="n"/>
      <c r="B339" s="290" t="n"/>
      <c r="C339" s="290" t="n"/>
      <c r="D339" s="289" t="n"/>
      <c r="E339" s="289" t="n"/>
      <c r="F339" s="291" t="n"/>
      <c r="G339" s="291" t="n"/>
      <c r="H339" s="291" t="n"/>
      <c r="I339" s="289" t="n"/>
      <c r="J339" s="203" t="n"/>
    </row>
    <row r="340" ht="13" customHeight="1" s="189">
      <c r="A340" s="289" t="n"/>
      <c r="B340" s="290" t="n"/>
      <c r="C340" s="290" t="n"/>
      <c r="D340" s="289" t="n"/>
      <c r="E340" s="289" t="n"/>
      <c r="F340" s="291" t="n"/>
      <c r="G340" s="291" t="n"/>
      <c r="H340" s="291" t="n"/>
      <c r="I340" s="289" t="n"/>
      <c r="J340" s="203" t="n"/>
    </row>
    <row r="341" ht="13" customHeight="1" s="189">
      <c r="A341" s="289" t="n"/>
      <c r="B341" s="290" t="n"/>
      <c r="C341" s="290" t="n"/>
      <c r="D341" s="289" t="n"/>
      <c r="E341" s="289" t="n"/>
      <c r="F341" s="291" t="n"/>
      <c r="G341" s="291" t="n"/>
      <c r="H341" s="291" t="n"/>
      <c r="I341" s="289" t="n"/>
      <c r="J341" s="203" t="n"/>
    </row>
    <row r="342" ht="13" customHeight="1" s="189">
      <c r="A342" s="289" t="n"/>
      <c r="B342" s="290" t="n"/>
      <c r="C342" s="290" t="n"/>
      <c r="D342" s="289" t="n"/>
      <c r="E342" s="289" t="n"/>
      <c r="F342" s="291" t="n"/>
      <c r="G342" s="291" t="n"/>
      <c r="H342" s="291" t="n"/>
      <c r="I342" s="289" t="n"/>
      <c r="J342" s="203" t="n"/>
    </row>
    <row r="343" ht="13" customHeight="1" s="189">
      <c r="A343" s="289" t="n"/>
      <c r="B343" s="290" t="n"/>
      <c r="C343" s="290" t="n"/>
      <c r="D343" s="289" t="n"/>
      <c r="E343" s="289" t="n"/>
      <c r="F343" s="291" t="n"/>
      <c r="G343" s="291" t="n"/>
      <c r="H343" s="291" t="n"/>
      <c r="I343" s="289" t="n"/>
      <c r="J343" s="203" t="n"/>
    </row>
    <row r="344" ht="13" customHeight="1" s="189">
      <c r="A344" s="289" t="n"/>
      <c r="B344" s="290" t="n"/>
      <c r="C344" s="290" t="n"/>
      <c r="D344" s="289" t="n"/>
      <c r="E344" s="289" t="n"/>
      <c r="F344" s="291" t="n"/>
      <c r="G344" s="291" t="n"/>
      <c r="H344" s="291" t="n"/>
      <c r="I344" s="289" t="n"/>
      <c r="J344" s="203" t="n"/>
    </row>
    <row r="345" ht="13" customHeight="1" s="189">
      <c r="A345" s="289" t="n"/>
      <c r="B345" s="290" t="n"/>
      <c r="C345" s="290" t="n"/>
      <c r="D345" s="289" t="n"/>
      <c r="E345" s="289" t="n"/>
      <c r="F345" s="291" t="n"/>
      <c r="G345" s="291" t="n"/>
      <c r="H345" s="291" t="n"/>
      <c r="I345" s="289" t="n"/>
      <c r="J345" s="203" t="n"/>
    </row>
    <row r="346" ht="13" customHeight="1" s="189">
      <c r="A346" s="289" t="n"/>
      <c r="B346" s="290" t="n"/>
      <c r="C346" s="290" t="n"/>
      <c r="D346" s="289" t="n"/>
      <c r="E346" s="289" t="n"/>
      <c r="F346" s="291" t="n"/>
      <c r="G346" s="291" t="n"/>
      <c r="H346" s="291" t="n"/>
      <c r="I346" s="289" t="n"/>
      <c r="J346" s="203" t="n"/>
    </row>
    <row r="347" ht="13" customHeight="1" s="189">
      <c r="A347" s="289" t="n"/>
      <c r="B347" s="290" t="n"/>
      <c r="C347" s="290" t="n"/>
      <c r="D347" s="289" t="n"/>
      <c r="E347" s="289" t="n"/>
      <c r="F347" s="291" t="n"/>
      <c r="G347" s="291" t="n"/>
      <c r="H347" s="291" t="n"/>
      <c r="I347" s="289" t="n"/>
      <c r="J347" s="203" t="n"/>
    </row>
    <row r="348" ht="13" customHeight="1" s="189">
      <c r="A348" s="289" t="n"/>
      <c r="B348" s="290" t="n"/>
      <c r="C348" s="290" t="n"/>
      <c r="D348" s="289" t="n"/>
      <c r="E348" s="289" t="n"/>
      <c r="F348" s="291" t="n"/>
      <c r="G348" s="291" t="n"/>
      <c r="H348" s="291" t="n"/>
      <c r="I348" s="289" t="n"/>
      <c r="J348" s="203" t="n"/>
    </row>
    <row r="349" ht="13" customHeight="1" s="189">
      <c r="A349" s="289" t="n"/>
      <c r="B349" s="290" t="n"/>
      <c r="C349" s="290" t="n"/>
      <c r="D349" s="289" t="n"/>
      <c r="E349" s="289" t="n"/>
      <c r="F349" s="291" t="n"/>
      <c r="G349" s="291" t="n"/>
      <c r="H349" s="291" t="n"/>
      <c r="I349" s="289" t="n"/>
      <c r="J349" s="203" t="n"/>
    </row>
    <row r="350" ht="13" customHeight="1" s="189">
      <c r="A350" s="289" t="n"/>
      <c r="B350" s="290" t="n"/>
      <c r="C350" s="290" t="n"/>
      <c r="D350" s="289" t="n"/>
      <c r="E350" s="289" t="n"/>
      <c r="F350" s="291" t="n"/>
      <c r="G350" s="291" t="n"/>
      <c r="H350" s="291" t="n"/>
      <c r="I350" s="289" t="n"/>
      <c r="J350" s="203" t="n"/>
    </row>
    <row r="351" ht="13" customHeight="1" s="189">
      <c r="A351" s="289" t="n"/>
      <c r="B351" s="290" t="n"/>
      <c r="C351" s="290" t="n"/>
      <c r="D351" s="289" t="n"/>
      <c r="E351" s="289" t="n"/>
      <c r="F351" s="291" t="n"/>
      <c r="G351" s="291" t="n"/>
      <c r="H351" s="291" t="n"/>
      <c r="I351" s="289" t="n"/>
      <c r="J351" s="203" t="n"/>
    </row>
    <row r="352" ht="13" customHeight="1" s="189">
      <c r="A352" s="289" t="n"/>
      <c r="B352" s="290" t="n"/>
      <c r="C352" s="290" t="n"/>
      <c r="D352" s="289" t="n"/>
      <c r="E352" s="289" t="n"/>
      <c r="F352" s="291" t="n"/>
      <c r="G352" s="291" t="n"/>
      <c r="H352" s="291" t="n"/>
      <c r="I352" s="289" t="n"/>
      <c r="J352" s="203" t="n"/>
    </row>
    <row r="353" ht="13" customHeight="1" s="189">
      <c r="A353" s="289" t="n"/>
      <c r="B353" s="290" t="n"/>
      <c r="C353" s="290" t="n"/>
      <c r="D353" s="289" t="n"/>
      <c r="E353" s="289" t="n"/>
      <c r="F353" s="291" t="n"/>
      <c r="G353" s="291" t="n"/>
      <c r="H353" s="291" t="n"/>
      <c r="I353" s="289" t="n"/>
      <c r="J353" s="203" t="n"/>
    </row>
    <row r="354" ht="13" customHeight="1" s="189">
      <c r="A354" s="289" t="n"/>
      <c r="B354" s="290" t="n"/>
      <c r="C354" s="290" t="n"/>
      <c r="D354" s="289" t="n"/>
      <c r="E354" s="289" t="n"/>
      <c r="F354" s="291" t="n"/>
      <c r="G354" s="291" t="n"/>
      <c r="H354" s="291" t="n"/>
      <c r="I354" s="289" t="n"/>
      <c r="J354" s="203" t="n"/>
    </row>
    <row r="355" ht="13" customHeight="1" s="189">
      <c r="A355" s="289" t="n"/>
      <c r="B355" s="290" t="n"/>
      <c r="C355" s="290" t="n"/>
      <c r="D355" s="289" t="n"/>
      <c r="E355" s="289" t="n"/>
      <c r="F355" s="291" t="n"/>
      <c r="G355" s="291" t="n"/>
      <c r="H355" s="291" t="n"/>
      <c r="I355" s="289" t="n"/>
      <c r="J355" s="203" t="n"/>
    </row>
    <row r="356" ht="13" customHeight="1" s="189">
      <c r="A356" s="289" t="n"/>
      <c r="B356" s="290" t="n"/>
      <c r="C356" s="290" t="n"/>
      <c r="D356" s="289" t="n"/>
      <c r="E356" s="289" t="n"/>
      <c r="F356" s="291" t="n"/>
      <c r="G356" s="291" t="n"/>
      <c r="H356" s="291" t="n"/>
      <c r="I356" s="289" t="n"/>
      <c r="J356" s="203" t="n"/>
    </row>
    <row r="357" ht="13" customHeight="1" s="189">
      <c r="A357" s="289" t="n"/>
      <c r="B357" s="290" t="n"/>
      <c r="C357" s="290" t="n"/>
      <c r="D357" s="289" t="n"/>
      <c r="E357" s="289" t="n"/>
      <c r="F357" s="291" t="n"/>
      <c r="G357" s="291" t="n"/>
      <c r="H357" s="291" t="n"/>
      <c r="I357" s="289" t="n"/>
      <c r="J357" s="203" t="n"/>
    </row>
    <row r="358" ht="13" customHeight="1" s="189">
      <c r="A358" s="289" t="n"/>
      <c r="B358" s="290" t="n"/>
      <c r="C358" s="290" t="n"/>
      <c r="D358" s="289" t="n"/>
      <c r="E358" s="289" t="n"/>
      <c r="F358" s="291" t="n"/>
      <c r="G358" s="291" t="n"/>
      <c r="H358" s="291" t="n"/>
      <c r="I358" s="289" t="n"/>
      <c r="J358" s="203" t="n"/>
    </row>
    <row r="359" ht="13" customHeight="1" s="189">
      <c r="A359" s="289" t="n"/>
      <c r="B359" s="290" t="n"/>
      <c r="C359" s="290" t="n"/>
      <c r="D359" s="289" t="n"/>
      <c r="E359" s="289" t="n"/>
      <c r="F359" s="291" t="n"/>
      <c r="G359" s="291" t="n"/>
      <c r="H359" s="291" t="n"/>
      <c r="I359" s="289" t="n"/>
      <c r="J359" s="203" t="n"/>
    </row>
    <row r="360" ht="13" customHeight="1" s="189">
      <c r="A360" s="289" t="n"/>
      <c r="B360" s="290" t="n"/>
      <c r="C360" s="290" t="n"/>
      <c r="D360" s="289" t="n"/>
      <c r="E360" s="289" t="n"/>
      <c r="F360" s="291" t="n"/>
      <c r="G360" s="291" t="n"/>
      <c r="H360" s="291" t="n"/>
      <c r="I360" s="289" t="n"/>
      <c r="J360" s="203" t="n"/>
    </row>
    <row r="361" ht="13" customHeight="1" s="189">
      <c r="A361" s="289" t="n"/>
      <c r="B361" s="290" t="n"/>
      <c r="C361" s="290" t="n"/>
      <c r="D361" s="289" t="n"/>
      <c r="E361" s="289" t="n"/>
      <c r="F361" s="291" t="n"/>
      <c r="G361" s="291" t="n"/>
      <c r="H361" s="291" t="n"/>
      <c r="I361" s="289" t="n"/>
      <c r="J361" s="203" t="n"/>
    </row>
    <row r="362" ht="13" customHeight="1" s="189">
      <c r="A362" s="289" t="n"/>
      <c r="B362" s="290" t="n"/>
      <c r="C362" s="290" t="n"/>
      <c r="D362" s="289" t="n"/>
      <c r="E362" s="289" t="n"/>
      <c r="F362" s="291" t="n"/>
      <c r="G362" s="291" t="n"/>
      <c r="H362" s="291" t="n"/>
      <c r="I362" s="289" t="n"/>
      <c r="J362" s="203" t="n"/>
    </row>
    <row r="363" ht="13" customHeight="1" s="189">
      <c r="A363" s="289" t="n"/>
      <c r="B363" s="290" t="n"/>
      <c r="C363" s="290" t="n"/>
      <c r="D363" s="289" t="n"/>
      <c r="E363" s="289" t="n"/>
      <c r="F363" s="291" t="n"/>
      <c r="G363" s="291" t="n"/>
      <c r="H363" s="291" t="n"/>
      <c r="I363" s="289" t="n"/>
      <c r="J363" s="203" t="n"/>
    </row>
    <row r="364" ht="13" customHeight="1" s="189">
      <c r="A364" s="289" t="n"/>
      <c r="B364" s="290" t="n"/>
      <c r="C364" s="290" t="n"/>
      <c r="D364" s="289" t="n"/>
      <c r="E364" s="289" t="n"/>
      <c r="F364" s="291" t="n"/>
      <c r="G364" s="291" t="n"/>
      <c r="H364" s="291" t="n"/>
      <c r="I364" s="289" t="n"/>
      <c r="J364" s="203" t="n"/>
    </row>
    <row r="365" ht="13" customHeight="1" s="189">
      <c r="A365" s="289" t="n"/>
      <c r="B365" s="290" t="n"/>
      <c r="C365" s="290" t="n"/>
      <c r="D365" s="289" t="n"/>
      <c r="E365" s="289" t="n"/>
      <c r="F365" s="291" t="n"/>
      <c r="G365" s="291" t="n"/>
      <c r="H365" s="291" t="n"/>
      <c r="I365" s="289" t="n"/>
      <c r="J365" s="203" t="n"/>
    </row>
    <row r="366" ht="13" customHeight="1" s="189">
      <c r="A366" s="289" t="n"/>
      <c r="B366" s="290" t="n"/>
      <c r="C366" s="290" t="n"/>
      <c r="D366" s="289" t="n"/>
      <c r="E366" s="289" t="n"/>
      <c r="F366" s="291" t="n"/>
      <c r="G366" s="291" t="n"/>
      <c r="H366" s="291" t="n"/>
      <c r="I366" s="289" t="n"/>
      <c r="J366" s="203" t="n"/>
    </row>
    <row r="367" ht="13" customHeight="1" s="189">
      <c r="A367" s="289" t="n"/>
      <c r="B367" s="290" t="n"/>
      <c r="C367" s="290" t="n"/>
      <c r="D367" s="289" t="n"/>
      <c r="E367" s="289" t="n"/>
      <c r="F367" s="291" t="n"/>
      <c r="G367" s="291" t="n"/>
      <c r="H367" s="291" t="n"/>
      <c r="I367" s="289" t="n"/>
      <c r="J367" s="203" t="n"/>
    </row>
    <row r="368" ht="13" customHeight="1" s="189">
      <c r="A368" s="289" t="n"/>
      <c r="B368" s="290" t="n"/>
      <c r="C368" s="290" t="n"/>
      <c r="D368" s="289" t="n"/>
      <c r="E368" s="289" t="n"/>
      <c r="F368" s="291" t="n"/>
      <c r="G368" s="291" t="n"/>
      <c r="H368" s="291" t="n"/>
      <c r="I368" s="289" t="n"/>
      <c r="J368" s="203" t="n"/>
    </row>
    <row r="369" ht="13" customHeight="1" s="189">
      <c r="A369" s="289" t="n"/>
      <c r="B369" s="290" t="n"/>
      <c r="C369" s="290" t="n"/>
      <c r="D369" s="289" t="n"/>
      <c r="E369" s="289" t="n"/>
      <c r="F369" s="291" t="n"/>
      <c r="G369" s="291" t="n"/>
      <c r="H369" s="291" t="n"/>
      <c r="I369" s="289" t="n"/>
      <c r="J369" s="203" t="n"/>
    </row>
    <row r="370" ht="13" customHeight="1" s="189">
      <c r="A370" s="289" t="n"/>
      <c r="B370" s="290" t="n"/>
      <c r="C370" s="290" t="n"/>
      <c r="D370" s="289" t="n"/>
      <c r="E370" s="289" t="n"/>
      <c r="F370" s="291" t="n"/>
      <c r="G370" s="291" t="n"/>
      <c r="H370" s="291" t="n"/>
      <c r="I370" s="289" t="n"/>
      <c r="J370" s="203" t="n"/>
    </row>
    <row r="371" ht="13" customHeight="1" s="189">
      <c r="A371" s="289" t="n"/>
      <c r="B371" s="290" t="n"/>
      <c r="C371" s="290" t="n"/>
      <c r="D371" s="289" t="n"/>
      <c r="E371" s="289" t="n"/>
      <c r="F371" s="291" t="n"/>
      <c r="G371" s="291" t="n"/>
      <c r="H371" s="291" t="n"/>
      <c r="I371" s="289" t="n"/>
      <c r="J371" s="203" t="n"/>
    </row>
    <row r="372" ht="13" customHeight="1" s="189">
      <c r="A372" s="289" t="n"/>
      <c r="B372" s="290" t="n"/>
      <c r="C372" s="290" t="n"/>
      <c r="D372" s="289" t="n"/>
      <c r="E372" s="289" t="n"/>
      <c r="F372" s="291" t="n"/>
      <c r="G372" s="291" t="n"/>
      <c r="H372" s="291" t="n"/>
      <c r="I372" s="289" t="n"/>
      <c r="J372" s="203" t="n"/>
    </row>
    <row r="373" ht="13" customHeight="1" s="189">
      <c r="A373" s="289" t="n"/>
      <c r="B373" s="290" t="n"/>
      <c r="C373" s="290" t="n"/>
      <c r="D373" s="289" t="n"/>
      <c r="E373" s="289" t="n"/>
      <c r="F373" s="291" t="n"/>
      <c r="G373" s="291" t="n"/>
      <c r="H373" s="291" t="n"/>
      <c r="I373" s="289" t="n"/>
      <c r="J373" s="203" t="n"/>
    </row>
    <row r="374" ht="13" customHeight="1" s="189">
      <c r="A374" s="289" t="n"/>
      <c r="B374" s="290" t="n"/>
      <c r="C374" s="290" t="n"/>
      <c r="D374" s="289" t="n"/>
      <c r="E374" s="289" t="n"/>
      <c r="F374" s="291" t="n"/>
      <c r="G374" s="291" t="n"/>
      <c r="H374" s="291" t="n"/>
      <c r="I374" s="289" t="n"/>
      <c r="J374" s="203" t="n"/>
    </row>
    <row r="375" ht="13" customHeight="1" s="189">
      <c r="A375" s="289" t="n"/>
      <c r="B375" s="290" t="n"/>
      <c r="C375" s="290" t="n"/>
      <c r="D375" s="289" t="n"/>
      <c r="E375" s="289" t="n"/>
      <c r="F375" s="291" t="n"/>
      <c r="G375" s="291" t="n"/>
      <c r="H375" s="291" t="n"/>
      <c r="I375" s="289" t="n"/>
      <c r="J375" s="203" t="n"/>
    </row>
    <row r="376" ht="13" customHeight="1" s="189">
      <c r="A376" s="289" t="n"/>
      <c r="B376" s="290" t="n"/>
      <c r="C376" s="290" t="n"/>
      <c r="D376" s="289" t="n"/>
      <c r="E376" s="289" t="n"/>
      <c r="F376" s="291" t="n"/>
      <c r="G376" s="291" t="n"/>
      <c r="H376" s="291" t="n"/>
      <c r="I376" s="289" t="n"/>
      <c r="J376" s="203" t="n"/>
    </row>
    <row r="377" ht="13" customHeight="1" s="189">
      <c r="A377" s="289" t="n"/>
      <c r="B377" s="290" t="n"/>
      <c r="C377" s="290" t="n"/>
      <c r="D377" s="289" t="n"/>
      <c r="E377" s="289" t="n"/>
      <c r="F377" s="291" t="n"/>
      <c r="G377" s="291" t="n"/>
      <c r="H377" s="291" t="n"/>
      <c r="I377" s="289" t="n"/>
      <c r="J377" s="203" t="n"/>
    </row>
    <row r="378" ht="13" customHeight="1" s="189">
      <c r="A378" s="289" t="n"/>
      <c r="B378" s="290" t="n"/>
      <c r="C378" s="290" t="n"/>
      <c r="D378" s="289" t="n"/>
      <c r="E378" s="289" t="n"/>
      <c r="F378" s="291" t="n"/>
      <c r="G378" s="291" t="n"/>
      <c r="H378" s="291" t="n"/>
      <c r="I378" s="289" t="n"/>
      <c r="J378" s="203" t="n"/>
    </row>
    <row r="379" ht="13" customHeight="1" s="189">
      <c r="A379" s="289" t="n"/>
      <c r="B379" s="290" t="n"/>
      <c r="C379" s="290" t="n"/>
      <c r="D379" s="289" t="n"/>
      <c r="E379" s="289" t="n"/>
      <c r="F379" s="291" t="n"/>
      <c r="G379" s="291" t="n"/>
      <c r="H379" s="291" t="n"/>
      <c r="I379" s="289" t="n"/>
      <c r="J379" s="203" t="n"/>
    </row>
    <row r="380" ht="13" customHeight="1" s="189">
      <c r="A380" s="289" t="n"/>
      <c r="B380" s="290" t="n"/>
      <c r="C380" s="290" t="n"/>
      <c r="D380" s="289" t="n"/>
      <c r="E380" s="289" t="n"/>
      <c r="F380" s="291" t="n"/>
      <c r="G380" s="291" t="n"/>
      <c r="H380" s="291" t="n"/>
      <c r="I380" s="289" t="n"/>
      <c r="J380" s="203" t="n"/>
    </row>
    <row r="381" ht="13" customHeight="1" s="189">
      <c r="A381" s="289" t="n"/>
      <c r="B381" s="290" t="n"/>
      <c r="C381" s="290" t="n"/>
      <c r="D381" s="289" t="n"/>
      <c r="E381" s="289" t="n"/>
      <c r="F381" s="291" t="n"/>
      <c r="G381" s="291" t="n"/>
      <c r="H381" s="291" t="n"/>
      <c r="I381" s="289" t="n"/>
      <c r="J381" s="203" t="n"/>
    </row>
    <row r="382" ht="13" customHeight="1" s="189">
      <c r="A382" s="289" t="n"/>
      <c r="B382" s="290" t="n"/>
      <c r="C382" s="290" t="n"/>
      <c r="D382" s="289" t="n"/>
      <c r="E382" s="289" t="n"/>
      <c r="F382" s="291" t="n"/>
      <c r="G382" s="291" t="n"/>
      <c r="H382" s="291" t="n"/>
      <c r="I382" s="289" t="n"/>
      <c r="J382" s="203" t="n"/>
    </row>
    <row r="383" ht="13" customHeight="1" s="189">
      <c r="A383" s="289" t="n"/>
      <c r="B383" s="290" t="n"/>
      <c r="C383" s="290" t="n"/>
      <c r="D383" s="289" t="n"/>
      <c r="E383" s="289" t="n"/>
      <c r="F383" s="291" t="n"/>
      <c r="G383" s="291" t="n"/>
      <c r="H383" s="291" t="n"/>
      <c r="I383" s="289" t="n"/>
      <c r="J383" s="203" t="n"/>
    </row>
    <row r="384" ht="13" customHeight="1" s="189">
      <c r="A384" s="289" t="n"/>
      <c r="B384" s="290" t="n"/>
      <c r="C384" s="290" t="n"/>
      <c r="D384" s="289" t="n"/>
      <c r="E384" s="289" t="n"/>
      <c r="F384" s="291" t="n"/>
      <c r="G384" s="291" t="n"/>
      <c r="H384" s="291" t="n"/>
      <c r="I384" s="289" t="n"/>
      <c r="J384" s="203" t="n"/>
    </row>
    <row r="385" ht="13" customHeight="1" s="189">
      <c r="A385" s="289" t="n"/>
      <c r="B385" s="290" t="n"/>
      <c r="C385" s="290" t="n"/>
      <c r="D385" s="289" t="n"/>
      <c r="E385" s="289" t="n"/>
      <c r="F385" s="291" t="n"/>
      <c r="G385" s="291" t="n"/>
      <c r="H385" s="291" t="n"/>
      <c r="I385" s="289" t="n"/>
      <c r="J385" s="203" t="n"/>
    </row>
    <row r="386" ht="13" customHeight="1" s="189">
      <c r="A386" s="289" t="n"/>
      <c r="B386" s="290" t="n"/>
      <c r="C386" s="290" t="n"/>
      <c r="D386" s="289" t="n"/>
      <c r="E386" s="289" t="n"/>
      <c r="F386" s="291" t="n"/>
      <c r="G386" s="291" t="n"/>
      <c r="H386" s="291" t="n"/>
      <c r="I386" s="289" t="n"/>
      <c r="J386" s="203" t="n"/>
    </row>
    <row r="387" ht="13" customHeight="1" s="189">
      <c r="A387" s="289" t="n"/>
      <c r="B387" s="290" t="n"/>
      <c r="C387" s="290" t="n"/>
      <c r="D387" s="289" t="n"/>
      <c r="E387" s="289" t="n"/>
      <c r="F387" s="291" t="n"/>
      <c r="G387" s="291" t="n"/>
      <c r="H387" s="291" t="n"/>
      <c r="I387" s="289" t="n"/>
      <c r="J387" s="203" t="n"/>
    </row>
    <row r="388" ht="13" customHeight="1" s="189">
      <c r="A388" s="289" t="n"/>
      <c r="B388" s="290" t="n"/>
      <c r="C388" s="290" t="n"/>
      <c r="D388" s="289" t="n"/>
      <c r="E388" s="289" t="n"/>
      <c r="F388" s="291" t="n"/>
      <c r="G388" s="291" t="n"/>
      <c r="H388" s="291" t="n"/>
      <c r="I388" s="289" t="n"/>
      <c r="J388" s="203" t="n"/>
    </row>
    <row r="389" ht="13" customHeight="1" s="189">
      <c r="A389" s="289" t="n"/>
      <c r="B389" s="290" t="n"/>
      <c r="C389" s="290" t="n"/>
      <c r="D389" s="289" t="n"/>
      <c r="E389" s="289" t="n"/>
      <c r="F389" s="291" t="n"/>
      <c r="G389" s="291" t="n"/>
      <c r="H389" s="291" t="n"/>
      <c r="I389" s="289" t="n"/>
      <c r="J389" s="203" t="n"/>
    </row>
    <row r="390" ht="13" customHeight="1" s="189">
      <c r="A390" s="289" t="n"/>
      <c r="B390" s="290" t="n"/>
      <c r="C390" s="290" t="n"/>
      <c r="D390" s="289" t="n"/>
      <c r="E390" s="289" t="n"/>
      <c r="F390" s="291" t="n"/>
      <c r="G390" s="291" t="n"/>
      <c r="H390" s="291" t="n"/>
      <c r="I390" s="289" t="n"/>
      <c r="J390" s="203" t="n"/>
    </row>
    <row r="391" ht="13" customHeight="1" s="189">
      <c r="A391" s="289" t="n"/>
      <c r="B391" s="290" t="n"/>
      <c r="C391" s="290" t="n"/>
      <c r="D391" s="289" t="n"/>
      <c r="E391" s="289" t="n"/>
      <c r="F391" s="291" t="n"/>
      <c r="G391" s="291" t="n"/>
      <c r="H391" s="291" t="n"/>
      <c r="I391" s="289" t="n"/>
      <c r="J391" s="203" t="n"/>
    </row>
    <row r="392" ht="13" customHeight="1" s="189">
      <c r="A392" s="289" t="n"/>
      <c r="B392" s="290" t="n"/>
      <c r="C392" s="290" t="n"/>
      <c r="D392" s="289" t="n"/>
      <c r="E392" s="289" t="n"/>
      <c r="F392" s="291" t="n"/>
      <c r="G392" s="291" t="n"/>
      <c r="H392" s="291" t="n"/>
      <c r="I392" s="289" t="n"/>
      <c r="J392" s="203" t="n"/>
    </row>
    <row r="393" ht="13" customHeight="1" s="189">
      <c r="A393" s="289" t="n"/>
      <c r="B393" s="290" t="n"/>
      <c r="C393" s="290" t="n"/>
      <c r="D393" s="289" t="n"/>
      <c r="E393" s="289" t="n"/>
      <c r="F393" s="291" t="n"/>
      <c r="G393" s="291" t="n"/>
      <c r="H393" s="291" t="n"/>
      <c r="I393" s="289" t="n"/>
      <c r="J393" s="203" t="n"/>
    </row>
    <row r="394" ht="13" customHeight="1" s="189">
      <c r="A394" s="289" t="n"/>
      <c r="B394" s="290" t="n"/>
      <c r="C394" s="290" t="n"/>
      <c r="D394" s="289" t="n"/>
      <c r="E394" s="289" t="n"/>
      <c r="F394" s="291" t="n"/>
      <c r="G394" s="291" t="n"/>
      <c r="H394" s="291" t="n"/>
      <c r="I394" s="289" t="n"/>
      <c r="J394" s="203" t="n"/>
    </row>
    <row r="395" ht="13" customHeight="1" s="189">
      <c r="A395" s="289" t="n"/>
      <c r="B395" s="290" t="n"/>
      <c r="C395" s="290" t="n"/>
      <c r="D395" s="289" t="n"/>
      <c r="E395" s="289" t="n"/>
      <c r="F395" s="291" t="n"/>
      <c r="G395" s="291" t="n"/>
      <c r="H395" s="291" t="n"/>
      <c r="I395" s="289" t="n"/>
      <c r="J395" s="203" t="n"/>
    </row>
    <row r="396" ht="13" customHeight="1" s="189">
      <c r="A396" s="289" t="n"/>
      <c r="B396" s="290" t="n"/>
      <c r="C396" s="290" t="n"/>
      <c r="D396" s="289" t="n"/>
      <c r="E396" s="289" t="n"/>
      <c r="F396" s="291" t="n"/>
      <c r="G396" s="291" t="n"/>
      <c r="H396" s="291" t="n"/>
      <c r="I396" s="289" t="n"/>
      <c r="J396" s="203" t="n"/>
    </row>
    <row r="397" ht="13" customHeight="1" s="189">
      <c r="A397" s="289" t="n"/>
      <c r="B397" s="290" t="n"/>
      <c r="C397" s="290" t="n"/>
      <c r="D397" s="289" t="n"/>
      <c r="E397" s="289" t="n"/>
      <c r="F397" s="291" t="n"/>
      <c r="G397" s="291" t="n"/>
      <c r="H397" s="291" t="n"/>
      <c r="I397" s="289" t="n"/>
      <c r="J397" s="203" t="n"/>
    </row>
    <row r="398" ht="13" customHeight="1" s="189">
      <c r="A398" s="289" t="n"/>
      <c r="B398" s="290" t="n"/>
      <c r="C398" s="290" t="n"/>
      <c r="D398" s="289" t="n"/>
      <c r="E398" s="289" t="n"/>
      <c r="F398" s="291" t="n"/>
      <c r="G398" s="291" t="n"/>
      <c r="H398" s="291" t="n"/>
      <c r="I398" s="289" t="n"/>
      <c r="J398" s="203" t="n"/>
    </row>
    <row r="399" ht="13" customHeight="1" s="189">
      <c r="A399" s="289" t="n"/>
      <c r="B399" s="290" t="n"/>
      <c r="C399" s="290" t="n"/>
      <c r="D399" s="289" t="n"/>
      <c r="E399" s="289" t="n"/>
      <c r="F399" s="291" t="n"/>
      <c r="G399" s="291" t="n"/>
      <c r="H399" s="291" t="n"/>
      <c r="I399" s="289" t="n"/>
      <c r="J399" s="203" t="n"/>
    </row>
    <row r="400" ht="13" customHeight="1" s="189">
      <c r="A400" s="289" t="n"/>
      <c r="B400" s="290" t="n"/>
      <c r="C400" s="290" t="n"/>
      <c r="D400" s="289" t="n"/>
      <c r="E400" s="289" t="n"/>
      <c r="F400" s="291" t="n"/>
      <c r="G400" s="291" t="n"/>
      <c r="H400" s="291" t="n"/>
      <c r="I400" s="289" t="n"/>
      <c r="J400" s="203" t="n"/>
    </row>
    <row r="401" ht="13" customHeight="1" s="189">
      <c r="A401" s="289" t="n"/>
      <c r="B401" s="290" t="n"/>
      <c r="C401" s="290" t="n"/>
      <c r="D401" s="289" t="n"/>
      <c r="E401" s="289" t="n"/>
      <c r="F401" s="291" t="n"/>
      <c r="G401" s="291" t="n"/>
      <c r="H401" s="291" t="n"/>
      <c r="I401" s="289" t="n"/>
      <c r="J401" s="203" t="n"/>
    </row>
    <row r="402" ht="13" customHeight="1" s="189">
      <c r="A402" s="289" t="n"/>
      <c r="B402" s="290" t="n"/>
      <c r="C402" s="290" t="n"/>
      <c r="D402" s="289" t="n"/>
      <c r="E402" s="289" t="n"/>
      <c r="F402" s="291" t="n"/>
      <c r="G402" s="291" t="n"/>
      <c r="H402" s="291" t="n"/>
      <c r="I402" s="289" t="n"/>
      <c r="J402" s="203" t="n"/>
    </row>
    <row r="403" ht="13" customHeight="1" s="189">
      <c r="A403" s="289" t="n"/>
      <c r="B403" s="290" t="n"/>
      <c r="C403" s="290" t="n"/>
      <c r="D403" s="289" t="n"/>
      <c r="E403" s="289" t="n"/>
      <c r="F403" s="291" t="n"/>
      <c r="G403" s="291" t="n"/>
      <c r="H403" s="291" t="n"/>
      <c r="I403" s="289" t="n"/>
      <c r="J403" s="203" t="n"/>
    </row>
    <row r="404" ht="13" customHeight="1" s="189">
      <c r="A404" s="289" t="n"/>
      <c r="B404" s="290" t="n"/>
      <c r="C404" s="290" t="n"/>
      <c r="D404" s="289" t="n"/>
      <c r="E404" s="289" t="n"/>
      <c r="F404" s="291" t="n"/>
      <c r="G404" s="291" t="n"/>
      <c r="H404" s="291" t="n"/>
      <c r="I404" s="289" t="n"/>
      <c r="J404" s="203" t="n"/>
    </row>
    <row r="405" ht="13" customHeight="1" s="189">
      <c r="A405" s="289" t="n"/>
      <c r="B405" s="290" t="n"/>
      <c r="C405" s="290" t="n"/>
      <c r="D405" s="289" t="n"/>
      <c r="E405" s="289" t="n"/>
      <c r="F405" s="291" t="n"/>
      <c r="G405" s="291" t="n"/>
      <c r="H405" s="291" t="n"/>
      <c r="I405" s="289" t="n"/>
      <c r="J405" s="203" t="n"/>
    </row>
    <row r="406" ht="13" customHeight="1" s="189">
      <c r="A406" s="289" t="n"/>
      <c r="B406" s="290" t="n"/>
      <c r="C406" s="290" t="n"/>
      <c r="D406" s="289" t="n"/>
      <c r="E406" s="289" t="n"/>
      <c r="F406" s="291" t="n"/>
      <c r="G406" s="291" t="n"/>
      <c r="H406" s="291" t="n"/>
      <c r="I406" s="289" t="n"/>
      <c r="J406" s="203" t="n"/>
    </row>
    <row r="407" ht="13" customHeight="1" s="189">
      <c r="A407" s="289" t="n"/>
      <c r="B407" s="290" t="n"/>
      <c r="C407" s="290" t="n"/>
      <c r="D407" s="289" t="n"/>
      <c r="E407" s="289" t="n"/>
      <c r="F407" s="291" t="n"/>
      <c r="G407" s="291" t="n"/>
      <c r="H407" s="291" t="n"/>
      <c r="I407" s="289" t="n"/>
      <c r="J407" s="203" t="n"/>
    </row>
    <row r="408" ht="13" customHeight="1" s="189">
      <c r="A408" s="289" t="n"/>
      <c r="B408" s="290" t="n"/>
      <c r="C408" s="290" t="n"/>
      <c r="D408" s="289" t="n"/>
      <c r="E408" s="289" t="n"/>
      <c r="F408" s="291" t="n"/>
      <c r="G408" s="291" t="n"/>
      <c r="H408" s="291" t="n"/>
      <c r="I408" s="289" t="n"/>
      <c r="J408" s="203" t="n"/>
    </row>
    <row r="409" ht="13" customHeight="1" s="189">
      <c r="A409" s="289" t="n"/>
      <c r="B409" s="290" t="n"/>
      <c r="C409" s="290" t="n"/>
      <c r="D409" s="289" t="n"/>
      <c r="E409" s="289" t="n"/>
      <c r="F409" s="291" t="n"/>
      <c r="G409" s="291" t="n"/>
      <c r="H409" s="291" t="n"/>
      <c r="I409" s="289" t="n"/>
      <c r="J409" s="203" t="n"/>
    </row>
    <row r="410" ht="13" customHeight="1" s="189">
      <c r="A410" s="289" t="n"/>
      <c r="B410" s="290" t="n"/>
      <c r="C410" s="290" t="n"/>
      <c r="D410" s="289" t="n"/>
      <c r="E410" s="289" t="n"/>
      <c r="F410" s="291" t="n"/>
      <c r="G410" s="291" t="n"/>
      <c r="H410" s="291" t="n"/>
      <c r="I410" s="289" t="n"/>
      <c r="J410" s="203" t="n"/>
    </row>
    <row r="411" ht="13" customHeight="1" s="189">
      <c r="A411" s="289" t="n"/>
      <c r="B411" s="290" t="n"/>
      <c r="C411" s="290" t="n"/>
      <c r="D411" s="289" t="n"/>
      <c r="E411" s="289" t="n"/>
      <c r="F411" s="291" t="n"/>
      <c r="G411" s="291" t="n"/>
      <c r="H411" s="291" t="n"/>
      <c r="I411" s="289" t="n"/>
      <c r="J411" s="203" t="n"/>
    </row>
    <row r="412" ht="13" customHeight="1" s="189">
      <c r="A412" s="289" t="n"/>
      <c r="B412" s="290" t="n"/>
      <c r="C412" s="290" t="n"/>
      <c r="D412" s="289" t="n"/>
      <c r="E412" s="289" t="n"/>
      <c r="F412" s="291" t="n"/>
      <c r="G412" s="291" t="n"/>
      <c r="H412" s="291" t="n"/>
      <c r="I412" s="289" t="n"/>
      <c r="J412" s="203" t="n"/>
    </row>
    <row r="413" ht="13" customHeight="1" s="189">
      <c r="A413" s="289" t="n"/>
      <c r="B413" s="290" t="n"/>
      <c r="C413" s="290" t="n"/>
      <c r="D413" s="289" t="n"/>
      <c r="E413" s="289" t="n"/>
      <c r="F413" s="291" t="n"/>
      <c r="G413" s="291" t="n"/>
      <c r="H413" s="291" t="n"/>
      <c r="I413" s="289" t="n"/>
      <c r="J413" s="203" t="n"/>
    </row>
    <row r="414" ht="13" customHeight="1" s="189">
      <c r="A414" s="289" t="n"/>
      <c r="B414" s="290" t="n"/>
      <c r="C414" s="290" t="n"/>
      <c r="D414" s="289" t="n"/>
      <c r="E414" s="289" t="n"/>
      <c r="F414" s="291" t="n"/>
      <c r="G414" s="291" t="n"/>
      <c r="H414" s="291" t="n"/>
      <c r="I414" s="289" t="n"/>
      <c r="J414" s="203" t="n"/>
    </row>
    <row r="415" ht="13" customHeight="1" s="189">
      <c r="A415" s="289" t="n"/>
      <c r="B415" s="290" t="n"/>
      <c r="C415" s="290" t="n"/>
      <c r="D415" s="289" t="n"/>
      <c r="E415" s="289" t="n"/>
      <c r="F415" s="291" t="n"/>
      <c r="G415" s="291" t="n"/>
      <c r="H415" s="291" t="n"/>
      <c r="I415" s="289" t="n"/>
      <c r="J415" s="203" t="n"/>
    </row>
    <row r="416" ht="13" customHeight="1" s="189">
      <c r="A416" s="289" t="n"/>
      <c r="B416" s="290" t="n"/>
      <c r="C416" s="290" t="n"/>
      <c r="D416" s="289" t="n"/>
      <c r="E416" s="289" t="n"/>
      <c r="F416" s="291" t="n"/>
      <c r="G416" s="291" t="n"/>
      <c r="H416" s="291" t="n"/>
      <c r="I416" s="289" t="n"/>
      <c r="J416" s="203" t="n"/>
    </row>
    <row r="417" ht="13" customHeight="1" s="189">
      <c r="A417" s="289" t="n"/>
      <c r="B417" s="290" t="n"/>
      <c r="C417" s="290" t="n"/>
      <c r="D417" s="289" t="n"/>
      <c r="E417" s="289" t="n"/>
      <c r="F417" s="291" t="n"/>
      <c r="G417" s="291" t="n"/>
      <c r="H417" s="291" t="n"/>
      <c r="I417" s="289" t="n"/>
      <c r="J417" s="203" t="n"/>
    </row>
    <row r="418" ht="13" customHeight="1" s="189">
      <c r="A418" s="289" t="n"/>
      <c r="B418" s="290" t="n"/>
      <c r="C418" s="290" t="n"/>
      <c r="D418" s="289" t="n"/>
      <c r="E418" s="289" t="n"/>
      <c r="F418" s="291" t="n"/>
      <c r="G418" s="291" t="n"/>
      <c r="H418" s="291" t="n"/>
      <c r="I418" s="289" t="n"/>
      <c r="J418" s="203" t="n"/>
    </row>
    <row r="419" ht="13" customHeight="1" s="189">
      <c r="A419" s="289" t="n"/>
      <c r="B419" s="290" t="n"/>
      <c r="C419" s="290" t="n"/>
      <c r="D419" s="289" t="n"/>
      <c r="E419" s="289" t="n"/>
      <c r="F419" s="291" t="n"/>
      <c r="G419" s="291" t="n"/>
      <c r="H419" s="291" t="n"/>
      <c r="I419" s="289" t="n"/>
      <c r="J419" s="203" t="n"/>
    </row>
    <row r="420" ht="13" customHeight="1" s="189">
      <c r="A420" s="289" t="n"/>
      <c r="B420" s="290" t="n"/>
      <c r="C420" s="290" t="n"/>
      <c r="D420" s="289" t="n"/>
      <c r="E420" s="289" t="n"/>
      <c r="F420" s="291" t="n"/>
      <c r="G420" s="291" t="n"/>
      <c r="H420" s="291" t="n"/>
      <c r="I420" s="289" t="n"/>
      <c r="J420" s="203" t="n"/>
    </row>
    <row r="421" ht="13" customHeight="1" s="189">
      <c r="A421" s="289" t="n"/>
      <c r="B421" s="290" t="n"/>
      <c r="C421" s="290" t="n"/>
      <c r="D421" s="289" t="n"/>
      <c r="E421" s="289" t="n"/>
      <c r="F421" s="291" t="n"/>
      <c r="G421" s="291" t="n"/>
      <c r="H421" s="291" t="n"/>
      <c r="I421" s="289" t="n"/>
      <c r="J421" s="203" t="n"/>
    </row>
    <row r="422" ht="13" customHeight="1" s="189">
      <c r="A422" s="289" t="n"/>
      <c r="B422" s="290" t="n"/>
      <c r="C422" s="290" t="n"/>
      <c r="D422" s="289" t="n"/>
      <c r="E422" s="289" t="n"/>
      <c r="F422" s="291" t="n"/>
      <c r="G422" s="291" t="n"/>
      <c r="H422" s="291" t="n"/>
      <c r="I422" s="289" t="n"/>
      <c r="J422" s="203" t="n"/>
    </row>
    <row r="423" ht="13" customHeight="1" s="189">
      <c r="A423" s="289" t="n"/>
      <c r="B423" s="290" t="n"/>
      <c r="C423" s="290" t="n"/>
      <c r="D423" s="289" t="n"/>
      <c r="E423" s="289" t="n"/>
      <c r="F423" s="291" t="n"/>
      <c r="G423" s="291" t="n"/>
      <c r="H423" s="291" t="n"/>
      <c r="I423" s="289" t="n"/>
      <c r="J423" s="203" t="n"/>
    </row>
    <row r="424" ht="13" customHeight="1" s="189">
      <c r="A424" s="289" t="n"/>
      <c r="B424" s="290" t="n"/>
      <c r="C424" s="290" t="n"/>
      <c r="D424" s="289" t="n"/>
      <c r="E424" s="289" t="n"/>
      <c r="F424" s="291" t="n"/>
      <c r="G424" s="291" t="n"/>
      <c r="H424" s="291" t="n"/>
      <c r="I424" s="289" t="n"/>
      <c r="J424" s="203" t="n"/>
    </row>
    <row r="425" ht="13" customHeight="1" s="189">
      <c r="A425" s="289" t="n"/>
      <c r="B425" s="290" t="n"/>
      <c r="C425" s="290" t="n"/>
      <c r="D425" s="289" t="n"/>
      <c r="E425" s="289" t="n"/>
      <c r="F425" s="291" t="n"/>
      <c r="G425" s="291" t="n"/>
      <c r="H425" s="291" t="n"/>
      <c r="I425" s="289" t="n"/>
      <c r="J425" s="203" t="n"/>
    </row>
    <row r="426" ht="13" customHeight="1" s="189">
      <c r="A426" s="289" t="n"/>
      <c r="B426" s="290" t="n"/>
      <c r="C426" s="290" t="n"/>
      <c r="D426" s="289" t="n"/>
      <c r="E426" s="289" t="n"/>
      <c r="F426" s="291" t="n"/>
      <c r="G426" s="291" t="n"/>
      <c r="H426" s="291" t="n"/>
      <c r="I426" s="289" t="n"/>
      <c r="J426" s="203" t="n"/>
    </row>
    <row r="427" ht="13" customHeight="1" s="189">
      <c r="A427" s="289" t="n"/>
      <c r="B427" s="290" t="n"/>
      <c r="C427" s="290" t="n"/>
      <c r="D427" s="289" t="n"/>
      <c r="E427" s="289" t="n"/>
      <c r="F427" s="291" t="n"/>
      <c r="G427" s="291" t="n"/>
      <c r="H427" s="291" t="n"/>
      <c r="I427" s="289" t="n"/>
      <c r="J427" s="203" t="n"/>
    </row>
    <row r="428" ht="13" customHeight="1" s="189">
      <c r="A428" s="289" t="n"/>
      <c r="B428" s="290" t="n"/>
      <c r="C428" s="290" t="n"/>
      <c r="D428" s="289" t="n"/>
      <c r="E428" s="289" t="n"/>
      <c r="F428" s="291" t="n"/>
      <c r="G428" s="291" t="n"/>
      <c r="H428" s="291" t="n"/>
      <c r="I428" s="289" t="n"/>
      <c r="J428" s="203" t="n"/>
    </row>
    <row r="429" ht="13" customHeight="1" s="189">
      <c r="A429" s="289" t="n"/>
      <c r="B429" s="290" t="n"/>
      <c r="C429" s="290" t="n"/>
      <c r="D429" s="289" t="n"/>
      <c r="E429" s="289" t="n"/>
      <c r="F429" s="291" t="n"/>
      <c r="G429" s="291" t="n"/>
      <c r="H429" s="291" t="n"/>
      <c r="I429" s="289" t="n"/>
      <c r="J429" s="203" t="n"/>
    </row>
    <row r="430" ht="13" customHeight="1" s="189">
      <c r="A430" s="289" t="n"/>
      <c r="B430" s="290" t="n"/>
      <c r="C430" s="290" t="n"/>
      <c r="D430" s="289" t="n"/>
      <c r="E430" s="289" t="n"/>
      <c r="F430" s="291" t="n"/>
      <c r="G430" s="291" t="n"/>
      <c r="H430" s="291" t="n"/>
      <c r="I430" s="289" t="n"/>
      <c r="J430" s="203" t="n"/>
    </row>
    <row r="431" ht="13" customHeight="1" s="189">
      <c r="A431" s="289" t="n"/>
      <c r="B431" s="290" t="n"/>
      <c r="C431" s="290" t="n"/>
      <c r="D431" s="289" t="n"/>
      <c r="E431" s="289" t="n"/>
      <c r="F431" s="291" t="n"/>
      <c r="G431" s="291" t="n"/>
      <c r="H431" s="291" t="n"/>
      <c r="I431" s="289" t="n"/>
      <c r="J431" s="203" t="n"/>
    </row>
    <row r="432" ht="13" customHeight="1" s="189">
      <c r="A432" s="289" t="n"/>
      <c r="B432" s="290" t="n"/>
      <c r="C432" s="290" t="n"/>
      <c r="D432" s="289" t="n"/>
      <c r="E432" s="289" t="n"/>
      <c r="F432" s="291" t="n"/>
      <c r="G432" s="291" t="n"/>
      <c r="H432" s="291" t="n"/>
      <c r="I432" s="289" t="n"/>
      <c r="J432" s="203" t="n"/>
    </row>
    <row r="433" ht="13" customHeight="1" s="189">
      <c r="A433" s="289" t="n"/>
      <c r="B433" s="290" t="n"/>
      <c r="C433" s="290" t="n"/>
      <c r="D433" s="289" t="n"/>
      <c r="E433" s="289" t="n"/>
      <c r="F433" s="291" t="n"/>
      <c r="G433" s="291" t="n"/>
      <c r="H433" s="291" t="n"/>
      <c r="I433" s="289" t="n"/>
      <c r="J433" s="203" t="n"/>
    </row>
    <row r="434" ht="13" customHeight="1" s="189">
      <c r="A434" s="289" t="n"/>
      <c r="B434" s="290" t="n"/>
      <c r="C434" s="290" t="n"/>
      <c r="D434" s="289" t="n"/>
      <c r="E434" s="289" t="n"/>
      <c r="F434" s="291" t="n"/>
      <c r="G434" s="291" t="n"/>
      <c r="H434" s="291" t="n"/>
      <c r="I434" s="289" t="n"/>
      <c r="J434" s="203" t="n"/>
    </row>
    <row r="435" ht="13" customHeight="1" s="189">
      <c r="A435" s="289" t="n"/>
      <c r="B435" s="290" t="n"/>
      <c r="C435" s="290" t="n"/>
      <c r="D435" s="289" t="n"/>
      <c r="E435" s="289" t="n"/>
      <c r="F435" s="291" t="n"/>
      <c r="G435" s="291" t="n"/>
      <c r="H435" s="291" t="n"/>
      <c r="I435" s="289" t="n"/>
      <c r="J435" s="203" t="n"/>
    </row>
    <row r="436" ht="13" customHeight="1" s="189">
      <c r="A436" s="289" t="n"/>
      <c r="B436" s="290" t="n"/>
      <c r="C436" s="290" t="n"/>
      <c r="D436" s="289" t="n"/>
      <c r="E436" s="289" t="n"/>
      <c r="F436" s="291" t="n"/>
      <c r="G436" s="291" t="n"/>
      <c r="H436" s="291" t="n"/>
      <c r="I436" s="289" t="n"/>
      <c r="J436" s="203" t="n"/>
    </row>
    <row r="437" ht="13" customHeight="1" s="189">
      <c r="A437" s="289" t="n"/>
      <c r="B437" s="290" t="n"/>
      <c r="C437" s="290" t="n"/>
      <c r="D437" s="289" t="n"/>
      <c r="E437" s="289" t="n"/>
      <c r="F437" s="291" t="n"/>
      <c r="G437" s="291" t="n"/>
      <c r="H437" s="291" t="n"/>
      <c r="I437" s="289" t="n"/>
      <c r="J437" s="203" t="n"/>
    </row>
    <row r="438" ht="13" customHeight="1" s="189">
      <c r="A438" s="289" t="n"/>
      <c r="B438" s="290" t="n"/>
      <c r="C438" s="290" t="n"/>
      <c r="D438" s="289" t="n"/>
      <c r="E438" s="289" t="n"/>
      <c r="F438" s="291" t="n"/>
      <c r="G438" s="291" t="n"/>
      <c r="H438" s="291" t="n"/>
      <c r="I438" s="289" t="n"/>
      <c r="J438" s="203" t="n"/>
    </row>
    <row r="439" ht="13" customHeight="1" s="189">
      <c r="A439" s="289" t="n"/>
      <c r="B439" s="290" t="n"/>
      <c r="C439" s="290" t="n"/>
      <c r="D439" s="289" t="n"/>
      <c r="E439" s="289" t="n"/>
      <c r="F439" s="291" t="n"/>
      <c r="G439" s="291" t="n"/>
      <c r="H439" s="291" t="n"/>
      <c r="I439" s="289" t="n"/>
      <c r="J439" s="203" t="n"/>
    </row>
    <row r="440" ht="13" customHeight="1" s="189">
      <c r="A440" s="289" t="n"/>
      <c r="B440" s="290" t="n"/>
      <c r="C440" s="290" t="n"/>
      <c r="D440" s="289" t="n"/>
      <c r="E440" s="289" t="n"/>
      <c r="F440" s="291" t="n"/>
      <c r="G440" s="291" t="n"/>
      <c r="H440" s="291" t="n"/>
      <c r="I440" s="289" t="n"/>
      <c r="J440" s="203" t="n"/>
    </row>
    <row r="441" ht="13" customHeight="1" s="189">
      <c r="A441" s="289" t="n"/>
      <c r="B441" s="290" t="n"/>
      <c r="C441" s="290" t="n"/>
      <c r="D441" s="289" t="n"/>
      <c r="E441" s="289" t="n"/>
      <c r="F441" s="291" t="n"/>
      <c r="G441" s="291" t="n"/>
      <c r="H441" s="291" t="n"/>
      <c r="I441" s="289" t="n"/>
      <c r="J441" s="203" t="n"/>
    </row>
    <row r="442" ht="13" customHeight="1" s="189">
      <c r="A442" s="289" t="n"/>
      <c r="B442" s="290" t="n"/>
      <c r="C442" s="290" t="n"/>
      <c r="D442" s="289" t="n"/>
      <c r="E442" s="289" t="n"/>
      <c r="F442" s="291" t="n"/>
      <c r="G442" s="291" t="n"/>
      <c r="H442" s="291" t="n"/>
      <c r="I442" s="289" t="n"/>
      <c r="J442" s="203" t="n"/>
    </row>
    <row r="443" ht="13" customHeight="1" s="189">
      <c r="A443" s="289" t="n"/>
      <c r="B443" s="290" t="n"/>
      <c r="C443" s="290" t="n"/>
      <c r="D443" s="289" t="n"/>
      <c r="E443" s="289" t="n"/>
      <c r="F443" s="291" t="n"/>
      <c r="G443" s="291" t="n"/>
      <c r="H443" s="291" t="n"/>
      <c r="I443" s="289" t="n"/>
      <c r="J443" s="203" t="n"/>
    </row>
    <row r="444" ht="13" customHeight="1" s="189">
      <c r="A444" s="289" t="n"/>
      <c r="B444" s="290" t="n"/>
      <c r="C444" s="290" t="n"/>
      <c r="D444" s="289" t="n"/>
      <c r="E444" s="289" t="n"/>
      <c r="F444" s="291" t="n"/>
      <c r="G444" s="291" t="n"/>
      <c r="H444" s="291" t="n"/>
      <c r="I444" s="289" t="n"/>
      <c r="J444" s="203" t="n"/>
    </row>
    <row r="445" ht="13" customHeight="1" s="189">
      <c r="A445" s="289" t="n"/>
      <c r="B445" s="290" t="n"/>
      <c r="C445" s="290" t="n"/>
      <c r="D445" s="289" t="n"/>
      <c r="E445" s="289" t="n"/>
      <c r="F445" s="291" t="n"/>
      <c r="G445" s="291" t="n"/>
      <c r="H445" s="291" t="n"/>
      <c r="I445" s="289" t="n"/>
      <c r="J445" s="203" t="n"/>
    </row>
    <row r="446" ht="13" customHeight="1" s="189">
      <c r="A446" s="289" t="n"/>
      <c r="B446" s="290" t="n"/>
      <c r="C446" s="290" t="n"/>
      <c r="D446" s="289" t="n"/>
      <c r="E446" s="289" t="n"/>
      <c r="F446" s="291" t="n"/>
      <c r="G446" s="291" t="n"/>
      <c r="H446" s="291" t="n"/>
      <c r="I446" s="289" t="n"/>
      <c r="J446" s="203" t="n"/>
    </row>
    <row r="447" ht="13" customHeight="1" s="189">
      <c r="A447" s="289" t="n"/>
      <c r="B447" s="290" t="n"/>
      <c r="C447" s="290" t="n"/>
      <c r="D447" s="289" t="n"/>
      <c r="E447" s="289" t="n"/>
      <c r="F447" s="291" t="n"/>
      <c r="G447" s="291" t="n"/>
      <c r="H447" s="291" t="n"/>
      <c r="I447" s="289" t="n"/>
      <c r="J447" s="203" t="n"/>
    </row>
    <row r="448" ht="13" customHeight="1" s="189">
      <c r="A448" s="289" t="n"/>
      <c r="B448" s="290" t="n"/>
      <c r="C448" s="290" t="n"/>
      <c r="D448" s="289" t="n"/>
      <c r="E448" s="289" t="n"/>
      <c r="F448" s="291" t="n"/>
      <c r="G448" s="291" t="n"/>
      <c r="H448" s="291" t="n"/>
      <c r="I448" s="289" t="n"/>
      <c r="J448" s="203" t="n"/>
    </row>
    <row r="449" ht="13" customHeight="1" s="189">
      <c r="A449" s="289" t="n"/>
      <c r="B449" s="290" t="n"/>
      <c r="C449" s="290" t="n"/>
      <c r="D449" s="289" t="n"/>
      <c r="E449" s="289" t="n"/>
      <c r="F449" s="291" t="n"/>
      <c r="G449" s="291" t="n"/>
      <c r="H449" s="291" t="n"/>
      <c r="I449" s="289" t="n"/>
      <c r="J449" s="203" t="n"/>
    </row>
    <row r="450" ht="13" customHeight="1" s="189">
      <c r="A450" s="289" t="n"/>
      <c r="B450" s="290" t="n"/>
      <c r="C450" s="290" t="n"/>
      <c r="D450" s="289" t="n"/>
      <c r="E450" s="289" t="n"/>
      <c r="F450" s="291" t="n"/>
      <c r="G450" s="291" t="n"/>
      <c r="H450" s="291" t="n"/>
      <c r="I450" s="289" t="n"/>
      <c r="J450" s="203" t="n"/>
    </row>
    <row r="451" ht="13" customHeight="1" s="189">
      <c r="A451" s="289" t="n"/>
      <c r="B451" s="290" t="n"/>
      <c r="C451" s="290" t="n"/>
      <c r="D451" s="289" t="n"/>
      <c r="E451" s="289" t="n"/>
      <c r="F451" s="291" t="n"/>
      <c r="G451" s="291" t="n"/>
      <c r="H451" s="291" t="n"/>
      <c r="I451" s="289" t="n"/>
      <c r="J451" s="203" t="n"/>
    </row>
    <row r="452" ht="13" customHeight="1" s="189">
      <c r="A452" s="289" t="n"/>
      <c r="B452" s="290" t="n"/>
      <c r="C452" s="290" t="n"/>
      <c r="D452" s="289" t="n"/>
      <c r="E452" s="289" t="n"/>
      <c r="F452" s="291" t="n"/>
      <c r="G452" s="291" t="n"/>
      <c r="H452" s="291" t="n"/>
      <c r="I452" s="289" t="n"/>
      <c r="J452" s="203" t="n"/>
    </row>
    <row r="453" ht="13" customHeight="1" s="189">
      <c r="A453" s="289" t="n"/>
      <c r="B453" s="290" t="n"/>
      <c r="C453" s="290" t="n"/>
      <c r="D453" s="289" t="n"/>
      <c r="E453" s="289" t="n"/>
      <c r="F453" s="291" t="n"/>
      <c r="G453" s="291" t="n"/>
      <c r="H453" s="291" t="n"/>
      <c r="I453" s="289" t="n"/>
      <c r="J453" s="203" t="n"/>
    </row>
    <row r="454" ht="13" customHeight="1" s="189">
      <c r="A454" s="289" t="n"/>
      <c r="B454" s="290" t="n"/>
      <c r="C454" s="290" t="n"/>
      <c r="D454" s="289" t="n"/>
      <c r="E454" s="289" t="n"/>
      <c r="F454" s="291" t="n"/>
      <c r="G454" s="291" t="n"/>
      <c r="H454" s="291" t="n"/>
      <c r="I454" s="289" t="n"/>
      <c r="J454" s="203" t="n"/>
    </row>
    <row r="455" ht="13" customHeight="1" s="189">
      <c r="A455" s="289" t="n"/>
      <c r="B455" s="290" t="n"/>
      <c r="C455" s="290" t="n"/>
      <c r="D455" s="289" t="n"/>
      <c r="E455" s="289" t="n"/>
      <c r="F455" s="291" t="n"/>
      <c r="G455" s="291" t="n"/>
      <c r="H455" s="291" t="n"/>
      <c r="I455" s="289" t="n"/>
      <c r="J455" s="203" t="n"/>
    </row>
    <row r="456" ht="13" customHeight="1" s="189">
      <c r="A456" s="289" t="n"/>
      <c r="B456" s="290" t="n"/>
      <c r="C456" s="290" t="n"/>
      <c r="D456" s="289" t="n"/>
      <c r="E456" s="289" t="n"/>
      <c r="F456" s="291" t="n"/>
      <c r="G456" s="291" t="n"/>
      <c r="H456" s="291" t="n"/>
      <c r="I456" s="289" t="n"/>
      <c r="J456" s="203" t="n"/>
    </row>
    <row r="457" ht="13" customHeight="1" s="189">
      <c r="A457" s="289" t="n"/>
      <c r="B457" s="290" t="n"/>
      <c r="C457" s="290" t="n"/>
      <c r="D457" s="289" t="n"/>
      <c r="E457" s="289" t="n"/>
      <c r="F457" s="291" t="n"/>
      <c r="G457" s="291" t="n"/>
      <c r="H457" s="291" t="n"/>
      <c r="I457" s="289" t="n"/>
      <c r="J457" s="203" t="n"/>
    </row>
    <row r="458" ht="13" customHeight="1" s="189">
      <c r="A458" s="289" t="n"/>
      <c r="B458" s="290" t="n"/>
      <c r="C458" s="290" t="n"/>
      <c r="D458" s="289" t="n"/>
      <c r="E458" s="289" t="n"/>
      <c r="F458" s="291" t="n"/>
      <c r="G458" s="291" t="n"/>
      <c r="H458" s="291" t="n"/>
      <c r="I458" s="289" t="n"/>
      <c r="J458" s="203" t="n"/>
    </row>
    <row r="459" ht="13" customHeight="1" s="189">
      <c r="A459" s="289" t="n"/>
      <c r="B459" s="290" t="n"/>
      <c r="C459" s="290" t="n"/>
      <c r="D459" s="289" t="n"/>
      <c r="E459" s="289" t="n"/>
      <c r="F459" s="291" t="n"/>
      <c r="G459" s="291" t="n"/>
      <c r="H459" s="291" t="n"/>
      <c r="I459" s="289" t="n"/>
      <c r="J459" s="203" t="n"/>
    </row>
    <row r="460" ht="13" customHeight="1" s="189">
      <c r="A460" s="289" t="n"/>
      <c r="B460" s="290" t="n"/>
      <c r="C460" s="290" t="n"/>
      <c r="D460" s="289" t="n"/>
      <c r="E460" s="289" t="n"/>
      <c r="F460" s="291" t="n"/>
      <c r="G460" s="291" t="n"/>
      <c r="H460" s="291" t="n"/>
      <c r="I460" s="289" t="n"/>
      <c r="J460" s="203" t="n"/>
    </row>
    <row r="461" ht="13" customHeight="1" s="189">
      <c r="A461" s="289" t="n"/>
      <c r="B461" s="290" t="n"/>
      <c r="C461" s="290" t="n"/>
      <c r="D461" s="289" t="n"/>
      <c r="E461" s="289" t="n"/>
      <c r="F461" s="291" t="n"/>
      <c r="G461" s="291" t="n"/>
      <c r="H461" s="291" t="n"/>
      <c r="I461" s="289" t="n"/>
      <c r="J461" s="203" t="n"/>
    </row>
    <row r="462" ht="13" customHeight="1" s="189">
      <c r="A462" s="289" t="n"/>
      <c r="B462" s="290" t="n"/>
      <c r="C462" s="290" t="n"/>
      <c r="D462" s="289" t="n"/>
      <c r="E462" s="289" t="n"/>
      <c r="F462" s="291" t="n"/>
      <c r="G462" s="291" t="n"/>
      <c r="H462" s="291" t="n"/>
      <c r="I462" s="289" t="n"/>
      <c r="J462" s="203" t="n"/>
    </row>
    <row r="463" ht="13" customHeight="1" s="189">
      <c r="A463" s="289" t="n"/>
      <c r="B463" s="290" t="n"/>
      <c r="C463" s="290" t="n"/>
      <c r="D463" s="289" t="n"/>
      <c r="E463" s="289" t="n"/>
      <c r="F463" s="291" t="n"/>
      <c r="G463" s="291" t="n"/>
      <c r="H463" s="291" t="n"/>
      <c r="I463" s="289" t="n"/>
      <c r="J463" s="203" t="n"/>
    </row>
    <row r="464" ht="13" customHeight="1" s="189">
      <c r="A464" s="289" t="n"/>
      <c r="B464" s="290" t="n"/>
      <c r="C464" s="290" t="n"/>
      <c r="D464" s="289" t="n"/>
      <c r="E464" s="289" t="n"/>
      <c r="F464" s="291" t="n"/>
      <c r="G464" s="291" t="n"/>
      <c r="H464" s="291" t="n"/>
      <c r="I464" s="289" t="n"/>
      <c r="J464" s="203" t="n"/>
    </row>
    <row r="465" ht="13" customHeight="1" s="189">
      <c r="A465" s="289" t="n"/>
      <c r="B465" s="290" t="n"/>
      <c r="C465" s="290" t="n"/>
      <c r="D465" s="289" t="n"/>
      <c r="E465" s="289" t="n"/>
      <c r="F465" s="291" t="n"/>
      <c r="G465" s="291" t="n"/>
      <c r="H465" s="291" t="n"/>
      <c r="I465" s="289" t="n"/>
      <c r="J465" s="203" t="n"/>
    </row>
    <row r="466" ht="13" customHeight="1" s="189">
      <c r="A466" s="289" t="n"/>
      <c r="B466" s="290" t="n"/>
      <c r="C466" s="290" t="n"/>
      <c r="D466" s="289" t="n"/>
      <c r="E466" s="289" t="n"/>
      <c r="F466" s="291" t="n"/>
      <c r="G466" s="291" t="n"/>
      <c r="H466" s="291" t="n"/>
      <c r="I466" s="289" t="n"/>
      <c r="J466" s="203" t="n"/>
    </row>
    <row r="467" ht="13" customHeight="1" s="189">
      <c r="A467" s="289" t="n"/>
      <c r="B467" s="290" t="n"/>
      <c r="C467" s="290" t="n"/>
      <c r="D467" s="289" t="n"/>
      <c r="E467" s="289" t="n"/>
      <c r="F467" s="291" t="n"/>
      <c r="G467" s="291" t="n"/>
      <c r="H467" s="291" t="n"/>
      <c r="I467" s="289" t="n"/>
      <c r="J467" s="203" t="n"/>
    </row>
    <row r="468" ht="13" customHeight="1" s="189">
      <c r="A468" s="289" t="n"/>
      <c r="B468" s="290" t="n"/>
      <c r="C468" s="290" t="n"/>
      <c r="D468" s="289" t="n"/>
      <c r="E468" s="289" t="n"/>
      <c r="F468" s="291" t="n"/>
      <c r="G468" s="291" t="n"/>
      <c r="H468" s="291" t="n"/>
      <c r="I468" s="289" t="n"/>
      <c r="J468" s="203" t="n"/>
    </row>
    <row r="469" ht="13" customHeight="1" s="189">
      <c r="A469" s="289" t="n"/>
      <c r="B469" s="290" t="n"/>
      <c r="C469" s="290" t="n"/>
      <c r="D469" s="289" t="n"/>
      <c r="E469" s="289" t="n"/>
      <c r="F469" s="291" t="n"/>
      <c r="G469" s="291" t="n"/>
      <c r="H469" s="291" t="n"/>
      <c r="I469" s="289" t="n"/>
      <c r="J469" s="203" t="n"/>
    </row>
    <row r="470" ht="13" customHeight="1" s="189">
      <c r="A470" s="289" t="n"/>
      <c r="B470" s="290" t="n"/>
      <c r="C470" s="290" t="n"/>
      <c r="D470" s="289" t="n"/>
      <c r="E470" s="289" t="n"/>
      <c r="F470" s="291" t="n"/>
      <c r="G470" s="291" t="n"/>
      <c r="H470" s="291" t="n"/>
      <c r="I470" s="289" t="n"/>
      <c r="J470" s="203" t="n"/>
    </row>
    <row r="471" ht="13" customHeight="1" s="189">
      <c r="A471" s="289" t="n"/>
      <c r="B471" s="290" t="n"/>
      <c r="C471" s="290" t="n"/>
      <c r="D471" s="289" t="n"/>
      <c r="E471" s="289" t="n"/>
      <c r="F471" s="291" t="n"/>
      <c r="G471" s="291" t="n"/>
      <c r="H471" s="291" t="n"/>
      <c r="I471" s="289" t="n"/>
      <c r="J471" s="203" t="n"/>
    </row>
    <row r="472" ht="13" customHeight="1" s="189">
      <c r="A472" s="289" t="n"/>
      <c r="B472" s="290" t="n"/>
      <c r="C472" s="290" t="n"/>
      <c r="D472" s="289" t="n"/>
      <c r="E472" s="289" t="n"/>
      <c r="F472" s="291" t="n"/>
      <c r="G472" s="291" t="n"/>
      <c r="H472" s="291" t="n"/>
      <c r="I472" s="289" t="n"/>
      <c r="J472" s="203" t="n"/>
    </row>
    <row r="473" ht="13" customHeight="1" s="189">
      <c r="A473" s="289" t="n"/>
      <c r="B473" s="290" t="n"/>
      <c r="C473" s="290" t="n"/>
      <c r="D473" s="289" t="n"/>
      <c r="E473" s="289" t="n"/>
      <c r="F473" s="291" t="n"/>
      <c r="G473" s="291" t="n"/>
      <c r="H473" s="291" t="n"/>
      <c r="I473" s="289" t="n"/>
      <c r="J473" s="203" t="n"/>
    </row>
    <row r="474" ht="13" customHeight="1" s="189">
      <c r="A474" s="289" t="n"/>
      <c r="B474" s="290" t="n"/>
      <c r="C474" s="290" t="n"/>
      <c r="D474" s="289" t="n"/>
      <c r="E474" s="289" t="n"/>
      <c r="F474" s="291" t="n"/>
      <c r="G474" s="291" t="n"/>
      <c r="H474" s="291" t="n"/>
      <c r="I474" s="289" t="n"/>
      <c r="J474" s="203" t="n"/>
    </row>
    <row r="475" ht="13" customHeight="1" s="189">
      <c r="A475" s="289" t="n"/>
      <c r="B475" s="290" t="n"/>
      <c r="C475" s="290" t="n"/>
      <c r="D475" s="289" t="n"/>
      <c r="E475" s="289" t="n"/>
      <c r="F475" s="291" t="n"/>
      <c r="G475" s="291" t="n"/>
      <c r="H475" s="291" t="n"/>
      <c r="I475" s="289" t="n"/>
      <c r="J475" s="203" t="n"/>
    </row>
    <row r="476" ht="13" customHeight="1" s="189">
      <c r="A476" s="289" t="n"/>
      <c r="B476" s="290" t="n"/>
      <c r="C476" s="290" t="n"/>
      <c r="D476" s="289" t="n"/>
      <c r="E476" s="289" t="n"/>
      <c r="F476" s="291" t="n"/>
      <c r="G476" s="291" t="n"/>
      <c r="H476" s="291" t="n"/>
      <c r="I476" s="289" t="n"/>
      <c r="J476" s="203" t="n"/>
    </row>
    <row r="477" ht="13" customHeight="1" s="189">
      <c r="A477" s="289" t="n"/>
      <c r="B477" s="290" t="n"/>
      <c r="C477" s="290" t="n"/>
      <c r="D477" s="289" t="n"/>
      <c r="E477" s="289" t="n"/>
      <c r="F477" s="291" t="n"/>
      <c r="G477" s="291" t="n"/>
      <c r="H477" s="291" t="n"/>
      <c r="I477" s="289" t="n"/>
      <c r="J477" s="203" t="n"/>
    </row>
    <row r="478" ht="13" customHeight="1" s="189">
      <c r="A478" s="289" t="n"/>
      <c r="B478" s="290" t="n"/>
      <c r="C478" s="290" t="n"/>
      <c r="D478" s="289" t="n"/>
      <c r="E478" s="289" t="n"/>
      <c r="F478" s="291" t="n"/>
      <c r="G478" s="291" t="n"/>
      <c r="H478" s="291" t="n"/>
      <c r="I478" s="289" t="n"/>
      <c r="J478" s="203" t="n"/>
    </row>
    <row r="479" ht="13" customHeight="1" s="189">
      <c r="A479" s="289" t="n"/>
      <c r="B479" s="290" t="n"/>
      <c r="C479" s="290" t="n"/>
      <c r="D479" s="289" t="n"/>
      <c r="E479" s="289" t="n"/>
      <c r="F479" s="291" t="n"/>
      <c r="G479" s="291" t="n"/>
      <c r="H479" s="291" t="n"/>
      <c r="I479" s="289" t="n"/>
      <c r="J479" s="203" t="n"/>
    </row>
    <row r="480" ht="13" customHeight="1" s="189">
      <c r="A480" s="289" t="n"/>
      <c r="B480" s="290" t="n"/>
      <c r="C480" s="290" t="n"/>
      <c r="D480" s="289" t="n"/>
      <c r="E480" s="289" t="n"/>
      <c r="F480" s="291" t="n"/>
      <c r="G480" s="291" t="n"/>
      <c r="H480" s="291" t="n"/>
      <c r="I480" s="289" t="n"/>
      <c r="J480" s="203" t="n"/>
    </row>
    <row r="481" ht="13" customHeight="1" s="189">
      <c r="A481" s="289" t="n"/>
      <c r="B481" s="290" t="n"/>
      <c r="C481" s="290" t="n"/>
      <c r="D481" s="289" t="n"/>
      <c r="E481" s="289" t="n"/>
      <c r="F481" s="291" t="n"/>
      <c r="G481" s="291" t="n"/>
      <c r="H481" s="291" t="n"/>
      <c r="I481" s="289" t="n"/>
      <c r="J481" s="203" t="n"/>
    </row>
    <row r="482" ht="13" customHeight="1" s="189">
      <c r="A482" s="289" t="n"/>
      <c r="B482" s="290" t="n"/>
      <c r="C482" s="290" t="n"/>
      <c r="D482" s="289" t="n"/>
      <c r="E482" s="289" t="n"/>
      <c r="F482" s="291" t="n"/>
      <c r="G482" s="291" t="n"/>
      <c r="H482" s="291" t="n"/>
      <c r="I482" s="289" t="n"/>
      <c r="J482" s="203" t="n"/>
    </row>
    <row r="483" ht="13" customHeight="1" s="189">
      <c r="A483" s="289" t="n"/>
      <c r="B483" s="290" t="n"/>
      <c r="C483" s="290" t="n"/>
      <c r="D483" s="289" t="n"/>
      <c r="E483" s="289" t="n"/>
      <c r="F483" s="291" t="n"/>
      <c r="G483" s="291" t="n"/>
      <c r="H483" s="291" t="n"/>
      <c r="I483" s="289" t="n"/>
      <c r="J483" s="203" t="n"/>
    </row>
    <row r="484" ht="13" customHeight="1" s="189">
      <c r="A484" s="289" t="n"/>
      <c r="B484" s="290" t="n"/>
      <c r="C484" s="290" t="n"/>
      <c r="D484" s="289" t="n"/>
      <c r="E484" s="289" t="n"/>
      <c r="F484" s="291" t="n"/>
      <c r="G484" s="291" t="n"/>
      <c r="H484" s="291" t="n"/>
      <c r="I484" s="289" t="n"/>
      <c r="J484" s="203" t="n"/>
    </row>
    <row r="485" ht="13" customHeight="1" s="189">
      <c r="A485" s="289" t="n"/>
      <c r="B485" s="290" t="n"/>
      <c r="C485" s="290" t="n"/>
      <c r="D485" s="289" t="n"/>
      <c r="E485" s="289" t="n"/>
      <c r="F485" s="291" t="n"/>
      <c r="G485" s="291" t="n"/>
      <c r="H485" s="291" t="n"/>
      <c r="I485" s="289" t="n"/>
      <c r="J485" s="203" t="n"/>
    </row>
    <row r="486" ht="13" customHeight="1" s="189">
      <c r="A486" s="289" t="n"/>
      <c r="B486" s="290" t="n"/>
      <c r="C486" s="290" t="n"/>
      <c r="D486" s="289" t="n"/>
      <c r="E486" s="289" t="n"/>
      <c r="F486" s="291" t="n"/>
      <c r="G486" s="291" t="n"/>
      <c r="H486" s="291" t="n"/>
      <c r="I486" s="289" t="n"/>
      <c r="J486" s="203" t="n"/>
    </row>
    <row r="487" ht="13" customHeight="1" s="189">
      <c r="A487" s="289" t="n"/>
      <c r="B487" s="290" t="n"/>
      <c r="C487" s="290" t="n"/>
      <c r="D487" s="289" t="n"/>
      <c r="E487" s="289" t="n"/>
      <c r="F487" s="291" t="n"/>
      <c r="G487" s="291" t="n"/>
      <c r="H487" s="291" t="n"/>
      <c r="I487" s="289" t="n"/>
      <c r="J487" s="203" t="n"/>
    </row>
    <row r="488" ht="13" customHeight="1" s="189">
      <c r="A488" s="289" t="n"/>
      <c r="B488" s="290" t="n"/>
      <c r="C488" s="290" t="n"/>
      <c r="D488" s="289" t="n"/>
      <c r="E488" s="289" t="n"/>
      <c r="F488" s="291" t="n"/>
      <c r="G488" s="291" t="n"/>
      <c r="H488" s="291" t="n"/>
      <c r="I488" s="289" t="n"/>
      <c r="J488" s="203" t="n"/>
    </row>
    <row r="489" ht="13" customHeight="1" s="189">
      <c r="A489" s="289" t="n"/>
      <c r="B489" s="290" t="n"/>
      <c r="C489" s="290" t="n"/>
      <c r="D489" s="289" t="n"/>
      <c r="E489" s="289" t="n"/>
      <c r="F489" s="291" t="n"/>
      <c r="G489" s="291" t="n"/>
      <c r="H489" s="291" t="n"/>
      <c r="I489" s="289" t="n"/>
      <c r="J489" s="203" t="n"/>
    </row>
    <row r="490" ht="13" customHeight="1" s="189">
      <c r="A490" s="289" t="n"/>
      <c r="B490" s="290" t="n"/>
      <c r="C490" s="290" t="n"/>
      <c r="D490" s="289" t="n"/>
      <c r="E490" s="289" t="n"/>
      <c r="F490" s="291" t="n"/>
      <c r="G490" s="291" t="n"/>
      <c r="H490" s="291" t="n"/>
      <c r="I490" s="289" t="n"/>
      <c r="J490" s="203" t="n"/>
    </row>
    <row r="491" ht="13" customHeight="1" s="189">
      <c r="A491" s="289" t="n"/>
      <c r="B491" s="290" t="n"/>
      <c r="C491" s="290" t="n"/>
      <c r="D491" s="289" t="n"/>
      <c r="E491" s="289" t="n"/>
      <c r="F491" s="291" t="n"/>
      <c r="G491" s="291" t="n"/>
      <c r="H491" s="291" t="n"/>
      <c r="I491" s="289" t="n"/>
      <c r="J491" s="203" t="n"/>
    </row>
    <row r="492" ht="13" customHeight="1" s="189">
      <c r="A492" s="289" t="n"/>
      <c r="B492" s="290" t="n"/>
      <c r="C492" s="290" t="n"/>
      <c r="D492" s="289" t="n"/>
      <c r="E492" s="289" t="n"/>
      <c r="F492" s="291" t="n"/>
      <c r="G492" s="291" t="n"/>
      <c r="H492" s="291" t="n"/>
      <c r="I492" s="289" t="n"/>
      <c r="J492" s="203" t="n"/>
    </row>
    <row r="493" ht="13" customHeight="1" s="189">
      <c r="A493" s="289" t="n"/>
      <c r="B493" s="290" t="n"/>
      <c r="C493" s="290" t="n"/>
      <c r="D493" s="289" t="n"/>
      <c r="E493" s="289" t="n"/>
      <c r="F493" s="291" t="n"/>
      <c r="G493" s="291" t="n"/>
      <c r="H493" s="291" t="n"/>
      <c r="I493" s="289" t="n"/>
      <c r="J493" s="203" t="n"/>
    </row>
    <row r="494" ht="13" customHeight="1" s="189">
      <c r="A494" s="289" t="n"/>
      <c r="B494" s="290" t="n"/>
      <c r="C494" s="290" t="n"/>
      <c r="D494" s="289" t="n"/>
      <c r="E494" s="289" t="n"/>
      <c r="F494" s="291" t="n"/>
      <c r="G494" s="291" t="n"/>
      <c r="H494" s="291" t="n"/>
      <c r="I494" s="289" t="n"/>
      <c r="J494" s="203" t="n"/>
    </row>
    <row r="495" ht="13" customHeight="1" s="189">
      <c r="A495" s="289" t="n"/>
      <c r="B495" s="290" t="n"/>
      <c r="C495" s="290" t="n"/>
      <c r="D495" s="289" t="n"/>
      <c r="E495" s="289" t="n"/>
      <c r="F495" s="291" t="n"/>
      <c r="G495" s="291" t="n"/>
      <c r="H495" s="291" t="n"/>
      <c r="I495" s="289" t="n"/>
      <c r="J495" s="203" t="n"/>
    </row>
    <row r="496" ht="13" customHeight="1" s="189">
      <c r="A496" s="289" t="n"/>
      <c r="B496" s="290" t="n"/>
      <c r="C496" s="290" t="n"/>
      <c r="D496" s="289" t="n"/>
      <c r="E496" s="289" t="n"/>
      <c r="F496" s="291" t="n"/>
      <c r="G496" s="291" t="n"/>
      <c r="H496" s="291" t="n"/>
      <c r="I496" s="289" t="n"/>
      <c r="J496" s="203" t="n"/>
    </row>
    <row r="497" ht="13" customHeight="1" s="189">
      <c r="A497" s="289" t="n"/>
      <c r="B497" s="290" t="n"/>
      <c r="C497" s="290" t="n"/>
      <c r="D497" s="289" t="n"/>
      <c r="E497" s="289" t="n"/>
      <c r="F497" s="291" t="n"/>
      <c r="G497" s="291" t="n"/>
      <c r="H497" s="291" t="n"/>
      <c r="I497" s="289" t="n"/>
      <c r="J497" s="203" t="n"/>
    </row>
    <row r="498" ht="13" customHeight="1" s="189">
      <c r="A498" s="289" t="n"/>
      <c r="B498" s="290" t="n"/>
      <c r="C498" s="290" t="n"/>
      <c r="D498" s="289" t="n"/>
      <c r="E498" s="289" t="n"/>
      <c r="F498" s="291" t="n"/>
      <c r="G498" s="291" t="n"/>
      <c r="H498" s="291" t="n"/>
      <c r="I498" s="289" t="n"/>
      <c r="J498" s="203" t="n"/>
    </row>
    <row r="499" ht="13" customHeight="1" s="189">
      <c r="A499" s="289" t="n"/>
      <c r="B499" s="290" t="n"/>
      <c r="C499" s="290" t="n"/>
      <c r="D499" s="289" t="n"/>
      <c r="E499" s="289" t="n"/>
      <c r="F499" s="291" t="n"/>
      <c r="G499" s="291" t="n"/>
      <c r="H499" s="291" t="n"/>
      <c r="I499" s="289" t="n"/>
      <c r="J499" s="203" t="n"/>
    </row>
    <row r="500" ht="13" customHeight="1" s="189">
      <c r="A500" s="289" t="n"/>
      <c r="B500" s="290" t="n"/>
      <c r="C500" s="290" t="n"/>
      <c r="D500" s="289" t="n"/>
      <c r="E500" s="289" t="n"/>
      <c r="F500" s="291" t="n"/>
      <c r="G500" s="291" t="n"/>
      <c r="H500" s="291" t="n"/>
      <c r="I500" s="289" t="n"/>
      <c r="J500" s="203" t="n"/>
    </row>
    <row r="501" ht="13" customHeight="1" s="189">
      <c r="A501" s="289" t="n"/>
      <c r="B501" s="290" t="n"/>
      <c r="C501" s="290" t="n"/>
      <c r="D501" s="289" t="n"/>
      <c r="E501" s="289" t="n"/>
      <c r="F501" s="291" t="n"/>
      <c r="G501" s="291" t="n"/>
      <c r="H501" s="291" t="n"/>
      <c r="I501" s="289" t="n"/>
      <c r="J501" s="203" t="n"/>
    </row>
    <row r="502" ht="13" customHeight="1" s="189">
      <c r="A502" s="289" t="n"/>
      <c r="B502" s="290" t="n"/>
      <c r="C502" s="290" t="n"/>
      <c r="D502" s="289" t="n"/>
      <c r="E502" s="289" t="n"/>
      <c r="F502" s="291" t="n"/>
      <c r="G502" s="291" t="n"/>
      <c r="H502" s="291" t="n"/>
      <c r="I502" s="289" t="n"/>
      <c r="J502" s="203" t="n"/>
    </row>
    <row r="503" ht="13" customHeight="1" s="189">
      <c r="A503" s="289" t="n"/>
      <c r="B503" s="290" t="n"/>
      <c r="C503" s="290" t="n"/>
      <c r="D503" s="289" t="n"/>
      <c r="E503" s="289" t="n"/>
      <c r="F503" s="291" t="n"/>
      <c r="G503" s="291" t="n"/>
      <c r="H503" s="291" t="n"/>
      <c r="I503" s="289" t="n"/>
      <c r="J503" s="203" t="n"/>
    </row>
    <row r="504" ht="13" customHeight="1" s="189">
      <c r="A504" s="289" t="n"/>
      <c r="B504" s="290" t="n"/>
      <c r="C504" s="290" t="n"/>
      <c r="D504" s="289" t="n"/>
      <c r="E504" s="289" t="n"/>
      <c r="F504" s="291" t="n"/>
      <c r="G504" s="291" t="n"/>
      <c r="H504" s="291" t="n"/>
      <c r="I504" s="289" t="n"/>
      <c r="J504" s="203" t="n"/>
    </row>
    <row r="505" ht="13" customHeight="1" s="189">
      <c r="A505" s="289" t="n"/>
      <c r="B505" s="290" t="n"/>
      <c r="C505" s="290" t="n"/>
      <c r="D505" s="289" t="n"/>
      <c r="E505" s="289" t="n"/>
      <c r="F505" s="291" t="n"/>
      <c r="G505" s="291" t="n"/>
      <c r="H505" s="291" t="n"/>
      <c r="I505" s="289" t="n"/>
      <c r="J505" s="203" t="n"/>
    </row>
    <row r="506" ht="13" customHeight="1" s="189">
      <c r="A506" s="289" t="n"/>
      <c r="B506" s="290" t="n"/>
      <c r="C506" s="290" t="n"/>
      <c r="D506" s="289" t="n"/>
      <c r="E506" s="289" t="n"/>
      <c r="F506" s="291" t="n"/>
      <c r="G506" s="291" t="n"/>
      <c r="H506" s="291" t="n"/>
      <c r="I506" s="289" t="n"/>
      <c r="J506" s="203" t="n"/>
    </row>
    <row r="507" ht="13" customHeight="1" s="189">
      <c r="A507" s="289" t="n"/>
      <c r="B507" s="290" t="n"/>
      <c r="C507" s="290" t="n"/>
      <c r="D507" s="289" t="n"/>
      <c r="E507" s="289" t="n"/>
      <c r="F507" s="291" t="n"/>
      <c r="G507" s="291" t="n"/>
      <c r="H507" s="291" t="n"/>
      <c r="I507" s="289" t="n"/>
      <c r="J507" s="203" t="n"/>
    </row>
    <row r="508" ht="13" customHeight="1" s="189">
      <c r="A508" s="289" t="n"/>
      <c r="B508" s="290" t="n"/>
      <c r="C508" s="290" t="n"/>
      <c r="D508" s="289" t="n"/>
      <c r="E508" s="289" t="n"/>
      <c r="F508" s="291" t="n"/>
      <c r="G508" s="291" t="n"/>
      <c r="H508" s="291" t="n"/>
      <c r="I508" s="289" t="n"/>
      <c r="J508" s="203" t="n"/>
    </row>
    <row r="509" ht="13" customHeight="1" s="189">
      <c r="A509" s="289" t="n"/>
      <c r="B509" s="290" t="n"/>
      <c r="C509" s="290" t="n"/>
      <c r="D509" s="289" t="n"/>
      <c r="E509" s="289" t="n"/>
      <c r="F509" s="291" t="n"/>
      <c r="G509" s="291" t="n"/>
      <c r="H509" s="291" t="n"/>
      <c r="I509" s="289" t="n"/>
      <c r="J509" s="203" t="n"/>
    </row>
    <row r="510" ht="13" customHeight="1" s="189">
      <c r="A510" s="289" t="n"/>
      <c r="B510" s="290" t="n"/>
      <c r="C510" s="290" t="n"/>
      <c r="D510" s="289" t="n"/>
      <c r="E510" s="289" t="n"/>
      <c r="F510" s="291" t="n"/>
      <c r="G510" s="291" t="n"/>
      <c r="H510" s="291" t="n"/>
      <c r="I510" s="289" t="n"/>
      <c r="J510" s="203" t="n"/>
    </row>
    <row r="511" ht="13" customHeight="1" s="189">
      <c r="A511" s="289" t="n"/>
      <c r="B511" s="290" t="n"/>
      <c r="C511" s="290" t="n"/>
      <c r="D511" s="289" t="n"/>
      <c r="E511" s="289" t="n"/>
      <c r="F511" s="291" t="n"/>
      <c r="G511" s="291" t="n"/>
      <c r="H511" s="291" t="n"/>
      <c r="I511" s="289" t="n"/>
      <c r="J511" s="203" t="n"/>
    </row>
    <row r="512" ht="13" customHeight="1" s="189">
      <c r="A512" s="289" t="n"/>
      <c r="B512" s="290" t="n"/>
      <c r="C512" s="290" t="n"/>
      <c r="D512" s="289" t="n"/>
      <c r="E512" s="289" t="n"/>
      <c r="F512" s="291" t="n"/>
      <c r="G512" s="291" t="n"/>
      <c r="H512" s="291" t="n"/>
      <c r="I512" s="289" t="n"/>
      <c r="J512" s="203" t="n"/>
    </row>
    <row r="513" ht="13" customHeight="1" s="189">
      <c r="A513" s="289" t="n"/>
      <c r="B513" s="290" t="n"/>
      <c r="C513" s="290" t="n"/>
      <c r="D513" s="289" t="n"/>
      <c r="E513" s="289" t="n"/>
      <c r="F513" s="291" t="n"/>
      <c r="G513" s="291" t="n"/>
      <c r="H513" s="291" t="n"/>
      <c r="I513" s="289" t="n"/>
      <c r="J513" s="203" t="n"/>
    </row>
    <row r="514" ht="13" customHeight="1" s="189">
      <c r="A514" s="289" t="n"/>
      <c r="B514" s="290" t="n"/>
      <c r="C514" s="290" t="n"/>
      <c r="D514" s="289" t="n"/>
      <c r="E514" s="289" t="n"/>
      <c r="F514" s="291" t="n"/>
      <c r="G514" s="291" t="n"/>
      <c r="H514" s="291" t="n"/>
      <c r="I514" s="289" t="n"/>
      <c r="J514" s="203" t="n"/>
    </row>
    <row r="515" ht="13" customHeight="1" s="189">
      <c r="A515" s="289" t="n"/>
      <c r="B515" s="290" t="n"/>
      <c r="C515" s="290" t="n"/>
      <c r="D515" s="289" t="n"/>
      <c r="E515" s="289" t="n"/>
      <c r="F515" s="291" t="n"/>
      <c r="G515" s="291" t="n"/>
      <c r="H515" s="291" t="n"/>
      <c r="I515" s="289" t="n"/>
      <c r="J515" s="203" t="n"/>
    </row>
    <row r="516" ht="13" customHeight="1" s="189">
      <c r="A516" s="289" t="n"/>
      <c r="B516" s="290" t="n"/>
      <c r="C516" s="290" t="n"/>
      <c r="D516" s="289" t="n"/>
      <c r="E516" s="289" t="n"/>
      <c r="F516" s="291" t="n"/>
      <c r="G516" s="291" t="n"/>
      <c r="H516" s="291" t="n"/>
      <c r="I516" s="289" t="n"/>
      <c r="J516" s="203" t="n"/>
    </row>
    <row r="517" ht="13" customHeight="1" s="189">
      <c r="A517" s="289" t="n"/>
      <c r="B517" s="290" t="n"/>
      <c r="C517" s="290" t="n"/>
      <c r="D517" s="289" t="n"/>
      <c r="E517" s="289" t="n"/>
      <c r="F517" s="291" t="n"/>
      <c r="G517" s="291" t="n"/>
      <c r="H517" s="291" t="n"/>
      <c r="I517" s="289" t="n"/>
      <c r="J517" s="203" t="n"/>
    </row>
    <row r="518" ht="13" customHeight="1" s="189">
      <c r="A518" s="289" t="n"/>
      <c r="B518" s="290" t="n"/>
      <c r="C518" s="290" t="n"/>
      <c r="D518" s="289" t="n"/>
      <c r="E518" s="289" t="n"/>
      <c r="F518" s="291" t="n"/>
      <c r="G518" s="291" t="n"/>
      <c r="H518" s="291" t="n"/>
      <c r="I518" s="289" t="n"/>
      <c r="J518" s="203" t="n"/>
    </row>
    <row r="519" ht="13" customHeight="1" s="189">
      <c r="A519" s="289" t="n"/>
      <c r="B519" s="290" t="n"/>
      <c r="C519" s="290" t="n"/>
      <c r="D519" s="289" t="n"/>
      <c r="E519" s="289" t="n"/>
      <c r="F519" s="291" t="n"/>
      <c r="G519" s="291" t="n"/>
      <c r="H519" s="291" t="n"/>
      <c r="I519" s="289" t="n"/>
      <c r="J519" s="203" t="n"/>
    </row>
    <row r="520" ht="13" customHeight="1" s="189">
      <c r="A520" s="289" t="n"/>
      <c r="B520" s="290" t="n"/>
      <c r="C520" s="290" t="n"/>
      <c r="D520" s="289" t="n"/>
      <c r="E520" s="289" t="n"/>
      <c r="F520" s="291" t="n"/>
      <c r="G520" s="291" t="n"/>
      <c r="H520" s="291" t="n"/>
      <c r="I520" s="289" t="n"/>
      <c r="J520" s="203" t="n"/>
    </row>
    <row r="521" ht="13" customHeight="1" s="189">
      <c r="A521" s="289" t="n"/>
      <c r="B521" s="290" t="n"/>
      <c r="C521" s="290" t="n"/>
      <c r="D521" s="289" t="n"/>
      <c r="E521" s="289" t="n"/>
      <c r="F521" s="291" t="n"/>
      <c r="G521" s="291" t="n"/>
      <c r="H521" s="291" t="n"/>
      <c r="I521" s="289" t="n"/>
      <c r="J521" s="203" t="n"/>
    </row>
    <row r="522" ht="13" customHeight="1" s="189">
      <c r="A522" s="289" t="n"/>
      <c r="B522" s="290" t="n"/>
      <c r="C522" s="290" t="n"/>
      <c r="D522" s="289" t="n"/>
      <c r="E522" s="289" t="n"/>
      <c r="F522" s="291" t="n"/>
      <c r="G522" s="291" t="n"/>
      <c r="H522" s="291" t="n"/>
      <c r="I522" s="289" t="n"/>
      <c r="J522" s="203" t="n"/>
    </row>
    <row r="523" ht="13" customHeight="1" s="189">
      <c r="A523" s="289" t="n"/>
      <c r="B523" s="290" t="n"/>
      <c r="C523" s="290" t="n"/>
      <c r="D523" s="289" t="n"/>
      <c r="E523" s="289" t="n"/>
      <c r="F523" s="291" t="n"/>
      <c r="G523" s="291" t="n"/>
      <c r="H523" s="291" t="n"/>
      <c r="I523" s="289" t="n"/>
      <c r="J523" s="203" t="n"/>
    </row>
    <row r="524" ht="13" customHeight="1" s="189">
      <c r="A524" s="289" t="n"/>
      <c r="B524" s="290" t="n"/>
      <c r="C524" s="290" t="n"/>
      <c r="D524" s="289" t="n"/>
      <c r="E524" s="289" t="n"/>
      <c r="F524" s="291" t="n"/>
      <c r="G524" s="291" t="n"/>
      <c r="H524" s="291" t="n"/>
      <c r="I524" s="289" t="n"/>
      <c r="J524" s="203" t="n"/>
    </row>
    <row r="525" ht="13" customHeight="1" s="189">
      <c r="A525" s="289" t="n"/>
      <c r="B525" s="290" t="n"/>
      <c r="C525" s="290" t="n"/>
      <c r="D525" s="289" t="n"/>
      <c r="E525" s="289" t="n"/>
      <c r="F525" s="291" t="n"/>
      <c r="G525" s="291" t="n"/>
      <c r="H525" s="291" t="n"/>
      <c r="I525" s="289" t="n"/>
      <c r="J525" s="203" t="n"/>
    </row>
    <row r="526" ht="13" customHeight="1" s="189">
      <c r="A526" s="289" t="n"/>
      <c r="B526" s="290" t="n"/>
      <c r="C526" s="290" t="n"/>
      <c r="D526" s="289" t="n"/>
      <c r="E526" s="289" t="n"/>
      <c r="F526" s="291" t="n"/>
      <c r="G526" s="291" t="n"/>
      <c r="H526" s="291" t="n"/>
      <c r="I526" s="289" t="n"/>
      <c r="J526" s="203" t="n"/>
    </row>
    <row r="527" ht="13" customHeight="1" s="189">
      <c r="A527" s="289" t="n"/>
      <c r="B527" s="290" t="n"/>
      <c r="C527" s="290" t="n"/>
      <c r="D527" s="289" t="n"/>
      <c r="E527" s="289" t="n"/>
      <c r="F527" s="291" t="n"/>
      <c r="G527" s="291" t="n"/>
      <c r="H527" s="291" t="n"/>
      <c r="I527" s="289" t="n"/>
      <c r="J527" s="203" t="n"/>
    </row>
    <row r="528" ht="13" customHeight="1" s="189">
      <c r="A528" s="289" t="n"/>
      <c r="B528" s="290" t="n"/>
      <c r="C528" s="290" t="n"/>
      <c r="D528" s="289" t="n"/>
      <c r="E528" s="289" t="n"/>
      <c r="F528" s="291" t="n"/>
      <c r="G528" s="291" t="n"/>
      <c r="H528" s="291" t="n"/>
      <c r="I528" s="289" t="n"/>
      <c r="J528" s="203" t="n"/>
    </row>
    <row r="529" ht="13" customHeight="1" s="189">
      <c r="A529" s="289" t="n"/>
      <c r="B529" s="290" t="n"/>
      <c r="C529" s="290" t="n"/>
      <c r="D529" s="289" t="n"/>
      <c r="E529" s="289" t="n"/>
      <c r="F529" s="291" t="n"/>
      <c r="G529" s="291" t="n"/>
      <c r="H529" s="291" t="n"/>
      <c r="I529" s="289" t="n"/>
      <c r="J529" s="203" t="n"/>
    </row>
    <row r="530" ht="13" customHeight="1" s="189">
      <c r="A530" s="289" t="n"/>
      <c r="B530" s="290" t="n"/>
      <c r="C530" s="290" t="n"/>
      <c r="D530" s="289" t="n"/>
      <c r="E530" s="289" t="n"/>
      <c r="F530" s="291" t="n"/>
      <c r="G530" s="291" t="n"/>
      <c r="H530" s="291" t="n"/>
      <c r="I530" s="289" t="n"/>
      <c r="J530" s="203" t="n"/>
    </row>
    <row r="531" ht="13" customHeight="1" s="189">
      <c r="A531" s="289" t="n"/>
      <c r="B531" s="290" t="n"/>
      <c r="C531" s="290" t="n"/>
      <c r="D531" s="289" t="n"/>
      <c r="E531" s="289" t="n"/>
      <c r="F531" s="291" t="n"/>
      <c r="G531" s="291" t="n"/>
      <c r="H531" s="291" t="n"/>
      <c r="I531" s="289" t="n"/>
      <c r="J531" s="203" t="n"/>
    </row>
    <row r="532" ht="13" customHeight="1" s="189">
      <c r="A532" s="289" t="n"/>
      <c r="B532" s="290" t="n"/>
      <c r="C532" s="290" t="n"/>
      <c r="D532" s="289" t="n"/>
      <c r="E532" s="289" t="n"/>
      <c r="F532" s="291" t="n"/>
      <c r="G532" s="291" t="n"/>
      <c r="H532" s="291" t="n"/>
      <c r="I532" s="289" t="n"/>
      <c r="J532" s="203" t="n"/>
    </row>
    <row r="533" ht="13" customHeight="1" s="189">
      <c r="A533" s="289" t="n"/>
      <c r="B533" s="290" t="n"/>
      <c r="C533" s="290" t="n"/>
      <c r="D533" s="289" t="n"/>
      <c r="E533" s="289" t="n"/>
      <c r="F533" s="291" t="n"/>
      <c r="G533" s="291" t="n"/>
      <c r="H533" s="291" t="n"/>
      <c r="I533" s="289" t="n"/>
      <c r="J533" s="203" t="n"/>
    </row>
    <row r="534" ht="13" customHeight="1" s="189">
      <c r="A534" s="289" t="n"/>
      <c r="B534" s="290" t="n"/>
      <c r="C534" s="290" t="n"/>
      <c r="D534" s="289" t="n"/>
      <c r="E534" s="289" t="n"/>
      <c r="F534" s="291" t="n"/>
      <c r="G534" s="291" t="n"/>
      <c r="H534" s="291" t="n"/>
      <c r="I534" s="289" t="n"/>
      <c r="J534" s="203" t="n"/>
    </row>
    <row r="535" ht="13" customHeight="1" s="189">
      <c r="A535" s="289" t="n"/>
      <c r="B535" s="290" t="n"/>
      <c r="C535" s="290" t="n"/>
      <c r="D535" s="289" t="n"/>
      <c r="E535" s="289" t="n"/>
      <c r="F535" s="291" t="n"/>
      <c r="G535" s="291" t="n"/>
      <c r="H535" s="291" t="n"/>
      <c r="I535" s="289" t="n"/>
      <c r="J535" s="203" t="n"/>
    </row>
    <row r="536" ht="13" customHeight="1" s="189">
      <c r="A536" s="289" t="n"/>
      <c r="B536" s="290" t="n"/>
      <c r="C536" s="290" t="n"/>
      <c r="D536" s="289" t="n"/>
      <c r="E536" s="289" t="n"/>
      <c r="F536" s="291" t="n"/>
      <c r="G536" s="291" t="n"/>
      <c r="H536" s="291" t="n"/>
      <c r="I536" s="289" t="n"/>
      <c r="J536" s="203" t="n"/>
    </row>
    <row r="537" ht="13" customHeight="1" s="189">
      <c r="A537" s="289" t="n"/>
      <c r="B537" s="290" t="n"/>
      <c r="C537" s="290" t="n"/>
      <c r="D537" s="289" t="n"/>
      <c r="E537" s="289" t="n"/>
      <c r="F537" s="291" t="n"/>
      <c r="G537" s="291" t="n"/>
      <c r="H537" s="291" t="n"/>
      <c r="I537" s="289" t="n"/>
      <c r="J537" s="203" t="n"/>
    </row>
    <row r="538" ht="13" customHeight="1" s="189">
      <c r="A538" s="289" t="n"/>
      <c r="B538" s="290" t="n"/>
      <c r="C538" s="290" t="n"/>
      <c r="D538" s="289" t="n"/>
      <c r="E538" s="289" t="n"/>
      <c r="F538" s="291" t="n"/>
      <c r="G538" s="291" t="n"/>
      <c r="H538" s="291" t="n"/>
      <c r="I538" s="289" t="n"/>
      <c r="J538" s="203" t="n"/>
    </row>
    <row r="539" ht="13" customHeight="1" s="189">
      <c r="A539" s="289" t="n"/>
      <c r="B539" s="290" t="n"/>
      <c r="C539" s="290" t="n"/>
      <c r="D539" s="289" t="n"/>
      <c r="E539" s="289" t="n"/>
      <c r="F539" s="291" t="n"/>
      <c r="G539" s="291" t="n"/>
      <c r="H539" s="291" t="n"/>
      <c r="I539" s="289" t="n"/>
      <c r="J539" s="203" t="n"/>
    </row>
    <row r="540" ht="13" customHeight="1" s="189">
      <c r="A540" s="289" t="n"/>
      <c r="B540" s="290" t="n"/>
      <c r="C540" s="290" t="n"/>
      <c r="D540" s="289" t="n"/>
      <c r="E540" s="289" t="n"/>
      <c r="F540" s="291" t="n"/>
      <c r="G540" s="291" t="n"/>
      <c r="H540" s="291" t="n"/>
      <c r="I540" s="289" t="n"/>
      <c r="J540" s="203" t="n"/>
    </row>
    <row r="541" ht="13" customHeight="1" s="189">
      <c r="A541" s="289" t="n"/>
      <c r="B541" s="290" t="n"/>
      <c r="C541" s="290" t="n"/>
      <c r="D541" s="289" t="n"/>
      <c r="E541" s="289" t="n"/>
      <c r="F541" s="291" t="n"/>
      <c r="G541" s="291" t="n"/>
      <c r="H541" s="291" t="n"/>
      <c r="I541" s="289" t="n"/>
      <c r="J541" s="203" t="n"/>
    </row>
    <row r="542" ht="13" customHeight="1" s="189">
      <c r="A542" s="289" t="n"/>
      <c r="B542" s="290" t="n"/>
      <c r="C542" s="290" t="n"/>
      <c r="D542" s="289" t="n"/>
      <c r="E542" s="289" t="n"/>
      <c r="F542" s="291" t="n"/>
      <c r="G542" s="291" t="n"/>
      <c r="H542" s="291" t="n"/>
      <c r="I542" s="289" t="n"/>
      <c r="J542" s="203" t="n"/>
    </row>
    <row r="543" ht="13" customHeight="1" s="189">
      <c r="A543" s="289" t="n"/>
      <c r="B543" s="290" t="n"/>
      <c r="C543" s="290" t="n"/>
      <c r="D543" s="289" t="n"/>
      <c r="E543" s="289" t="n"/>
      <c r="F543" s="291" t="n"/>
      <c r="G543" s="291" t="n"/>
      <c r="H543" s="291" t="n"/>
      <c r="I543" s="289" t="n"/>
      <c r="J543" s="203" t="n"/>
    </row>
    <row r="544" ht="13" customHeight="1" s="189">
      <c r="A544" s="289" t="n"/>
      <c r="B544" s="290" t="n"/>
      <c r="C544" s="290" t="n"/>
      <c r="D544" s="289" t="n"/>
      <c r="E544" s="289" t="n"/>
      <c r="F544" s="291" t="n"/>
      <c r="G544" s="291" t="n"/>
      <c r="H544" s="291" t="n"/>
      <c r="I544" s="289" t="n"/>
      <c r="J544" s="203" t="n"/>
    </row>
    <row r="545" ht="13" customHeight="1" s="189">
      <c r="A545" s="289" t="n"/>
      <c r="B545" s="290" t="n"/>
      <c r="C545" s="290" t="n"/>
      <c r="D545" s="289" t="n"/>
      <c r="E545" s="289" t="n"/>
      <c r="F545" s="291" t="n"/>
      <c r="G545" s="291" t="n"/>
      <c r="H545" s="291" t="n"/>
      <c r="I545" s="289" t="n"/>
      <c r="J545" s="203" t="n"/>
    </row>
    <row r="546" ht="13" customHeight="1" s="189">
      <c r="A546" s="289" t="n"/>
      <c r="B546" s="290" t="n"/>
      <c r="C546" s="290" t="n"/>
      <c r="D546" s="289" t="n"/>
      <c r="E546" s="289" t="n"/>
      <c r="F546" s="291" t="n"/>
      <c r="G546" s="291" t="n"/>
      <c r="H546" s="291" t="n"/>
      <c r="I546" s="289" t="n"/>
      <c r="J546" s="203" t="n"/>
    </row>
    <row r="547" ht="13" customHeight="1" s="189">
      <c r="A547" s="289" t="n"/>
      <c r="B547" s="290" t="n"/>
      <c r="C547" s="290" t="n"/>
      <c r="D547" s="289" t="n"/>
      <c r="E547" s="289" t="n"/>
      <c r="F547" s="291" t="n"/>
      <c r="G547" s="291" t="n"/>
      <c r="H547" s="291" t="n"/>
      <c r="I547" s="289" t="n"/>
      <c r="J547" s="203" t="n"/>
    </row>
    <row r="548" ht="13" customHeight="1" s="189">
      <c r="A548" s="289" t="n"/>
      <c r="B548" s="290" t="n"/>
      <c r="C548" s="290" t="n"/>
      <c r="D548" s="289" t="n"/>
      <c r="E548" s="289" t="n"/>
      <c r="F548" s="291" t="n"/>
      <c r="G548" s="291" t="n"/>
      <c r="H548" s="291" t="n"/>
      <c r="I548" s="289" t="n"/>
      <c r="J548" s="203" t="n"/>
    </row>
    <row r="549" ht="13" customHeight="1" s="189">
      <c r="A549" s="289" t="n"/>
      <c r="B549" s="290" t="n"/>
      <c r="C549" s="290" t="n"/>
      <c r="D549" s="289" t="n"/>
      <c r="E549" s="289" t="n"/>
      <c r="F549" s="291" t="n"/>
      <c r="G549" s="291" t="n"/>
      <c r="H549" s="291" t="n"/>
      <c r="I549" s="289" t="n"/>
      <c r="J549" s="203" t="n"/>
    </row>
    <row r="550" ht="13" customHeight="1" s="189">
      <c r="A550" s="289" t="n"/>
      <c r="B550" s="290" t="n"/>
      <c r="C550" s="290" t="n"/>
      <c r="D550" s="289" t="n"/>
      <c r="E550" s="289" t="n"/>
      <c r="F550" s="291" t="n"/>
      <c r="G550" s="291" t="n"/>
      <c r="H550" s="291" t="n"/>
      <c r="I550" s="289" t="n"/>
      <c r="J550" s="203" t="n"/>
    </row>
    <row r="551" ht="13" customHeight="1" s="189">
      <c r="A551" s="289" t="n"/>
      <c r="B551" s="290" t="n"/>
      <c r="C551" s="290" t="n"/>
      <c r="D551" s="289" t="n"/>
      <c r="E551" s="289" t="n"/>
      <c r="F551" s="291" t="n"/>
      <c r="G551" s="291" t="n"/>
      <c r="H551" s="291" t="n"/>
      <c r="I551" s="289" t="n"/>
      <c r="J551" s="203" t="n"/>
    </row>
    <row r="552" ht="13" customHeight="1" s="189">
      <c r="A552" s="289" t="n"/>
      <c r="B552" s="290" t="n"/>
      <c r="C552" s="290" t="n"/>
      <c r="D552" s="289" t="n"/>
      <c r="E552" s="289" t="n"/>
      <c r="F552" s="291" t="n"/>
      <c r="G552" s="291" t="n"/>
      <c r="H552" s="291" t="n"/>
      <c r="I552" s="289" t="n"/>
      <c r="J552" s="203" t="n"/>
    </row>
    <row r="553" ht="13" customHeight="1" s="189">
      <c r="A553" s="289" t="n"/>
      <c r="B553" s="290" t="n"/>
      <c r="C553" s="290" t="n"/>
      <c r="D553" s="289" t="n"/>
      <c r="E553" s="289" t="n"/>
      <c r="F553" s="291" t="n"/>
      <c r="G553" s="291" t="n"/>
      <c r="H553" s="291" t="n"/>
      <c r="I553" s="289" t="n"/>
      <c r="J553" s="203" t="n"/>
    </row>
    <row r="554" ht="13" customHeight="1" s="189">
      <c r="A554" s="289" t="n"/>
      <c r="B554" s="290" t="n"/>
      <c r="C554" s="290" t="n"/>
      <c r="D554" s="289" t="n"/>
      <c r="E554" s="289" t="n"/>
      <c r="F554" s="291" t="n"/>
      <c r="G554" s="291" t="n"/>
      <c r="H554" s="291" t="n"/>
      <c r="I554" s="289" t="n"/>
      <c r="J554" s="203" t="n"/>
    </row>
    <row r="555" ht="13" customHeight="1" s="189">
      <c r="A555" s="289" t="n"/>
      <c r="B555" s="290" t="n"/>
      <c r="C555" s="290" t="n"/>
      <c r="D555" s="289" t="n"/>
      <c r="E555" s="289" t="n"/>
      <c r="F555" s="291" t="n"/>
      <c r="G555" s="291" t="n"/>
      <c r="H555" s="291" t="n"/>
      <c r="I555" s="289" t="n"/>
      <c r="J555" s="203" t="n"/>
    </row>
    <row r="556" ht="13" customHeight="1" s="189">
      <c r="A556" s="289" t="n"/>
      <c r="B556" s="290" t="n"/>
      <c r="C556" s="290" t="n"/>
      <c r="D556" s="289" t="n"/>
      <c r="E556" s="289" t="n"/>
      <c r="F556" s="291" t="n"/>
      <c r="G556" s="291" t="n"/>
      <c r="H556" s="291" t="n"/>
      <c r="I556" s="289" t="n"/>
      <c r="J556" s="203" t="n"/>
    </row>
    <row r="557" ht="13" customHeight="1" s="189">
      <c r="A557" s="289" t="n"/>
      <c r="B557" s="290" t="n"/>
      <c r="C557" s="290" t="n"/>
      <c r="D557" s="289" t="n"/>
      <c r="E557" s="289" t="n"/>
      <c r="F557" s="291" t="n"/>
      <c r="G557" s="291" t="n"/>
      <c r="H557" s="291" t="n"/>
      <c r="I557" s="289" t="n"/>
      <c r="J557" s="203" t="n"/>
    </row>
    <row r="558" ht="13" customHeight="1" s="189">
      <c r="A558" s="289" t="n"/>
      <c r="B558" s="290" t="n"/>
      <c r="C558" s="290" t="n"/>
      <c r="D558" s="289" t="n"/>
      <c r="E558" s="289" t="n"/>
      <c r="F558" s="291" t="n"/>
      <c r="G558" s="291" t="n"/>
      <c r="H558" s="291" t="n"/>
      <c r="I558" s="289" t="n"/>
      <c r="J558" s="203" t="n"/>
    </row>
    <row r="559" ht="13" customHeight="1" s="189">
      <c r="A559" s="289" t="n"/>
      <c r="B559" s="290" t="n"/>
      <c r="C559" s="290" t="n"/>
      <c r="D559" s="289" t="n"/>
      <c r="E559" s="289" t="n"/>
      <c r="F559" s="291" t="n"/>
      <c r="G559" s="291" t="n"/>
      <c r="H559" s="291" t="n"/>
      <c r="I559" s="289" t="n"/>
      <c r="J559" s="203" t="n"/>
    </row>
    <row r="560" ht="13" customHeight="1" s="189">
      <c r="A560" s="289" t="n"/>
      <c r="B560" s="290" t="n"/>
      <c r="C560" s="290" t="n"/>
      <c r="D560" s="289" t="n"/>
      <c r="E560" s="289" t="n"/>
      <c r="F560" s="291" t="n"/>
      <c r="G560" s="291" t="n"/>
      <c r="H560" s="291" t="n"/>
      <c r="I560" s="289" t="n"/>
      <c r="J560" s="203" t="n"/>
    </row>
    <row r="561" ht="13" customHeight="1" s="189">
      <c r="A561" s="289" t="n"/>
      <c r="B561" s="290" t="n"/>
      <c r="C561" s="290" t="n"/>
      <c r="D561" s="289" t="n"/>
      <c r="E561" s="289" t="n"/>
      <c r="F561" s="291" t="n"/>
      <c r="G561" s="291" t="n"/>
      <c r="H561" s="291" t="n"/>
      <c r="I561" s="289" t="n"/>
      <c r="J561" s="203" t="n"/>
    </row>
    <row r="562" ht="13" customHeight="1" s="189">
      <c r="A562" s="289" t="n"/>
      <c r="B562" s="290" t="n"/>
      <c r="C562" s="290" t="n"/>
      <c r="D562" s="289" t="n"/>
      <c r="E562" s="289" t="n"/>
      <c r="F562" s="291" t="n"/>
      <c r="G562" s="291" t="n"/>
      <c r="H562" s="291" t="n"/>
      <c r="I562" s="289" t="n"/>
      <c r="J562" s="203" t="n"/>
    </row>
    <row r="563" ht="13" customHeight="1" s="189">
      <c r="A563" s="289" t="n"/>
      <c r="B563" s="290" t="n"/>
      <c r="C563" s="290" t="n"/>
      <c r="D563" s="289" t="n"/>
      <c r="E563" s="289" t="n"/>
      <c r="F563" s="291" t="n"/>
      <c r="G563" s="291" t="n"/>
      <c r="H563" s="291" t="n"/>
      <c r="I563" s="289" t="n"/>
      <c r="J563" s="203" t="n"/>
    </row>
    <row r="564" ht="13" customHeight="1" s="189">
      <c r="A564" s="289" t="n"/>
      <c r="B564" s="290" t="n"/>
      <c r="C564" s="290" t="n"/>
      <c r="D564" s="289" t="n"/>
      <c r="E564" s="289" t="n"/>
      <c r="F564" s="291" t="n"/>
      <c r="G564" s="291" t="n"/>
      <c r="H564" s="291" t="n"/>
      <c r="I564" s="289" t="n"/>
      <c r="J564" s="203" t="n"/>
    </row>
    <row r="565" ht="13" customHeight="1" s="189">
      <c r="A565" s="289" t="n"/>
      <c r="B565" s="290" t="n"/>
      <c r="C565" s="290" t="n"/>
      <c r="D565" s="289" t="n"/>
      <c r="E565" s="289" t="n"/>
      <c r="F565" s="291" t="n"/>
      <c r="G565" s="291" t="n"/>
      <c r="H565" s="291" t="n"/>
      <c r="I565" s="289" t="n"/>
      <c r="J565" s="203" t="n"/>
    </row>
    <row r="566" ht="13" customHeight="1" s="189">
      <c r="A566" s="289" t="n"/>
      <c r="B566" s="290" t="n"/>
      <c r="C566" s="290" t="n"/>
      <c r="D566" s="289" t="n"/>
      <c r="E566" s="289" t="n"/>
      <c r="F566" s="291" t="n"/>
      <c r="G566" s="291" t="n"/>
      <c r="H566" s="291" t="n"/>
      <c r="I566" s="289" t="n"/>
      <c r="J566" s="203" t="n"/>
    </row>
    <row r="567" ht="13" customHeight="1" s="189">
      <c r="A567" s="289" t="n"/>
      <c r="B567" s="290" t="n"/>
      <c r="C567" s="290" t="n"/>
      <c r="D567" s="289" t="n"/>
      <c r="E567" s="289" t="n"/>
      <c r="F567" s="291" t="n"/>
      <c r="G567" s="291" t="n"/>
      <c r="H567" s="291" t="n"/>
      <c r="I567" s="289" t="n"/>
      <c r="J567" s="203" t="n"/>
    </row>
    <row r="568" ht="13" customHeight="1" s="189">
      <c r="A568" s="289" t="n"/>
      <c r="B568" s="290" t="n"/>
      <c r="C568" s="290" t="n"/>
      <c r="D568" s="289" t="n"/>
      <c r="E568" s="289" t="n"/>
      <c r="F568" s="291" t="n"/>
      <c r="G568" s="291" t="n"/>
      <c r="H568" s="291" t="n"/>
      <c r="I568" s="289" t="n"/>
      <c r="J568" s="203" t="n"/>
    </row>
    <row r="569" ht="13" customHeight="1" s="189">
      <c r="A569" s="289" t="n"/>
      <c r="B569" s="290" t="n"/>
      <c r="C569" s="290" t="n"/>
      <c r="D569" s="289" t="n"/>
      <c r="E569" s="289" t="n"/>
      <c r="F569" s="291" t="n"/>
      <c r="G569" s="291" t="n"/>
      <c r="H569" s="291" t="n"/>
      <c r="I569" s="289" t="n"/>
      <c r="J569" s="203" t="n"/>
    </row>
    <row r="570" ht="13" customHeight="1" s="189">
      <c r="A570" s="289" t="n"/>
      <c r="B570" s="290" t="n"/>
      <c r="C570" s="290" t="n"/>
      <c r="D570" s="289" t="n"/>
      <c r="E570" s="289" t="n"/>
      <c r="F570" s="291" t="n"/>
      <c r="G570" s="291" t="n"/>
      <c r="H570" s="291" t="n"/>
      <c r="I570" s="289" t="n"/>
      <c r="J570" s="203" t="n"/>
    </row>
    <row r="571" ht="13" customHeight="1" s="189">
      <c r="A571" s="289" t="n"/>
      <c r="B571" s="290" t="n"/>
      <c r="C571" s="290" t="n"/>
      <c r="D571" s="289" t="n"/>
      <c r="E571" s="289" t="n"/>
      <c r="F571" s="291" t="n"/>
      <c r="G571" s="291" t="n"/>
      <c r="H571" s="291" t="n"/>
      <c r="I571" s="289" t="n"/>
      <c r="J571" s="203" t="n"/>
    </row>
    <row r="572" ht="13" customHeight="1" s="189">
      <c r="A572" s="289" t="n"/>
      <c r="B572" s="290" t="n"/>
      <c r="C572" s="290" t="n"/>
      <c r="D572" s="289" t="n"/>
      <c r="E572" s="289" t="n"/>
      <c r="F572" s="291" t="n"/>
      <c r="G572" s="291" t="n"/>
      <c r="H572" s="291" t="n"/>
      <c r="I572" s="289" t="n"/>
      <c r="J572" s="203" t="n"/>
    </row>
    <row r="573" ht="13" customHeight="1" s="189">
      <c r="A573" s="289" t="n"/>
      <c r="B573" s="290" t="n"/>
      <c r="C573" s="290" t="n"/>
      <c r="D573" s="289" t="n"/>
      <c r="E573" s="289" t="n"/>
      <c r="F573" s="291" t="n"/>
      <c r="G573" s="291" t="n"/>
      <c r="H573" s="291" t="n"/>
      <c r="I573" s="289" t="n"/>
      <c r="J573" s="203" t="n"/>
    </row>
    <row r="574" ht="13" customHeight="1" s="189">
      <c r="A574" s="289" t="n"/>
      <c r="B574" s="290" t="n"/>
      <c r="C574" s="290" t="n"/>
      <c r="D574" s="289" t="n"/>
      <c r="E574" s="289" t="n"/>
      <c r="F574" s="291" t="n"/>
      <c r="G574" s="291" t="n"/>
      <c r="H574" s="291" t="n"/>
      <c r="I574" s="289" t="n"/>
      <c r="J574" s="203" t="n"/>
    </row>
    <row r="575" ht="13" customHeight="1" s="189">
      <c r="A575" s="289" t="n"/>
      <c r="B575" s="290" t="n"/>
      <c r="C575" s="290" t="n"/>
      <c r="D575" s="289" t="n"/>
      <c r="E575" s="289" t="n"/>
      <c r="F575" s="291" t="n"/>
      <c r="G575" s="291" t="n"/>
      <c r="H575" s="291" t="n"/>
      <c r="I575" s="289" t="n"/>
      <c r="J575" s="203" t="n"/>
    </row>
    <row r="576" ht="13" customHeight="1" s="189">
      <c r="A576" s="289" t="n"/>
      <c r="B576" s="290" t="n"/>
      <c r="C576" s="290" t="n"/>
      <c r="D576" s="289" t="n"/>
      <c r="E576" s="289" t="n"/>
      <c r="F576" s="291" t="n"/>
      <c r="G576" s="291" t="n"/>
      <c r="H576" s="291" t="n"/>
      <c r="I576" s="289" t="n"/>
      <c r="J576" s="203" t="n"/>
    </row>
    <row r="577" ht="13" customHeight="1" s="189">
      <c r="A577" s="289" t="n"/>
      <c r="B577" s="290" t="n"/>
      <c r="C577" s="290" t="n"/>
      <c r="D577" s="289" t="n"/>
      <c r="E577" s="289" t="n"/>
      <c r="F577" s="291" t="n"/>
      <c r="G577" s="291" t="n"/>
      <c r="H577" s="291" t="n"/>
      <c r="I577" s="289" t="n"/>
      <c r="J577" s="203" t="n"/>
    </row>
    <row r="578" ht="13" customHeight="1" s="189">
      <c r="A578" s="289" t="n"/>
      <c r="B578" s="290" t="n"/>
      <c r="C578" s="290" t="n"/>
      <c r="D578" s="289" t="n"/>
      <c r="E578" s="289" t="n"/>
      <c r="F578" s="291" t="n"/>
      <c r="G578" s="291" t="n"/>
      <c r="H578" s="291" t="n"/>
      <c r="I578" s="289" t="n"/>
      <c r="J578" s="203" t="n"/>
    </row>
    <row r="579" ht="13" customHeight="1" s="189">
      <c r="A579" s="289" t="n"/>
      <c r="B579" s="290" t="n"/>
      <c r="C579" s="290" t="n"/>
      <c r="D579" s="289" t="n"/>
      <c r="E579" s="289" t="n"/>
      <c r="F579" s="291" t="n"/>
      <c r="G579" s="291" t="n"/>
      <c r="H579" s="291" t="n"/>
      <c r="I579" s="289" t="n"/>
      <c r="J579" s="203" t="n"/>
    </row>
    <row r="580" ht="13" customHeight="1" s="189">
      <c r="A580" s="289" t="n"/>
      <c r="B580" s="290" t="n"/>
      <c r="C580" s="290" t="n"/>
      <c r="D580" s="289" t="n"/>
      <c r="E580" s="289" t="n"/>
      <c r="F580" s="291" t="n"/>
      <c r="G580" s="291" t="n"/>
      <c r="H580" s="291" t="n"/>
      <c r="I580" s="289" t="n"/>
      <c r="J580" s="203" t="n"/>
    </row>
    <row r="581" ht="13" customHeight="1" s="189">
      <c r="A581" s="289" t="n"/>
      <c r="B581" s="290" t="n"/>
      <c r="C581" s="290" t="n"/>
      <c r="D581" s="289" t="n"/>
      <c r="E581" s="289" t="n"/>
      <c r="F581" s="291" t="n"/>
      <c r="G581" s="291" t="n"/>
      <c r="H581" s="291" t="n"/>
      <c r="I581" s="289" t="n"/>
      <c r="J581" s="203" t="n"/>
    </row>
    <row r="582" ht="13" customHeight="1" s="189">
      <c r="A582" s="289" t="n"/>
      <c r="B582" s="290" t="n"/>
      <c r="C582" s="290" t="n"/>
      <c r="D582" s="289" t="n"/>
      <c r="E582" s="289" t="n"/>
      <c r="F582" s="291" t="n"/>
      <c r="G582" s="291" t="n"/>
      <c r="H582" s="291" t="n"/>
      <c r="I582" s="289" t="n"/>
      <c r="J582" s="203" t="n"/>
    </row>
    <row r="583" ht="13" customHeight="1" s="189">
      <c r="A583" s="289" t="n"/>
      <c r="B583" s="290" t="n"/>
      <c r="C583" s="290" t="n"/>
      <c r="D583" s="289" t="n"/>
      <c r="E583" s="289" t="n"/>
      <c r="F583" s="291" t="n"/>
      <c r="G583" s="291" t="n"/>
      <c r="H583" s="291" t="n"/>
      <c r="I583" s="289" t="n"/>
      <c r="J583" s="203" t="n"/>
    </row>
    <row r="584" ht="13" customHeight="1" s="189">
      <c r="A584" s="289" t="n"/>
      <c r="B584" s="290" t="n"/>
      <c r="C584" s="290" t="n"/>
      <c r="D584" s="289" t="n"/>
      <c r="E584" s="289" t="n"/>
      <c r="F584" s="291" t="n"/>
      <c r="G584" s="291" t="n"/>
      <c r="H584" s="291" t="n"/>
      <c r="I584" s="289" t="n"/>
      <c r="J584" s="203" t="n"/>
    </row>
    <row r="585" ht="13" customHeight="1" s="189">
      <c r="A585" s="289" t="n"/>
      <c r="B585" s="290" t="n"/>
      <c r="C585" s="290" t="n"/>
      <c r="D585" s="289" t="n"/>
      <c r="E585" s="289" t="n"/>
      <c r="F585" s="291" t="n"/>
      <c r="G585" s="291" t="n"/>
      <c r="H585" s="291" t="n"/>
      <c r="I585" s="289" t="n"/>
      <c r="J585" s="203" t="n"/>
    </row>
    <row r="586" ht="13" customHeight="1" s="189">
      <c r="A586" s="289" t="n"/>
      <c r="B586" s="290" t="n"/>
      <c r="C586" s="290" t="n"/>
      <c r="D586" s="289" t="n"/>
      <c r="E586" s="289" t="n"/>
      <c r="F586" s="291" t="n"/>
      <c r="G586" s="291" t="n"/>
      <c r="H586" s="291" t="n"/>
      <c r="I586" s="289" t="n"/>
      <c r="J586" s="203" t="n"/>
    </row>
    <row r="587" ht="13" customHeight="1" s="189">
      <c r="A587" s="289" t="n"/>
      <c r="B587" s="290" t="n"/>
      <c r="C587" s="290" t="n"/>
      <c r="D587" s="289" t="n"/>
      <c r="E587" s="289" t="n"/>
      <c r="F587" s="291" t="n"/>
      <c r="G587" s="291" t="n"/>
      <c r="H587" s="291" t="n"/>
      <c r="I587" s="289" t="n"/>
      <c r="J587" s="203" t="n"/>
    </row>
    <row r="588" ht="13" customHeight="1" s="189">
      <c r="A588" s="289" t="n"/>
      <c r="B588" s="290" t="n"/>
      <c r="C588" s="290" t="n"/>
      <c r="D588" s="289" t="n"/>
      <c r="E588" s="289" t="n"/>
      <c r="F588" s="291" t="n"/>
      <c r="G588" s="291" t="n"/>
      <c r="H588" s="291" t="n"/>
      <c r="I588" s="289" t="n"/>
      <c r="J588" s="203" t="n"/>
    </row>
    <row r="589" ht="13" customHeight="1" s="189">
      <c r="A589" s="289" t="n"/>
      <c r="B589" s="290" t="n"/>
      <c r="C589" s="290" t="n"/>
      <c r="D589" s="289" t="n"/>
      <c r="E589" s="289" t="n"/>
      <c r="F589" s="291" t="n"/>
      <c r="G589" s="291" t="n"/>
      <c r="H589" s="291" t="n"/>
      <c r="I589" s="289" t="n"/>
      <c r="J589" s="203" t="n"/>
    </row>
    <row r="590" ht="13" customHeight="1" s="189">
      <c r="A590" s="289" t="n"/>
      <c r="B590" s="290" t="n"/>
      <c r="C590" s="290" t="n"/>
      <c r="D590" s="289" t="n"/>
      <c r="E590" s="289" t="n"/>
      <c r="F590" s="291" t="n"/>
      <c r="G590" s="291" t="n"/>
      <c r="H590" s="291" t="n"/>
      <c r="I590" s="289" t="n"/>
      <c r="J590" s="203" t="n"/>
    </row>
    <row r="591" ht="13" customHeight="1" s="189">
      <c r="A591" s="289" t="n"/>
      <c r="B591" s="290" t="n"/>
      <c r="C591" s="290" t="n"/>
      <c r="D591" s="289" t="n"/>
      <c r="E591" s="289" t="n"/>
      <c r="F591" s="291" t="n"/>
      <c r="G591" s="291" t="n"/>
      <c r="H591" s="291" t="n"/>
      <c r="I591" s="289" t="n"/>
      <c r="J591" s="203" t="n"/>
    </row>
    <row r="592" ht="13" customHeight="1" s="189">
      <c r="A592" s="289" t="n"/>
      <c r="B592" s="290" t="n"/>
      <c r="C592" s="290" t="n"/>
      <c r="D592" s="289" t="n"/>
      <c r="E592" s="289" t="n"/>
      <c r="F592" s="291" t="n"/>
      <c r="G592" s="291" t="n"/>
      <c r="H592" s="291" t="n"/>
      <c r="I592" s="289" t="n"/>
      <c r="J592" s="203" t="n"/>
    </row>
    <row r="593" ht="13" customHeight="1" s="189">
      <c r="A593" s="289" t="n"/>
      <c r="B593" s="290" t="n"/>
      <c r="C593" s="290" t="n"/>
      <c r="D593" s="289" t="n"/>
      <c r="E593" s="289" t="n"/>
      <c r="F593" s="291" t="n"/>
      <c r="G593" s="291" t="n"/>
      <c r="H593" s="291" t="n"/>
      <c r="I593" s="289" t="n"/>
      <c r="J593" s="203" t="n"/>
    </row>
    <row r="594" ht="13" customHeight="1" s="189">
      <c r="A594" s="289" t="n"/>
      <c r="B594" s="290" t="n"/>
      <c r="C594" s="290" t="n"/>
      <c r="D594" s="289" t="n"/>
      <c r="E594" s="289" t="n"/>
      <c r="F594" s="291" t="n"/>
      <c r="G594" s="291" t="n"/>
      <c r="H594" s="291" t="n"/>
      <c r="I594" s="289" t="n"/>
      <c r="J594" s="203" t="n"/>
    </row>
    <row r="595" ht="13" customHeight="1" s="189">
      <c r="A595" s="289" t="n"/>
      <c r="B595" s="290" t="n"/>
      <c r="C595" s="290" t="n"/>
      <c r="D595" s="289" t="n"/>
      <c r="E595" s="289" t="n"/>
      <c r="F595" s="291" t="n"/>
      <c r="G595" s="291" t="n"/>
      <c r="H595" s="291" t="n"/>
      <c r="I595" s="289" t="n"/>
      <c r="J595" s="203" t="n"/>
    </row>
    <row r="596" ht="13" customHeight="1" s="189">
      <c r="A596" s="289" t="n"/>
      <c r="B596" s="290" t="n"/>
      <c r="C596" s="290" t="n"/>
      <c r="D596" s="289" t="n"/>
      <c r="E596" s="289" t="n"/>
      <c r="F596" s="291" t="n"/>
      <c r="G596" s="291" t="n"/>
      <c r="H596" s="291" t="n"/>
      <c r="I596" s="289" t="n"/>
      <c r="J596" s="203" t="n"/>
    </row>
    <row r="597" ht="13" customHeight="1" s="189">
      <c r="A597" s="289" t="n"/>
      <c r="B597" s="290" t="n"/>
      <c r="C597" s="290" t="n"/>
      <c r="D597" s="289" t="n"/>
      <c r="E597" s="289" t="n"/>
      <c r="F597" s="291" t="n"/>
      <c r="G597" s="291" t="n"/>
      <c r="H597" s="291" t="n"/>
      <c r="I597" s="289" t="n"/>
      <c r="J597" s="203" t="n"/>
    </row>
    <row r="598" ht="13" customHeight="1" s="189">
      <c r="A598" s="289" t="n"/>
      <c r="B598" s="290" t="n"/>
      <c r="C598" s="290" t="n"/>
      <c r="D598" s="289" t="n"/>
      <c r="E598" s="289" t="n"/>
      <c r="F598" s="291" t="n"/>
      <c r="G598" s="291" t="n"/>
      <c r="H598" s="291" t="n"/>
      <c r="I598" s="289" t="n"/>
      <c r="J598" s="203" t="n"/>
    </row>
    <row r="599" ht="13" customHeight="1" s="189">
      <c r="A599" s="289" t="n"/>
      <c r="B599" s="290" t="n"/>
      <c r="C599" s="290" t="n"/>
      <c r="D599" s="289" t="n"/>
      <c r="E599" s="289" t="n"/>
      <c r="F599" s="291" t="n"/>
      <c r="G599" s="291" t="n"/>
      <c r="H599" s="291" t="n"/>
      <c r="I599" s="289" t="n"/>
      <c r="J599" s="203" t="n"/>
    </row>
    <row r="600" ht="13" customHeight="1" s="189">
      <c r="A600" s="289" t="n"/>
      <c r="B600" s="290" t="n"/>
      <c r="C600" s="290" t="n"/>
      <c r="D600" s="289" t="n"/>
      <c r="E600" s="289" t="n"/>
      <c r="F600" s="291" t="n"/>
      <c r="G600" s="291" t="n"/>
      <c r="H600" s="291" t="n"/>
      <c r="I600" s="289" t="n"/>
      <c r="J600" s="203" t="n"/>
    </row>
    <row r="601" ht="13" customHeight="1" s="189">
      <c r="A601" s="289" t="n"/>
      <c r="B601" s="290" t="n"/>
      <c r="C601" s="290" t="n"/>
      <c r="D601" s="289" t="n"/>
      <c r="E601" s="289" t="n"/>
      <c r="F601" s="291" t="n"/>
      <c r="G601" s="291" t="n"/>
      <c r="H601" s="291" t="n"/>
      <c r="I601" s="289" t="n"/>
      <c r="J601" s="203" t="n"/>
    </row>
    <row r="602" ht="13" customHeight="1" s="189">
      <c r="A602" s="289" t="n"/>
      <c r="B602" s="290" t="n"/>
      <c r="C602" s="290" t="n"/>
      <c r="D602" s="289" t="n"/>
      <c r="E602" s="289" t="n"/>
      <c r="F602" s="291" t="n"/>
      <c r="G602" s="291" t="n"/>
      <c r="H602" s="291" t="n"/>
      <c r="I602" s="289" t="n"/>
      <c r="J602" s="203" t="n"/>
    </row>
    <row r="603" ht="13" customHeight="1" s="189">
      <c r="A603" s="289" t="n"/>
      <c r="B603" s="290" t="n"/>
      <c r="C603" s="290" t="n"/>
      <c r="D603" s="289" t="n"/>
      <c r="E603" s="289" t="n"/>
      <c r="F603" s="291" t="n"/>
      <c r="G603" s="291" t="n"/>
      <c r="H603" s="291" t="n"/>
      <c r="I603" s="289" t="n"/>
      <c r="J603" s="203" t="n"/>
    </row>
    <row r="604" ht="13" customHeight="1" s="189">
      <c r="A604" s="289" t="n"/>
      <c r="B604" s="290" t="n"/>
      <c r="C604" s="290" t="n"/>
      <c r="D604" s="289" t="n"/>
      <c r="E604" s="289" t="n"/>
      <c r="F604" s="291" t="n"/>
      <c r="G604" s="291" t="n"/>
      <c r="H604" s="291" t="n"/>
      <c r="I604" s="289" t="n"/>
      <c r="J604" s="203" t="n"/>
    </row>
    <row r="605" ht="13" customHeight="1" s="189">
      <c r="A605" s="289" t="n"/>
      <c r="B605" s="290" t="n"/>
      <c r="C605" s="290" t="n"/>
      <c r="D605" s="289" t="n"/>
      <c r="E605" s="289" t="n"/>
      <c r="F605" s="291" t="n"/>
      <c r="G605" s="291" t="n"/>
      <c r="H605" s="291" t="n"/>
      <c r="I605" s="289" t="n"/>
      <c r="J605" s="203" t="n"/>
    </row>
    <row r="606" ht="13" customHeight="1" s="189">
      <c r="A606" s="289" t="n"/>
      <c r="B606" s="290" t="n"/>
      <c r="C606" s="290" t="n"/>
      <c r="D606" s="289" t="n"/>
      <c r="E606" s="289" t="n"/>
      <c r="F606" s="291" t="n"/>
      <c r="G606" s="291" t="n"/>
      <c r="H606" s="291" t="n"/>
      <c r="I606" s="289" t="n"/>
      <c r="J606" s="203" t="n"/>
    </row>
    <row r="607" ht="13" customHeight="1" s="189">
      <c r="A607" s="289" t="n"/>
      <c r="B607" s="290" t="n"/>
      <c r="C607" s="290" t="n"/>
      <c r="D607" s="289" t="n"/>
      <c r="E607" s="289" t="n"/>
      <c r="F607" s="291" t="n"/>
      <c r="G607" s="291" t="n"/>
      <c r="H607" s="291" t="n"/>
      <c r="I607" s="289" t="n"/>
      <c r="J607" s="203" t="n"/>
    </row>
    <row r="608" ht="13" customHeight="1" s="189">
      <c r="A608" s="289" t="n"/>
      <c r="B608" s="290" t="n"/>
      <c r="C608" s="290" t="n"/>
      <c r="D608" s="289" t="n"/>
      <c r="E608" s="289" t="n"/>
      <c r="F608" s="291" t="n"/>
      <c r="G608" s="291" t="n"/>
      <c r="H608" s="291" t="n"/>
      <c r="I608" s="289" t="n"/>
      <c r="J608" s="203" t="n"/>
    </row>
    <row r="609" ht="13" customHeight="1" s="189">
      <c r="A609" s="289" t="n"/>
      <c r="B609" s="290" t="n"/>
      <c r="C609" s="290" t="n"/>
      <c r="D609" s="289" t="n"/>
      <c r="E609" s="289" t="n"/>
      <c r="F609" s="291" t="n"/>
      <c r="G609" s="291" t="n"/>
      <c r="H609" s="291" t="n"/>
      <c r="I609" s="289" t="n"/>
      <c r="J609" s="203" t="n"/>
    </row>
    <row r="610" ht="13" customHeight="1" s="189">
      <c r="A610" s="289" t="n"/>
      <c r="B610" s="290" t="n"/>
      <c r="C610" s="290" t="n"/>
      <c r="D610" s="289" t="n"/>
      <c r="E610" s="289" t="n"/>
      <c r="F610" s="291" t="n"/>
      <c r="G610" s="291" t="n"/>
      <c r="H610" s="291" t="n"/>
      <c r="I610" s="289" t="n"/>
      <c r="J610" s="203" t="n"/>
    </row>
    <row r="611" ht="13" customHeight="1" s="189">
      <c r="A611" s="289" t="n"/>
      <c r="B611" s="290" t="n"/>
      <c r="C611" s="290" t="n"/>
      <c r="D611" s="289" t="n"/>
      <c r="E611" s="289" t="n"/>
      <c r="F611" s="291" t="n"/>
      <c r="G611" s="291" t="n"/>
      <c r="H611" s="291" t="n"/>
      <c r="I611" s="289" t="n"/>
      <c r="J611" s="203" t="n"/>
    </row>
    <row r="612" ht="13" customHeight="1" s="189">
      <c r="A612" s="289" t="n"/>
      <c r="B612" s="290" t="n"/>
      <c r="C612" s="290" t="n"/>
      <c r="D612" s="289" t="n"/>
      <c r="E612" s="289" t="n"/>
      <c r="F612" s="291" t="n"/>
      <c r="G612" s="291" t="n"/>
      <c r="H612" s="291" t="n"/>
      <c r="I612" s="289" t="n"/>
      <c r="J612" s="203" t="n"/>
    </row>
    <row r="613" ht="13" customHeight="1" s="189">
      <c r="A613" s="289" t="n"/>
      <c r="B613" s="290" t="n"/>
      <c r="C613" s="290" t="n"/>
      <c r="D613" s="289" t="n"/>
      <c r="E613" s="289" t="n"/>
      <c r="F613" s="291" t="n"/>
      <c r="G613" s="291" t="n"/>
      <c r="H613" s="291" t="n"/>
      <c r="I613" s="289" t="n"/>
      <c r="J613" s="203" t="n"/>
    </row>
    <row r="614" ht="13" customHeight="1" s="189">
      <c r="A614" s="289" t="n"/>
      <c r="B614" s="290" t="n"/>
      <c r="C614" s="290" t="n"/>
      <c r="D614" s="289" t="n"/>
      <c r="E614" s="289" t="n"/>
      <c r="F614" s="291" t="n"/>
      <c r="G614" s="291" t="n"/>
      <c r="H614" s="291" t="n"/>
      <c r="I614" s="289" t="n"/>
      <c r="J614" s="203" t="n"/>
    </row>
    <row r="615" ht="13" customHeight="1" s="189">
      <c r="A615" s="289" t="n"/>
      <c r="B615" s="290" t="n"/>
      <c r="C615" s="290" t="n"/>
      <c r="D615" s="289" t="n"/>
      <c r="E615" s="289" t="n"/>
      <c r="F615" s="291" t="n"/>
      <c r="G615" s="291" t="n"/>
      <c r="H615" s="291" t="n"/>
      <c r="I615" s="289" t="n"/>
      <c r="J615" s="203" t="n"/>
    </row>
    <row r="616" ht="13" customHeight="1" s="189">
      <c r="A616" s="289" t="n"/>
      <c r="B616" s="290" t="n"/>
      <c r="C616" s="290" t="n"/>
      <c r="D616" s="289" t="n"/>
      <c r="E616" s="289" t="n"/>
      <c r="F616" s="291" t="n"/>
      <c r="G616" s="291" t="n"/>
      <c r="H616" s="291" t="n"/>
      <c r="I616" s="289" t="n"/>
      <c r="J616" s="203" t="n"/>
    </row>
    <row r="617" ht="13" customHeight="1" s="189">
      <c r="A617" s="289" t="n"/>
      <c r="B617" s="290" t="n"/>
      <c r="C617" s="290" t="n"/>
      <c r="D617" s="289" t="n"/>
      <c r="E617" s="289" t="n"/>
      <c r="F617" s="291" t="n"/>
      <c r="G617" s="291" t="n"/>
      <c r="H617" s="291" t="n"/>
      <c r="I617" s="289" t="n"/>
      <c r="J617" s="203" t="n"/>
    </row>
    <row r="618" ht="13" customHeight="1" s="189">
      <c r="A618" s="289" t="n"/>
      <c r="B618" s="290" t="n"/>
      <c r="C618" s="290" t="n"/>
      <c r="D618" s="289" t="n"/>
      <c r="E618" s="289" t="n"/>
      <c r="F618" s="291" t="n"/>
      <c r="G618" s="291" t="n"/>
      <c r="H618" s="291" t="n"/>
      <c r="I618" s="289" t="n"/>
      <c r="J618" s="203" t="n"/>
    </row>
    <row r="619" ht="13" customHeight="1" s="189">
      <c r="A619" s="289" t="n"/>
      <c r="B619" s="290" t="n"/>
      <c r="C619" s="290" t="n"/>
      <c r="D619" s="289" t="n"/>
      <c r="E619" s="289" t="n"/>
      <c r="F619" s="291" t="n"/>
      <c r="G619" s="291" t="n"/>
      <c r="H619" s="291" t="n"/>
      <c r="I619" s="289" t="n"/>
      <c r="J619" s="203" t="n"/>
    </row>
    <row r="620" ht="13" customHeight="1" s="189">
      <c r="A620" s="289" t="n"/>
      <c r="B620" s="290" t="n"/>
      <c r="C620" s="290" t="n"/>
      <c r="D620" s="289" t="n"/>
      <c r="E620" s="289" t="n"/>
      <c r="F620" s="291" t="n"/>
      <c r="G620" s="291" t="n"/>
      <c r="H620" s="291" t="n"/>
      <c r="I620" s="289" t="n"/>
      <c r="J620" s="203" t="n"/>
    </row>
    <row r="621" ht="13" customHeight="1" s="189">
      <c r="A621" s="289" t="n"/>
      <c r="B621" s="290" t="n"/>
      <c r="C621" s="290" t="n"/>
      <c r="D621" s="289" t="n"/>
      <c r="E621" s="289" t="n"/>
      <c r="F621" s="291" t="n"/>
      <c r="G621" s="291" t="n"/>
      <c r="H621" s="291" t="n"/>
      <c r="I621" s="289" t="n"/>
      <c r="J621" s="203" t="n"/>
    </row>
    <row r="622" ht="13" customHeight="1" s="189">
      <c r="A622" s="289" t="n"/>
      <c r="B622" s="290" t="n"/>
      <c r="C622" s="290" t="n"/>
      <c r="D622" s="289" t="n"/>
      <c r="E622" s="289" t="n"/>
      <c r="F622" s="291" t="n"/>
      <c r="G622" s="291" t="n"/>
      <c r="H622" s="291" t="n"/>
      <c r="I622" s="289" t="n"/>
      <c r="J622" s="203" t="n"/>
    </row>
    <row r="623" ht="13" customHeight="1" s="189">
      <c r="A623" s="289" t="n"/>
      <c r="B623" s="290" t="n"/>
      <c r="C623" s="290" t="n"/>
      <c r="D623" s="289" t="n"/>
      <c r="E623" s="289" t="n"/>
      <c r="F623" s="291" t="n"/>
      <c r="G623" s="291" t="n"/>
      <c r="H623" s="291" t="n"/>
      <c r="I623" s="289" t="n"/>
      <c r="J623" s="203" t="n"/>
    </row>
    <row r="624" ht="13" customHeight="1" s="189">
      <c r="A624" s="289" t="n"/>
      <c r="B624" s="290" t="n"/>
      <c r="C624" s="290" t="n"/>
      <c r="D624" s="289" t="n"/>
      <c r="E624" s="289" t="n"/>
      <c r="F624" s="291" t="n"/>
      <c r="G624" s="291" t="n"/>
      <c r="H624" s="291" t="n"/>
      <c r="I624" s="289" t="n"/>
      <c r="J624" s="203" t="n"/>
    </row>
    <row r="625" ht="13" customHeight="1" s="189">
      <c r="A625" s="289" t="n"/>
      <c r="B625" s="290" t="n"/>
      <c r="C625" s="290" t="n"/>
      <c r="D625" s="289" t="n"/>
      <c r="E625" s="289" t="n"/>
      <c r="F625" s="291" t="n"/>
      <c r="G625" s="291" t="n"/>
      <c r="H625" s="291" t="n"/>
      <c r="I625" s="289" t="n"/>
      <c r="J625" s="203" t="n"/>
    </row>
    <row r="626" ht="13" customHeight="1" s="189">
      <c r="A626" s="289" t="n"/>
      <c r="B626" s="290" t="n"/>
      <c r="C626" s="290" t="n"/>
      <c r="D626" s="289" t="n"/>
      <c r="E626" s="289" t="n"/>
      <c r="F626" s="291" t="n"/>
      <c r="G626" s="291" t="n"/>
      <c r="H626" s="291" t="n"/>
      <c r="I626" s="289" t="n"/>
      <c r="J626" s="203" t="n"/>
    </row>
    <row r="627" ht="13" customHeight="1" s="189">
      <c r="A627" s="289" t="n"/>
      <c r="B627" s="290" t="n"/>
      <c r="C627" s="290" t="n"/>
      <c r="D627" s="289" t="n"/>
      <c r="E627" s="289" t="n"/>
      <c r="F627" s="291" t="n"/>
      <c r="G627" s="291" t="n"/>
      <c r="H627" s="291" t="n"/>
      <c r="I627" s="289" t="n"/>
      <c r="J627" s="203" t="n"/>
    </row>
    <row r="628" ht="13" customHeight="1" s="189">
      <c r="A628" s="289" t="n"/>
      <c r="B628" s="290" t="n"/>
      <c r="C628" s="290" t="n"/>
      <c r="D628" s="289" t="n"/>
      <c r="E628" s="289" t="n"/>
      <c r="F628" s="291" t="n"/>
      <c r="G628" s="291" t="n"/>
      <c r="H628" s="291" t="n"/>
      <c r="I628" s="289" t="n"/>
      <c r="J628" s="203" t="n"/>
    </row>
    <row r="629" ht="13" customHeight="1" s="189">
      <c r="A629" s="289" t="n"/>
      <c r="B629" s="290" t="n"/>
      <c r="C629" s="290" t="n"/>
      <c r="D629" s="289" t="n"/>
      <c r="E629" s="289" t="n"/>
      <c r="F629" s="291" t="n"/>
      <c r="G629" s="291" t="n"/>
      <c r="H629" s="291" t="n"/>
      <c r="I629" s="289" t="n"/>
      <c r="J629" s="203" t="n"/>
    </row>
    <row r="630" ht="13" customHeight="1" s="189">
      <c r="A630" s="289" t="n"/>
      <c r="B630" s="290" t="n"/>
      <c r="C630" s="290" t="n"/>
      <c r="D630" s="289" t="n"/>
      <c r="E630" s="289" t="n"/>
      <c r="F630" s="291" t="n"/>
      <c r="G630" s="291" t="n"/>
      <c r="H630" s="291" t="n"/>
      <c r="I630" s="289" t="n"/>
      <c r="J630" s="203" t="n"/>
    </row>
    <row r="631" ht="13" customHeight="1" s="189">
      <c r="A631" s="289" t="n"/>
      <c r="B631" s="290" t="n"/>
      <c r="C631" s="290" t="n"/>
      <c r="D631" s="289" t="n"/>
      <c r="E631" s="289" t="n"/>
      <c r="F631" s="291" t="n"/>
      <c r="G631" s="291" t="n"/>
      <c r="H631" s="291" t="n"/>
      <c r="I631" s="289" t="n"/>
      <c r="J631" s="203" t="n"/>
    </row>
    <row r="632" ht="13" customHeight="1" s="189">
      <c r="A632" s="289" t="n"/>
      <c r="B632" s="290" t="n"/>
      <c r="C632" s="290" t="n"/>
      <c r="D632" s="289" t="n"/>
      <c r="E632" s="289" t="n"/>
      <c r="F632" s="291" t="n"/>
      <c r="G632" s="291" t="n"/>
      <c r="H632" s="291" t="n"/>
      <c r="I632" s="289" t="n"/>
      <c r="J632" s="203" t="n"/>
    </row>
    <row r="633" ht="13" customHeight="1" s="189">
      <c r="A633" s="289" t="n"/>
      <c r="B633" s="290" t="n"/>
      <c r="C633" s="290" t="n"/>
      <c r="D633" s="289" t="n"/>
      <c r="E633" s="289" t="n"/>
      <c r="F633" s="291" t="n"/>
      <c r="G633" s="291" t="n"/>
      <c r="H633" s="291" t="n"/>
      <c r="I633" s="289" t="n"/>
      <c r="J633" s="203" t="n"/>
    </row>
    <row r="634" ht="13" customHeight="1" s="189">
      <c r="A634" s="289" t="n"/>
      <c r="B634" s="290" t="n"/>
      <c r="C634" s="290" t="n"/>
      <c r="D634" s="289" t="n"/>
      <c r="E634" s="289" t="n"/>
      <c r="F634" s="291" t="n"/>
      <c r="G634" s="291" t="n"/>
      <c r="H634" s="291" t="n"/>
      <c r="I634" s="289" t="n"/>
      <c r="J634" s="203" t="n"/>
    </row>
    <row r="635" ht="13" customHeight="1" s="189">
      <c r="A635" s="289" t="n"/>
      <c r="B635" s="290" t="n"/>
      <c r="C635" s="290" t="n"/>
      <c r="D635" s="289" t="n"/>
      <c r="E635" s="289" t="n"/>
      <c r="F635" s="291" t="n"/>
      <c r="G635" s="291" t="n"/>
      <c r="H635" s="291" t="n"/>
      <c r="I635" s="289" t="n"/>
      <c r="J635" s="203" t="n"/>
    </row>
    <row r="636" ht="13" customHeight="1" s="189">
      <c r="A636" s="289" t="n"/>
      <c r="B636" s="290" t="n"/>
      <c r="C636" s="290" t="n"/>
      <c r="D636" s="289" t="n"/>
      <c r="E636" s="289" t="n"/>
      <c r="F636" s="291" t="n"/>
      <c r="G636" s="291" t="n"/>
      <c r="H636" s="291" t="n"/>
      <c r="I636" s="289" t="n"/>
      <c r="J636" s="203" t="n"/>
    </row>
    <row r="637" ht="13" customHeight="1" s="189">
      <c r="A637" s="289" t="n"/>
      <c r="B637" s="290" t="n"/>
      <c r="C637" s="290" t="n"/>
      <c r="D637" s="289" t="n"/>
      <c r="E637" s="289" t="n"/>
      <c r="F637" s="291" t="n"/>
      <c r="G637" s="291" t="n"/>
      <c r="H637" s="291" t="n"/>
      <c r="I637" s="289" t="n"/>
      <c r="J637" s="203" t="n"/>
    </row>
    <row r="638" ht="13" customHeight="1" s="189">
      <c r="A638" s="289" t="n"/>
      <c r="B638" s="290" t="n"/>
      <c r="C638" s="290" t="n"/>
      <c r="D638" s="289" t="n"/>
      <c r="E638" s="289" t="n"/>
      <c r="F638" s="291" t="n"/>
      <c r="G638" s="291" t="n"/>
      <c r="H638" s="291" t="n"/>
      <c r="I638" s="289" t="n"/>
      <c r="J638" s="203" t="n"/>
    </row>
    <row r="639" ht="13" customHeight="1" s="189">
      <c r="A639" s="289" t="n"/>
      <c r="B639" s="290" t="n"/>
      <c r="C639" s="290" t="n"/>
      <c r="D639" s="289" t="n"/>
      <c r="E639" s="289" t="n"/>
      <c r="F639" s="291" t="n"/>
      <c r="G639" s="291" t="n"/>
      <c r="H639" s="291" t="n"/>
      <c r="I639" s="289" t="n"/>
      <c r="J639" s="203" t="n"/>
    </row>
    <row r="640" ht="13" customHeight="1" s="189">
      <c r="A640" s="289" t="n"/>
      <c r="B640" s="290" t="n"/>
      <c r="C640" s="290" t="n"/>
      <c r="D640" s="289" t="n"/>
      <c r="E640" s="289" t="n"/>
      <c r="F640" s="291" t="n"/>
      <c r="G640" s="291" t="n"/>
      <c r="H640" s="291" t="n"/>
      <c r="I640" s="289" t="n"/>
      <c r="J640" s="203" t="n"/>
    </row>
    <row r="641" ht="13" customHeight="1" s="189">
      <c r="A641" s="289" t="n"/>
      <c r="B641" s="290" t="n"/>
      <c r="C641" s="290" t="n"/>
      <c r="D641" s="289" t="n"/>
      <c r="E641" s="289" t="n"/>
      <c r="F641" s="291" t="n"/>
      <c r="G641" s="291" t="n"/>
      <c r="H641" s="291" t="n"/>
      <c r="I641" s="289" t="n"/>
      <c r="J641" s="203" t="n"/>
    </row>
    <row r="642" ht="13" customHeight="1" s="189">
      <c r="A642" s="289" t="n"/>
      <c r="B642" s="290" t="n"/>
      <c r="C642" s="290" t="n"/>
      <c r="D642" s="289" t="n"/>
      <c r="E642" s="289" t="n"/>
      <c r="F642" s="291" t="n"/>
      <c r="G642" s="291" t="n"/>
      <c r="H642" s="291" t="n"/>
      <c r="I642" s="289" t="n"/>
      <c r="J642" s="203" t="n"/>
    </row>
    <row r="643" ht="13" customHeight="1" s="189">
      <c r="A643" s="289" t="n"/>
      <c r="B643" s="290" t="n"/>
      <c r="C643" s="290" t="n"/>
      <c r="D643" s="289" t="n"/>
      <c r="E643" s="289" t="n"/>
      <c r="F643" s="291" t="n"/>
      <c r="G643" s="291" t="n"/>
      <c r="H643" s="291" t="n"/>
      <c r="I643" s="289" t="n"/>
      <c r="J643" s="203" t="n"/>
    </row>
    <row r="644" ht="13" customHeight="1" s="189">
      <c r="A644" s="289" t="n"/>
      <c r="B644" s="290" t="n"/>
      <c r="C644" s="290" t="n"/>
      <c r="D644" s="289" t="n"/>
      <c r="E644" s="289" t="n"/>
      <c r="F644" s="291" t="n"/>
      <c r="G644" s="291" t="n"/>
      <c r="H644" s="291" t="n"/>
      <c r="I644" s="289" t="n"/>
      <c r="J644" s="203" t="n"/>
    </row>
    <row r="645" ht="13" customHeight="1" s="189">
      <c r="A645" s="289" t="n"/>
      <c r="B645" s="290" t="n"/>
      <c r="C645" s="290" t="n"/>
      <c r="D645" s="289" t="n"/>
      <c r="E645" s="289" t="n"/>
      <c r="F645" s="291" t="n"/>
      <c r="G645" s="291" t="n"/>
      <c r="H645" s="291" t="n"/>
      <c r="I645" s="289" t="n"/>
      <c r="J645" s="203" t="n"/>
    </row>
    <row r="646" ht="13" customHeight="1" s="189">
      <c r="A646" s="289" t="n"/>
      <c r="B646" s="290" t="n"/>
      <c r="C646" s="290" t="n"/>
      <c r="D646" s="289" t="n"/>
      <c r="E646" s="289" t="n"/>
      <c r="F646" s="291" t="n"/>
      <c r="G646" s="291" t="n"/>
      <c r="H646" s="291" t="n"/>
      <c r="I646" s="289" t="n"/>
      <c r="J646" s="203" t="n"/>
    </row>
    <row r="647" ht="13" customHeight="1" s="189">
      <c r="A647" s="289" t="n"/>
      <c r="B647" s="290" t="n"/>
      <c r="C647" s="290" t="n"/>
      <c r="D647" s="289" t="n"/>
      <c r="E647" s="289" t="n"/>
      <c r="F647" s="291" t="n"/>
      <c r="G647" s="291" t="n"/>
      <c r="H647" s="291" t="n"/>
      <c r="I647" s="289" t="n"/>
      <c r="J647" s="203" t="n"/>
    </row>
    <row r="648" ht="13" customHeight="1" s="189">
      <c r="A648" s="289" t="n"/>
      <c r="B648" s="290" t="n"/>
      <c r="C648" s="290" t="n"/>
      <c r="D648" s="289" t="n"/>
      <c r="E648" s="289" t="n"/>
      <c r="F648" s="291" t="n"/>
      <c r="G648" s="291" t="n"/>
      <c r="H648" s="291" t="n"/>
      <c r="I648" s="289" t="n"/>
      <c r="J648" s="203" t="n"/>
    </row>
    <row r="649" ht="13" customHeight="1" s="189">
      <c r="A649" s="289" t="n"/>
      <c r="B649" s="290" t="n"/>
      <c r="C649" s="290" t="n"/>
      <c r="D649" s="289" t="n"/>
      <c r="E649" s="289" t="n"/>
      <c r="F649" s="291" t="n"/>
      <c r="G649" s="291" t="n"/>
      <c r="H649" s="291" t="n"/>
      <c r="I649" s="289" t="n"/>
      <c r="J649" s="203" t="n"/>
    </row>
    <row r="650" ht="13" customHeight="1" s="189">
      <c r="A650" s="289" t="n"/>
      <c r="B650" s="290" t="n"/>
      <c r="C650" s="290" t="n"/>
      <c r="D650" s="289" t="n"/>
      <c r="E650" s="289" t="n"/>
      <c r="F650" s="291" t="n"/>
      <c r="G650" s="291" t="n"/>
      <c r="H650" s="291" t="n"/>
      <c r="I650" s="289" t="n"/>
      <c r="J650" s="203" t="n"/>
    </row>
    <row r="651" ht="13" customHeight="1" s="189">
      <c r="A651" s="289" t="n"/>
      <c r="B651" s="290" t="n"/>
      <c r="C651" s="290" t="n"/>
      <c r="D651" s="289" t="n"/>
      <c r="E651" s="289" t="n"/>
      <c r="F651" s="291" t="n"/>
      <c r="G651" s="291" t="n"/>
      <c r="H651" s="291" t="n"/>
      <c r="I651" s="289" t="n"/>
      <c r="J651" s="203" t="n"/>
    </row>
    <row r="652" ht="13" customHeight="1" s="189">
      <c r="A652" s="289" t="n"/>
      <c r="B652" s="290" t="n"/>
      <c r="C652" s="290" t="n"/>
      <c r="D652" s="289" t="n"/>
      <c r="E652" s="289" t="n"/>
      <c r="F652" s="291" t="n"/>
      <c r="G652" s="291" t="n"/>
      <c r="H652" s="291" t="n"/>
      <c r="I652" s="289" t="n"/>
      <c r="J652" s="203" t="n"/>
    </row>
    <row r="653" ht="13" customHeight="1" s="189">
      <c r="A653" s="289" t="n"/>
      <c r="B653" s="290" t="n"/>
      <c r="C653" s="290" t="n"/>
      <c r="D653" s="289" t="n"/>
      <c r="E653" s="289" t="n"/>
      <c r="F653" s="291" t="n"/>
      <c r="G653" s="291" t="n"/>
      <c r="H653" s="291" t="n"/>
      <c r="I653" s="289" t="n"/>
      <c r="J653" s="203" t="n"/>
    </row>
    <row r="654" ht="13" customHeight="1" s="189">
      <c r="A654" s="289" t="n"/>
      <c r="B654" s="290" t="n"/>
      <c r="C654" s="290" t="n"/>
      <c r="D654" s="289" t="n"/>
      <c r="E654" s="289" t="n"/>
      <c r="F654" s="291" t="n"/>
      <c r="G654" s="291" t="n"/>
      <c r="H654" s="291" t="n"/>
      <c r="I654" s="289" t="n"/>
      <c r="J654" s="203" t="n"/>
    </row>
    <row r="655" ht="13" customHeight="1" s="189">
      <c r="A655" s="289" t="n"/>
      <c r="B655" s="290" t="n"/>
      <c r="C655" s="290" t="n"/>
      <c r="D655" s="289" t="n"/>
      <c r="E655" s="289" t="n"/>
      <c r="F655" s="291" t="n"/>
      <c r="G655" s="291" t="n"/>
      <c r="H655" s="291" t="n"/>
      <c r="I655" s="289" t="n"/>
      <c r="J655" s="203" t="n"/>
    </row>
    <row r="656" ht="13" customHeight="1" s="189">
      <c r="A656" s="289" t="n"/>
      <c r="B656" s="290" t="n"/>
      <c r="C656" s="290" t="n"/>
      <c r="D656" s="289" t="n"/>
      <c r="E656" s="289" t="n"/>
      <c r="F656" s="291" t="n"/>
      <c r="G656" s="291" t="n"/>
      <c r="H656" s="291" t="n"/>
      <c r="I656" s="289" t="n"/>
      <c r="J656" s="203" t="n"/>
    </row>
    <row r="657" ht="13" customHeight="1" s="189">
      <c r="A657" s="289" t="n"/>
      <c r="B657" s="290" t="n"/>
      <c r="C657" s="290" t="n"/>
      <c r="D657" s="289" t="n"/>
      <c r="E657" s="289" t="n"/>
      <c r="F657" s="291" t="n"/>
      <c r="G657" s="291" t="n"/>
      <c r="H657" s="291" t="n"/>
      <c r="I657" s="289" t="n"/>
      <c r="J657" s="203" t="n"/>
    </row>
    <row r="658" ht="13" customHeight="1" s="189">
      <c r="A658" s="289" t="n"/>
      <c r="B658" s="290" t="n"/>
      <c r="C658" s="290" t="n"/>
      <c r="D658" s="289" t="n"/>
      <c r="E658" s="289" t="n"/>
      <c r="F658" s="291" t="n"/>
      <c r="G658" s="291" t="n"/>
      <c r="H658" s="291" t="n"/>
      <c r="I658" s="289" t="n"/>
      <c r="J658" s="203" t="n"/>
    </row>
    <row r="659" ht="13" customHeight="1" s="189">
      <c r="A659" s="289" t="n"/>
      <c r="B659" s="290" t="n"/>
      <c r="C659" s="290" t="n"/>
      <c r="D659" s="289" t="n"/>
      <c r="E659" s="289" t="n"/>
      <c r="F659" s="291" t="n"/>
      <c r="G659" s="291" t="n"/>
      <c r="H659" s="291" t="n"/>
      <c r="I659" s="289" t="n"/>
      <c r="J659" s="203" t="n"/>
    </row>
    <row r="660" ht="13" customHeight="1" s="189">
      <c r="A660" s="289" t="n"/>
      <c r="B660" s="290" t="n"/>
      <c r="C660" s="290" t="n"/>
      <c r="D660" s="289" t="n"/>
      <c r="E660" s="289" t="n"/>
      <c r="F660" s="291" t="n"/>
      <c r="G660" s="291" t="n"/>
      <c r="H660" s="291" t="n"/>
      <c r="I660" s="289" t="n"/>
      <c r="J660" s="203" t="n"/>
    </row>
    <row r="661" ht="13" customHeight="1" s="189">
      <c r="A661" s="289" t="n"/>
      <c r="B661" s="290" t="n"/>
      <c r="C661" s="290" t="n"/>
      <c r="D661" s="289" t="n"/>
      <c r="E661" s="289" t="n"/>
      <c r="F661" s="291" t="n"/>
      <c r="G661" s="291" t="n"/>
      <c r="H661" s="291" t="n"/>
      <c r="I661" s="289" t="n"/>
      <c r="J661" s="203" t="n"/>
    </row>
    <row r="662" ht="13" customHeight="1" s="189">
      <c r="A662" s="289" t="n"/>
      <c r="B662" s="290" t="n"/>
      <c r="C662" s="290" t="n"/>
      <c r="D662" s="289" t="n"/>
      <c r="E662" s="289" t="n"/>
      <c r="F662" s="291" t="n"/>
      <c r="G662" s="291" t="n"/>
      <c r="H662" s="291" t="n"/>
      <c r="I662" s="289" t="n"/>
      <c r="J662" s="203" t="n"/>
    </row>
    <row r="663" ht="13" customHeight="1" s="189">
      <c r="A663" s="289" t="n"/>
      <c r="B663" s="290" t="n"/>
      <c r="C663" s="290" t="n"/>
      <c r="D663" s="289" t="n"/>
      <c r="E663" s="289" t="n"/>
      <c r="F663" s="291" t="n"/>
      <c r="G663" s="291" t="n"/>
      <c r="H663" s="291" t="n"/>
      <c r="I663" s="289" t="n"/>
      <c r="J663" s="203" t="n"/>
    </row>
    <row r="664" ht="13" customHeight="1" s="189">
      <c r="A664" s="289" t="n"/>
      <c r="B664" s="290" t="n"/>
      <c r="C664" s="290" t="n"/>
      <c r="D664" s="289" t="n"/>
      <c r="E664" s="289" t="n"/>
      <c r="F664" s="291" t="n"/>
      <c r="G664" s="291" t="n"/>
      <c r="H664" s="291" t="n"/>
      <c r="I664" s="289" t="n"/>
      <c r="J664" s="203" t="n"/>
    </row>
    <row r="665" ht="13" customHeight="1" s="189">
      <c r="A665" s="289" t="n"/>
      <c r="B665" s="290" t="n"/>
      <c r="C665" s="290" t="n"/>
      <c r="D665" s="289" t="n"/>
      <c r="E665" s="289" t="n"/>
      <c r="F665" s="291" t="n"/>
      <c r="G665" s="291" t="n"/>
      <c r="H665" s="291" t="n"/>
      <c r="I665" s="289" t="n"/>
      <c r="J665" s="203" t="n"/>
    </row>
    <row r="666" ht="13" customHeight="1" s="189">
      <c r="A666" s="289" t="n"/>
      <c r="B666" s="290" t="n"/>
      <c r="C666" s="290" t="n"/>
      <c r="D666" s="289" t="n"/>
      <c r="E666" s="289" t="n"/>
      <c r="F666" s="291" t="n"/>
      <c r="G666" s="291" t="n"/>
      <c r="H666" s="291" t="n"/>
      <c r="I666" s="289" t="n"/>
      <c r="J666" s="203" t="n"/>
    </row>
    <row r="667" ht="13" customHeight="1" s="189">
      <c r="A667" s="289" t="n"/>
      <c r="B667" s="290" t="n"/>
      <c r="C667" s="290" t="n"/>
      <c r="D667" s="289" t="n"/>
      <c r="E667" s="289" t="n"/>
      <c r="F667" s="291" t="n"/>
      <c r="G667" s="291" t="n"/>
      <c r="H667" s="291" t="n"/>
      <c r="I667" s="289" t="n"/>
      <c r="J667" s="203" t="n"/>
    </row>
    <row r="668" ht="13" customHeight="1" s="189">
      <c r="A668" s="289" t="n"/>
      <c r="B668" s="290" t="n"/>
      <c r="C668" s="290" t="n"/>
      <c r="D668" s="289" t="n"/>
      <c r="E668" s="289" t="n"/>
      <c r="F668" s="291" t="n"/>
      <c r="G668" s="291" t="n"/>
      <c r="H668" s="291" t="n"/>
      <c r="I668" s="289" t="n"/>
      <c r="J668" s="203" t="n"/>
    </row>
    <row r="669" ht="13" customHeight="1" s="189">
      <c r="A669" s="289" t="n"/>
      <c r="B669" s="290" t="n"/>
      <c r="C669" s="290" t="n"/>
      <c r="D669" s="289" t="n"/>
      <c r="E669" s="289" t="n"/>
      <c r="F669" s="291" t="n"/>
      <c r="G669" s="291" t="n"/>
      <c r="H669" s="291" t="n"/>
      <c r="I669" s="289" t="n"/>
      <c r="J669" s="203" t="n"/>
    </row>
    <row r="670" ht="13" customHeight="1" s="189">
      <c r="A670" s="289" t="n"/>
      <c r="B670" s="290" t="n"/>
      <c r="C670" s="290" t="n"/>
      <c r="D670" s="289" t="n"/>
      <c r="E670" s="289" t="n"/>
      <c r="F670" s="291" t="n"/>
      <c r="G670" s="291" t="n"/>
      <c r="H670" s="291" t="n"/>
      <c r="I670" s="289" t="n"/>
      <c r="J670" s="203" t="n"/>
    </row>
    <row r="671" ht="13" customHeight="1" s="189">
      <c r="A671" s="289" t="n"/>
      <c r="B671" s="290" t="n"/>
      <c r="C671" s="290" t="n"/>
      <c r="D671" s="289" t="n"/>
      <c r="E671" s="289" t="n"/>
      <c r="F671" s="291" t="n"/>
      <c r="G671" s="291" t="n"/>
      <c r="H671" s="291" t="n"/>
      <c r="I671" s="289" t="n"/>
      <c r="J671" s="203" t="n"/>
    </row>
    <row r="672" ht="13" customHeight="1" s="189">
      <c r="A672" s="289" t="n"/>
      <c r="B672" s="290" t="n"/>
      <c r="C672" s="290" t="n"/>
      <c r="D672" s="289" t="n"/>
      <c r="E672" s="289" t="n"/>
      <c r="F672" s="291" t="n"/>
      <c r="G672" s="291" t="n"/>
      <c r="H672" s="291" t="n"/>
      <c r="I672" s="289" t="n"/>
      <c r="J672" s="203" t="n"/>
    </row>
    <row r="673" ht="13" customHeight="1" s="189">
      <c r="A673" s="289" t="n"/>
      <c r="B673" s="290" t="n"/>
      <c r="C673" s="290" t="n"/>
      <c r="D673" s="289" t="n"/>
      <c r="E673" s="289" t="n"/>
      <c r="F673" s="291" t="n"/>
      <c r="G673" s="291" t="n"/>
      <c r="H673" s="291" t="n"/>
      <c r="I673" s="289" t="n"/>
      <c r="J673" s="203" t="n"/>
    </row>
    <row r="674" ht="13" customHeight="1" s="189">
      <c r="A674" s="289" t="n"/>
      <c r="B674" s="290" t="n"/>
      <c r="C674" s="290" t="n"/>
      <c r="D674" s="289" t="n"/>
      <c r="E674" s="289" t="n"/>
      <c r="F674" s="291" t="n"/>
      <c r="G674" s="291" t="n"/>
      <c r="H674" s="291" t="n"/>
      <c r="I674" s="289" t="n"/>
      <c r="J674" s="203" t="n"/>
    </row>
    <row r="675" ht="13" customHeight="1" s="189">
      <c r="A675" s="289" t="n"/>
      <c r="B675" s="290" t="n"/>
      <c r="C675" s="290" t="n"/>
      <c r="D675" s="289" t="n"/>
      <c r="E675" s="289" t="n"/>
      <c r="F675" s="291" t="n"/>
      <c r="G675" s="291" t="n"/>
      <c r="H675" s="291" t="n"/>
      <c r="I675" s="289" t="n"/>
      <c r="J675" s="203" t="n"/>
    </row>
    <row r="676" ht="13" customHeight="1" s="189">
      <c r="A676" s="289" t="n"/>
      <c r="B676" s="290" t="n"/>
      <c r="C676" s="290" t="n"/>
      <c r="D676" s="289" t="n"/>
      <c r="E676" s="289" t="n"/>
      <c r="F676" s="291" t="n"/>
      <c r="G676" s="291" t="n"/>
      <c r="H676" s="291" t="n"/>
      <c r="I676" s="289" t="n"/>
      <c r="J676" s="203" t="n"/>
    </row>
    <row r="677" ht="13" customHeight="1" s="189">
      <c r="A677" s="289" t="n"/>
      <c r="B677" s="290" t="n"/>
      <c r="C677" s="290" t="n"/>
      <c r="D677" s="289" t="n"/>
      <c r="E677" s="289" t="n"/>
      <c r="F677" s="291" t="n"/>
      <c r="G677" s="291" t="n"/>
      <c r="H677" s="291" t="n"/>
      <c r="I677" s="289" t="n"/>
      <c r="J677" s="203" t="n"/>
    </row>
    <row r="678" ht="13" customHeight="1" s="189">
      <c r="A678" s="289" t="n"/>
      <c r="B678" s="290" t="n"/>
      <c r="C678" s="290" t="n"/>
      <c r="D678" s="289" t="n"/>
      <c r="E678" s="289" t="n"/>
      <c r="F678" s="291" t="n"/>
      <c r="G678" s="291" t="n"/>
      <c r="H678" s="291" t="n"/>
      <c r="I678" s="289" t="n"/>
      <c r="J678" s="203" t="n"/>
    </row>
    <row r="679" ht="13" customHeight="1" s="189">
      <c r="A679" s="289" t="n"/>
      <c r="B679" s="290" t="n"/>
      <c r="C679" s="290" t="n"/>
      <c r="D679" s="289" t="n"/>
      <c r="E679" s="289" t="n"/>
      <c r="F679" s="291" t="n"/>
      <c r="G679" s="291" t="n"/>
      <c r="H679" s="291" t="n"/>
      <c r="I679" s="289" t="n"/>
      <c r="J679" s="203" t="n"/>
    </row>
    <row r="680" ht="13" customHeight="1" s="189">
      <c r="A680" s="289" t="n"/>
      <c r="B680" s="290" t="n"/>
      <c r="C680" s="290" t="n"/>
      <c r="D680" s="289" t="n"/>
      <c r="E680" s="289" t="n"/>
      <c r="F680" s="291" t="n"/>
      <c r="G680" s="291" t="n"/>
      <c r="H680" s="291" t="n"/>
      <c r="I680" s="289" t="n"/>
      <c r="J680" s="203" t="n"/>
    </row>
    <row r="681" ht="13" customHeight="1" s="189">
      <c r="A681" s="289" t="n"/>
      <c r="B681" s="290" t="n"/>
      <c r="C681" s="290" t="n"/>
      <c r="D681" s="289" t="n"/>
      <c r="E681" s="289" t="n"/>
      <c r="F681" s="291" t="n"/>
      <c r="G681" s="291" t="n"/>
      <c r="H681" s="291" t="n"/>
      <c r="I681" s="289" t="n"/>
      <c r="J681" s="203" t="n"/>
    </row>
    <row r="682" ht="13" customHeight="1" s="189">
      <c r="A682" s="289" t="n"/>
      <c r="B682" s="290" t="n"/>
      <c r="C682" s="290" t="n"/>
      <c r="D682" s="289" t="n"/>
      <c r="E682" s="289" t="n"/>
      <c r="F682" s="291" t="n"/>
      <c r="G682" s="291" t="n"/>
      <c r="H682" s="291" t="n"/>
      <c r="I682" s="289" t="n"/>
      <c r="J682" s="203" t="n"/>
    </row>
    <row r="683" ht="13" customHeight="1" s="189">
      <c r="A683" s="289" t="n"/>
      <c r="B683" s="290" t="n"/>
      <c r="C683" s="290" t="n"/>
      <c r="D683" s="289" t="n"/>
      <c r="E683" s="289" t="n"/>
      <c r="F683" s="291" t="n"/>
      <c r="G683" s="291" t="n"/>
      <c r="H683" s="291" t="n"/>
      <c r="I683" s="289" t="n"/>
      <c r="J683" s="203" t="n"/>
    </row>
    <row r="684" ht="13" customHeight="1" s="189">
      <c r="A684" s="289" t="n"/>
      <c r="B684" s="290" t="n"/>
      <c r="C684" s="290" t="n"/>
      <c r="D684" s="289" t="n"/>
      <c r="E684" s="289" t="n"/>
      <c r="F684" s="291" t="n"/>
      <c r="G684" s="291" t="n"/>
      <c r="H684" s="291" t="n"/>
      <c r="I684" s="289" t="n"/>
      <c r="J684" s="203" t="n"/>
    </row>
    <row r="685" ht="13" customHeight="1" s="189">
      <c r="A685" s="289" t="n"/>
      <c r="B685" s="290" t="n"/>
      <c r="C685" s="290" t="n"/>
      <c r="D685" s="289" t="n"/>
      <c r="E685" s="289" t="n"/>
      <c r="F685" s="291" t="n"/>
      <c r="G685" s="291" t="n"/>
      <c r="H685" s="291" t="n"/>
      <c r="I685" s="289" t="n"/>
      <c r="J685" s="203" t="n"/>
    </row>
    <row r="686" ht="13" customHeight="1" s="189">
      <c r="A686" s="289" t="n"/>
      <c r="B686" s="290" t="n"/>
      <c r="C686" s="290" t="n"/>
      <c r="D686" s="289" t="n"/>
      <c r="E686" s="289" t="n"/>
      <c r="F686" s="291" t="n"/>
      <c r="G686" s="291" t="n"/>
      <c r="H686" s="291" t="n"/>
      <c r="I686" s="289" t="n"/>
      <c r="J686" s="203" t="n"/>
    </row>
    <row r="687" ht="13" customHeight="1" s="189">
      <c r="A687" s="289" t="n"/>
      <c r="B687" s="290" t="n"/>
      <c r="C687" s="290" t="n"/>
      <c r="D687" s="289" t="n"/>
      <c r="E687" s="289" t="n"/>
      <c r="F687" s="291" t="n"/>
      <c r="G687" s="291" t="n"/>
      <c r="H687" s="291" t="n"/>
      <c r="I687" s="289" t="n"/>
      <c r="J687" s="203" t="n"/>
    </row>
    <row r="688" ht="13" customHeight="1" s="189">
      <c r="A688" s="289" t="n"/>
      <c r="B688" s="290" t="n"/>
      <c r="C688" s="290" t="n"/>
      <c r="D688" s="289" t="n"/>
      <c r="E688" s="289" t="n"/>
      <c r="F688" s="291" t="n"/>
      <c r="G688" s="291" t="n"/>
      <c r="H688" s="291" t="n"/>
      <c r="I688" s="289" t="n"/>
      <c r="J688" s="203" t="n"/>
    </row>
    <row r="689" ht="13" customHeight="1" s="189">
      <c r="A689" s="289" t="n"/>
      <c r="B689" s="290" t="n"/>
      <c r="C689" s="290" t="n"/>
      <c r="D689" s="289" t="n"/>
      <c r="E689" s="289" t="n"/>
      <c r="F689" s="291" t="n"/>
      <c r="G689" s="291" t="n"/>
      <c r="H689" s="291" t="n"/>
      <c r="I689" s="289" t="n"/>
      <c r="J689" s="203" t="n"/>
    </row>
    <row r="690" ht="13" customHeight="1" s="189">
      <c r="A690" s="289" t="n"/>
      <c r="B690" s="290" t="n"/>
      <c r="C690" s="290" t="n"/>
      <c r="D690" s="289" t="n"/>
      <c r="E690" s="289" t="n"/>
      <c r="F690" s="291" t="n"/>
      <c r="G690" s="291" t="n"/>
      <c r="H690" s="291" t="n"/>
      <c r="I690" s="289" t="n"/>
      <c r="J690" s="203" t="n"/>
    </row>
    <row r="691" ht="13" customHeight="1" s="189">
      <c r="A691" s="289" t="n"/>
      <c r="B691" s="290" t="n"/>
      <c r="C691" s="290" t="n"/>
      <c r="D691" s="289" t="n"/>
      <c r="E691" s="289" t="n"/>
      <c r="F691" s="291" t="n"/>
      <c r="G691" s="291" t="n"/>
      <c r="H691" s="291" t="n"/>
      <c r="I691" s="289" t="n"/>
      <c r="J691" s="203" t="n"/>
    </row>
    <row r="692" ht="13" customHeight="1" s="189">
      <c r="A692" s="289" t="n"/>
      <c r="B692" s="290" t="n"/>
      <c r="C692" s="290" t="n"/>
      <c r="D692" s="289" t="n"/>
      <c r="E692" s="289" t="n"/>
      <c r="F692" s="291" t="n"/>
      <c r="G692" s="291" t="n"/>
      <c r="H692" s="291" t="n"/>
      <c r="I692" s="289" t="n"/>
      <c r="J692" s="203" t="n"/>
    </row>
    <row r="693" ht="13" customHeight="1" s="189">
      <c r="A693" s="289" t="n"/>
      <c r="B693" s="290" t="n"/>
      <c r="C693" s="290" t="n"/>
      <c r="D693" s="289" t="n"/>
      <c r="E693" s="289" t="n"/>
      <c r="F693" s="291" t="n"/>
      <c r="G693" s="291" t="n"/>
      <c r="H693" s="291" t="n"/>
      <c r="I693" s="289" t="n"/>
      <c r="J693" s="203" t="n"/>
    </row>
    <row r="694" ht="13" customHeight="1" s="189">
      <c r="A694" s="289" t="n"/>
      <c r="B694" s="290" t="n"/>
      <c r="C694" s="290" t="n"/>
      <c r="D694" s="289" t="n"/>
      <c r="E694" s="289" t="n"/>
      <c r="F694" s="291" t="n"/>
      <c r="G694" s="291" t="n"/>
      <c r="H694" s="291" t="n"/>
      <c r="I694" s="289" t="n"/>
      <c r="J694" s="203" t="n"/>
    </row>
    <row r="695" ht="13" customHeight="1" s="189">
      <c r="A695" s="289" t="n"/>
      <c r="B695" s="290" t="n"/>
      <c r="C695" s="290" t="n"/>
      <c r="D695" s="289" t="n"/>
      <c r="E695" s="289" t="n"/>
      <c r="F695" s="291" t="n"/>
      <c r="G695" s="291" t="n"/>
      <c r="H695" s="291" t="n"/>
      <c r="I695" s="289" t="n"/>
      <c r="J695" s="203" t="n"/>
    </row>
    <row r="696" ht="13" customHeight="1" s="189">
      <c r="A696" s="289" t="n"/>
      <c r="B696" s="290" t="n"/>
      <c r="C696" s="290" t="n"/>
      <c r="D696" s="289" t="n"/>
      <c r="E696" s="289" t="n"/>
      <c r="F696" s="291" t="n"/>
      <c r="G696" s="291" t="n"/>
      <c r="H696" s="291" t="n"/>
      <c r="I696" s="289" t="n"/>
      <c r="J696" s="203" t="n"/>
    </row>
    <row r="697" ht="13" customHeight="1" s="189">
      <c r="A697" s="289" t="n"/>
      <c r="B697" s="290" t="n"/>
      <c r="C697" s="290" t="n"/>
      <c r="D697" s="289" t="n"/>
      <c r="E697" s="289" t="n"/>
      <c r="F697" s="291" t="n"/>
      <c r="G697" s="291" t="n"/>
      <c r="H697" s="291" t="n"/>
      <c r="I697" s="289" t="n"/>
      <c r="J697" s="203" t="n"/>
    </row>
    <row r="698" ht="13" customHeight="1" s="189">
      <c r="A698" s="289" t="n"/>
      <c r="B698" s="290" t="n"/>
      <c r="C698" s="290" t="n"/>
      <c r="D698" s="289" t="n"/>
      <c r="E698" s="289" t="n"/>
      <c r="F698" s="291" t="n"/>
      <c r="G698" s="291" t="n"/>
      <c r="H698" s="291" t="n"/>
      <c r="I698" s="289" t="n"/>
      <c r="J698" s="203" t="n"/>
    </row>
    <row r="699" ht="13" customHeight="1" s="189">
      <c r="A699" s="289" t="n"/>
      <c r="B699" s="290" t="n"/>
      <c r="C699" s="290" t="n"/>
      <c r="D699" s="289" t="n"/>
      <c r="E699" s="289" t="n"/>
      <c r="F699" s="291" t="n"/>
      <c r="G699" s="291" t="n"/>
      <c r="H699" s="291" t="n"/>
      <c r="I699" s="289" t="n"/>
      <c r="J699" s="203" t="n"/>
    </row>
    <row r="700" ht="13" customHeight="1" s="189">
      <c r="A700" s="289" t="n"/>
      <c r="B700" s="290" t="n"/>
      <c r="C700" s="290" t="n"/>
      <c r="D700" s="289" t="n"/>
      <c r="E700" s="289" t="n"/>
      <c r="F700" s="291" t="n"/>
      <c r="G700" s="291" t="n"/>
      <c r="H700" s="291" t="n"/>
      <c r="I700" s="289" t="n"/>
      <c r="J700" s="203" t="n"/>
    </row>
    <row r="701" ht="13" customHeight="1" s="189">
      <c r="A701" s="289" t="n"/>
      <c r="B701" s="290" t="n"/>
      <c r="C701" s="290" t="n"/>
      <c r="D701" s="289" t="n"/>
      <c r="E701" s="289" t="n"/>
      <c r="F701" s="291" t="n"/>
      <c r="G701" s="291" t="n"/>
      <c r="H701" s="291" t="n"/>
      <c r="I701" s="289" t="n"/>
      <c r="J701" s="203" t="n"/>
    </row>
    <row r="702" ht="13" customHeight="1" s="189">
      <c r="A702" s="289" t="n"/>
      <c r="B702" s="290" t="n"/>
      <c r="C702" s="290" t="n"/>
      <c r="D702" s="289" t="n"/>
      <c r="E702" s="289" t="n"/>
      <c r="F702" s="291" t="n"/>
      <c r="G702" s="291" t="n"/>
      <c r="H702" s="291" t="n"/>
      <c r="I702" s="289" t="n"/>
      <c r="J702" s="203" t="n"/>
    </row>
    <row r="703" ht="13" customHeight="1" s="189">
      <c r="A703" s="289" t="n"/>
      <c r="B703" s="290" t="n"/>
      <c r="C703" s="290" t="n"/>
      <c r="D703" s="289" t="n"/>
      <c r="E703" s="289" t="n"/>
      <c r="F703" s="291" t="n"/>
      <c r="G703" s="291" t="n"/>
      <c r="H703" s="291" t="n"/>
      <c r="I703" s="289" t="n"/>
      <c r="J703" s="203" t="n"/>
    </row>
    <row r="704" ht="13" customHeight="1" s="189">
      <c r="A704" s="289" t="n"/>
      <c r="B704" s="290" t="n"/>
      <c r="C704" s="290" t="n"/>
      <c r="D704" s="289" t="n"/>
      <c r="E704" s="289" t="n"/>
      <c r="F704" s="291" t="n"/>
      <c r="G704" s="291" t="n"/>
      <c r="H704" s="291" t="n"/>
      <c r="I704" s="289" t="n"/>
      <c r="J704" s="203" t="n"/>
    </row>
    <row r="705" ht="13" customHeight="1" s="189">
      <c r="A705" s="289" t="n"/>
      <c r="B705" s="290" t="n"/>
      <c r="C705" s="290" t="n"/>
      <c r="D705" s="289" t="n"/>
      <c r="E705" s="289" t="n"/>
      <c r="F705" s="291" t="n"/>
      <c r="G705" s="291" t="n"/>
      <c r="H705" s="291" t="n"/>
      <c r="I705" s="289" t="n"/>
      <c r="J705" s="203" t="n"/>
    </row>
    <row r="706" ht="13" customHeight="1" s="189">
      <c r="A706" s="289" t="n"/>
      <c r="B706" s="290" t="n"/>
      <c r="C706" s="290" t="n"/>
      <c r="D706" s="289" t="n"/>
      <c r="E706" s="289" t="n"/>
      <c r="F706" s="291" t="n"/>
      <c r="G706" s="291" t="n"/>
      <c r="H706" s="291" t="n"/>
      <c r="I706" s="289" t="n"/>
      <c r="J706" s="203" t="n"/>
    </row>
    <row r="707" ht="13" customHeight="1" s="189">
      <c r="A707" s="289" t="n"/>
      <c r="B707" s="290" t="n"/>
      <c r="C707" s="290" t="n"/>
      <c r="D707" s="289" t="n"/>
      <c r="E707" s="289" t="n"/>
      <c r="F707" s="291" t="n"/>
      <c r="G707" s="291" t="n"/>
      <c r="H707" s="291" t="n"/>
      <c r="I707" s="289" t="n"/>
      <c r="J707" s="203" t="n"/>
    </row>
    <row r="708" ht="13" customHeight="1" s="189">
      <c r="A708" s="289" t="n"/>
      <c r="B708" s="290" t="n"/>
      <c r="C708" s="290" t="n"/>
      <c r="D708" s="289" t="n"/>
      <c r="E708" s="289" t="n"/>
      <c r="F708" s="291" t="n"/>
      <c r="G708" s="291" t="n"/>
      <c r="H708" s="291" t="n"/>
      <c r="I708" s="289" t="n"/>
      <c r="J708" s="203" t="n"/>
    </row>
    <row r="709" ht="13" customHeight="1" s="189">
      <c r="A709" s="289" t="n"/>
      <c r="B709" s="290" t="n"/>
      <c r="C709" s="290" t="n"/>
      <c r="D709" s="289" t="n"/>
      <c r="E709" s="289" t="n"/>
      <c r="F709" s="291" t="n"/>
      <c r="G709" s="291" t="n"/>
      <c r="H709" s="291" t="n"/>
      <c r="I709" s="289" t="n"/>
      <c r="J709" s="203" t="n"/>
    </row>
    <row r="710" ht="13" customHeight="1" s="189">
      <c r="A710" s="289" t="n"/>
      <c r="B710" s="290" t="n"/>
      <c r="C710" s="290" t="n"/>
      <c r="D710" s="289" t="n"/>
      <c r="E710" s="289" t="n"/>
      <c r="F710" s="291" t="n"/>
      <c r="G710" s="291" t="n"/>
      <c r="H710" s="291" t="n"/>
      <c r="I710" s="289" t="n"/>
      <c r="J710" s="203" t="n"/>
    </row>
    <row r="711" ht="13" customHeight="1" s="189">
      <c r="A711" s="289" t="n"/>
      <c r="B711" s="290" t="n"/>
      <c r="C711" s="290" t="n"/>
      <c r="D711" s="289" t="n"/>
      <c r="E711" s="289" t="n"/>
      <c r="F711" s="291" t="n"/>
      <c r="G711" s="291" t="n"/>
      <c r="H711" s="291" t="n"/>
      <c r="I711" s="289" t="n"/>
      <c r="J711" s="203" t="n"/>
    </row>
    <row r="712" ht="13" customHeight="1" s="189">
      <c r="A712" s="289" t="n"/>
      <c r="B712" s="290" t="n"/>
      <c r="C712" s="290" t="n"/>
      <c r="D712" s="289" t="n"/>
      <c r="E712" s="289" t="n"/>
      <c r="F712" s="291" t="n"/>
      <c r="G712" s="291" t="n"/>
      <c r="H712" s="291" t="n"/>
      <c r="I712" s="289" t="n"/>
      <c r="J712" s="203" t="n"/>
    </row>
    <row r="713" ht="13" customHeight="1" s="189">
      <c r="A713" s="289" t="n"/>
      <c r="B713" s="290" t="n"/>
      <c r="C713" s="290" t="n"/>
      <c r="D713" s="289" t="n"/>
      <c r="E713" s="289" t="n"/>
      <c r="F713" s="291" t="n"/>
      <c r="G713" s="291" t="n"/>
      <c r="H713" s="291" t="n"/>
      <c r="I713" s="289" t="n"/>
      <c r="J713" s="203" t="n"/>
    </row>
    <row r="714" ht="13" customHeight="1" s="189">
      <c r="A714" s="289" t="n"/>
      <c r="B714" s="290" t="n"/>
      <c r="C714" s="290" t="n"/>
      <c r="D714" s="289" t="n"/>
      <c r="E714" s="289" t="n"/>
      <c r="F714" s="291" t="n"/>
      <c r="G714" s="291" t="n"/>
      <c r="H714" s="291" t="n"/>
      <c r="I714" s="289" t="n"/>
      <c r="J714" s="203" t="n"/>
    </row>
    <row r="715" ht="13" customHeight="1" s="189">
      <c r="A715" s="289" t="n"/>
      <c r="B715" s="290" t="n"/>
      <c r="C715" s="290" t="n"/>
      <c r="D715" s="289" t="n"/>
      <c r="E715" s="289" t="n"/>
      <c r="F715" s="291" t="n"/>
      <c r="G715" s="291" t="n"/>
      <c r="H715" s="291" t="n"/>
      <c r="I715" s="289" t="n"/>
      <c r="J715" s="203" t="n"/>
    </row>
    <row r="716" ht="13" customHeight="1" s="189">
      <c r="A716" s="289" t="n"/>
      <c r="B716" s="290" t="n"/>
      <c r="C716" s="290" t="n"/>
      <c r="D716" s="289" t="n"/>
      <c r="E716" s="289" t="n"/>
      <c r="F716" s="291" t="n"/>
      <c r="G716" s="291" t="n"/>
      <c r="H716" s="291" t="n"/>
      <c r="I716" s="289" t="n"/>
      <c r="J716" s="203" t="n"/>
    </row>
    <row r="717" ht="13" customHeight="1" s="189">
      <c r="A717" s="289" t="n"/>
      <c r="B717" s="290" t="n"/>
      <c r="C717" s="290" t="n"/>
      <c r="D717" s="289" t="n"/>
      <c r="E717" s="289" t="n"/>
      <c r="F717" s="291" t="n"/>
      <c r="G717" s="291" t="n"/>
      <c r="H717" s="291" t="n"/>
      <c r="I717" s="289" t="n"/>
      <c r="J717" s="203" t="n"/>
    </row>
    <row r="718" ht="13" customHeight="1" s="189">
      <c r="A718" s="289" t="n"/>
      <c r="B718" s="290" t="n"/>
      <c r="C718" s="290" t="n"/>
      <c r="D718" s="289" t="n"/>
      <c r="E718" s="289" t="n"/>
      <c r="F718" s="291" t="n"/>
      <c r="G718" s="291" t="n"/>
      <c r="H718" s="291" t="n"/>
      <c r="I718" s="289" t="n"/>
      <c r="J718" s="203" t="n"/>
    </row>
    <row r="719" ht="13" customHeight="1" s="189">
      <c r="A719" s="289" t="n"/>
      <c r="B719" s="290" t="n"/>
      <c r="C719" s="290" t="n"/>
      <c r="D719" s="289" t="n"/>
      <c r="E719" s="289" t="n"/>
      <c r="F719" s="291" t="n"/>
      <c r="G719" s="291" t="n"/>
      <c r="H719" s="291" t="n"/>
      <c r="I719" s="289" t="n"/>
      <c r="J719" s="203" t="n"/>
    </row>
    <row r="720" ht="13" customHeight="1" s="189">
      <c r="A720" s="289" t="n"/>
      <c r="B720" s="290" t="n"/>
      <c r="C720" s="290" t="n"/>
      <c r="D720" s="289" t="n"/>
      <c r="E720" s="289" t="n"/>
      <c r="F720" s="291" t="n"/>
      <c r="G720" s="291" t="n"/>
      <c r="H720" s="291" t="n"/>
      <c r="I720" s="289" t="n"/>
      <c r="J720" s="203" t="n"/>
    </row>
    <row r="721" ht="13" customHeight="1" s="189">
      <c r="A721" s="289" t="n"/>
      <c r="B721" s="290" t="n"/>
      <c r="C721" s="290" t="n"/>
      <c r="D721" s="289" t="n"/>
      <c r="E721" s="289" t="n"/>
      <c r="F721" s="291" t="n"/>
      <c r="G721" s="291" t="n"/>
      <c r="H721" s="291" t="n"/>
      <c r="I721" s="289" t="n"/>
      <c r="J721" s="203" t="n"/>
    </row>
    <row r="722" ht="13" customHeight="1" s="189">
      <c r="A722" s="289" t="n"/>
      <c r="B722" s="290" t="n"/>
      <c r="C722" s="290" t="n"/>
      <c r="D722" s="289" t="n"/>
      <c r="E722" s="289" t="n"/>
      <c r="F722" s="291" t="n"/>
      <c r="G722" s="291" t="n"/>
      <c r="H722" s="291" t="n"/>
      <c r="I722" s="289" t="n"/>
      <c r="J722" s="203" t="n"/>
    </row>
    <row r="723" ht="13" customHeight="1" s="189">
      <c r="A723" s="289" t="n"/>
      <c r="B723" s="290" t="n"/>
      <c r="C723" s="290" t="n"/>
      <c r="D723" s="289" t="n"/>
      <c r="E723" s="289" t="n"/>
      <c r="F723" s="291" t="n"/>
      <c r="G723" s="291" t="n"/>
      <c r="H723" s="291" t="n"/>
      <c r="I723" s="289" t="n"/>
      <c r="J723" s="203" t="n"/>
    </row>
    <row r="724" ht="13" customHeight="1" s="189">
      <c r="A724" s="289" t="n"/>
      <c r="B724" s="290" t="n"/>
      <c r="C724" s="290" t="n"/>
      <c r="D724" s="289" t="n"/>
      <c r="E724" s="289" t="n"/>
      <c r="F724" s="291" t="n"/>
      <c r="G724" s="291" t="n"/>
      <c r="H724" s="291" t="n"/>
      <c r="I724" s="289" t="n"/>
      <c r="J724" s="203" t="n"/>
    </row>
    <row r="725" ht="13" customHeight="1" s="189">
      <c r="A725" s="289" t="n"/>
      <c r="B725" s="290" t="n"/>
      <c r="C725" s="290" t="n"/>
      <c r="D725" s="289" t="n"/>
      <c r="E725" s="289" t="n"/>
      <c r="F725" s="291" t="n"/>
      <c r="G725" s="291" t="n"/>
      <c r="H725" s="291" t="n"/>
      <c r="I725" s="289" t="n"/>
      <c r="J725" s="203" t="n"/>
    </row>
    <row r="726" ht="13" customHeight="1" s="189">
      <c r="A726" s="289" t="n"/>
      <c r="B726" s="290" t="n"/>
      <c r="C726" s="290" t="n"/>
      <c r="D726" s="289" t="n"/>
      <c r="E726" s="289" t="n"/>
      <c r="F726" s="291" t="n"/>
      <c r="G726" s="291" t="n"/>
      <c r="H726" s="291" t="n"/>
      <c r="I726" s="289" t="n"/>
      <c r="J726" s="203" t="n"/>
    </row>
    <row r="727" ht="13" customHeight="1" s="189">
      <c r="A727" s="289" t="n"/>
      <c r="B727" s="290" t="n"/>
      <c r="C727" s="290" t="n"/>
      <c r="D727" s="289" t="n"/>
      <c r="E727" s="289" t="n"/>
      <c r="F727" s="291" t="n"/>
      <c r="G727" s="291" t="n"/>
      <c r="H727" s="291" t="n"/>
      <c r="I727" s="289" t="n"/>
      <c r="J727" s="203" t="n"/>
    </row>
    <row r="728" ht="13" customHeight="1" s="189">
      <c r="A728" s="289" t="n"/>
      <c r="B728" s="290" t="n"/>
      <c r="C728" s="290" t="n"/>
      <c r="D728" s="289" t="n"/>
      <c r="E728" s="289" t="n"/>
      <c r="F728" s="291" t="n"/>
      <c r="G728" s="291" t="n"/>
      <c r="H728" s="291" t="n"/>
      <c r="I728" s="289" t="n"/>
      <c r="J728" s="203" t="n"/>
    </row>
    <row r="729" ht="13" customHeight="1" s="189">
      <c r="A729" s="289" t="n"/>
      <c r="B729" s="290" t="n"/>
      <c r="C729" s="290" t="n"/>
      <c r="D729" s="289" t="n"/>
      <c r="E729" s="289" t="n"/>
      <c r="F729" s="291" t="n"/>
      <c r="G729" s="291" t="n"/>
      <c r="H729" s="291" t="n"/>
      <c r="I729" s="289" t="n"/>
      <c r="J729" s="203" t="n"/>
    </row>
    <row r="730" ht="13" customHeight="1" s="189">
      <c r="A730" s="289" t="n"/>
      <c r="B730" s="290" t="n"/>
      <c r="C730" s="290" t="n"/>
      <c r="D730" s="289" t="n"/>
      <c r="E730" s="289" t="n"/>
      <c r="F730" s="291" t="n"/>
      <c r="G730" s="291" t="n"/>
      <c r="H730" s="291" t="n"/>
      <c r="I730" s="289" t="n"/>
      <c r="J730" s="203" t="n"/>
    </row>
    <row r="731" ht="13" customHeight="1" s="189">
      <c r="A731" s="289" t="n"/>
      <c r="B731" s="290" t="n"/>
      <c r="C731" s="290" t="n"/>
      <c r="D731" s="289" t="n"/>
      <c r="E731" s="289" t="n"/>
      <c r="F731" s="291" t="n"/>
      <c r="G731" s="291" t="n"/>
      <c r="H731" s="291" t="n"/>
      <c r="I731" s="289" t="n"/>
      <c r="J731" s="203" t="n"/>
    </row>
    <row r="732" ht="13" customHeight="1" s="189">
      <c r="A732" s="289" t="n"/>
      <c r="B732" s="290" t="n"/>
      <c r="C732" s="290" t="n"/>
      <c r="D732" s="289" t="n"/>
      <c r="E732" s="289" t="n"/>
      <c r="F732" s="291" t="n"/>
      <c r="G732" s="291" t="n"/>
      <c r="H732" s="291" t="n"/>
      <c r="I732" s="289" t="n"/>
      <c r="J732" s="203" t="n"/>
    </row>
    <row r="733" ht="13" customHeight="1" s="189">
      <c r="A733" s="289" t="n"/>
      <c r="B733" s="290" t="n"/>
      <c r="C733" s="290" t="n"/>
      <c r="D733" s="289" t="n"/>
      <c r="E733" s="289" t="n"/>
      <c r="F733" s="291" t="n"/>
      <c r="G733" s="291" t="n"/>
      <c r="H733" s="291" t="n"/>
      <c r="I733" s="289" t="n"/>
      <c r="J733" s="203" t="n"/>
    </row>
    <row r="734" ht="13" customHeight="1" s="189">
      <c r="A734" s="289" t="n"/>
      <c r="B734" s="290" t="n"/>
      <c r="C734" s="290" t="n"/>
      <c r="D734" s="289" t="n"/>
      <c r="E734" s="289" t="n"/>
      <c r="F734" s="291" t="n"/>
      <c r="G734" s="291" t="n"/>
      <c r="H734" s="291" t="n"/>
      <c r="I734" s="289" t="n"/>
      <c r="J734" s="203" t="n"/>
    </row>
    <row r="735" ht="13" customHeight="1" s="189">
      <c r="A735" s="289" t="n"/>
      <c r="B735" s="290" t="n"/>
      <c r="C735" s="290" t="n"/>
      <c r="D735" s="289" t="n"/>
      <c r="E735" s="289" t="n"/>
      <c r="F735" s="291" t="n"/>
      <c r="G735" s="291" t="n"/>
      <c r="H735" s="291" t="n"/>
      <c r="I735" s="289" t="n"/>
      <c r="J735" s="203" t="n"/>
    </row>
    <row r="736" ht="13" customHeight="1" s="189">
      <c r="A736" s="289" t="n"/>
      <c r="B736" s="290" t="n"/>
      <c r="C736" s="290" t="n"/>
      <c r="D736" s="289" t="n"/>
      <c r="E736" s="289" t="n"/>
      <c r="F736" s="291" t="n"/>
      <c r="G736" s="291" t="n"/>
      <c r="H736" s="291" t="n"/>
      <c r="I736" s="289" t="n"/>
      <c r="J736" s="203" t="n"/>
    </row>
    <row r="737" ht="13" customHeight="1" s="189">
      <c r="A737" s="289" t="n"/>
      <c r="B737" s="290" t="n"/>
      <c r="C737" s="290" t="n"/>
      <c r="D737" s="289" t="n"/>
      <c r="E737" s="289" t="n"/>
      <c r="F737" s="291" t="n"/>
      <c r="G737" s="291" t="n"/>
      <c r="H737" s="291" t="n"/>
      <c r="I737" s="289" t="n"/>
      <c r="J737" s="203" t="n"/>
    </row>
    <row r="738" ht="13" customHeight="1" s="189">
      <c r="A738" s="289" t="n"/>
      <c r="B738" s="290" t="n"/>
      <c r="C738" s="290" t="n"/>
      <c r="D738" s="289" t="n"/>
      <c r="E738" s="289" t="n"/>
      <c r="F738" s="291" t="n"/>
      <c r="G738" s="291" t="n"/>
      <c r="H738" s="291" t="n"/>
      <c r="I738" s="289" t="n"/>
      <c r="J738" s="203" t="n"/>
    </row>
    <row r="739" ht="13" customHeight="1" s="189">
      <c r="A739" s="289" t="n"/>
      <c r="B739" s="290" t="n"/>
      <c r="C739" s="290" t="n"/>
      <c r="D739" s="289" t="n"/>
      <c r="E739" s="289" t="n"/>
      <c r="F739" s="291" t="n"/>
      <c r="G739" s="291" t="n"/>
      <c r="H739" s="291" t="n"/>
      <c r="I739" s="289" t="n"/>
      <c r="J739" s="203" t="n"/>
    </row>
    <row r="740" ht="13" customHeight="1" s="189">
      <c r="A740" s="289" t="n"/>
      <c r="B740" s="290" t="n"/>
      <c r="C740" s="290" t="n"/>
      <c r="D740" s="289" t="n"/>
      <c r="E740" s="289" t="n"/>
      <c r="F740" s="291" t="n"/>
      <c r="G740" s="291" t="n"/>
      <c r="H740" s="291" t="n"/>
      <c r="I740" s="289" t="n"/>
      <c r="J740" s="203" t="n"/>
    </row>
    <row r="741" ht="13" customHeight="1" s="189">
      <c r="A741" s="289" t="n"/>
      <c r="B741" s="290" t="n"/>
      <c r="C741" s="290" t="n"/>
      <c r="D741" s="289" t="n"/>
      <c r="E741" s="289" t="n"/>
      <c r="F741" s="291" t="n"/>
      <c r="G741" s="291" t="n"/>
      <c r="H741" s="291" t="n"/>
      <c r="I741" s="289" t="n"/>
      <c r="J741" s="203" t="n"/>
    </row>
    <row r="742" ht="13" customHeight="1" s="189">
      <c r="A742" s="289" t="n"/>
      <c r="B742" s="290" t="n"/>
      <c r="C742" s="290" t="n"/>
      <c r="D742" s="289" t="n"/>
      <c r="E742" s="289" t="n"/>
      <c r="F742" s="291" t="n"/>
      <c r="G742" s="291" t="n"/>
      <c r="H742" s="291" t="n"/>
      <c r="I742" s="289" t="n"/>
      <c r="J742" s="203" t="n"/>
    </row>
    <row r="743" ht="13" customHeight="1" s="189">
      <c r="A743" s="289" t="n"/>
      <c r="B743" s="290" t="n"/>
      <c r="C743" s="290" t="n"/>
      <c r="D743" s="289" t="n"/>
      <c r="E743" s="289" t="n"/>
      <c r="F743" s="291" t="n"/>
      <c r="G743" s="291" t="n"/>
      <c r="H743" s="291" t="n"/>
      <c r="I743" s="289" t="n"/>
      <c r="J743" s="203" t="n"/>
    </row>
    <row r="744" ht="13" customHeight="1" s="189">
      <c r="A744" s="289" t="n"/>
      <c r="B744" s="290" t="n"/>
      <c r="C744" s="290" t="n"/>
      <c r="D744" s="289" t="n"/>
      <c r="E744" s="289" t="n"/>
      <c r="F744" s="291" t="n"/>
      <c r="G744" s="291" t="n"/>
      <c r="H744" s="291" t="n"/>
      <c r="I744" s="289" t="n"/>
      <c r="J744" s="203" t="n"/>
    </row>
    <row r="745" ht="13" customHeight="1" s="189">
      <c r="A745" s="289" t="n"/>
      <c r="B745" s="290" t="n"/>
      <c r="C745" s="290" t="n"/>
      <c r="D745" s="289" t="n"/>
      <c r="E745" s="289" t="n"/>
      <c r="F745" s="291" t="n"/>
      <c r="G745" s="291" t="n"/>
      <c r="H745" s="291" t="n"/>
      <c r="I745" s="289" t="n"/>
      <c r="J745" s="203" t="n"/>
    </row>
    <row r="746" ht="13" customHeight="1" s="189">
      <c r="A746" s="289" t="n"/>
      <c r="B746" s="290" t="n"/>
      <c r="C746" s="290" t="n"/>
      <c r="D746" s="289" t="n"/>
      <c r="E746" s="289" t="n"/>
      <c r="F746" s="291" t="n"/>
      <c r="G746" s="291" t="n"/>
      <c r="H746" s="291" t="n"/>
      <c r="I746" s="289" t="n"/>
      <c r="J746" s="203" t="n"/>
    </row>
    <row r="747" ht="13" customHeight="1" s="189">
      <c r="A747" s="289" t="n"/>
      <c r="B747" s="290" t="n"/>
      <c r="C747" s="290" t="n"/>
      <c r="D747" s="289" t="n"/>
      <c r="E747" s="289" t="n"/>
      <c r="F747" s="291" t="n"/>
      <c r="G747" s="291" t="n"/>
      <c r="H747" s="291" t="n"/>
      <c r="I747" s="289" t="n"/>
      <c r="J747" s="203" t="n"/>
    </row>
    <row r="748" ht="13" customHeight="1" s="189">
      <c r="A748" s="289" t="n"/>
      <c r="B748" s="290" t="n"/>
      <c r="C748" s="290" t="n"/>
      <c r="D748" s="289" t="n"/>
      <c r="E748" s="289" t="n"/>
      <c r="F748" s="291" t="n"/>
      <c r="G748" s="291" t="n"/>
      <c r="H748" s="291" t="n"/>
      <c r="I748" s="289" t="n"/>
      <c r="J748" s="203" t="n"/>
    </row>
    <row r="749" ht="13" customHeight="1" s="189">
      <c r="A749" s="289" t="n"/>
      <c r="B749" s="290" t="n"/>
      <c r="C749" s="290" t="n"/>
      <c r="D749" s="289" t="n"/>
      <c r="E749" s="289" t="n"/>
      <c r="F749" s="291" t="n"/>
      <c r="G749" s="291" t="n"/>
      <c r="H749" s="291" t="n"/>
      <c r="I749" s="289" t="n"/>
      <c r="J749" s="203" t="n"/>
    </row>
    <row r="750" ht="13" customHeight="1" s="189">
      <c r="A750" s="289" t="n"/>
      <c r="B750" s="290" t="n"/>
      <c r="C750" s="290" t="n"/>
      <c r="D750" s="289" t="n"/>
      <c r="E750" s="289" t="n"/>
      <c r="F750" s="291" t="n"/>
      <c r="G750" s="291" t="n"/>
      <c r="H750" s="291" t="n"/>
      <c r="I750" s="289" t="n"/>
      <c r="J750" s="203" t="n"/>
    </row>
    <row r="751" ht="13" customHeight="1" s="189">
      <c r="A751" s="289" t="n"/>
      <c r="B751" s="290" t="n"/>
      <c r="C751" s="290" t="n"/>
      <c r="D751" s="289" t="n"/>
      <c r="E751" s="289" t="n"/>
      <c r="F751" s="291" t="n"/>
      <c r="G751" s="291" t="n"/>
      <c r="H751" s="291" t="n"/>
      <c r="I751" s="289" t="n"/>
      <c r="J751" s="203" t="n"/>
    </row>
    <row r="752" ht="13" customHeight="1" s="189">
      <c r="A752" s="289" t="n"/>
      <c r="B752" s="290" t="n"/>
      <c r="C752" s="290" t="n"/>
      <c r="D752" s="289" t="n"/>
      <c r="E752" s="289" t="n"/>
      <c r="F752" s="291" t="n"/>
      <c r="G752" s="291" t="n"/>
      <c r="H752" s="291" t="n"/>
      <c r="I752" s="289" t="n"/>
      <c r="J752" s="203" t="n"/>
    </row>
    <row r="753" ht="13" customHeight="1" s="189">
      <c r="A753" s="289" t="n"/>
      <c r="B753" s="290" t="n"/>
      <c r="C753" s="290" t="n"/>
      <c r="D753" s="289" t="n"/>
      <c r="E753" s="289" t="n"/>
      <c r="F753" s="291" t="n"/>
      <c r="G753" s="291" t="n"/>
      <c r="H753" s="291" t="n"/>
      <c r="I753" s="289" t="n"/>
      <c r="J753" s="203" t="n"/>
    </row>
    <row r="754" ht="13" customHeight="1" s="189">
      <c r="A754" s="289" t="n"/>
      <c r="B754" s="290" t="n"/>
      <c r="C754" s="290" t="n"/>
      <c r="D754" s="289" t="n"/>
      <c r="E754" s="289" t="n"/>
      <c r="F754" s="291" t="n"/>
      <c r="G754" s="291" t="n"/>
      <c r="H754" s="291" t="n"/>
      <c r="I754" s="289" t="n"/>
      <c r="J754" s="203" t="n"/>
    </row>
    <row r="755" ht="13" customHeight="1" s="189">
      <c r="A755" s="289" t="n"/>
      <c r="B755" s="290" t="n"/>
      <c r="C755" s="290" t="n"/>
      <c r="D755" s="289" t="n"/>
      <c r="E755" s="289" t="n"/>
      <c r="F755" s="291" t="n"/>
      <c r="G755" s="291" t="n"/>
      <c r="H755" s="291" t="n"/>
      <c r="I755" s="289" t="n"/>
      <c r="J755" s="203" t="n"/>
    </row>
    <row r="756" ht="13" customHeight="1" s="189">
      <c r="A756" s="289" t="n"/>
      <c r="B756" s="290" t="n"/>
      <c r="C756" s="290" t="n"/>
      <c r="D756" s="289" t="n"/>
      <c r="E756" s="289" t="n"/>
      <c r="F756" s="291" t="n"/>
      <c r="G756" s="291" t="n"/>
      <c r="H756" s="291" t="n"/>
      <c r="I756" s="289" t="n"/>
      <c r="J756" s="203" t="n"/>
    </row>
    <row r="757" ht="13" customHeight="1" s="189">
      <c r="A757" s="289" t="n"/>
      <c r="B757" s="290" t="n"/>
      <c r="C757" s="290" t="n"/>
      <c r="D757" s="289" t="n"/>
      <c r="E757" s="289" t="n"/>
      <c r="F757" s="291" t="n"/>
      <c r="G757" s="291" t="n"/>
      <c r="H757" s="291" t="n"/>
      <c r="I757" s="289" t="n"/>
      <c r="J757" s="203" t="n"/>
    </row>
    <row r="758" ht="13" customHeight="1" s="189">
      <c r="A758" s="289" t="n"/>
      <c r="B758" s="290" t="n"/>
      <c r="C758" s="290" t="n"/>
      <c r="D758" s="289" t="n"/>
      <c r="E758" s="289" t="n"/>
      <c r="F758" s="291" t="n"/>
      <c r="G758" s="291" t="n"/>
      <c r="H758" s="291" t="n"/>
      <c r="I758" s="289" t="n"/>
      <c r="J758" s="203" t="n"/>
    </row>
    <row r="759" ht="13" customHeight="1" s="189">
      <c r="A759" s="289" t="n"/>
      <c r="B759" s="290" t="n"/>
      <c r="C759" s="290" t="n"/>
      <c r="D759" s="289" t="n"/>
      <c r="E759" s="289" t="n"/>
      <c r="F759" s="291" t="n"/>
      <c r="G759" s="291" t="n"/>
      <c r="H759" s="291" t="n"/>
      <c r="I759" s="289" t="n"/>
      <c r="J759" s="203" t="n"/>
    </row>
    <row r="760" ht="13" customHeight="1" s="189">
      <c r="A760" s="289" t="n"/>
      <c r="B760" s="290" t="n"/>
      <c r="C760" s="290" t="n"/>
      <c r="D760" s="289" t="n"/>
      <c r="E760" s="289" t="n"/>
      <c r="F760" s="291" t="n"/>
      <c r="G760" s="291" t="n"/>
      <c r="H760" s="291" t="n"/>
      <c r="I760" s="289" t="n"/>
      <c r="J760" s="203" t="n"/>
    </row>
    <row r="761" ht="13" customHeight="1" s="189">
      <c r="A761" s="289" t="n"/>
      <c r="B761" s="290" t="n"/>
      <c r="C761" s="290" t="n"/>
      <c r="D761" s="289" t="n"/>
      <c r="E761" s="289" t="n"/>
      <c r="F761" s="291" t="n"/>
      <c r="G761" s="291" t="n"/>
      <c r="H761" s="291" t="n"/>
      <c r="I761" s="289" t="n"/>
      <c r="J761" s="203" t="n"/>
    </row>
    <row r="762" ht="13" customHeight="1" s="189">
      <c r="A762" s="289" t="n"/>
      <c r="B762" s="290" t="n"/>
      <c r="C762" s="290" t="n"/>
      <c r="D762" s="289" t="n"/>
      <c r="E762" s="289" t="n"/>
      <c r="F762" s="291" t="n"/>
      <c r="G762" s="291" t="n"/>
      <c r="H762" s="291" t="n"/>
      <c r="I762" s="289" t="n"/>
      <c r="J762" s="203" t="n"/>
    </row>
    <row r="763" ht="13" customHeight="1" s="189">
      <c r="A763" s="289" t="n"/>
      <c r="B763" s="290" t="n"/>
      <c r="C763" s="290" t="n"/>
      <c r="D763" s="289" t="n"/>
      <c r="E763" s="289" t="n"/>
      <c r="F763" s="291" t="n"/>
      <c r="G763" s="291" t="n"/>
      <c r="H763" s="291" t="n"/>
      <c r="I763" s="289" t="n"/>
      <c r="J763" s="203" t="n"/>
    </row>
    <row r="764" ht="13" customHeight="1" s="189">
      <c r="A764" s="289" t="n"/>
      <c r="B764" s="290" t="n"/>
      <c r="C764" s="290" t="n"/>
      <c r="D764" s="289" t="n"/>
      <c r="E764" s="289" t="n"/>
      <c r="F764" s="291" t="n"/>
      <c r="G764" s="291" t="n"/>
      <c r="H764" s="291" t="n"/>
      <c r="I764" s="289" t="n"/>
      <c r="J764" s="203" t="n"/>
    </row>
    <row r="765" ht="13" customHeight="1" s="189">
      <c r="A765" s="289" t="n"/>
      <c r="B765" s="290" t="n"/>
      <c r="C765" s="290" t="n"/>
      <c r="D765" s="289" t="n"/>
      <c r="E765" s="289" t="n"/>
      <c r="F765" s="291" t="n"/>
      <c r="G765" s="291" t="n"/>
      <c r="H765" s="291" t="n"/>
      <c r="I765" s="289" t="n"/>
      <c r="J765" s="203" t="n"/>
    </row>
    <row r="766" ht="13" customHeight="1" s="189">
      <c r="A766" s="289" t="n"/>
      <c r="B766" s="290" t="n"/>
      <c r="C766" s="290" t="n"/>
      <c r="D766" s="289" t="n"/>
      <c r="E766" s="289" t="n"/>
      <c r="F766" s="291" t="n"/>
      <c r="G766" s="291" t="n"/>
      <c r="H766" s="291" t="n"/>
      <c r="I766" s="289" t="n"/>
      <c r="J766" s="203" t="n"/>
    </row>
    <row r="767" ht="13" customHeight="1" s="189">
      <c r="A767" s="289" t="n"/>
      <c r="B767" s="290" t="n"/>
      <c r="C767" s="290" t="n"/>
      <c r="D767" s="289" t="n"/>
      <c r="E767" s="289" t="n"/>
      <c r="F767" s="291" t="n"/>
      <c r="G767" s="291" t="n"/>
      <c r="H767" s="291" t="n"/>
      <c r="I767" s="289" t="n"/>
      <c r="J767" s="203" t="n"/>
    </row>
    <row r="768" ht="13" customHeight="1" s="189">
      <c r="A768" s="289" t="n"/>
      <c r="B768" s="290" t="n"/>
      <c r="C768" s="290" t="n"/>
      <c r="D768" s="289" t="n"/>
      <c r="E768" s="289" t="n"/>
      <c r="F768" s="291" t="n"/>
      <c r="G768" s="291" t="n"/>
      <c r="H768" s="291" t="n"/>
      <c r="I768" s="289" t="n"/>
      <c r="J768" s="203" t="n"/>
    </row>
    <row r="769" ht="13" customHeight="1" s="189">
      <c r="A769" s="289" t="n"/>
      <c r="B769" s="290" t="n"/>
      <c r="C769" s="290" t="n"/>
      <c r="D769" s="289" t="n"/>
      <c r="E769" s="289" t="n"/>
      <c r="F769" s="291" t="n"/>
      <c r="G769" s="291" t="n"/>
      <c r="H769" s="291" t="n"/>
      <c r="I769" s="289" t="n"/>
      <c r="J769" s="203" t="n"/>
    </row>
    <row r="770" ht="13" customHeight="1" s="189">
      <c r="A770" s="289" t="n"/>
      <c r="B770" s="290" t="n"/>
      <c r="C770" s="290" t="n"/>
      <c r="D770" s="289" t="n"/>
      <c r="E770" s="289" t="n"/>
      <c r="F770" s="291" t="n"/>
      <c r="G770" s="291" t="n"/>
      <c r="H770" s="291" t="n"/>
      <c r="I770" s="289" t="n"/>
      <c r="J770" s="203" t="n"/>
    </row>
    <row r="771" ht="13" customHeight="1" s="189">
      <c r="A771" s="289" t="n"/>
      <c r="B771" s="290" t="n"/>
      <c r="C771" s="290" t="n"/>
      <c r="D771" s="289" t="n"/>
      <c r="E771" s="289" t="n"/>
      <c r="F771" s="291" t="n"/>
      <c r="G771" s="291" t="n"/>
      <c r="H771" s="291" t="n"/>
      <c r="I771" s="289" t="n"/>
      <c r="J771" s="203" t="n"/>
    </row>
    <row r="772" ht="13" customHeight="1" s="189">
      <c r="A772" s="289" t="n"/>
      <c r="B772" s="290" t="n"/>
      <c r="C772" s="290" t="n"/>
      <c r="D772" s="289" t="n"/>
      <c r="E772" s="289" t="n"/>
      <c r="F772" s="291" t="n"/>
      <c r="G772" s="291" t="n"/>
      <c r="H772" s="291" t="n"/>
      <c r="I772" s="289" t="n"/>
      <c r="J772" s="203" t="n"/>
    </row>
    <row r="773" ht="13" customHeight="1" s="189">
      <c r="A773" s="289" t="n"/>
      <c r="B773" s="290" t="n"/>
      <c r="C773" s="290" t="n"/>
      <c r="D773" s="289" t="n"/>
      <c r="E773" s="289" t="n"/>
      <c r="F773" s="291" t="n"/>
      <c r="G773" s="291" t="n"/>
      <c r="H773" s="291" t="n"/>
      <c r="I773" s="289" t="n"/>
      <c r="J773" s="203" t="n"/>
    </row>
    <row r="774" ht="13" customHeight="1" s="189">
      <c r="A774" s="289" t="n"/>
      <c r="B774" s="290" t="n"/>
      <c r="C774" s="290" t="n"/>
      <c r="D774" s="289" t="n"/>
      <c r="E774" s="289" t="n"/>
      <c r="F774" s="291" t="n"/>
      <c r="G774" s="291" t="n"/>
      <c r="H774" s="291" t="n"/>
      <c r="I774" s="289" t="n"/>
      <c r="J774" s="203" t="n"/>
    </row>
    <row r="775" ht="13" customHeight="1" s="189">
      <c r="A775" s="289" t="n"/>
      <c r="B775" s="290" t="n"/>
      <c r="C775" s="290" t="n"/>
      <c r="D775" s="289" t="n"/>
      <c r="E775" s="289" t="n"/>
      <c r="F775" s="291" t="n"/>
      <c r="G775" s="291" t="n"/>
      <c r="H775" s="291" t="n"/>
      <c r="I775" s="289" t="n"/>
      <c r="J775" s="203" t="n"/>
    </row>
    <row r="776" ht="13" customHeight="1" s="189">
      <c r="A776" s="289" t="n"/>
      <c r="B776" s="290" t="n"/>
      <c r="C776" s="290" t="n"/>
      <c r="D776" s="289" t="n"/>
      <c r="E776" s="289" t="n"/>
      <c r="F776" s="291" t="n"/>
      <c r="G776" s="291" t="n"/>
      <c r="H776" s="291" t="n"/>
      <c r="I776" s="289" t="n"/>
      <c r="J776" s="203" t="n"/>
    </row>
    <row r="777" ht="13" customHeight="1" s="189">
      <c r="A777" s="289" t="n"/>
      <c r="B777" s="290" t="n"/>
      <c r="C777" s="290" t="n"/>
      <c r="D777" s="289" t="n"/>
      <c r="E777" s="289" t="n"/>
      <c r="F777" s="291" t="n"/>
      <c r="G777" s="291" t="n"/>
      <c r="H777" s="291" t="n"/>
      <c r="I777" s="289" t="n"/>
      <c r="J777" s="203" t="n"/>
    </row>
    <row r="778" ht="13" customHeight="1" s="189">
      <c r="A778" s="289" t="n"/>
      <c r="B778" s="290" t="n"/>
      <c r="C778" s="290" t="n"/>
      <c r="D778" s="289" t="n"/>
      <c r="E778" s="289" t="n"/>
      <c r="F778" s="291" t="n"/>
      <c r="G778" s="291" t="n"/>
      <c r="H778" s="291" t="n"/>
      <c r="I778" s="289" t="n"/>
      <c r="J778" s="203" t="n"/>
    </row>
    <row r="779" ht="13" customHeight="1" s="189">
      <c r="A779" s="289" t="n"/>
      <c r="B779" s="290" t="n"/>
      <c r="C779" s="290" t="n"/>
      <c r="D779" s="289" t="n"/>
      <c r="E779" s="289" t="n"/>
      <c r="F779" s="291" t="n"/>
      <c r="G779" s="291" t="n"/>
      <c r="H779" s="291" t="n"/>
      <c r="I779" s="289" t="n"/>
      <c r="J779" s="203" t="n"/>
    </row>
    <row r="780" ht="13" customHeight="1" s="189">
      <c r="A780" s="289" t="n"/>
      <c r="B780" s="290" t="n"/>
      <c r="C780" s="290" t="n"/>
      <c r="D780" s="289" t="n"/>
      <c r="E780" s="289" t="n"/>
      <c r="F780" s="291" t="n"/>
      <c r="G780" s="291" t="n"/>
      <c r="H780" s="291" t="n"/>
      <c r="I780" s="289" t="n"/>
      <c r="J780" s="203" t="n"/>
    </row>
    <row r="781" ht="13" customHeight="1" s="189">
      <c r="A781" s="289" t="n"/>
      <c r="B781" s="290" t="n"/>
      <c r="C781" s="290" t="n"/>
      <c r="D781" s="289" t="n"/>
      <c r="E781" s="289" t="n"/>
      <c r="F781" s="291" t="n"/>
      <c r="G781" s="291" t="n"/>
      <c r="H781" s="291" t="n"/>
      <c r="I781" s="289" t="n"/>
      <c r="J781" s="203" t="n"/>
    </row>
    <row r="782" ht="13" customHeight="1" s="189">
      <c r="A782" s="289" t="n"/>
      <c r="B782" s="290" t="n"/>
      <c r="C782" s="290" t="n"/>
      <c r="D782" s="289" t="n"/>
      <c r="E782" s="289" t="n"/>
      <c r="F782" s="291" t="n"/>
      <c r="G782" s="291" t="n"/>
      <c r="H782" s="291" t="n"/>
      <c r="I782" s="289" t="n"/>
      <c r="J782" s="203" t="n"/>
    </row>
    <row r="783" ht="13" customHeight="1" s="189">
      <c r="A783" s="289" t="n"/>
      <c r="B783" s="290" t="n"/>
      <c r="C783" s="290" t="n"/>
      <c r="D783" s="289" t="n"/>
      <c r="E783" s="289" t="n"/>
      <c r="F783" s="291" t="n"/>
      <c r="G783" s="291" t="n"/>
      <c r="H783" s="291" t="n"/>
      <c r="I783" s="289" t="n"/>
      <c r="J783" s="203" t="n"/>
    </row>
    <row r="784" ht="13" customHeight="1" s="189">
      <c r="A784" s="289" t="n"/>
      <c r="B784" s="290" t="n"/>
      <c r="C784" s="290" t="n"/>
      <c r="D784" s="289" t="n"/>
      <c r="E784" s="289" t="n"/>
      <c r="F784" s="291" t="n"/>
      <c r="G784" s="291" t="n"/>
      <c r="H784" s="291" t="n"/>
      <c r="I784" s="289" t="n"/>
      <c r="J784" s="203" t="n"/>
    </row>
    <row r="785" ht="13" customHeight="1" s="189">
      <c r="A785" s="289" t="n"/>
      <c r="B785" s="290" t="n"/>
      <c r="C785" s="290" t="n"/>
      <c r="D785" s="289" t="n"/>
      <c r="E785" s="289" t="n"/>
      <c r="F785" s="291" t="n"/>
      <c r="G785" s="291" t="n"/>
      <c r="H785" s="291" t="n"/>
      <c r="I785" s="289" t="n"/>
      <c r="J785" s="203" t="n"/>
    </row>
    <row r="786" ht="13" customHeight="1" s="189">
      <c r="A786" s="289" t="n"/>
      <c r="B786" s="290" t="n"/>
      <c r="C786" s="290" t="n"/>
      <c r="D786" s="289" t="n"/>
      <c r="E786" s="289" t="n"/>
      <c r="F786" s="291" t="n"/>
      <c r="G786" s="291" t="n"/>
      <c r="H786" s="291" t="n"/>
      <c r="I786" s="289" t="n"/>
      <c r="J786" s="203" t="n"/>
    </row>
    <row r="787" ht="13" customHeight="1" s="189">
      <c r="A787" s="289" t="n"/>
      <c r="B787" s="290" t="n"/>
      <c r="C787" s="290" t="n"/>
      <c r="D787" s="289" t="n"/>
      <c r="E787" s="289" t="n"/>
      <c r="F787" s="291" t="n"/>
      <c r="G787" s="291" t="n"/>
      <c r="H787" s="291" t="n"/>
      <c r="I787" s="289" t="n"/>
      <c r="J787" s="203" t="n"/>
    </row>
    <row r="788" ht="13" customHeight="1" s="189">
      <c r="A788" s="289" t="n"/>
      <c r="B788" s="290" t="n"/>
      <c r="C788" s="290" t="n"/>
      <c r="D788" s="289" t="n"/>
      <c r="E788" s="289" t="n"/>
      <c r="F788" s="291" t="n"/>
      <c r="G788" s="291" t="n"/>
      <c r="H788" s="291" t="n"/>
      <c r="I788" s="289" t="n"/>
      <c r="J788" s="203" t="n"/>
    </row>
    <row r="789" ht="13" customHeight="1" s="189">
      <c r="A789" s="289" t="n"/>
      <c r="B789" s="290" t="n"/>
      <c r="C789" s="290" t="n"/>
      <c r="D789" s="289" t="n"/>
      <c r="E789" s="289" t="n"/>
      <c r="F789" s="291" t="n"/>
      <c r="G789" s="291" t="n"/>
      <c r="H789" s="291" t="n"/>
      <c r="I789" s="289" t="n"/>
      <c r="J789" s="203" t="n"/>
    </row>
    <row r="790" ht="13" customHeight="1" s="189">
      <c r="A790" s="289" t="n"/>
      <c r="B790" s="290" t="n"/>
      <c r="C790" s="290" t="n"/>
      <c r="D790" s="289" t="n"/>
      <c r="E790" s="289" t="n"/>
      <c r="F790" s="291" t="n"/>
      <c r="G790" s="291" t="n"/>
      <c r="H790" s="291" t="n"/>
      <c r="I790" s="289" t="n"/>
      <c r="J790" s="203" t="n"/>
    </row>
    <row r="791" ht="13" customHeight="1" s="189">
      <c r="A791" s="289" t="n"/>
      <c r="B791" s="290" t="n"/>
      <c r="C791" s="290" t="n"/>
      <c r="D791" s="289" t="n"/>
      <c r="E791" s="289" t="n"/>
      <c r="F791" s="291" t="n"/>
      <c r="G791" s="291" t="n"/>
      <c r="H791" s="291" t="n"/>
      <c r="I791" s="289" t="n"/>
      <c r="J791" s="203" t="n"/>
    </row>
    <row r="792" ht="13" customHeight="1" s="189">
      <c r="A792" s="289" t="n"/>
      <c r="B792" s="290" t="n"/>
      <c r="C792" s="290" t="n"/>
      <c r="D792" s="289" t="n"/>
      <c r="E792" s="289" t="n"/>
      <c r="F792" s="291" t="n"/>
      <c r="G792" s="291" t="n"/>
      <c r="H792" s="291" t="n"/>
      <c r="I792" s="289" t="n"/>
      <c r="J792" s="203" t="n"/>
    </row>
    <row r="793" ht="13" customHeight="1" s="189">
      <c r="A793" s="289" t="n"/>
      <c r="B793" s="290" t="n"/>
      <c r="C793" s="290" t="n"/>
      <c r="D793" s="289" t="n"/>
      <c r="E793" s="289" t="n"/>
      <c r="F793" s="291" t="n"/>
      <c r="G793" s="291" t="n"/>
      <c r="H793" s="291" t="n"/>
      <c r="I793" s="289" t="n"/>
      <c r="J793" s="203" t="n"/>
    </row>
    <row r="794" ht="13" customHeight="1" s="189">
      <c r="A794" s="289" t="n"/>
      <c r="B794" s="290" t="n"/>
      <c r="C794" s="290" t="n"/>
      <c r="D794" s="289" t="n"/>
      <c r="E794" s="289" t="n"/>
      <c r="F794" s="291" t="n"/>
      <c r="G794" s="291" t="n"/>
      <c r="H794" s="291" t="n"/>
      <c r="I794" s="289" t="n"/>
      <c r="J794" s="203" t="n"/>
    </row>
    <row r="795" ht="13" customHeight="1" s="189">
      <c r="A795" s="289" t="n"/>
      <c r="B795" s="290" t="n"/>
      <c r="C795" s="290" t="n"/>
      <c r="D795" s="289" t="n"/>
      <c r="E795" s="289" t="n"/>
      <c r="F795" s="291" t="n"/>
      <c r="G795" s="291" t="n"/>
      <c r="H795" s="291" t="n"/>
      <c r="I795" s="289" t="n"/>
      <c r="J795" s="203" t="n"/>
    </row>
    <row r="796" ht="13" customHeight="1" s="189">
      <c r="A796" s="289" t="n"/>
      <c r="B796" s="290" t="n"/>
      <c r="C796" s="290" t="n"/>
      <c r="D796" s="289" t="n"/>
      <c r="E796" s="289" t="n"/>
      <c r="F796" s="291" t="n"/>
      <c r="G796" s="291" t="n"/>
      <c r="H796" s="291" t="n"/>
      <c r="I796" s="289" t="n"/>
      <c r="J796" s="203" t="n"/>
    </row>
    <row r="797" ht="13" customHeight="1" s="189">
      <c r="A797" s="289" t="n"/>
      <c r="B797" s="290" t="n"/>
      <c r="C797" s="290" t="n"/>
      <c r="D797" s="289" t="n"/>
      <c r="E797" s="289" t="n"/>
      <c r="F797" s="291" t="n"/>
      <c r="G797" s="291" t="n"/>
      <c r="H797" s="291" t="n"/>
      <c r="I797" s="289" t="n"/>
      <c r="J797" s="203" t="n"/>
    </row>
    <row r="798" ht="13" customHeight="1" s="189">
      <c r="A798" s="289" t="n"/>
      <c r="B798" s="290" t="n"/>
      <c r="C798" s="290" t="n"/>
      <c r="D798" s="289" t="n"/>
      <c r="E798" s="289" t="n"/>
      <c r="F798" s="291" t="n"/>
      <c r="G798" s="291" t="n"/>
      <c r="H798" s="291" t="n"/>
      <c r="I798" s="289" t="n"/>
      <c r="J798" s="203" t="n"/>
    </row>
    <row r="799" ht="13" customHeight="1" s="189">
      <c r="A799" s="289" t="n"/>
      <c r="B799" s="290" t="n"/>
      <c r="C799" s="290" t="n"/>
      <c r="D799" s="289" t="n"/>
      <c r="E799" s="289" t="n"/>
      <c r="F799" s="291" t="n"/>
      <c r="G799" s="291" t="n"/>
      <c r="H799" s="291" t="n"/>
      <c r="I799" s="289" t="n"/>
      <c r="J799" s="203" t="n"/>
    </row>
    <row r="800" ht="13" customHeight="1" s="189">
      <c r="A800" s="289" t="n"/>
      <c r="B800" s="290" t="n"/>
      <c r="C800" s="290" t="n"/>
      <c r="D800" s="289" t="n"/>
      <c r="E800" s="289" t="n"/>
      <c r="F800" s="291" t="n"/>
      <c r="G800" s="291" t="n"/>
      <c r="H800" s="291" t="n"/>
      <c r="I800" s="289" t="n"/>
      <c r="J800" s="203" t="n"/>
    </row>
    <row r="801" ht="13" customHeight="1" s="189">
      <c r="A801" s="289" t="n"/>
      <c r="B801" s="290" t="n"/>
      <c r="C801" s="290" t="n"/>
      <c r="D801" s="289" t="n"/>
      <c r="E801" s="289" t="n"/>
      <c r="F801" s="291" t="n"/>
      <c r="G801" s="291" t="n"/>
      <c r="H801" s="291" t="n"/>
      <c r="I801" s="289" t="n"/>
      <c r="J801" s="203" t="n"/>
    </row>
    <row r="802" ht="13" customHeight="1" s="189">
      <c r="A802" s="289" t="n"/>
      <c r="B802" s="290" t="n"/>
      <c r="C802" s="290" t="n"/>
      <c r="D802" s="289" t="n"/>
      <c r="E802" s="289" t="n"/>
      <c r="F802" s="291" t="n"/>
      <c r="G802" s="291" t="n"/>
      <c r="H802" s="291" t="n"/>
      <c r="I802" s="289" t="n"/>
      <c r="J802" s="203" t="n"/>
    </row>
    <row r="803" ht="13" customHeight="1" s="189">
      <c r="A803" s="289" t="n"/>
      <c r="B803" s="290" t="n"/>
      <c r="C803" s="290" t="n"/>
      <c r="D803" s="289" t="n"/>
      <c r="E803" s="289" t="n"/>
      <c r="F803" s="291" t="n"/>
      <c r="G803" s="291" t="n"/>
      <c r="H803" s="291" t="n"/>
      <c r="I803" s="289" t="n"/>
      <c r="J803" s="203" t="n"/>
    </row>
    <row r="804" ht="13" customHeight="1" s="189">
      <c r="A804" s="289" t="n"/>
      <c r="B804" s="290" t="n"/>
      <c r="C804" s="290" t="n"/>
      <c r="D804" s="289" t="n"/>
      <c r="E804" s="289" t="n"/>
      <c r="F804" s="291" t="n"/>
      <c r="G804" s="291" t="n"/>
      <c r="H804" s="291" t="n"/>
      <c r="I804" s="289" t="n"/>
      <c r="J804" s="203" t="n"/>
    </row>
    <row r="805" ht="13" customHeight="1" s="189">
      <c r="A805" s="289" t="n"/>
      <c r="B805" s="290" t="n"/>
      <c r="C805" s="290" t="n"/>
      <c r="D805" s="289" t="n"/>
      <c r="E805" s="289" t="n"/>
      <c r="F805" s="291" t="n"/>
      <c r="G805" s="291" t="n"/>
      <c r="H805" s="291" t="n"/>
      <c r="I805" s="289" t="n"/>
      <c r="J805" s="203" t="n"/>
    </row>
    <row r="806" ht="13" customHeight="1" s="189">
      <c r="A806" s="289" t="n"/>
      <c r="B806" s="290" t="n"/>
      <c r="C806" s="290" t="n"/>
      <c r="D806" s="289" t="n"/>
      <c r="E806" s="289" t="n"/>
      <c r="F806" s="291" t="n"/>
      <c r="G806" s="291" t="n"/>
      <c r="H806" s="291" t="n"/>
      <c r="I806" s="289" t="n"/>
      <c r="J806" s="203" t="n"/>
    </row>
    <row r="807" ht="13" customHeight="1" s="189">
      <c r="A807" s="289" t="n"/>
      <c r="B807" s="290" t="n"/>
      <c r="C807" s="290" t="n"/>
      <c r="D807" s="289" t="n"/>
      <c r="E807" s="289" t="n"/>
      <c r="F807" s="291" t="n"/>
      <c r="G807" s="291" t="n"/>
      <c r="H807" s="291" t="n"/>
      <c r="I807" s="289" t="n"/>
      <c r="J807" s="203" t="n"/>
    </row>
    <row r="808" ht="13" customHeight="1" s="189">
      <c r="A808" s="289" t="n"/>
      <c r="B808" s="290" t="n"/>
      <c r="C808" s="290" t="n"/>
      <c r="D808" s="289" t="n"/>
      <c r="E808" s="289" t="n"/>
      <c r="F808" s="291" t="n"/>
      <c r="G808" s="291" t="n"/>
      <c r="H808" s="291" t="n"/>
      <c r="I808" s="289" t="n"/>
      <c r="J808" s="203" t="n"/>
    </row>
    <row r="809" ht="13" customHeight="1" s="189">
      <c r="A809" s="289" t="n"/>
      <c r="B809" s="290" t="n"/>
      <c r="C809" s="290" t="n"/>
      <c r="D809" s="289" t="n"/>
      <c r="E809" s="289" t="n"/>
      <c r="F809" s="291" t="n"/>
      <c r="G809" s="291" t="n"/>
      <c r="H809" s="291" t="n"/>
      <c r="I809" s="289" t="n"/>
      <c r="J809" s="203" t="n"/>
    </row>
    <row r="810" ht="13" customHeight="1" s="189">
      <c r="A810" s="289" t="n"/>
      <c r="B810" s="290" t="n"/>
      <c r="C810" s="290" t="n"/>
      <c r="D810" s="289" t="n"/>
      <c r="E810" s="289" t="n"/>
      <c r="F810" s="291" t="n"/>
      <c r="G810" s="291" t="n"/>
      <c r="H810" s="291" t="n"/>
      <c r="I810" s="289" t="n"/>
      <c r="J810" s="203" t="n"/>
    </row>
    <row r="811" ht="13" customHeight="1" s="189">
      <c r="A811" s="289" t="n"/>
      <c r="B811" s="290" t="n"/>
      <c r="C811" s="290" t="n"/>
      <c r="D811" s="289" t="n"/>
      <c r="E811" s="289" t="n"/>
      <c r="F811" s="291" t="n"/>
      <c r="G811" s="291" t="n"/>
      <c r="H811" s="291" t="n"/>
      <c r="I811" s="289" t="n"/>
      <c r="J811" s="203" t="n"/>
    </row>
    <row r="812" ht="13" customHeight="1" s="189">
      <c r="A812" s="289" t="n"/>
      <c r="B812" s="290" t="n"/>
      <c r="C812" s="290" t="n"/>
      <c r="D812" s="289" t="n"/>
      <c r="E812" s="289" t="n"/>
      <c r="F812" s="291" t="n"/>
      <c r="G812" s="291" t="n"/>
      <c r="H812" s="291" t="n"/>
      <c r="I812" s="289" t="n"/>
      <c r="J812" s="203" t="n"/>
    </row>
    <row r="813" ht="13" customHeight="1" s="189">
      <c r="A813" s="289" t="n"/>
      <c r="B813" s="290" t="n"/>
      <c r="C813" s="290" t="n"/>
      <c r="D813" s="289" t="n"/>
      <c r="E813" s="289" t="n"/>
      <c r="F813" s="291" t="n"/>
      <c r="G813" s="291" t="n"/>
      <c r="H813" s="291" t="n"/>
      <c r="I813" s="289" t="n"/>
      <c r="J813" s="203" t="n"/>
    </row>
    <row r="814" ht="13" customHeight="1" s="189">
      <c r="A814" s="289" t="n"/>
      <c r="B814" s="290" t="n"/>
      <c r="C814" s="290" t="n"/>
      <c r="D814" s="289" t="n"/>
      <c r="E814" s="289" t="n"/>
      <c r="F814" s="291" t="n"/>
      <c r="G814" s="291" t="n"/>
      <c r="H814" s="291" t="n"/>
      <c r="I814" s="289" t="n"/>
      <c r="J814" s="203" t="n"/>
    </row>
    <row r="815" ht="13" customHeight="1" s="189">
      <c r="A815" s="289" t="n"/>
      <c r="B815" s="290" t="n"/>
      <c r="C815" s="290" t="n"/>
      <c r="D815" s="289" t="n"/>
      <c r="E815" s="289" t="n"/>
      <c r="F815" s="291" t="n"/>
      <c r="G815" s="291" t="n"/>
      <c r="H815" s="291" t="n"/>
      <c r="I815" s="289" t="n"/>
      <c r="J815" s="203" t="n"/>
    </row>
    <row r="816" ht="13" customHeight="1" s="189">
      <c r="A816" s="289" t="n"/>
      <c r="B816" s="290" t="n"/>
      <c r="C816" s="290" t="n"/>
      <c r="D816" s="289" t="n"/>
      <c r="E816" s="289" t="n"/>
      <c r="F816" s="291" t="n"/>
      <c r="G816" s="291" t="n"/>
      <c r="H816" s="291" t="n"/>
      <c r="I816" s="289" t="n"/>
      <c r="J816" s="203" t="n"/>
    </row>
    <row r="817" ht="13" customHeight="1" s="189">
      <c r="A817" s="289" t="n"/>
      <c r="B817" s="290" t="n"/>
      <c r="C817" s="290" t="n"/>
      <c r="D817" s="289" t="n"/>
      <c r="E817" s="289" t="n"/>
      <c r="F817" s="291" t="n"/>
      <c r="G817" s="291" t="n"/>
      <c r="H817" s="291" t="n"/>
      <c r="I817" s="289" t="n"/>
      <c r="J817" s="203" t="n"/>
    </row>
    <row r="818" ht="13" customHeight="1" s="189">
      <c r="A818" s="289" t="n"/>
      <c r="B818" s="290" t="n"/>
      <c r="C818" s="290" t="n"/>
      <c r="D818" s="289" t="n"/>
      <c r="E818" s="289" t="n"/>
      <c r="F818" s="291" t="n"/>
      <c r="G818" s="291" t="n"/>
      <c r="H818" s="291" t="n"/>
      <c r="I818" s="289" t="n"/>
      <c r="J818" s="203" t="n"/>
    </row>
    <row r="819" ht="13" customHeight="1" s="189">
      <c r="A819" s="289" t="n"/>
      <c r="B819" s="290" t="n"/>
      <c r="C819" s="290" t="n"/>
      <c r="D819" s="289" t="n"/>
      <c r="E819" s="289" t="n"/>
      <c r="F819" s="291" t="n"/>
      <c r="G819" s="291" t="n"/>
      <c r="H819" s="291" t="n"/>
      <c r="I819" s="289" t="n"/>
      <c r="J819" s="203" t="n"/>
    </row>
    <row r="820" ht="13" customHeight="1" s="189">
      <c r="A820" s="289" t="n"/>
      <c r="B820" s="290" t="n"/>
      <c r="C820" s="290" t="n"/>
      <c r="D820" s="289" t="n"/>
      <c r="E820" s="289" t="n"/>
      <c r="F820" s="291" t="n"/>
      <c r="G820" s="291" t="n"/>
      <c r="H820" s="291" t="n"/>
      <c r="I820" s="289" t="n"/>
      <c r="J820" s="203" t="n"/>
    </row>
    <row r="821" ht="13" customHeight="1" s="189">
      <c r="A821" s="289" t="n"/>
      <c r="B821" s="290" t="n"/>
      <c r="C821" s="290" t="n"/>
      <c r="D821" s="289" t="n"/>
      <c r="E821" s="289" t="n"/>
      <c r="F821" s="291" t="n"/>
      <c r="G821" s="291" t="n"/>
      <c r="H821" s="291" t="n"/>
      <c r="I821" s="289" t="n"/>
      <c r="J821" s="203" t="n"/>
    </row>
    <row r="822" ht="13" customHeight="1" s="189">
      <c r="A822" s="289" t="n"/>
      <c r="B822" s="290" t="n"/>
      <c r="C822" s="290" t="n"/>
      <c r="D822" s="289" t="n"/>
      <c r="E822" s="289" t="n"/>
      <c r="F822" s="291" t="n"/>
      <c r="G822" s="291" t="n"/>
      <c r="H822" s="291" t="n"/>
      <c r="I822" s="289" t="n"/>
      <c r="J822" s="203" t="n"/>
    </row>
    <row r="823" ht="13" customHeight="1" s="189">
      <c r="A823" s="289" t="n"/>
      <c r="B823" s="290" t="n"/>
      <c r="C823" s="290" t="n"/>
      <c r="D823" s="289" t="n"/>
      <c r="E823" s="289" t="n"/>
      <c r="F823" s="291" t="n"/>
      <c r="G823" s="291" t="n"/>
      <c r="H823" s="291" t="n"/>
      <c r="I823" s="289" t="n"/>
      <c r="J823" s="203" t="n"/>
    </row>
    <row r="824" ht="13" customHeight="1" s="189">
      <c r="A824" s="289" t="n"/>
      <c r="B824" s="290" t="n"/>
      <c r="C824" s="290" t="n"/>
      <c r="D824" s="289" t="n"/>
      <c r="E824" s="289" t="n"/>
      <c r="F824" s="291" t="n"/>
      <c r="G824" s="291" t="n"/>
      <c r="H824" s="291" t="n"/>
      <c r="I824" s="289" t="n"/>
      <c r="J824" s="203" t="n"/>
    </row>
    <row r="825" ht="13" customHeight="1" s="189">
      <c r="A825" s="289" t="n"/>
      <c r="B825" s="290" t="n"/>
      <c r="C825" s="290" t="n"/>
      <c r="D825" s="289" t="n"/>
      <c r="E825" s="289" t="n"/>
      <c r="F825" s="291" t="n"/>
      <c r="G825" s="291" t="n"/>
      <c r="H825" s="291" t="n"/>
      <c r="I825" s="289" t="n"/>
      <c r="J825" s="203" t="n"/>
    </row>
    <row r="826" ht="13" customHeight="1" s="189">
      <c r="A826" s="289" t="n"/>
      <c r="B826" s="290" t="n"/>
      <c r="C826" s="290" t="n"/>
      <c r="D826" s="289" t="n"/>
      <c r="E826" s="289" t="n"/>
      <c r="F826" s="291" t="n"/>
      <c r="G826" s="291" t="n"/>
      <c r="H826" s="291" t="n"/>
      <c r="I826" s="289" t="n"/>
      <c r="J826" s="203" t="n"/>
    </row>
    <row r="827" ht="13" customHeight="1" s="189">
      <c r="A827" s="289" t="n"/>
      <c r="B827" s="290" t="n"/>
      <c r="C827" s="290" t="n"/>
      <c r="D827" s="289" t="n"/>
      <c r="E827" s="289" t="n"/>
      <c r="F827" s="291" t="n"/>
      <c r="G827" s="291" t="n"/>
      <c r="H827" s="291" t="n"/>
      <c r="I827" s="289" t="n"/>
      <c r="J827" s="203" t="n"/>
    </row>
    <row r="828" ht="13" customHeight="1" s="189">
      <c r="A828" s="289" t="n"/>
      <c r="B828" s="290" t="n"/>
      <c r="C828" s="290" t="n"/>
      <c r="D828" s="289" t="n"/>
      <c r="E828" s="289" t="n"/>
      <c r="F828" s="291" t="n"/>
      <c r="G828" s="291" t="n"/>
      <c r="H828" s="291" t="n"/>
      <c r="I828" s="289" t="n"/>
      <c r="J828" s="203" t="n"/>
    </row>
    <row r="829" ht="13" customHeight="1" s="189">
      <c r="A829" s="289" t="n"/>
      <c r="B829" s="290" t="n"/>
      <c r="C829" s="290" t="n"/>
      <c r="D829" s="289" t="n"/>
      <c r="E829" s="289" t="n"/>
      <c r="F829" s="291" t="n"/>
      <c r="G829" s="291" t="n"/>
      <c r="H829" s="291" t="n"/>
      <c r="I829" s="289" t="n"/>
      <c r="J829" s="203" t="n"/>
    </row>
    <row r="830" ht="13" customHeight="1" s="189">
      <c r="A830" s="289" t="n"/>
      <c r="B830" s="290" t="n"/>
      <c r="C830" s="290" t="n"/>
      <c r="D830" s="289" t="n"/>
      <c r="E830" s="289" t="n"/>
      <c r="F830" s="291" t="n"/>
      <c r="G830" s="291" t="n"/>
      <c r="H830" s="291" t="n"/>
      <c r="I830" s="289" t="n"/>
      <c r="J830" s="203" t="n"/>
    </row>
    <row r="831" ht="13" customHeight="1" s="189">
      <c r="A831" s="289" t="n"/>
      <c r="B831" s="290" t="n"/>
      <c r="C831" s="290" t="n"/>
      <c r="D831" s="289" t="n"/>
      <c r="E831" s="289" t="n"/>
      <c r="F831" s="291" t="n"/>
      <c r="G831" s="291" t="n"/>
      <c r="H831" s="291" t="n"/>
      <c r="I831" s="289" t="n"/>
      <c r="J831" s="203" t="n"/>
    </row>
    <row r="832" ht="13" customHeight="1" s="189">
      <c r="A832" s="289" t="n"/>
      <c r="B832" s="290" t="n"/>
      <c r="C832" s="290" t="n"/>
      <c r="D832" s="289" t="n"/>
      <c r="E832" s="289" t="n"/>
      <c r="F832" s="291" t="n"/>
      <c r="G832" s="291" t="n"/>
      <c r="H832" s="291" t="n"/>
      <c r="I832" s="289" t="n"/>
      <c r="J832" s="203" t="n"/>
    </row>
    <row r="833" ht="13" customHeight="1" s="189">
      <c r="A833" s="289" t="n"/>
      <c r="B833" s="290" t="n"/>
      <c r="C833" s="290" t="n"/>
      <c r="D833" s="289" t="n"/>
      <c r="E833" s="289" t="n"/>
      <c r="F833" s="291" t="n"/>
      <c r="G833" s="291" t="n"/>
      <c r="H833" s="291" t="n"/>
      <c r="I833" s="289" t="n"/>
      <c r="J833" s="203" t="n"/>
    </row>
    <row r="834" ht="13" customHeight="1" s="189">
      <c r="A834" s="289" t="n"/>
      <c r="B834" s="290" t="n"/>
      <c r="C834" s="290" t="n"/>
      <c r="D834" s="289" t="n"/>
      <c r="E834" s="289" t="n"/>
      <c r="F834" s="291" t="n"/>
      <c r="G834" s="291" t="n"/>
      <c r="H834" s="291" t="n"/>
      <c r="I834" s="289" t="n"/>
      <c r="J834" s="203" t="n"/>
    </row>
    <row r="835" ht="13" customHeight="1" s="189">
      <c r="A835" s="289" t="n"/>
      <c r="B835" s="290" t="n"/>
      <c r="C835" s="290" t="n"/>
      <c r="D835" s="289" t="n"/>
      <c r="E835" s="289" t="n"/>
      <c r="F835" s="291" t="n"/>
      <c r="G835" s="291" t="n"/>
      <c r="H835" s="291" t="n"/>
      <c r="I835" s="289" t="n"/>
      <c r="J835" s="203" t="n"/>
    </row>
    <row r="836" ht="13" customHeight="1" s="189">
      <c r="A836" s="289" t="n"/>
      <c r="B836" s="290" t="n"/>
      <c r="C836" s="290" t="n"/>
      <c r="D836" s="289" t="n"/>
      <c r="E836" s="289" t="n"/>
      <c r="F836" s="291" t="n"/>
      <c r="G836" s="291" t="n"/>
      <c r="H836" s="291" t="n"/>
      <c r="I836" s="289" t="n"/>
      <c r="J836" s="203" t="n"/>
    </row>
    <row r="837" ht="13" customHeight="1" s="189">
      <c r="A837" s="289" t="n"/>
      <c r="B837" s="290" t="n"/>
      <c r="C837" s="290" t="n"/>
      <c r="D837" s="289" t="n"/>
      <c r="E837" s="289" t="n"/>
      <c r="F837" s="291" t="n"/>
      <c r="G837" s="291" t="n"/>
      <c r="H837" s="291" t="n"/>
      <c r="I837" s="289" t="n"/>
      <c r="J837" s="203" t="n"/>
    </row>
    <row r="838" ht="13" customHeight="1" s="189">
      <c r="A838" s="289" t="n"/>
      <c r="B838" s="290" t="n"/>
      <c r="C838" s="290" t="n"/>
      <c r="D838" s="289" t="n"/>
      <c r="E838" s="289" t="n"/>
      <c r="F838" s="291" t="n"/>
      <c r="G838" s="291" t="n"/>
      <c r="H838" s="291" t="n"/>
      <c r="I838" s="289" t="n"/>
      <c r="J838" s="203" t="n"/>
    </row>
    <row r="839" ht="13" customHeight="1" s="189">
      <c r="A839" s="289" t="n"/>
      <c r="B839" s="290" t="n"/>
      <c r="C839" s="290" t="n"/>
      <c r="D839" s="289" t="n"/>
      <c r="E839" s="289" t="n"/>
      <c r="F839" s="291" t="n"/>
      <c r="G839" s="291" t="n"/>
      <c r="H839" s="291" t="n"/>
      <c r="I839" s="289" t="n"/>
      <c r="J839" s="203" t="n"/>
    </row>
    <row r="840" ht="13" customHeight="1" s="189">
      <c r="A840" s="289" t="n"/>
      <c r="B840" s="290" t="n"/>
      <c r="C840" s="290" t="n"/>
      <c r="D840" s="289" t="n"/>
      <c r="E840" s="289" t="n"/>
      <c r="F840" s="291" t="n"/>
      <c r="G840" s="291" t="n"/>
      <c r="H840" s="291" t="n"/>
      <c r="I840" s="289" t="n"/>
      <c r="J840" s="203" t="n"/>
    </row>
    <row r="841" ht="13" customHeight="1" s="189">
      <c r="A841" s="289" t="n"/>
      <c r="B841" s="290" t="n"/>
      <c r="C841" s="290" t="n"/>
      <c r="D841" s="289" t="n"/>
      <c r="E841" s="289" t="n"/>
      <c r="F841" s="291" t="n"/>
      <c r="G841" s="291" t="n"/>
      <c r="H841" s="291" t="n"/>
      <c r="I841" s="289" t="n"/>
      <c r="J841" s="203" t="n"/>
    </row>
    <row r="842" ht="13" customHeight="1" s="189">
      <c r="A842" s="289" t="n"/>
      <c r="B842" s="290" t="n"/>
      <c r="C842" s="290" t="n"/>
      <c r="D842" s="289" t="n"/>
      <c r="E842" s="289" t="n"/>
      <c r="F842" s="291" t="n"/>
      <c r="G842" s="291" t="n"/>
      <c r="H842" s="291" t="n"/>
      <c r="I842" s="289" t="n"/>
      <c r="J842" s="203" t="n"/>
    </row>
    <row r="843" ht="13" customHeight="1" s="189">
      <c r="A843" s="289" t="n"/>
      <c r="B843" s="290" t="n"/>
      <c r="C843" s="290" t="n"/>
      <c r="D843" s="289" t="n"/>
      <c r="E843" s="289" t="n"/>
      <c r="F843" s="291" t="n"/>
      <c r="G843" s="291" t="n"/>
      <c r="H843" s="291" t="n"/>
      <c r="I843" s="289" t="n"/>
      <c r="J843" s="203" t="n"/>
    </row>
    <row r="844" ht="13" customHeight="1" s="189">
      <c r="A844" s="289" t="n"/>
      <c r="B844" s="290" t="n"/>
      <c r="C844" s="290" t="n"/>
      <c r="D844" s="289" t="n"/>
      <c r="E844" s="289" t="n"/>
      <c r="F844" s="291" t="n"/>
      <c r="G844" s="291" t="n"/>
      <c r="H844" s="291" t="n"/>
      <c r="I844" s="289" t="n"/>
      <c r="J844" s="203" t="n"/>
    </row>
    <row r="845" ht="13" customHeight="1" s="189">
      <c r="A845" s="289" t="n"/>
      <c r="B845" s="290" t="n"/>
      <c r="C845" s="290" t="n"/>
      <c r="D845" s="289" t="n"/>
      <c r="E845" s="289" t="n"/>
      <c r="F845" s="291" t="n"/>
      <c r="G845" s="291" t="n"/>
      <c r="H845" s="291" t="n"/>
      <c r="I845" s="289" t="n"/>
      <c r="J845" s="203" t="n"/>
    </row>
    <row r="846" ht="13" customHeight="1" s="189">
      <c r="A846" s="289" t="n"/>
      <c r="B846" s="290" t="n"/>
      <c r="C846" s="290" t="n"/>
      <c r="D846" s="289" t="n"/>
      <c r="E846" s="289" t="n"/>
      <c r="F846" s="291" t="n"/>
      <c r="G846" s="291" t="n"/>
      <c r="H846" s="291" t="n"/>
      <c r="I846" s="289" t="n"/>
      <c r="J846" s="203" t="n"/>
    </row>
    <row r="847" ht="13" customHeight="1" s="189">
      <c r="A847" s="289" t="n"/>
      <c r="B847" s="290" t="n"/>
      <c r="C847" s="290" t="n"/>
      <c r="D847" s="289" t="n"/>
      <c r="E847" s="289" t="n"/>
      <c r="F847" s="291" t="n"/>
      <c r="G847" s="291" t="n"/>
      <c r="H847" s="291" t="n"/>
      <c r="I847" s="289" t="n"/>
      <c r="J847" s="203" t="n"/>
    </row>
    <row r="848" ht="13" customHeight="1" s="189">
      <c r="A848" s="289" t="n"/>
      <c r="B848" s="290" t="n"/>
      <c r="C848" s="290" t="n"/>
      <c r="D848" s="289" t="n"/>
      <c r="E848" s="289" t="n"/>
      <c r="F848" s="291" t="n"/>
      <c r="G848" s="291" t="n"/>
      <c r="H848" s="291" t="n"/>
      <c r="I848" s="289" t="n"/>
      <c r="J848" s="203" t="n"/>
    </row>
    <row r="849" ht="13" customHeight="1" s="189">
      <c r="A849" s="289" t="n"/>
      <c r="B849" s="290" t="n"/>
      <c r="C849" s="290" t="n"/>
      <c r="D849" s="289" t="n"/>
      <c r="E849" s="289" t="n"/>
      <c r="F849" s="291" t="n"/>
      <c r="G849" s="291" t="n"/>
      <c r="H849" s="291" t="n"/>
      <c r="I849" s="289" t="n"/>
      <c r="J849" s="203" t="n"/>
    </row>
    <row r="850" ht="13" customHeight="1" s="189">
      <c r="A850" s="289" t="n"/>
      <c r="B850" s="290" t="n"/>
      <c r="C850" s="290" t="n"/>
      <c r="D850" s="289" t="n"/>
      <c r="E850" s="289" t="n"/>
      <c r="F850" s="291" t="n"/>
      <c r="G850" s="291" t="n"/>
      <c r="H850" s="291" t="n"/>
      <c r="I850" s="289" t="n"/>
      <c r="J850" s="203" t="n"/>
    </row>
    <row r="851" ht="13" customHeight="1" s="189">
      <c r="A851" s="289" t="n"/>
      <c r="B851" s="290" t="n"/>
      <c r="C851" s="290" t="n"/>
      <c r="D851" s="289" t="n"/>
      <c r="E851" s="289" t="n"/>
      <c r="F851" s="291" t="n"/>
      <c r="G851" s="291" t="n"/>
      <c r="H851" s="291" t="n"/>
      <c r="I851" s="289" t="n"/>
      <c r="J851" s="203" t="n"/>
    </row>
    <row r="852" ht="13" customHeight="1" s="189">
      <c r="A852" s="289" t="n"/>
      <c r="B852" s="290" t="n"/>
      <c r="C852" s="290" t="n"/>
      <c r="D852" s="289" t="n"/>
      <c r="E852" s="289" t="n"/>
      <c r="F852" s="291" t="n"/>
      <c r="G852" s="291" t="n"/>
      <c r="H852" s="291" t="n"/>
      <c r="I852" s="289" t="n"/>
      <c r="J852" s="203" t="n"/>
    </row>
    <row r="853" ht="13" customHeight="1" s="189">
      <c r="A853" s="289" t="n"/>
      <c r="B853" s="290" t="n"/>
      <c r="C853" s="290" t="n"/>
      <c r="D853" s="289" t="n"/>
      <c r="E853" s="289" t="n"/>
      <c r="F853" s="291" t="n"/>
      <c r="G853" s="291" t="n"/>
      <c r="H853" s="291" t="n"/>
      <c r="I853" s="289" t="n"/>
      <c r="J853" s="203" t="n"/>
    </row>
    <row r="854" ht="13" customHeight="1" s="189">
      <c r="A854" s="289" t="n"/>
      <c r="B854" s="290" t="n"/>
      <c r="C854" s="290" t="n"/>
      <c r="D854" s="289" t="n"/>
      <c r="E854" s="289" t="n"/>
      <c r="F854" s="291" t="n"/>
      <c r="G854" s="291" t="n"/>
      <c r="H854" s="291" t="n"/>
      <c r="I854" s="289" t="n"/>
      <c r="J854" s="203" t="n"/>
    </row>
    <row r="855" ht="13" customHeight="1" s="189">
      <c r="A855" s="289" t="n"/>
      <c r="B855" s="290" t="n"/>
      <c r="C855" s="290" t="n"/>
      <c r="D855" s="289" t="n"/>
      <c r="E855" s="289" t="n"/>
      <c r="F855" s="291" t="n"/>
      <c r="G855" s="291" t="n"/>
      <c r="H855" s="291" t="n"/>
      <c r="I855" s="289" t="n"/>
      <c r="J855" s="203" t="n"/>
    </row>
    <row r="856" ht="13" customHeight="1" s="189">
      <c r="A856" s="289" t="n"/>
      <c r="B856" s="290" t="n"/>
      <c r="C856" s="290" t="n"/>
      <c r="D856" s="289" t="n"/>
      <c r="E856" s="289" t="n"/>
      <c r="F856" s="291" t="n"/>
      <c r="G856" s="291" t="n"/>
      <c r="H856" s="291" t="n"/>
      <c r="I856" s="289" t="n"/>
      <c r="J856" s="203" t="n"/>
    </row>
    <row r="857" ht="13" customHeight="1" s="189">
      <c r="A857" s="289" t="n"/>
      <c r="B857" s="290" t="n"/>
      <c r="C857" s="290" t="n"/>
      <c r="D857" s="289" t="n"/>
      <c r="E857" s="289" t="n"/>
      <c r="F857" s="291" t="n"/>
      <c r="G857" s="291" t="n"/>
      <c r="H857" s="291" t="n"/>
      <c r="I857" s="289" t="n"/>
      <c r="J857" s="203" t="n"/>
    </row>
    <row r="858" ht="13" customHeight="1" s="189">
      <c r="A858" s="289" t="n"/>
      <c r="B858" s="290" t="n"/>
      <c r="C858" s="290" t="n"/>
      <c r="D858" s="289" t="n"/>
      <c r="E858" s="289" t="n"/>
      <c r="F858" s="291" t="n"/>
      <c r="G858" s="291" t="n"/>
      <c r="H858" s="291" t="n"/>
      <c r="I858" s="289" t="n"/>
      <c r="J858" s="203" t="n"/>
    </row>
    <row r="859" ht="13" customHeight="1" s="189">
      <c r="A859" s="289" t="n"/>
      <c r="B859" s="290" t="n"/>
      <c r="C859" s="290" t="n"/>
      <c r="D859" s="289" t="n"/>
      <c r="E859" s="289" t="n"/>
      <c r="F859" s="291" t="n"/>
      <c r="G859" s="291" t="n"/>
      <c r="H859" s="291" t="n"/>
      <c r="I859" s="289" t="n"/>
      <c r="J859" s="203" t="n"/>
    </row>
    <row r="860" ht="13" customHeight="1" s="189">
      <c r="A860" s="289" t="n"/>
      <c r="B860" s="290" t="n"/>
      <c r="C860" s="290" t="n"/>
      <c r="D860" s="289" t="n"/>
      <c r="E860" s="289" t="n"/>
      <c r="F860" s="291" t="n"/>
      <c r="G860" s="291" t="n"/>
      <c r="H860" s="291" t="n"/>
      <c r="I860" s="289" t="n"/>
      <c r="J860" s="203" t="n"/>
    </row>
    <row r="861" ht="13" customHeight="1" s="189">
      <c r="A861" s="289" t="n"/>
      <c r="B861" s="290" t="n"/>
      <c r="C861" s="290" t="n"/>
      <c r="D861" s="289" t="n"/>
      <c r="E861" s="289" t="n"/>
      <c r="F861" s="291" t="n"/>
      <c r="G861" s="291" t="n"/>
      <c r="H861" s="291" t="n"/>
      <c r="I861" s="289" t="n"/>
      <c r="J861" s="203" t="n"/>
    </row>
    <row r="862" ht="13" customHeight="1" s="189">
      <c r="A862" s="289" t="n"/>
      <c r="B862" s="290" t="n"/>
      <c r="C862" s="290" t="n"/>
      <c r="D862" s="289" t="n"/>
      <c r="E862" s="289" t="n"/>
      <c r="F862" s="291" t="n"/>
      <c r="G862" s="291" t="n"/>
      <c r="H862" s="291" t="n"/>
      <c r="I862" s="289" t="n"/>
      <c r="J862" s="203" t="n"/>
    </row>
    <row r="863" ht="13" customHeight="1" s="189">
      <c r="A863" s="289" t="n"/>
      <c r="B863" s="290" t="n"/>
      <c r="C863" s="290" t="n"/>
      <c r="D863" s="289" t="n"/>
      <c r="E863" s="289" t="n"/>
      <c r="F863" s="291" t="n"/>
      <c r="G863" s="291" t="n"/>
      <c r="H863" s="291" t="n"/>
      <c r="I863" s="289" t="n"/>
      <c r="J863" s="203" t="n"/>
    </row>
    <row r="864" ht="13" customHeight="1" s="189">
      <c r="A864" s="289" t="n"/>
      <c r="B864" s="290" t="n"/>
      <c r="C864" s="290" t="n"/>
      <c r="D864" s="289" t="n"/>
      <c r="E864" s="289" t="n"/>
      <c r="F864" s="291" t="n"/>
      <c r="G864" s="291" t="n"/>
      <c r="H864" s="291" t="n"/>
      <c r="I864" s="289" t="n"/>
      <c r="J864" s="203" t="n"/>
    </row>
    <row r="865" ht="13" customHeight="1" s="189">
      <c r="A865" s="289" t="n"/>
      <c r="B865" s="290" t="n"/>
      <c r="C865" s="290" t="n"/>
      <c r="D865" s="289" t="n"/>
      <c r="E865" s="289" t="n"/>
      <c r="F865" s="291" t="n"/>
      <c r="G865" s="291" t="n"/>
      <c r="H865" s="291" t="n"/>
      <c r="I865" s="289" t="n"/>
      <c r="J865" s="203" t="n"/>
    </row>
    <row r="866" ht="13" customHeight="1" s="189">
      <c r="A866" s="289" t="n"/>
      <c r="B866" s="290" t="n"/>
      <c r="C866" s="290" t="n"/>
      <c r="D866" s="289" t="n"/>
      <c r="E866" s="289" t="n"/>
      <c r="F866" s="291" t="n"/>
      <c r="G866" s="291" t="n"/>
      <c r="H866" s="291" t="n"/>
      <c r="I866" s="289" t="n"/>
      <c r="J866" s="203" t="n"/>
    </row>
    <row r="867" ht="13" customHeight="1" s="189">
      <c r="A867" s="289" t="n"/>
      <c r="B867" s="290" t="n"/>
      <c r="C867" s="290" t="n"/>
      <c r="D867" s="289" t="n"/>
      <c r="E867" s="289" t="n"/>
      <c r="F867" s="291" t="n"/>
      <c r="G867" s="291" t="n"/>
      <c r="H867" s="291" t="n"/>
      <c r="I867" s="289" t="n"/>
      <c r="J867" s="203" t="n"/>
    </row>
    <row r="868" ht="13" customHeight="1" s="189">
      <c r="A868" s="289" t="n"/>
      <c r="B868" s="290" t="n"/>
      <c r="C868" s="290" t="n"/>
      <c r="D868" s="289" t="n"/>
      <c r="E868" s="289" t="n"/>
      <c r="F868" s="291" t="n"/>
      <c r="G868" s="291" t="n"/>
      <c r="H868" s="291" t="n"/>
      <c r="I868" s="289" t="n"/>
      <c r="J868" s="203" t="n"/>
    </row>
    <row r="869" ht="13" customHeight="1" s="189">
      <c r="A869" s="289" t="n"/>
      <c r="B869" s="290" t="n"/>
      <c r="C869" s="290" t="n"/>
      <c r="D869" s="289" t="n"/>
      <c r="E869" s="289" t="n"/>
      <c r="F869" s="291" t="n"/>
      <c r="G869" s="291" t="n"/>
      <c r="H869" s="291" t="n"/>
      <c r="I869" s="289" t="n"/>
      <c r="J869" s="203" t="n"/>
    </row>
    <row r="870" ht="13" customHeight="1" s="189">
      <c r="A870" s="289" t="n"/>
      <c r="B870" s="290" t="n"/>
      <c r="C870" s="290" t="n"/>
      <c r="D870" s="289" t="n"/>
      <c r="E870" s="289" t="n"/>
      <c r="F870" s="291" t="n"/>
      <c r="G870" s="291" t="n"/>
      <c r="H870" s="291" t="n"/>
      <c r="I870" s="289" t="n"/>
      <c r="J870" s="203" t="n"/>
    </row>
    <row r="871" ht="13" customHeight="1" s="189">
      <c r="A871" s="289" t="n"/>
      <c r="B871" s="290" t="n"/>
      <c r="C871" s="290" t="n"/>
      <c r="D871" s="289" t="n"/>
      <c r="E871" s="289" t="n"/>
      <c r="F871" s="291" t="n"/>
      <c r="G871" s="291" t="n"/>
      <c r="H871" s="291" t="n"/>
      <c r="I871" s="289" t="n"/>
      <c r="J871" s="203" t="n"/>
    </row>
    <row r="872" ht="13" customHeight="1" s="189">
      <c r="A872" s="289" t="n"/>
      <c r="B872" s="290" t="n"/>
      <c r="C872" s="290" t="n"/>
      <c r="D872" s="289" t="n"/>
      <c r="E872" s="289" t="n"/>
      <c r="F872" s="291" t="n"/>
      <c r="G872" s="291" t="n"/>
      <c r="H872" s="291" t="n"/>
      <c r="I872" s="289" t="n"/>
      <c r="J872" s="203" t="n"/>
    </row>
    <row r="873" ht="13" customHeight="1" s="189">
      <c r="A873" s="289" t="n"/>
      <c r="B873" s="290" t="n"/>
      <c r="C873" s="290" t="n"/>
      <c r="D873" s="289" t="n"/>
      <c r="E873" s="289" t="n"/>
      <c r="F873" s="291" t="n"/>
      <c r="G873" s="291" t="n"/>
      <c r="H873" s="291" t="n"/>
      <c r="I873" s="289" t="n"/>
      <c r="J873" s="203" t="n"/>
    </row>
    <row r="874" ht="13" customHeight="1" s="189">
      <c r="A874" s="289" t="n"/>
      <c r="B874" s="290" t="n"/>
      <c r="C874" s="290" t="n"/>
      <c r="D874" s="289" t="n"/>
      <c r="E874" s="289" t="n"/>
      <c r="F874" s="291" t="n"/>
      <c r="G874" s="291" t="n"/>
      <c r="H874" s="291" t="n"/>
      <c r="I874" s="289" t="n"/>
      <c r="J874" s="203" t="n"/>
    </row>
    <row r="875" ht="13" customHeight="1" s="189">
      <c r="A875" s="289" t="n"/>
      <c r="B875" s="290" t="n"/>
      <c r="C875" s="290" t="n"/>
      <c r="D875" s="289" t="n"/>
      <c r="E875" s="289" t="n"/>
      <c r="F875" s="291" t="n"/>
      <c r="G875" s="291" t="n"/>
      <c r="H875" s="291" t="n"/>
      <c r="I875" s="289" t="n"/>
      <c r="J875" s="203" t="n"/>
    </row>
    <row r="876" ht="13" customHeight="1" s="189">
      <c r="A876" s="289" t="n"/>
      <c r="B876" s="290" t="n"/>
      <c r="C876" s="290" t="n"/>
      <c r="D876" s="289" t="n"/>
      <c r="E876" s="289" t="n"/>
      <c r="F876" s="291" t="n"/>
      <c r="G876" s="291" t="n"/>
      <c r="H876" s="291" t="n"/>
      <c r="I876" s="289" t="n"/>
      <c r="J876" s="203" t="n"/>
    </row>
    <row r="877" ht="13" customHeight="1" s="189">
      <c r="A877" s="289" t="n"/>
      <c r="B877" s="290" t="n"/>
      <c r="C877" s="290" t="n"/>
      <c r="D877" s="289" t="n"/>
      <c r="E877" s="289" t="n"/>
      <c r="F877" s="291" t="n"/>
      <c r="G877" s="291" t="n"/>
      <c r="H877" s="291" t="n"/>
      <c r="I877" s="289" t="n"/>
      <c r="J877" s="203" t="n"/>
    </row>
    <row r="878" ht="13" customHeight="1" s="189">
      <c r="A878" s="289" t="n"/>
      <c r="B878" s="290" t="n"/>
      <c r="C878" s="290" t="n"/>
      <c r="D878" s="289" t="n"/>
      <c r="E878" s="289" t="n"/>
      <c r="F878" s="291" t="n"/>
      <c r="G878" s="291" t="n"/>
      <c r="H878" s="291" t="n"/>
      <c r="I878" s="289" t="n"/>
      <c r="J878" s="203" t="n"/>
    </row>
    <row r="879" ht="13" customHeight="1" s="189">
      <c r="A879" s="289" t="n"/>
      <c r="B879" s="290" t="n"/>
      <c r="C879" s="290" t="n"/>
      <c r="D879" s="289" t="n"/>
      <c r="E879" s="289" t="n"/>
      <c r="F879" s="291" t="n"/>
      <c r="G879" s="291" t="n"/>
      <c r="H879" s="291" t="n"/>
      <c r="I879" s="289" t="n"/>
      <c r="J879" s="203" t="n"/>
    </row>
    <row r="880" ht="13" customHeight="1" s="189">
      <c r="A880" s="289" t="n"/>
      <c r="B880" s="290" t="n"/>
      <c r="C880" s="290" t="n"/>
      <c r="D880" s="289" t="n"/>
      <c r="E880" s="289" t="n"/>
      <c r="F880" s="291" t="n"/>
      <c r="G880" s="291" t="n"/>
      <c r="H880" s="291" t="n"/>
      <c r="I880" s="289" t="n"/>
      <c r="J880" s="203" t="n"/>
    </row>
    <row r="881" ht="13" customHeight="1" s="189">
      <c r="A881" s="289" t="n"/>
      <c r="B881" s="290" t="n"/>
      <c r="C881" s="290" t="n"/>
      <c r="D881" s="289" t="n"/>
      <c r="E881" s="289" t="n"/>
      <c r="F881" s="291" t="n"/>
      <c r="G881" s="291" t="n"/>
      <c r="H881" s="291" t="n"/>
      <c r="I881" s="289" t="n"/>
      <c r="J881" s="203" t="n"/>
    </row>
    <row r="882" ht="13" customHeight="1" s="189">
      <c r="A882" s="289" t="n"/>
      <c r="B882" s="290" t="n"/>
      <c r="C882" s="290" t="n"/>
      <c r="D882" s="289" t="n"/>
      <c r="E882" s="289" t="n"/>
      <c r="F882" s="291" t="n"/>
      <c r="G882" s="291" t="n"/>
      <c r="H882" s="291" t="n"/>
      <c r="I882" s="289" t="n"/>
      <c r="J882" s="203" t="n"/>
    </row>
    <row r="883" ht="13" customHeight="1" s="189">
      <c r="A883" s="289" t="n"/>
      <c r="B883" s="290" t="n"/>
      <c r="C883" s="290" t="n"/>
      <c r="D883" s="289" t="n"/>
      <c r="E883" s="289" t="n"/>
      <c r="F883" s="291" t="n"/>
      <c r="G883" s="291" t="n"/>
      <c r="H883" s="291" t="n"/>
      <c r="I883" s="289" t="n"/>
      <c r="J883" s="203" t="n"/>
    </row>
    <row r="884" ht="13" customHeight="1" s="189">
      <c r="A884" s="289" t="n"/>
      <c r="B884" s="290" t="n"/>
      <c r="C884" s="290" t="n"/>
      <c r="D884" s="289" t="n"/>
      <c r="E884" s="289" t="n"/>
      <c r="F884" s="291" t="n"/>
      <c r="G884" s="291" t="n"/>
      <c r="H884" s="291" t="n"/>
      <c r="I884" s="289" t="n"/>
      <c r="J884" s="203" t="n"/>
    </row>
    <row r="885" ht="13" customHeight="1" s="189">
      <c r="A885" s="289" t="n"/>
      <c r="B885" s="290" t="n"/>
      <c r="C885" s="290" t="n"/>
      <c r="D885" s="289" t="n"/>
      <c r="E885" s="289" t="n"/>
      <c r="F885" s="291" t="n"/>
      <c r="G885" s="291" t="n"/>
      <c r="H885" s="291" t="n"/>
      <c r="I885" s="289" t="n"/>
      <c r="J885" s="203" t="n"/>
    </row>
    <row r="886" ht="13" customHeight="1" s="189">
      <c r="A886" s="289" t="n"/>
      <c r="B886" s="290" t="n"/>
      <c r="C886" s="290" t="n"/>
      <c r="D886" s="289" t="n"/>
      <c r="E886" s="289" t="n"/>
      <c r="F886" s="291" t="n"/>
      <c r="G886" s="291" t="n"/>
      <c r="H886" s="291" t="n"/>
      <c r="I886" s="289" t="n"/>
      <c r="J886" s="203" t="n"/>
    </row>
    <row r="887" ht="13" customHeight="1" s="189">
      <c r="A887" s="289" t="n"/>
      <c r="B887" s="290" t="n"/>
      <c r="C887" s="290" t="n"/>
      <c r="D887" s="289" t="n"/>
      <c r="E887" s="289" t="n"/>
      <c r="F887" s="291" t="n"/>
      <c r="G887" s="291" t="n"/>
      <c r="H887" s="291" t="n"/>
      <c r="I887" s="289" t="n"/>
      <c r="J887" s="203" t="n"/>
    </row>
    <row r="888" ht="13" customHeight="1" s="189">
      <c r="A888" s="289" t="n"/>
      <c r="B888" s="290" t="n"/>
      <c r="C888" s="290" t="n"/>
      <c r="D888" s="289" t="n"/>
      <c r="E888" s="289" t="n"/>
      <c r="F888" s="291" t="n"/>
      <c r="G888" s="291" t="n"/>
      <c r="H888" s="291" t="n"/>
      <c r="I888" s="289" t="n"/>
      <c r="J888" s="203" t="n"/>
    </row>
    <row r="889" ht="13" customHeight="1" s="189">
      <c r="A889" s="289" t="n"/>
      <c r="B889" s="290" t="n"/>
      <c r="C889" s="290" t="n"/>
      <c r="D889" s="289" t="n"/>
      <c r="E889" s="289" t="n"/>
      <c r="F889" s="291" t="n"/>
      <c r="G889" s="291" t="n"/>
      <c r="H889" s="291" t="n"/>
      <c r="I889" s="289" t="n"/>
      <c r="J889" s="203" t="n"/>
    </row>
    <row r="890" ht="13" customHeight="1" s="189">
      <c r="A890" s="289" t="n"/>
      <c r="B890" s="290" t="n"/>
      <c r="C890" s="290" t="n"/>
      <c r="D890" s="289" t="n"/>
      <c r="E890" s="289" t="n"/>
      <c r="F890" s="291" t="n"/>
      <c r="G890" s="291" t="n"/>
      <c r="H890" s="291" t="n"/>
      <c r="I890" s="289" t="n"/>
      <c r="J890" s="203" t="n"/>
    </row>
    <row r="891" ht="13" customHeight="1" s="189">
      <c r="A891" s="289" t="n"/>
      <c r="B891" s="290" t="n"/>
      <c r="C891" s="290" t="n"/>
      <c r="D891" s="289" t="n"/>
      <c r="E891" s="289" t="n"/>
      <c r="F891" s="291" t="n"/>
      <c r="G891" s="291" t="n"/>
      <c r="H891" s="291" t="n"/>
      <c r="I891" s="289" t="n"/>
      <c r="J891" s="203" t="n"/>
    </row>
    <row r="892" ht="13" customHeight="1" s="189">
      <c r="A892" s="289" t="n"/>
      <c r="B892" s="290" t="n"/>
      <c r="C892" s="290" t="n"/>
      <c r="D892" s="289" t="n"/>
      <c r="E892" s="289" t="n"/>
      <c r="F892" s="291" t="n"/>
      <c r="G892" s="291" t="n"/>
      <c r="H892" s="291" t="n"/>
      <c r="I892" s="289" t="n"/>
      <c r="J892" s="203" t="n"/>
    </row>
    <row r="893" ht="13" customHeight="1" s="189">
      <c r="A893" s="289" t="n"/>
      <c r="B893" s="290" t="n"/>
      <c r="C893" s="290" t="n"/>
      <c r="D893" s="289" t="n"/>
      <c r="E893" s="289" t="n"/>
      <c r="F893" s="291" t="n"/>
      <c r="G893" s="291" t="n"/>
      <c r="H893" s="291" t="n"/>
      <c r="I893" s="289" t="n"/>
      <c r="J893" s="203" t="n"/>
    </row>
    <row r="894" ht="13" customHeight="1" s="189">
      <c r="A894" s="289" t="n"/>
      <c r="B894" s="290" t="n"/>
      <c r="C894" s="290" t="n"/>
      <c r="D894" s="289" t="n"/>
      <c r="E894" s="289" t="n"/>
      <c r="F894" s="291" t="n"/>
      <c r="G894" s="291" t="n"/>
      <c r="H894" s="291" t="n"/>
      <c r="I894" s="289" t="n"/>
      <c r="J894" s="203" t="n"/>
    </row>
    <row r="895" ht="13" customHeight="1" s="189">
      <c r="A895" s="289" t="n"/>
      <c r="B895" s="290" t="n"/>
      <c r="C895" s="290" t="n"/>
      <c r="D895" s="289" t="n"/>
      <c r="E895" s="289" t="n"/>
      <c r="F895" s="291" t="n"/>
      <c r="G895" s="291" t="n"/>
      <c r="H895" s="291" t="n"/>
      <c r="I895" s="289" t="n"/>
      <c r="J895" s="203" t="n"/>
    </row>
    <row r="896" ht="13" customHeight="1" s="189">
      <c r="A896" s="289" t="n"/>
      <c r="B896" s="290" t="n"/>
      <c r="C896" s="290" t="n"/>
      <c r="D896" s="289" t="n"/>
      <c r="E896" s="289" t="n"/>
      <c r="F896" s="291" t="n"/>
      <c r="G896" s="291" t="n"/>
      <c r="H896" s="291" t="n"/>
      <c r="I896" s="289" t="n"/>
      <c r="J896" s="203" t="n"/>
    </row>
    <row r="897" ht="13" customHeight="1" s="189">
      <c r="A897" s="289" t="n"/>
      <c r="B897" s="290" t="n"/>
      <c r="C897" s="290" t="n"/>
      <c r="D897" s="289" t="n"/>
      <c r="E897" s="289" t="n"/>
      <c r="F897" s="291" t="n"/>
      <c r="G897" s="291" t="n"/>
      <c r="H897" s="291" t="n"/>
      <c r="I897" s="289" t="n"/>
      <c r="J897" s="203" t="n"/>
    </row>
    <row r="898" ht="13" customHeight="1" s="189">
      <c r="A898" s="289" t="n"/>
      <c r="B898" s="290" t="n"/>
      <c r="C898" s="290" t="n"/>
      <c r="D898" s="289" t="n"/>
      <c r="E898" s="289" t="n"/>
      <c r="F898" s="291" t="n"/>
      <c r="G898" s="291" t="n"/>
      <c r="H898" s="291" t="n"/>
      <c r="I898" s="289" t="n"/>
      <c r="J898" s="203" t="n"/>
    </row>
    <row r="899" ht="13" customHeight="1" s="189">
      <c r="A899" s="289" t="n"/>
      <c r="B899" s="290" t="n"/>
      <c r="C899" s="290" t="n"/>
      <c r="D899" s="289" t="n"/>
      <c r="E899" s="289" t="n"/>
      <c r="F899" s="291" t="n"/>
      <c r="G899" s="291" t="n"/>
      <c r="H899" s="291" t="n"/>
      <c r="I899" s="289" t="n"/>
      <c r="J899" s="203" t="n"/>
    </row>
    <row r="900" ht="13" customHeight="1" s="189">
      <c r="A900" s="289" t="n"/>
      <c r="B900" s="290" t="n"/>
      <c r="C900" s="290" t="n"/>
      <c r="D900" s="289" t="n"/>
      <c r="E900" s="289" t="n"/>
      <c r="F900" s="291" t="n"/>
      <c r="G900" s="291" t="n"/>
      <c r="H900" s="291" t="n"/>
      <c r="I900" s="289" t="n"/>
      <c r="J900" s="203" t="n"/>
    </row>
    <row r="901" ht="13" customHeight="1" s="189">
      <c r="A901" s="289" t="n"/>
      <c r="B901" s="290" t="n"/>
      <c r="C901" s="290" t="n"/>
      <c r="D901" s="289" t="n"/>
      <c r="E901" s="289" t="n"/>
      <c r="F901" s="291" t="n"/>
      <c r="G901" s="291" t="n"/>
      <c r="H901" s="291" t="n"/>
      <c r="I901" s="289" t="n"/>
      <c r="J901" s="203" t="n"/>
    </row>
    <row r="902" ht="13" customHeight="1" s="189">
      <c r="A902" s="289" t="n"/>
      <c r="B902" s="290" t="n"/>
      <c r="C902" s="290" t="n"/>
      <c r="D902" s="289" t="n"/>
      <c r="E902" s="289" t="n"/>
      <c r="F902" s="291" t="n"/>
      <c r="G902" s="291" t="n"/>
      <c r="H902" s="291" t="n"/>
      <c r="I902" s="289" t="n"/>
      <c r="J902" s="203" t="n"/>
    </row>
    <row r="903" ht="13" customHeight="1" s="189">
      <c r="A903" s="289" t="n"/>
      <c r="B903" s="290" t="n"/>
      <c r="C903" s="290" t="n"/>
      <c r="D903" s="289" t="n"/>
      <c r="E903" s="289" t="n"/>
      <c r="F903" s="291" t="n"/>
      <c r="G903" s="291" t="n"/>
      <c r="H903" s="291" t="n"/>
      <c r="I903" s="289" t="n"/>
      <c r="J903" s="203" t="n"/>
    </row>
    <row r="904" ht="13" customHeight="1" s="189">
      <c r="A904" s="289" t="n"/>
      <c r="B904" s="290" t="n"/>
      <c r="C904" s="290" t="n"/>
      <c r="D904" s="289" t="n"/>
      <c r="E904" s="289" t="n"/>
      <c r="F904" s="291" t="n"/>
      <c r="G904" s="291" t="n"/>
      <c r="H904" s="291" t="n"/>
      <c r="I904" s="289" t="n"/>
      <c r="J904" s="203" t="n"/>
    </row>
    <row r="905" ht="13" customHeight="1" s="189">
      <c r="A905" s="289" t="n"/>
      <c r="B905" s="290" t="n"/>
      <c r="C905" s="290" t="n"/>
      <c r="D905" s="289" t="n"/>
      <c r="E905" s="289" t="n"/>
      <c r="F905" s="291" t="n"/>
      <c r="G905" s="291" t="n"/>
      <c r="H905" s="291" t="n"/>
      <c r="I905" s="289" t="n"/>
      <c r="J905" s="203" t="n"/>
    </row>
    <row r="906" ht="13" customHeight="1" s="189">
      <c r="A906" s="289" t="n"/>
      <c r="B906" s="290" t="n"/>
      <c r="C906" s="290" t="n"/>
      <c r="D906" s="289" t="n"/>
      <c r="E906" s="289" t="n"/>
      <c r="F906" s="291" t="n"/>
      <c r="G906" s="291" t="n"/>
      <c r="H906" s="291" t="n"/>
      <c r="I906" s="289" t="n"/>
      <c r="J906" s="203" t="n"/>
    </row>
    <row r="907" ht="13" customHeight="1" s="189">
      <c r="A907" s="289" t="n"/>
      <c r="B907" s="290" t="n"/>
      <c r="C907" s="290" t="n"/>
      <c r="D907" s="289" t="n"/>
      <c r="E907" s="289" t="n"/>
      <c r="F907" s="291" t="n"/>
      <c r="G907" s="291" t="n"/>
      <c r="H907" s="291" t="n"/>
      <c r="I907" s="289" t="n"/>
      <c r="J907" s="203" t="n"/>
    </row>
    <row r="908" ht="13" customHeight="1" s="189">
      <c r="A908" s="289" t="n"/>
      <c r="B908" s="290" t="n"/>
      <c r="C908" s="290" t="n"/>
      <c r="D908" s="289" t="n"/>
      <c r="E908" s="289" t="n"/>
      <c r="F908" s="291" t="n"/>
      <c r="G908" s="291" t="n"/>
      <c r="H908" s="291" t="n"/>
      <c r="I908" s="289" t="n"/>
      <c r="J908" s="203" t="n"/>
    </row>
    <row r="909" ht="13" customHeight="1" s="189">
      <c r="A909" s="289" t="n"/>
      <c r="B909" s="290" t="n"/>
      <c r="C909" s="290" t="n"/>
      <c r="D909" s="289" t="n"/>
      <c r="E909" s="289" t="n"/>
      <c r="F909" s="291" t="n"/>
      <c r="G909" s="291" t="n"/>
      <c r="H909" s="291" t="n"/>
      <c r="I909" s="289" t="n"/>
      <c r="J909" s="203" t="n"/>
    </row>
    <row r="910" ht="13" customHeight="1" s="189">
      <c r="A910" s="289" t="n"/>
      <c r="B910" s="290" t="n"/>
      <c r="C910" s="290" t="n"/>
      <c r="D910" s="289" t="n"/>
      <c r="E910" s="289" t="n"/>
      <c r="F910" s="291" t="n"/>
      <c r="G910" s="291" t="n"/>
      <c r="H910" s="291" t="n"/>
      <c r="I910" s="289" t="n"/>
      <c r="J910" s="203" t="n"/>
    </row>
    <row r="911" ht="13" customHeight="1" s="189">
      <c r="A911" s="289" t="n"/>
      <c r="B911" s="290" t="n"/>
      <c r="C911" s="290" t="n"/>
      <c r="D911" s="289" t="n"/>
      <c r="E911" s="289" t="n"/>
      <c r="F911" s="291" t="n"/>
      <c r="G911" s="291" t="n"/>
      <c r="H911" s="291" t="n"/>
      <c r="I911" s="289" t="n"/>
      <c r="J911" s="203" t="n"/>
    </row>
    <row r="912" ht="13" customHeight="1" s="189">
      <c r="A912" s="289" t="n"/>
      <c r="B912" s="290" t="n"/>
      <c r="C912" s="290" t="n"/>
      <c r="D912" s="289" t="n"/>
      <c r="E912" s="289" t="n"/>
      <c r="F912" s="291" t="n"/>
      <c r="G912" s="291" t="n"/>
      <c r="H912" s="291" t="n"/>
      <c r="I912" s="289" t="n"/>
      <c r="J912" s="203" t="n"/>
    </row>
    <row r="913" ht="13" customHeight="1" s="189">
      <c r="A913" s="289" t="n"/>
      <c r="B913" s="290" t="n"/>
      <c r="C913" s="290" t="n"/>
      <c r="D913" s="289" t="n"/>
      <c r="E913" s="289" t="n"/>
      <c r="F913" s="291" t="n"/>
      <c r="G913" s="291" t="n"/>
      <c r="H913" s="291" t="n"/>
      <c r="I913" s="289" t="n"/>
      <c r="J913" s="203" t="n"/>
    </row>
    <row r="914" ht="13" customHeight="1" s="189">
      <c r="A914" s="289" t="n"/>
      <c r="B914" s="290" t="n"/>
      <c r="C914" s="290" t="n"/>
      <c r="D914" s="289" t="n"/>
      <c r="E914" s="289" t="n"/>
      <c r="F914" s="291" t="n"/>
      <c r="G914" s="291" t="n"/>
      <c r="H914" s="291" t="n"/>
      <c r="I914" s="289" t="n"/>
      <c r="J914" s="203" t="n"/>
    </row>
    <row r="915" ht="13" customHeight="1" s="189">
      <c r="A915" s="289" t="n"/>
      <c r="B915" s="290" t="n"/>
      <c r="C915" s="290" t="n"/>
      <c r="D915" s="289" t="n"/>
      <c r="E915" s="289" t="n"/>
      <c r="F915" s="291" t="n"/>
      <c r="G915" s="291" t="n"/>
      <c r="H915" s="291" t="n"/>
      <c r="I915" s="289" t="n"/>
      <c r="J915" s="203" t="n"/>
    </row>
    <row r="916" ht="13" customHeight="1" s="189">
      <c r="A916" s="289" t="n"/>
      <c r="B916" s="290" t="n"/>
      <c r="C916" s="290" t="n"/>
      <c r="D916" s="289" t="n"/>
      <c r="E916" s="289" t="n"/>
      <c r="F916" s="291" t="n"/>
      <c r="G916" s="291" t="n"/>
      <c r="H916" s="291" t="n"/>
      <c r="I916" s="289" t="n"/>
      <c r="J916" s="203" t="n"/>
    </row>
    <row r="917" ht="13" customHeight="1" s="189">
      <c r="A917" s="289" t="n"/>
      <c r="B917" s="290" t="n"/>
      <c r="C917" s="290" t="n"/>
      <c r="D917" s="289" t="n"/>
      <c r="E917" s="289" t="n"/>
      <c r="F917" s="291" t="n"/>
      <c r="G917" s="291" t="n"/>
      <c r="H917" s="291" t="n"/>
      <c r="I917" s="289" t="n"/>
      <c r="J917" s="203" t="n"/>
    </row>
    <row r="918" ht="13" customHeight="1" s="189">
      <c r="A918" s="289" t="n"/>
      <c r="B918" s="290" t="n"/>
      <c r="C918" s="290" t="n"/>
      <c r="D918" s="289" t="n"/>
      <c r="E918" s="289" t="n"/>
      <c r="F918" s="291" t="n"/>
      <c r="G918" s="291" t="n"/>
      <c r="H918" s="291" t="n"/>
      <c r="I918" s="289" t="n"/>
      <c r="J918" s="203" t="n"/>
    </row>
    <row r="919" ht="13" customHeight="1" s="189">
      <c r="A919" s="289" t="n"/>
      <c r="B919" s="290" t="n"/>
      <c r="C919" s="290" t="n"/>
      <c r="D919" s="289" t="n"/>
      <c r="E919" s="289" t="n"/>
      <c r="F919" s="291" t="n"/>
      <c r="G919" s="291" t="n"/>
      <c r="H919" s="291" t="n"/>
      <c r="I919" s="289" t="n"/>
      <c r="J919" s="203" t="n"/>
    </row>
    <row r="920" ht="13" customHeight="1" s="189">
      <c r="A920" s="289" t="n"/>
      <c r="B920" s="290" t="n"/>
      <c r="C920" s="290" t="n"/>
      <c r="D920" s="289" t="n"/>
      <c r="E920" s="289" t="n"/>
      <c r="F920" s="291" t="n"/>
      <c r="G920" s="291" t="n"/>
      <c r="H920" s="291" t="n"/>
      <c r="I920" s="289" t="n"/>
      <c r="J920" s="203" t="n"/>
    </row>
    <row r="921" ht="13" customHeight="1" s="189">
      <c r="A921" s="289" t="n"/>
      <c r="B921" s="290" t="n"/>
      <c r="C921" s="290" t="n"/>
      <c r="D921" s="289" t="n"/>
      <c r="E921" s="289" t="n"/>
      <c r="F921" s="291" t="n"/>
      <c r="G921" s="291" t="n"/>
      <c r="H921" s="291" t="n"/>
      <c r="I921" s="289" t="n"/>
      <c r="J921" s="203" t="n"/>
    </row>
    <row r="922" ht="13" customHeight="1" s="189">
      <c r="A922" s="289" t="n"/>
      <c r="B922" s="290" t="n"/>
      <c r="C922" s="290" t="n"/>
      <c r="D922" s="289" t="n"/>
      <c r="E922" s="289" t="n"/>
      <c r="F922" s="291" t="n"/>
      <c r="G922" s="291" t="n"/>
      <c r="H922" s="291" t="n"/>
      <c r="I922" s="289" t="n"/>
      <c r="J922" s="203" t="n"/>
    </row>
    <row r="923" ht="13" customHeight="1" s="189">
      <c r="A923" s="289" t="n"/>
      <c r="B923" s="290" t="n"/>
      <c r="C923" s="290" t="n"/>
      <c r="D923" s="289" t="n"/>
      <c r="E923" s="289" t="n"/>
      <c r="F923" s="291" t="n"/>
      <c r="G923" s="291" t="n"/>
      <c r="H923" s="291" t="n"/>
      <c r="I923" s="289" t="n"/>
      <c r="J923" s="203" t="n"/>
    </row>
    <row r="924" ht="13" customHeight="1" s="189">
      <c r="A924" s="289" t="n"/>
      <c r="B924" s="290" t="n"/>
      <c r="C924" s="290" t="n"/>
      <c r="D924" s="289" t="n"/>
      <c r="E924" s="289" t="n"/>
      <c r="F924" s="291" t="n"/>
      <c r="G924" s="291" t="n"/>
      <c r="H924" s="291" t="n"/>
      <c r="I924" s="289" t="n"/>
      <c r="J924" s="203" t="n"/>
    </row>
    <row r="925" ht="13" customHeight="1" s="189">
      <c r="A925" s="289" t="n"/>
      <c r="B925" s="290" t="n"/>
      <c r="C925" s="290" t="n"/>
      <c r="D925" s="289" t="n"/>
      <c r="E925" s="289" t="n"/>
      <c r="F925" s="291" t="n"/>
      <c r="G925" s="291" t="n"/>
      <c r="H925" s="291" t="n"/>
      <c r="I925" s="289" t="n"/>
      <c r="J925" s="203" t="n"/>
    </row>
    <row r="926" ht="13" customHeight="1" s="189">
      <c r="A926" s="289" t="n"/>
      <c r="B926" s="290" t="n"/>
      <c r="C926" s="290" t="n"/>
      <c r="D926" s="289" t="n"/>
      <c r="E926" s="289" t="n"/>
      <c r="F926" s="291" t="n"/>
      <c r="G926" s="291" t="n"/>
      <c r="H926" s="291" t="n"/>
      <c r="I926" s="289" t="n"/>
      <c r="J926" s="203" t="n"/>
    </row>
    <row r="927" ht="13" customHeight="1" s="189">
      <c r="A927" s="289" t="n"/>
      <c r="B927" s="290" t="n"/>
      <c r="C927" s="290" t="n"/>
      <c r="D927" s="289" t="n"/>
      <c r="E927" s="289" t="n"/>
      <c r="F927" s="291" t="n"/>
      <c r="G927" s="291" t="n"/>
      <c r="H927" s="291" t="n"/>
      <c r="I927" s="289" t="n"/>
      <c r="J927" s="203" t="n"/>
    </row>
    <row r="928" ht="13" customHeight="1" s="189">
      <c r="A928" s="289" t="n"/>
      <c r="B928" s="290" t="n"/>
      <c r="C928" s="290" t="n"/>
      <c r="D928" s="289" t="n"/>
      <c r="E928" s="289" t="n"/>
      <c r="F928" s="291" t="n"/>
      <c r="G928" s="291" t="n"/>
      <c r="H928" s="291" t="n"/>
      <c r="I928" s="289" t="n"/>
      <c r="J928" s="203" t="n"/>
    </row>
    <row r="929" ht="13" customHeight="1" s="189">
      <c r="A929" s="289" t="n"/>
      <c r="B929" s="290" t="n"/>
      <c r="C929" s="290" t="n"/>
      <c r="D929" s="289" t="n"/>
      <c r="E929" s="289" t="n"/>
      <c r="F929" s="291" t="n"/>
      <c r="G929" s="291" t="n"/>
      <c r="H929" s="291" t="n"/>
      <c r="I929" s="289" t="n"/>
      <c r="J929" s="203" t="n"/>
    </row>
    <row r="930" ht="13" customHeight="1" s="189">
      <c r="A930" s="289" t="n"/>
      <c r="B930" s="290" t="n"/>
      <c r="C930" s="290" t="n"/>
      <c r="D930" s="289" t="n"/>
      <c r="E930" s="289" t="n"/>
      <c r="F930" s="291" t="n"/>
      <c r="G930" s="291" t="n"/>
      <c r="H930" s="291" t="n"/>
      <c r="I930" s="289" t="n"/>
      <c r="J930" s="203" t="n"/>
    </row>
    <row r="931" ht="13" customHeight="1" s="189">
      <c r="A931" s="289" t="n"/>
      <c r="B931" s="290" t="n"/>
      <c r="C931" s="290" t="n"/>
      <c r="D931" s="289" t="n"/>
      <c r="E931" s="289" t="n"/>
      <c r="F931" s="291" t="n"/>
      <c r="G931" s="291" t="n"/>
      <c r="H931" s="291" t="n"/>
      <c r="I931" s="289" t="n"/>
      <c r="J931" s="203" t="n"/>
    </row>
    <row r="932" ht="13" customHeight="1" s="189">
      <c r="A932" s="289" t="n"/>
      <c r="B932" s="290" t="n"/>
      <c r="C932" s="290" t="n"/>
      <c r="D932" s="289" t="n"/>
      <c r="E932" s="289" t="n"/>
      <c r="F932" s="291" t="n"/>
      <c r="G932" s="291" t="n"/>
      <c r="H932" s="291" t="n"/>
      <c r="I932" s="289" t="n"/>
      <c r="J932" s="203" t="n"/>
    </row>
    <row r="933" ht="13" customHeight="1" s="189">
      <c r="A933" s="289" t="n"/>
      <c r="B933" s="290" t="n"/>
      <c r="C933" s="290" t="n"/>
      <c r="D933" s="289" t="n"/>
      <c r="E933" s="289" t="n"/>
      <c r="F933" s="291" t="n"/>
      <c r="G933" s="291" t="n"/>
      <c r="H933" s="291" t="n"/>
      <c r="I933" s="289" t="n"/>
      <c r="J933" s="203" t="n"/>
    </row>
    <row r="934" ht="13" customHeight="1" s="189">
      <c r="A934" s="289" t="n"/>
      <c r="B934" s="290" t="n"/>
      <c r="C934" s="290" t="n"/>
      <c r="D934" s="289" t="n"/>
      <c r="E934" s="289" t="n"/>
      <c r="F934" s="291" t="n"/>
      <c r="G934" s="291" t="n"/>
      <c r="H934" s="291" t="n"/>
      <c r="I934" s="289" t="n"/>
      <c r="J934" s="203" t="n"/>
    </row>
    <row r="935" ht="13" customHeight="1" s="189">
      <c r="A935" s="289" t="n"/>
      <c r="B935" s="290" t="n"/>
      <c r="C935" s="290" t="n"/>
      <c r="D935" s="289" t="n"/>
      <c r="E935" s="289" t="n"/>
      <c r="F935" s="291" t="n"/>
      <c r="G935" s="291" t="n"/>
      <c r="H935" s="291" t="n"/>
      <c r="I935" s="289" t="n"/>
      <c r="J935" s="203" t="n"/>
    </row>
    <row r="936" ht="13" customHeight="1" s="189">
      <c r="A936" s="289" t="n"/>
      <c r="B936" s="290" t="n"/>
      <c r="C936" s="290" t="n"/>
      <c r="D936" s="289" t="n"/>
      <c r="E936" s="289" t="n"/>
      <c r="F936" s="291" t="n"/>
      <c r="G936" s="291" t="n"/>
      <c r="H936" s="291" t="n"/>
      <c r="I936" s="289" t="n"/>
      <c r="J936" s="203" t="n"/>
    </row>
    <row r="937" ht="13" customHeight="1" s="189">
      <c r="A937" s="289" t="n"/>
      <c r="B937" s="290" t="n"/>
      <c r="C937" s="290" t="n"/>
      <c r="D937" s="289" t="n"/>
      <c r="E937" s="289" t="n"/>
      <c r="F937" s="291" t="n"/>
      <c r="G937" s="291" t="n"/>
      <c r="H937" s="291" t="n"/>
      <c r="I937" s="289" t="n"/>
      <c r="J937" s="203" t="n"/>
    </row>
    <row r="938" ht="13" customHeight="1" s="189">
      <c r="A938" s="289" t="n"/>
      <c r="B938" s="290" t="n"/>
      <c r="C938" s="290" t="n"/>
      <c r="D938" s="289" t="n"/>
      <c r="E938" s="289" t="n"/>
      <c r="F938" s="291" t="n"/>
      <c r="G938" s="291" t="n"/>
      <c r="H938" s="291" t="n"/>
      <c r="I938" s="289" t="n"/>
      <c r="J938" s="203" t="n"/>
    </row>
    <row r="939" ht="13" customHeight="1" s="189">
      <c r="A939" s="289" t="n"/>
      <c r="B939" s="290" t="n"/>
      <c r="C939" s="290" t="n"/>
      <c r="D939" s="289" t="n"/>
      <c r="E939" s="289" t="n"/>
      <c r="F939" s="291" t="n"/>
      <c r="G939" s="291" t="n"/>
      <c r="H939" s="291" t="n"/>
      <c r="I939" s="289" t="n"/>
      <c r="J939" s="203" t="n"/>
    </row>
    <row r="940" ht="13" customHeight="1" s="189">
      <c r="A940" s="289" t="n"/>
      <c r="B940" s="290" t="n"/>
      <c r="C940" s="290" t="n"/>
      <c r="D940" s="289" t="n"/>
      <c r="E940" s="289" t="n"/>
      <c r="F940" s="291" t="n"/>
      <c r="G940" s="291" t="n"/>
      <c r="H940" s="291" t="n"/>
      <c r="I940" s="289" t="n"/>
      <c r="J940" s="203" t="n"/>
    </row>
    <row r="941" ht="13" customHeight="1" s="189">
      <c r="A941" s="289" t="n"/>
      <c r="B941" s="290" t="n"/>
      <c r="C941" s="290" t="n"/>
      <c r="D941" s="289" t="n"/>
      <c r="E941" s="289" t="n"/>
      <c r="F941" s="291" t="n"/>
      <c r="G941" s="291" t="n"/>
      <c r="H941" s="291" t="n"/>
      <c r="I941" s="289" t="n"/>
      <c r="J941" s="203" t="n"/>
    </row>
    <row r="942" ht="13" customHeight="1" s="189">
      <c r="A942" s="289" t="n"/>
      <c r="B942" s="290" t="n"/>
      <c r="C942" s="290" t="n"/>
      <c r="D942" s="289" t="n"/>
      <c r="E942" s="289" t="n"/>
      <c r="F942" s="291" t="n"/>
      <c r="G942" s="291" t="n"/>
      <c r="H942" s="291" t="n"/>
      <c r="I942" s="289" t="n"/>
      <c r="J942" s="203" t="n"/>
    </row>
    <row r="943" ht="13" customHeight="1" s="189">
      <c r="A943" s="289" t="n"/>
      <c r="B943" s="290" t="n"/>
      <c r="C943" s="290" t="n"/>
      <c r="D943" s="289" t="n"/>
      <c r="E943" s="289" t="n"/>
      <c r="F943" s="291" t="n"/>
      <c r="G943" s="291" t="n"/>
      <c r="H943" s="291" t="n"/>
      <c r="I943" s="289" t="n"/>
      <c r="J943" s="203" t="n"/>
    </row>
    <row r="944" ht="13" customHeight="1" s="189">
      <c r="A944" s="289" t="n"/>
      <c r="B944" s="290" t="n"/>
      <c r="C944" s="290" t="n"/>
      <c r="D944" s="289" t="n"/>
      <c r="E944" s="289" t="n"/>
      <c r="F944" s="291" t="n"/>
      <c r="G944" s="291" t="n"/>
      <c r="H944" s="291" t="n"/>
      <c r="I944" s="289" t="n"/>
      <c r="J944" s="203" t="n"/>
    </row>
    <row r="945" ht="13" customHeight="1" s="189">
      <c r="A945" s="289" t="n"/>
      <c r="B945" s="290" t="n"/>
      <c r="C945" s="290" t="n"/>
      <c r="D945" s="289" t="n"/>
      <c r="E945" s="289" t="n"/>
      <c r="F945" s="291" t="n"/>
      <c r="G945" s="291" t="n"/>
      <c r="H945" s="291" t="n"/>
      <c r="I945" s="289" t="n"/>
      <c r="J945" s="203" t="n"/>
    </row>
    <row r="946" ht="13" customHeight="1" s="189">
      <c r="A946" s="289" t="n"/>
      <c r="B946" s="290" t="n"/>
      <c r="C946" s="290" t="n"/>
      <c r="D946" s="289" t="n"/>
      <c r="E946" s="289" t="n"/>
      <c r="F946" s="291" t="n"/>
      <c r="G946" s="291" t="n"/>
      <c r="H946" s="291" t="n"/>
      <c r="I946" s="289" t="n"/>
      <c r="J946" s="203" t="n"/>
    </row>
    <row r="947" ht="13" customHeight="1" s="189">
      <c r="A947" s="289" t="n"/>
      <c r="B947" s="290" t="n"/>
      <c r="C947" s="290" t="n"/>
      <c r="D947" s="289" t="n"/>
      <c r="E947" s="289" t="n"/>
      <c r="F947" s="291" t="n"/>
      <c r="G947" s="291" t="n"/>
      <c r="H947" s="291" t="n"/>
      <c r="I947" s="289" t="n"/>
      <c r="J947" s="203" t="n"/>
    </row>
    <row r="948" ht="13" customHeight="1" s="189">
      <c r="A948" s="289" t="n"/>
      <c r="B948" s="290" t="n"/>
      <c r="C948" s="290" t="n"/>
      <c r="D948" s="289" t="n"/>
      <c r="E948" s="289" t="n"/>
      <c r="F948" s="291" t="n"/>
      <c r="G948" s="291" t="n"/>
      <c r="H948" s="291" t="n"/>
      <c r="I948" s="289" t="n"/>
      <c r="J948" s="203" t="n"/>
    </row>
    <row r="949" ht="13" customHeight="1" s="189">
      <c r="A949" s="289" t="n"/>
      <c r="B949" s="290" t="n"/>
      <c r="C949" s="290" t="n"/>
      <c r="D949" s="289" t="n"/>
      <c r="E949" s="289" t="n"/>
      <c r="F949" s="291" t="n"/>
      <c r="G949" s="291" t="n"/>
      <c r="H949" s="291" t="n"/>
      <c r="I949" s="289" t="n"/>
      <c r="J949" s="203" t="n"/>
    </row>
    <row r="950" ht="13" customHeight="1" s="189">
      <c r="A950" s="289" t="n"/>
      <c r="B950" s="290" t="n"/>
      <c r="C950" s="290" t="n"/>
      <c r="D950" s="289" t="n"/>
      <c r="E950" s="289" t="n"/>
      <c r="F950" s="291" t="n"/>
      <c r="G950" s="291" t="n"/>
      <c r="H950" s="291" t="n"/>
      <c r="I950" s="289" t="n"/>
      <c r="J950" s="203" t="n"/>
    </row>
    <row r="951" ht="13" customHeight="1" s="189">
      <c r="A951" s="289" t="n"/>
      <c r="B951" s="290" t="n"/>
      <c r="C951" s="290" t="n"/>
      <c r="D951" s="289" t="n"/>
      <c r="E951" s="289" t="n"/>
      <c r="F951" s="291" t="n"/>
      <c r="G951" s="291" t="n"/>
      <c r="H951" s="291" t="n"/>
      <c r="I951" s="289" t="n"/>
      <c r="J951" s="203" t="n"/>
    </row>
    <row r="952" ht="13" customHeight="1" s="189">
      <c r="A952" s="289" t="n"/>
      <c r="B952" s="290" t="n"/>
      <c r="C952" s="290" t="n"/>
      <c r="D952" s="289" t="n"/>
      <c r="E952" s="289" t="n"/>
      <c r="F952" s="291" t="n"/>
      <c r="G952" s="291" t="n"/>
      <c r="H952" s="291" t="n"/>
      <c r="I952" s="289" t="n"/>
      <c r="J952" s="203" t="n"/>
    </row>
    <row r="953" ht="13" customHeight="1" s="189">
      <c r="A953" s="289" t="n"/>
      <c r="B953" s="290" t="n"/>
      <c r="C953" s="290" t="n"/>
      <c r="D953" s="289" t="n"/>
      <c r="E953" s="289" t="n"/>
      <c r="F953" s="291" t="n"/>
      <c r="G953" s="291" t="n"/>
      <c r="H953" s="291" t="n"/>
      <c r="I953" s="289" t="n"/>
      <c r="J953" s="203" t="n"/>
    </row>
    <row r="954" ht="13" customHeight="1" s="189">
      <c r="A954" s="289" t="n"/>
      <c r="B954" s="290" t="n"/>
      <c r="C954" s="290" t="n"/>
      <c r="D954" s="289" t="n"/>
      <c r="E954" s="289" t="n"/>
      <c r="F954" s="291" t="n"/>
      <c r="G954" s="291" t="n"/>
      <c r="H954" s="291" t="n"/>
      <c r="I954" s="289" t="n"/>
      <c r="J954" s="203" t="n"/>
    </row>
    <row r="955" ht="13" customHeight="1" s="189">
      <c r="A955" s="289" t="n"/>
      <c r="B955" s="290" t="n"/>
      <c r="C955" s="290" t="n"/>
      <c r="D955" s="289" t="n"/>
      <c r="E955" s="289" t="n"/>
      <c r="F955" s="291" t="n"/>
      <c r="G955" s="291" t="n"/>
      <c r="H955" s="291" t="n"/>
      <c r="I955" s="289" t="n"/>
      <c r="J955" s="203" t="n"/>
    </row>
    <row r="956" ht="13" customHeight="1" s="189">
      <c r="A956" s="289" t="n"/>
      <c r="B956" s="290" t="n"/>
      <c r="C956" s="290" t="n"/>
      <c r="D956" s="289" t="n"/>
      <c r="E956" s="289" t="n"/>
      <c r="F956" s="291" t="n"/>
      <c r="G956" s="291" t="n"/>
      <c r="H956" s="291" t="n"/>
      <c r="I956" s="289" t="n"/>
      <c r="J956" s="203" t="n"/>
    </row>
    <row r="957" ht="13" customHeight="1" s="189">
      <c r="A957" s="289" t="n"/>
      <c r="B957" s="290" t="n"/>
      <c r="C957" s="290" t="n"/>
      <c r="D957" s="289" t="n"/>
      <c r="E957" s="289" t="n"/>
      <c r="F957" s="291" t="n"/>
      <c r="G957" s="291" t="n"/>
      <c r="H957" s="291" t="n"/>
      <c r="I957" s="289" t="n"/>
      <c r="J957" s="203" t="n"/>
    </row>
    <row r="958" ht="13" customHeight="1" s="189">
      <c r="A958" s="289" t="n"/>
      <c r="B958" s="290" t="n"/>
      <c r="C958" s="290" t="n"/>
      <c r="D958" s="289" t="n"/>
      <c r="E958" s="289" t="n"/>
      <c r="F958" s="291" t="n"/>
      <c r="G958" s="291" t="n"/>
      <c r="H958" s="291" t="n"/>
      <c r="I958" s="289" t="n"/>
      <c r="J958" s="203" t="n"/>
    </row>
    <row r="959" ht="13" customHeight="1" s="189">
      <c r="A959" s="289" t="n"/>
      <c r="B959" s="290" t="n"/>
      <c r="C959" s="290" t="n"/>
      <c r="D959" s="289" t="n"/>
      <c r="E959" s="289" t="n"/>
      <c r="F959" s="291" t="n"/>
      <c r="G959" s="291" t="n"/>
      <c r="H959" s="291" t="n"/>
      <c r="I959" s="289" t="n"/>
      <c r="J959" s="203" t="n"/>
    </row>
    <row r="960" ht="13" customHeight="1" s="189">
      <c r="A960" s="289" t="n"/>
      <c r="B960" s="290" t="n"/>
      <c r="C960" s="290" t="n"/>
      <c r="D960" s="289" t="n"/>
      <c r="E960" s="289" t="n"/>
      <c r="F960" s="291" t="n"/>
      <c r="G960" s="291" t="n"/>
      <c r="H960" s="291" t="n"/>
      <c r="I960" s="289" t="n"/>
      <c r="J960" s="203" t="n"/>
    </row>
    <row r="961" ht="13" customHeight="1" s="189">
      <c r="A961" s="289" t="n"/>
      <c r="B961" s="290" t="n"/>
      <c r="C961" s="290" t="n"/>
      <c r="D961" s="289" t="n"/>
      <c r="E961" s="289" t="n"/>
      <c r="F961" s="291" t="n"/>
      <c r="G961" s="291" t="n"/>
      <c r="H961" s="291" t="n"/>
      <c r="I961" s="289" t="n"/>
      <c r="J961" s="203" t="n"/>
    </row>
    <row r="962" ht="13" customHeight="1" s="189">
      <c r="A962" s="289" t="n"/>
      <c r="B962" s="290" t="n"/>
      <c r="C962" s="290" t="n"/>
      <c r="D962" s="289" t="n"/>
      <c r="E962" s="289" t="n"/>
      <c r="F962" s="291" t="n"/>
      <c r="G962" s="291" t="n"/>
      <c r="H962" s="291" t="n"/>
      <c r="I962" s="289" t="n"/>
      <c r="J962" s="203" t="n"/>
    </row>
    <row r="963" ht="13" customHeight="1" s="189">
      <c r="A963" s="289" t="n"/>
      <c r="B963" s="290" t="n"/>
      <c r="C963" s="290" t="n"/>
      <c r="D963" s="289" t="n"/>
      <c r="E963" s="289" t="n"/>
      <c r="F963" s="291" t="n"/>
      <c r="G963" s="291" t="n"/>
      <c r="H963" s="291" t="n"/>
      <c r="I963" s="289" t="n"/>
      <c r="J963" s="203" t="n"/>
    </row>
    <row r="964" ht="13" customHeight="1" s="189">
      <c r="A964" s="289" t="n"/>
      <c r="B964" s="290" t="n"/>
      <c r="C964" s="290" t="n"/>
      <c r="D964" s="289" t="n"/>
      <c r="E964" s="289" t="n"/>
      <c r="F964" s="291" t="n"/>
      <c r="G964" s="291" t="n"/>
      <c r="H964" s="291" t="n"/>
      <c r="I964" s="289" t="n"/>
      <c r="J964" s="203" t="n"/>
    </row>
    <row r="965" ht="13" customHeight="1" s="189">
      <c r="A965" s="289" t="n"/>
      <c r="B965" s="290" t="n"/>
      <c r="C965" s="290" t="n"/>
      <c r="D965" s="289" t="n"/>
      <c r="E965" s="289" t="n"/>
      <c r="F965" s="291" t="n"/>
      <c r="G965" s="291" t="n"/>
      <c r="H965" s="291" t="n"/>
      <c r="I965" s="289" t="n"/>
      <c r="J965" s="203" t="n"/>
    </row>
    <row r="966" ht="13" customHeight="1" s="189">
      <c r="A966" s="289" t="n"/>
      <c r="B966" s="290" t="n"/>
      <c r="C966" s="290" t="n"/>
      <c r="D966" s="289" t="n"/>
      <c r="E966" s="289" t="n"/>
      <c r="F966" s="291" t="n"/>
      <c r="G966" s="291" t="n"/>
      <c r="H966" s="291" t="n"/>
      <c r="I966" s="289" t="n"/>
      <c r="J966" s="203" t="n"/>
    </row>
    <row r="967" ht="13" customHeight="1" s="189">
      <c r="A967" s="289" t="n"/>
      <c r="B967" s="290" t="n"/>
      <c r="C967" s="290" t="n"/>
      <c r="D967" s="289" t="n"/>
      <c r="E967" s="289" t="n"/>
      <c r="F967" s="291" t="n"/>
      <c r="G967" s="291" t="n"/>
      <c r="H967" s="291" t="n"/>
      <c r="I967" s="289" t="n"/>
      <c r="J967" s="203" t="n"/>
    </row>
    <row r="968" ht="13" customHeight="1" s="189">
      <c r="A968" s="289" t="n"/>
      <c r="B968" s="290" t="n"/>
      <c r="C968" s="290" t="n"/>
      <c r="D968" s="289" t="n"/>
      <c r="E968" s="289" t="n"/>
      <c r="F968" s="291" t="n"/>
      <c r="G968" s="291" t="n"/>
      <c r="H968" s="291" t="n"/>
      <c r="I968" s="289" t="n"/>
      <c r="J968" s="203" t="n"/>
    </row>
    <row r="969" ht="13" customHeight="1" s="189">
      <c r="A969" s="289" t="n"/>
      <c r="B969" s="290" t="n"/>
      <c r="C969" s="290" t="n"/>
      <c r="D969" s="289" t="n"/>
      <c r="E969" s="289" t="n"/>
      <c r="F969" s="291" t="n"/>
      <c r="G969" s="291" t="n"/>
      <c r="H969" s="291" t="n"/>
      <c r="I969" s="289" t="n"/>
      <c r="J969" s="203" t="n"/>
    </row>
    <row r="970" ht="13" customHeight="1" s="189">
      <c r="A970" s="289" t="n"/>
      <c r="B970" s="290" t="n"/>
      <c r="C970" s="290" t="n"/>
      <c r="D970" s="289" t="n"/>
      <c r="E970" s="289" t="n"/>
      <c r="F970" s="291" t="n"/>
      <c r="G970" s="291" t="n"/>
      <c r="H970" s="291" t="n"/>
      <c r="I970" s="289" t="n"/>
      <c r="J970" s="203" t="n"/>
    </row>
    <row r="971" ht="13" customHeight="1" s="189">
      <c r="A971" s="289" t="n"/>
      <c r="B971" s="290" t="n"/>
      <c r="C971" s="290" t="n"/>
      <c r="D971" s="289" t="n"/>
      <c r="E971" s="289" t="n"/>
      <c r="F971" s="291" t="n"/>
      <c r="G971" s="291" t="n"/>
      <c r="H971" s="291" t="n"/>
      <c r="I971" s="289" t="n"/>
      <c r="J971" s="203" t="n"/>
    </row>
    <row r="972" ht="13" customHeight="1" s="189">
      <c r="A972" s="289" t="n"/>
      <c r="B972" s="290" t="n"/>
      <c r="C972" s="290" t="n"/>
      <c r="D972" s="289" t="n"/>
      <c r="E972" s="289" t="n"/>
      <c r="F972" s="291" t="n"/>
      <c r="G972" s="291" t="n"/>
      <c r="H972" s="291" t="n"/>
      <c r="I972" s="289" t="n"/>
      <c r="J972" s="203" t="n"/>
    </row>
    <row r="973" ht="13" customHeight="1" s="189">
      <c r="A973" s="289" t="n"/>
      <c r="B973" s="290" t="n"/>
      <c r="C973" s="290" t="n"/>
      <c r="D973" s="289" t="n"/>
      <c r="E973" s="289" t="n"/>
      <c r="F973" s="291" t="n"/>
      <c r="G973" s="291" t="n"/>
      <c r="H973" s="291" t="n"/>
      <c r="I973" s="289" t="n"/>
      <c r="J973" s="203" t="n"/>
    </row>
    <row r="974" ht="13" customHeight="1" s="189">
      <c r="A974" s="289" t="n"/>
      <c r="B974" s="290" t="n"/>
      <c r="C974" s="290" t="n"/>
      <c r="D974" s="289" t="n"/>
      <c r="E974" s="289" t="n"/>
      <c r="F974" s="291" t="n"/>
      <c r="G974" s="291" t="n"/>
      <c r="H974" s="291" t="n"/>
      <c r="I974" s="289" t="n"/>
      <c r="J974" s="203" t="n"/>
    </row>
    <row r="975" ht="13" customHeight="1" s="189">
      <c r="A975" s="289" t="n"/>
      <c r="B975" s="290" t="n"/>
      <c r="C975" s="290" t="n"/>
      <c r="D975" s="289" t="n"/>
      <c r="E975" s="289" t="n"/>
      <c r="F975" s="291" t="n"/>
      <c r="G975" s="291" t="n"/>
      <c r="H975" s="291" t="n"/>
      <c r="I975" s="289" t="n"/>
      <c r="J975" s="203" t="n"/>
    </row>
    <row r="976" ht="13" customHeight="1" s="189">
      <c r="A976" s="289" t="n"/>
      <c r="B976" s="290" t="n"/>
      <c r="C976" s="290" t="n"/>
      <c r="D976" s="289" t="n"/>
      <c r="E976" s="289" t="n"/>
      <c r="F976" s="291" t="n"/>
      <c r="G976" s="291" t="n"/>
      <c r="H976" s="291" t="n"/>
      <c r="I976" s="289" t="n"/>
      <c r="J976" s="203" t="n"/>
    </row>
    <row r="977" ht="13" customHeight="1" s="189">
      <c r="A977" s="289" t="n"/>
      <c r="B977" s="290" t="n"/>
      <c r="C977" s="290" t="n"/>
      <c r="D977" s="289" t="n"/>
      <c r="E977" s="289" t="n"/>
      <c r="F977" s="291" t="n"/>
      <c r="G977" s="291" t="n"/>
      <c r="H977" s="291" t="n"/>
      <c r="I977" s="289" t="n"/>
      <c r="J977" s="203" t="n"/>
    </row>
    <row r="978" ht="13" customHeight="1" s="189">
      <c r="A978" s="289" t="n"/>
      <c r="B978" s="290" t="n"/>
      <c r="C978" s="290" t="n"/>
      <c r="D978" s="289" t="n"/>
      <c r="E978" s="289" t="n"/>
      <c r="F978" s="291" t="n"/>
      <c r="G978" s="291" t="n"/>
      <c r="H978" s="291" t="n"/>
      <c r="I978" s="289" t="n"/>
      <c r="J978" s="203" t="n"/>
    </row>
    <row r="979" ht="13" customHeight="1" s="189">
      <c r="A979" s="289" t="n"/>
      <c r="B979" s="290" t="n"/>
      <c r="C979" s="290" t="n"/>
      <c r="D979" s="289" t="n"/>
      <c r="E979" s="289" t="n"/>
      <c r="F979" s="291" t="n"/>
      <c r="G979" s="291" t="n"/>
      <c r="H979" s="291" t="n"/>
      <c r="I979" s="289" t="n"/>
      <c r="J979" s="203" t="n"/>
    </row>
    <row r="980" ht="13" customHeight="1" s="189">
      <c r="A980" s="289" t="n"/>
      <c r="B980" s="290" t="n"/>
      <c r="C980" s="290" t="n"/>
      <c r="D980" s="289" t="n"/>
      <c r="E980" s="289" t="n"/>
      <c r="F980" s="291" t="n"/>
      <c r="G980" s="291" t="n"/>
      <c r="H980" s="291" t="n"/>
      <c r="I980" s="289" t="n"/>
      <c r="J980" s="203" t="n"/>
    </row>
    <row r="981" ht="13" customHeight="1" s="189">
      <c r="A981" s="289" t="n"/>
      <c r="B981" s="290" t="n"/>
      <c r="C981" s="290" t="n"/>
      <c r="D981" s="289" t="n"/>
      <c r="E981" s="289" t="n"/>
      <c r="F981" s="291" t="n"/>
      <c r="G981" s="291" t="n"/>
      <c r="H981" s="291" t="n"/>
      <c r="I981" s="289" t="n"/>
      <c r="J981" s="203" t="n"/>
    </row>
    <row r="982" ht="13" customHeight="1" s="189">
      <c r="A982" s="289" t="n"/>
      <c r="B982" s="290" t="n"/>
      <c r="C982" s="290" t="n"/>
      <c r="D982" s="289" t="n"/>
      <c r="E982" s="289" t="n"/>
      <c r="F982" s="291" t="n"/>
      <c r="G982" s="291" t="n"/>
      <c r="H982" s="291" t="n"/>
      <c r="I982" s="289" t="n"/>
      <c r="J982" s="203" t="n"/>
    </row>
    <row r="983" ht="13" customHeight="1" s="189">
      <c r="A983" s="289" t="n"/>
      <c r="B983" s="290" t="n"/>
      <c r="C983" s="290" t="n"/>
      <c r="D983" s="289" t="n"/>
      <c r="E983" s="289" t="n"/>
      <c r="F983" s="291" t="n"/>
      <c r="G983" s="291" t="n"/>
      <c r="H983" s="291" t="n"/>
      <c r="I983" s="289" t="n"/>
      <c r="J983" s="203" t="n"/>
    </row>
    <row r="984" ht="13" customHeight="1" s="189">
      <c r="A984" s="289" t="n"/>
      <c r="B984" s="290" t="n"/>
      <c r="C984" s="290" t="n"/>
      <c r="D984" s="289" t="n"/>
      <c r="E984" s="289" t="n"/>
      <c r="F984" s="291" t="n"/>
      <c r="G984" s="291" t="n"/>
      <c r="H984" s="291" t="n"/>
      <c r="I984" s="289" t="n"/>
      <c r="J984" s="203" t="n"/>
    </row>
    <row r="985" ht="13" customHeight="1" s="189">
      <c r="A985" s="289" t="n"/>
      <c r="B985" s="290" t="n"/>
      <c r="C985" s="290" t="n"/>
      <c r="D985" s="289" t="n"/>
      <c r="E985" s="289" t="n"/>
      <c r="F985" s="291" t="n"/>
      <c r="G985" s="291" t="n"/>
      <c r="H985" s="291" t="n"/>
      <c r="I985" s="289" t="n"/>
      <c r="J985" s="203" t="n"/>
    </row>
    <row r="986" ht="13" customHeight="1" s="189">
      <c r="A986" s="289" t="n"/>
      <c r="B986" s="290" t="n"/>
      <c r="C986" s="290" t="n"/>
      <c r="D986" s="289" t="n"/>
      <c r="E986" s="289" t="n"/>
      <c r="F986" s="291" t="n"/>
      <c r="G986" s="291" t="n"/>
      <c r="H986" s="291" t="n"/>
      <c r="I986" s="289" t="n"/>
      <c r="J986" s="203" t="n"/>
    </row>
    <row r="987" ht="13" customHeight="1" s="189">
      <c r="A987" s="289" t="n"/>
      <c r="B987" s="290" t="n"/>
      <c r="C987" s="290" t="n"/>
      <c r="D987" s="289" t="n"/>
      <c r="E987" s="289" t="n"/>
      <c r="F987" s="291" t="n"/>
      <c r="G987" s="291" t="n"/>
      <c r="H987" s="291" t="n"/>
      <c r="I987" s="289" t="n"/>
      <c r="J987" s="203" t="n"/>
    </row>
    <row r="988" ht="13" customHeight="1" s="189">
      <c r="A988" s="289" t="n"/>
      <c r="B988" s="290" t="n"/>
      <c r="C988" s="290" t="n"/>
      <c r="D988" s="289" t="n"/>
      <c r="E988" s="289" t="n"/>
      <c r="F988" s="291" t="n"/>
      <c r="G988" s="291" t="n"/>
      <c r="H988" s="291" t="n"/>
      <c r="I988" s="289" t="n"/>
      <c r="J988" s="203" t="n"/>
    </row>
    <row r="989" ht="13" customHeight="1" s="189">
      <c r="A989" s="289" t="n"/>
      <c r="B989" s="290" t="n"/>
      <c r="C989" s="290" t="n"/>
      <c r="D989" s="289" t="n"/>
      <c r="E989" s="289" t="n"/>
      <c r="F989" s="291" t="n"/>
      <c r="G989" s="291" t="n"/>
      <c r="H989" s="291" t="n"/>
      <c r="I989" s="289" t="n"/>
      <c r="J989" s="203" t="n"/>
    </row>
    <row r="990" ht="13" customHeight="1" s="189">
      <c r="A990" s="289" t="n"/>
      <c r="B990" s="290" t="n"/>
      <c r="C990" s="290" t="n"/>
      <c r="D990" s="289" t="n"/>
      <c r="E990" s="289" t="n"/>
      <c r="F990" s="291" t="n"/>
      <c r="G990" s="291" t="n"/>
      <c r="H990" s="291" t="n"/>
      <c r="I990" s="289" t="n"/>
      <c r="J990" s="203" t="n"/>
    </row>
    <row r="991" ht="13" customHeight="1" s="189">
      <c r="A991" s="289" t="n"/>
      <c r="B991" s="290" t="n"/>
      <c r="C991" s="290" t="n"/>
      <c r="D991" s="289" t="n"/>
      <c r="E991" s="289" t="n"/>
      <c r="F991" s="291" t="n"/>
      <c r="G991" s="291" t="n"/>
      <c r="H991" s="291" t="n"/>
      <c r="I991" s="289" t="n"/>
      <c r="J991" s="203" t="n"/>
    </row>
    <row r="992" ht="13" customHeight="1" s="189">
      <c r="A992" s="289" t="n"/>
      <c r="B992" s="290" t="n"/>
      <c r="C992" s="290" t="n"/>
      <c r="D992" s="289" t="n"/>
      <c r="E992" s="289" t="n"/>
      <c r="F992" s="291" t="n"/>
      <c r="G992" s="291" t="n"/>
      <c r="H992" s="291" t="n"/>
      <c r="I992" s="289" t="n"/>
      <c r="J992" s="203" t="n"/>
    </row>
    <row r="993" ht="13" customHeight="1" s="189">
      <c r="A993" s="289" t="n"/>
      <c r="B993" s="290" t="n"/>
      <c r="C993" s="290" t="n"/>
      <c r="D993" s="289" t="n"/>
      <c r="E993" s="289" t="n"/>
      <c r="F993" s="291" t="n"/>
      <c r="G993" s="291" t="n"/>
      <c r="H993" s="291" t="n"/>
      <c r="I993" s="289" t="n"/>
      <c r="J993" s="203" t="n"/>
    </row>
    <row r="994" ht="13" customHeight="1" s="189">
      <c r="A994" s="289" t="n"/>
      <c r="B994" s="290" t="n"/>
      <c r="C994" s="290" t="n"/>
      <c r="D994" s="289" t="n"/>
      <c r="E994" s="289" t="n"/>
      <c r="F994" s="291" t="n"/>
      <c r="G994" s="291" t="n"/>
      <c r="H994" s="291" t="n"/>
      <c r="I994" s="289" t="n"/>
      <c r="J994" s="203" t="n"/>
    </row>
    <row r="995" ht="13" customHeight="1" s="189">
      <c r="A995" s="289" t="n"/>
      <c r="B995" s="290" t="n"/>
      <c r="C995" s="290" t="n"/>
      <c r="D995" s="289" t="n"/>
      <c r="E995" s="289" t="n"/>
      <c r="F995" s="291" t="n"/>
      <c r="G995" s="291" t="n"/>
      <c r="H995" s="291" t="n"/>
      <c r="I995" s="289" t="n"/>
      <c r="J995" s="203" t="n"/>
    </row>
    <row r="996" ht="13" customHeight="1" s="189">
      <c r="A996" s="289" t="n"/>
      <c r="B996" s="290" t="n"/>
      <c r="C996" s="290" t="n"/>
      <c r="D996" s="289" t="n"/>
      <c r="E996" s="289" t="n"/>
      <c r="F996" s="291" t="n"/>
      <c r="G996" s="291" t="n"/>
      <c r="H996" s="291" t="n"/>
      <c r="I996" s="289" t="n"/>
      <c r="J996" s="203" t="n"/>
    </row>
    <row r="997" ht="13" customHeight="1" s="189">
      <c r="A997" s="289" t="n"/>
      <c r="B997" s="290" t="n"/>
      <c r="C997" s="290" t="n"/>
      <c r="D997" s="289" t="n"/>
      <c r="E997" s="289" t="n"/>
      <c r="F997" s="291" t="n"/>
      <c r="G997" s="291" t="n"/>
      <c r="H997" s="291" t="n"/>
      <c r="I997" s="289" t="n"/>
      <c r="J997" s="203" t="n"/>
    </row>
    <row r="998" ht="13" customHeight="1" s="189">
      <c r="A998" s="289" t="n"/>
      <c r="B998" s="290" t="n"/>
      <c r="C998" s="290" t="n"/>
      <c r="D998" s="289" t="n"/>
      <c r="E998" s="289" t="n"/>
      <c r="F998" s="291" t="n"/>
      <c r="G998" s="291" t="n"/>
      <c r="H998" s="291" t="n"/>
      <c r="I998" s="289" t="n"/>
      <c r="J998" s="203" t="n"/>
    </row>
    <row r="999" ht="13" customHeight="1" s="189">
      <c r="A999" s="289" t="n"/>
      <c r="B999" s="290" t="n"/>
      <c r="C999" s="290" t="n"/>
      <c r="D999" s="289" t="n"/>
      <c r="E999" s="289" t="n"/>
      <c r="F999" s="291" t="n"/>
      <c r="G999" s="291" t="n"/>
      <c r="H999" s="291" t="n"/>
      <c r="I999" s="289" t="n"/>
      <c r="J999" s="203" t="n"/>
    </row>
    <row r="1000" ht="13" customHeight="1" s="189">
      <c r="A1000" s="289" t="n"/>
      <c r="B1000" s="290" t="n"/>
      <c r="C1000" s="290" t="n"/>
      <c r="D1000" s="289" t="n"/>
      <c r="E1000" s="289" t="n"/>
      <c r="F1000" s="291" t="n"/>
      <c r="G1000" s="291" t="n"/>
      <c r="H1000" s="291" t="n"/>
      <c r="I1000" s="289" t="n"/>
      <c r="J1000" s="203" t="n"/>
    </row>
    <row r="1001" ht="13" customHeight="1" s="189">
      <c r="A1001" s="289" t="n"/>
      <c r="B1001" s="290" t="n"/>
      <c r="C1001" s="290" t="n"/>
      <c r="D1001" s="289" t="n"/>
      <c r="E1001" s="289" t="n"/>
      <c r="F1001" s="291" t="n"/>
      <c r="G1001" s="291" t="n"/>
      <c r="H1001" s="291" t="n"/>
      <c r="I1001" s="289" t="n"/>
      <c r="J1001" s="203" t="n"/>
    </row>
    <row r="1002" ht="13" customHeight="1" s="189">
      <c r="A1002" s="289" t="n"/>
      <c r="B1002" s="290" t="n"/>
      <c r="C1002" s="290" t="n"/>
      <c r="D1002" s="289" t="n"/>
      <c r="E1002" s="289" t="n"/>
      <c r="F1002" s="291" t="n"/>
      <c r="G1002" s="291" t="n"/>
      <c r="H1002" s="291" t="n"/>
      <c r="I1002" s="289" t="n"/>
      <c r="J1002" s="203" t="n"/>
    </row>
    <row r="1003" ht="13" customHeight="1" s="189">
      <c r="A1003" s="289" t="n"/>
      <c r="B1003" s="290" t="n"/>
      <c r="C1003" s="290" t="n"/>
      <c r="D1003" s="289" t="n"/>
      <c r="E1003" s="289" t="n"/>
      <c r="F1003" s="291" t="n"/>
      <c r="G1003" s="291" t="n"/>
      <c r="H1003" s="291" t="n"/>
      <c r="I1003" s="289" t="n"/>
      <c r="J1003" s="203" t="n"/>
    </row>
    <row r="1004" ht="13" customHeight="1" s="189">
      <c r="A1004" s="289" t="n"/>
      <c r="B1004" s="290" t="n"/>
      <c r="C1004" s="290" t="n"/>
      <c r="D1004" s="289" t="n"/>
      <c r="E1004" s="289" t="n"/>
      <c r="F1004" s="291" t="n"/>
      <c r="G1004" s="291" t="n"/>
      <c r="H1004" s="291" t="n"/>
      <c r="I1004" s="289" t="n"/>
      <c r="J1004" s="203" t="n"/>
    </row>
    <row r="1005" ht="13" customHeight="1" s="189">
      <c r="A1005" s="289" t="n"/>
      <c r="B1005" s="290" t="n"/>
      <c r="C1005" s="290" t="n"/>
      <c r="D1005" s="289" t="n"/>
      <c r="E1005" s="289" t="n"/>
      <c r="F1005" s="291" t="n"/>
      <c r="G1005" s="291" t="n"/>
      <c r="H1005" s="291" t="n"/>
      <c r="I1005" s="289" t="n"/>
      <c r="J1005" s="203" t="n"/>
    </row>
    <row r="1006" ht="13" customHeight="1" s="189">
      <c r="A1006" s="289" t="n"/>
      <c r="B1006" s="290" t="n"/>
      <c r="C1006" s="290" t="n"/>
      <c r="D1006" s="289" t="n"/>
      <c r="E1006" s="289" t="n"/>
      <c r="F1006" s="291" t="n"/>
      <c r="G1006" s="291" t="n"/>
      <c r="H1006" s="291" t="n"/>
      <c r="I1006" s="289" t="n"/>
      <c r="J1006" s="203" t="n"/>
    </row>
    <row r="1007" ht="13" customHeight="1" s="189">
      <c r="A1007" s="289" t="n"/>
      <c r="B1007" s="290" t="n"/>
      <c r="C1007" s="290" t="n"/>
      <c r="D1007" s="289" t="n"/>
      <c r="E1007" s="289" t="n"/>
      <c r="F1007" s="291" t="n"/>
      <c r="G1007" s="291" t="n"/>
      <c r="H1007" s="291" t="n"/>
      <c r="I1007" s="289" t="n"/>
      <c r="J1007" s="203" t="n"/>
    </row>
    <row r="1008" ht="13" customHeight="1" s="189">
      <c r="A1008" s="289" t="n"/>
      <c r="B1008" s="290" t="n"/>
      <c r="C1008" s="290" t="n"/>
      <c r="D1008" s="289" t="n"/>
      <c r="E1008" s="289" t="n"/>
      <c r="F1008" s="291" t="n"/>
      <c r="G1008" s="291" t="n"/>
      <c r="H1008" s="291" t="n"/>
      <c r="I1008" s="289" t="n"/>
      <c r="J1008" s="203" t="n"/>
    </row>
    <row r="1009" ht="13" customHeight="1" s="189">
      <c r="A1009" s="289" t="n"/>
      <c r="B1009" s="290" t="n"/>
      <c r="C1009" s="290" t="n"/>
      <c r="D1009" s="289" t="n"/>
      <c r="E1009" s="289" t="n"/>
      <c r="F1009" s="291" t="n"/>
      <c r="G1009" s="291" t="n"/>
      <c r="H1009" s="291" t="n"/>
      <c r="I1009" s="289" t="n"/>
      <c r="J1009" s="203" t="n"/>
    </row>
    <row r="1010" ht="13" customHeight="1" s="189">
      <c r="A1010" s="289" t="n"/>
      <c r="B1010" s="290" t="n"/>
      <c r="C1010" s="290" t="n"/>
      <c r="D1010" s="289" t="n"/>
      <c r="E1010" s="289" t="n"/>
      <c r="F1010" s="291" t="n"/>
      <c r="G1010" s="291" t="n"/>
      <c r="H1010" s="291" t="n"/>
      <c r="I1010" s="289" t="n"/>
      <c r="J1010" s="203" t="n"/>
    </row>
    <row r="1011" ht="13" customHeight="1" s="189">
      <c r="A1011" s="289" t="n"/>
      <c r="B1011" s="290" t="n"/>
      <c r="C1011" s="290" t="n"/>
      <c r="D1011" s="289" t="n"/>
      <c r="E1011" s="289" t="n"/>
      <c r="F1011" s="291" t="n"/>
      <c r="G1011" s="291" t="n"/>
      <c r="H1011" s="291" t="n"/>
      <c r="I1011" s="289" t="n"/>
      <c r="J1011" s="203" t="n"/>
    </row>
    <row r="1012" ht="13" customHeight="1" s="189">
      <c r="A1012" s="289" t="n"/>
      <c r="B1012" s="290" t="n"/>
      <c r="C1012" s="290" t="n"/>
      <c r="D1012" s="289" t="n"/>
      <c r="E1012" s="289" t="n"/>
      <c r="F1012" s="291" t="n"/>
      <c r="G1012" s="291" t="n"/>
      <c r="H1012" s="291" t="n"/>
      <c r="I1012" s="289" t="n"/>
      <c r="J1012" s="203" t="n"/>
    </row>
    <row r="1013" ht="13" customHeight="1" s="189">
      <c r="A1013" s="289" t="n"/>
      <c r="B1013" s="290" t="n"/>
      <c r="C1013" s="290" t="n"/>
      <c r="D1013" s="289" t="n"/>
      <c r="E1013" s="289" t="n"/>
      <c r="F1013" s="291" t="n"/>
      <c r="G1013" s="291" t="n"/>
      <c r="H1013" s="291" t="n"/>
      <c r="I1013" s="289" t="n"/>
      <c r="J1013" s="203" t="n"/>
    </row>
    <row r="1014" ht="13" customHeight="1" s="189">
      <c r="A1014" s="289" t="n"/>
      <c r="B1014" s="290" t="n"/>
      <c r="C1014" s="290" t="n"/>
      <c r="D1014" s="289" t="n"/>
      <c r="E1014" s="289" t="n"/>
      <c r="F1014" s="291" t="n"/>
      <c r="G1014" s="291" t="n"/>
      <c r="H1014" s="291" t="n"/>
      <c r="I1014" s="289" t="n"/>
      <c r="J1014" s="203" t="n"/>
    </row>
    <row r="1015" ht="13" customHeight="1" s="189">
      <c r="A1015" s="289" t="n"/>
      <c r="B1015" s="290" t="n"/>
      <c r="C1015" s="290" t="n"/>
      <c r="D1015" s="289" t="n"/>
      <c r="E1015" s="289" t="n"/>
      <c r="F1015" s="291" t="n"/>
      <c r="G1015" s="291" t="n"/>
      <c r="H1015" s="291" t="n"/>
      <c r="I1015" s="289" t="n"/>
      <c r="J1015" s="203" t="n"/>
    </row>
    <row r="1016" ht="13" customHeight="1" s="189">
      <c r="A1016" s="289" t="n"/>
      <c r="B1016" s="290" t="n"/>
      <c r="C1016" s="290" t="n"/>
      <c r="D1016" s="289" t="n"/>
      <c r="E1016" s="289" t="n"/>
      <c r="F1016" s="291" t="n"/>
      <c r="G1016" s="291" t="n"/>
      <c r="H1016" s="291" t="n"/>
      <c r="I1016" s="289" t="n"/>
      <c r="J1016" s="203" t="n"/>
    </row>
    <row r="1017" ht="13" customHeight="1" s="189">
      <c r="A1017" s="289" t="n"/>
      <c r="B1017" s="290" t="n"/>
      <c r="C1017" s="290" t="n"/>
      <c r="D1017" s="289" t="n"/>
      <c r="E1017" s="289" t="n"/>
      <c r="F1017" s="291" t="n"/>
      <c r="G1017" s="291" t="n"/>
      <c r="H1017" s="291" t="n"/>
      <c r="I1017" s="289" t="n"/>
      <c r="J1017" s="203" t="n"/>
    </row>
    <row r="1018" ht="13" customHeight="1" s="189">
      <c r="A1018" s="289" t="n"/>
      <c r="B1018" s="290" t="n"/>
      <c r="C1018" s="290" t="n"/>
      <c r="D1018" s="289" t="n"/>
      <c r="E1018" s="289" t="n"/>
      <c r="F1018" s="291" t="n"/>
      <c r="G1018" s="291" t="n"/>
      <c r="H1018" s="291" t="n"/>
      <c r="I1018" s="289" t="n"/>
      <c r="J1018" s="203" t="n"/>
    </row>
    <row r="1019" ht="13" customHeight="1" s="189">
      <c r="A1019" s="289" t="n"/>
      <c r="B1019" s="290" t="n"/>
      <c r="C1019" s="290" t="n"/>
      <c r="D1019" s="289" t="n"/>
      <c r="E1019" s="289" t="n"/>
      <c r="F1019" s="291" t="n"/>
      <c r="G1019" s="291" t="n"/>
      <c r="H1019" s="291" t="n"/>
      <c r="I1019" s="289" t="n"/>
      <c r="J1019" s="203" t="n"/>
    </row>
    <row r="1020" ht="13" customHeight="1" s="189">
      <c r="A1020" s="289" t="n"/>
      <c r="B1020" s="290" t="n"/>
      <c r="C1020" s="290" t="n"/>
      <c r="D1020" s="289" t="n"/>
      <c r="E1020" s="289" t="n"/>
      <c r="F1020" s="291" t="n"/>
      <c r="G1020" s="291" t="n"/>
      <c r="H1020" s="291" t="n"/>
      <c r="I1020" s="289" t="n"/>
      <c r="J1020" s="203" t="n"/>
    </row>
    <row r="1021" ht="13" customHeight="1" s="189">
      <c r="A1021" s="289" t="n"/>
      <c r="B1021" s="290" t="n"/>
      <c r="C1021" s="290" t="n"/>
      <c r="D1021" s="289" t="n"/>
      <c r="E1021" s="289" t="n"/>
      <c r="F1021" s="291" t="n"/>
      <c r="G1021" s="291" t="n"/>
      <c r="H1021" s="291" t="n"/>
      <c r="I1021" s="289" t="n"/>
      <c r="J1021" s="203" t="n"/>
    </row>
    <row r="1022" ht="13" customHeight="1" s="189">
      <c r="A1022" s="289" t="n"/>
      <c r="B1022" s="290" t="n"/>
      <c r="C1022" s="290" t="n"/>
      <c r="D1022" s="289" t="n"/>
      <c r="E1022" s="289" t="n"/>
      <c r="F1022" s="291" t="n"/>
      <c r="G1022" s="291" t="n"/>
      <c r="H1022" s="291" t="n"/>
      <c r="I1022" s="289" t="n"/>
      <c r="J1022" s="203" t="n"/>
    </row>
    <row r="1023" ht="13" customHeight="1" s="189">
      <c r="A1023" s="289" t="n"/>
      <c r="B1023" s="290" t="n"/>
      <c r="C1023" s="290" t="n"/>
      <c r="D1023" s="289" t="n"/>
      <c r="E1023" s="289" t="n"/>
      <c r="F1023" s="291" t="n"/>
      <c r="G1023" s="291" t="n"/>
      <c r="H1023" s="291" t="n"/>
      <c r="I1023" s="289" t="n"/>
      <c r="J1023" s="203" t="n"/>
    </row>
    <row r="1024" ht="13" customHeight="1" s="189">
      <c r="A1024" s="289" t="n"/>
      <c r="B1024" s="290" t="n"/>
      <c r="C1024" s="290" t="n"/>
      <c r="D1024" s="289" t="n"/>
      <c r="E1024" s="289" t="n"/>
      <c r="F1024" s="291" t="n"/>
      <c r="G1024" s="291" t="n"/>
      <c r="H1024" s="291" t="n"/>
      <c r="I1024" s="289" t="n"/>
      <c r="J1024" s="203" t="n"/>
    </row>
    <row r="1025" ht="13" customHeight="1" s="189"/>
    <row r="1026" ht="13" customHeight="1" s="189"/>
    <row r="1027" ht="13" customHeight="1" s="189"/>
    <row r="1028" ht="13" customHeight="1" s="189"/>
    <row r="1029" ht="13" customHeight="1" s="189"/>
    <row r="1030" ht="13" customHeight="1" s="189"/>
    <row r="1031" ht="13" customHeight="1" s="189"/>
    <row r="1032" ht="13" customHeight="1" s="189"/>
    <row r="1033" ht="13" customHeight="1" s="189"/>
    <row r="1034" ht="13" customHeight="1" s="189"/>
    <row r="1035" ht="13" customHeight="1" s="189"/>
    <row r="1036" ht="13" customHeight="1" s="189"/>
    <row r="1037" ht="13" customHeight="1" s="189"/>
    <row r="1038" ht="13" customHeight="1" s="189"/>
    <row r="1039" ht="13" customHeight="1" s="189"/>
    <row r="1040" ht="13" customHeight="1" s="189"/>
    <row r="1041" ht="13" customHeight="1" s="189"/>
    <row r="1042" ht="13" customHeight="1" s="189"/>
    <row r="1043" ht="13" customHeight="1" s="189"/>
    <row r="1044" ht="13" customHeight="1" s="189"/>
    <row r="1045" ht="13" customHeight="1" s="189"/>
    <row r="1046" ht="13" customHeight="1" s="189"/>
    <row r="1047" ht="13" customHeight="1" s="189"/>
    <row r="1048" ht="13" customHeight="1" s="189"/>
    <row r="1049" ht="13" customHeight="1" s="189"/>
    <row r="1050" ht="13" customHeight="1" s="189"/>
    <row r="1051" ht="13" customHeight="1" s="189"/>
    <row r="1052" ht="13" customHeight="1" s="189"/>
    <row r="1053" ht="13" customHeight="1" s="189"/>
    <row r="1054" ht="13" customHeight="1" s="189"/>
    <row r="1055" ht="13" customHeight="1" s="189"/>
    <row r="1056" ht="13" customHeight="1" s="189"/>
    <row r="1057" ht="13" customHeight="1" s="189"/>
    <row r="1058" ht="13" customHeight="1" s="189"/>
    <row r="1059" ht="13" customHeight="1" s="189"/>
    <row r="1060" ht="13" customHeight="1" s="189"/>
    <row r="1061" ht="13" customHeight="1" s="189"/>
    <row r="1062" ht="13" customHeight="1" s="189"/>
    <row r="1063" ht="13" customHeight="1" s="189"/>
    <row r="1064" ht="13" customHeight="1" s="189"/>
    <row r="1065" ht="13" customHeight="1" s="189"/>
    <row r="1066" ht="13" customHeight="1" s="189"/>
    <row r="1067" ht="13" customHeight="1" s="189"/>
    <row r="1068" ht="13" customHeight="1" s="189"/>
    <row r="1069" ht="13" customHeight="1" s="189"/>
    <row r="1070" ht="13" customHeight="1" s="189"/>
    <row r="1071" ht="13" customHeight="1" s="189"/>
    <row r="1072" ht="13" customHeight="1" s="189"/>
    <row r="1073" ht="13" customHeight="1" s="189"/>
    <row r="1074" ht="13" customHeight="1" s="189"/>
    <row r="1075" ht="13" customHeight="1" s="189"/>
    <row r="1076" ht="13" customHeight="1" s="189"/>
    <row r="1077" ht="13" customHeight="1" s="189"/>
    <row r="1078" ht="13" customHeight="1" s="189"/>
    <row r="1079" ht="13" customHeight="1" s="189"/>
    <row r="1080" ht="13" customHeight="1" s="189"/>
    <row r="1081" ht="13" customHeight="1" s="189"/>
    <row r="1082" ht="13" customHeight="1" s="189"/>
    <row r="1083" ht="13" customHeight="1" s="189"/>
    <row r="1084" ht="13" customHeight="1" s="189"/>
    <row r="1085" ht="13" customHeight="1" s="189"/>
    <row r="1086" ht="13" customHeight="1" s="189"/>
    <row r="1087" ht="13" customHeight="1" s="189"/>
    <row r="1088" ht="13" customHeight="1" s="189"/>
    <row r="1089" ht="13" customHeight="1" s="189"/>
    <row r="1090" ht="13" customHeight="1" s="189"/>
    <row r="1091" ht="13" customHeight="1" s="189"/>
    <row r="1092" ht="13" customHeight="1" s="189"/>
    <row r="1093" ht="13" customHeight="1" s="189"/>
    <row r="1094" ht="13" customHeight="1" s="189"/>
    <row r="1095" ht="13" customHeight="1" s="189"/>
    <row r="1096" ht="13" customHeight="1" s="189"/>
    <row r="1097" ht="13" customHeight="1" s="189"/>
    <row r="1098" ht="13" customHeight="1" s="189"/>
    <row r="1099" ht="13" customHeight="1" s="189"/>
    <row r="1100" ht="13" customHeight="1" s="189"/>
    <row r="1101" ht="13" customHeight="1" s="189"/>
    <row r="1102" ht="13" customHeight="1" s="189"/>
    <row r="1103" ht="13" customHeight="1" s="189"/>
    <row r="1104" ht="13" customHeight="1" s="189"/>
    <row r="1105" ht="13" customHeight="1" s="189"/>
    <row r="1106" ht="13" customHeight="1" s="189"/>
    <row r="1107" ht="13" customHeight="1" s="189"/>
    <row r="1108" ht="13" customHeight="1" s="189"/>
    <row r="1109" ht="13" customHeight="1" s="189"/>
    <row r="1110" ht="13" customHeight="1" s="189"/>
    <row r="1111" ht="13" customHeight="1" s="189"/>
    <row r="1112" ht="13" customHeight="1" s="189"/>
    <row r="1113" ht="13" customHeight="1" s="189"/>
    <row r="1114" ht="13" customHeight="1" s="189"/>
    <row r="1115" ht="13" customHeight="1" s="189"/>
    <row r="1116" ht="13" customHeight="1" s="189"/>
    <row r="1117" ht="13" customHeight="1" s="189"/>
    <row r="1118" ht="13" customHeight="1" s="189"/>
    <row r="1119" ht="13" customHeight="1" s="189"/>
    <row r="1120" ht="13" customHeight="1" s="189"/>
    <row r="1121" ht="13" customHeight="1" s="189"/>
    <row r="1122" ht="13" customHeight="1" s="189"/>
    <row r="1123" ht="13" customHeight="1" s="189"/>
    <row r="1124" ht="13" customHeight="1" s="189"/>
    <row r="1125" ht="13" customHeight="1" s="189"/>
    <row r="1126" ht="13" customHeight="1" s="189"/>
    <row r="1127" ht="13" customHeight="1" s="189"/>
    <row r="1128" ht="13" customHeight="1" s="189"/>
    <row r="1129" ht="13" customHeight="1" s="189"/>
    <row r="1130" ht="13" customHeight="1" s="189"/>
    <row r="1131" ht="13" customHeight="1" s="189"/>
    <row r="1132" ht="13" customHeight="1" s="189"/>
    <row r="1133" ht="13" customHeight="1" s="189"/>
    <row r="1134" ht="13" customHeight="1" s="189"/>
    <row r="1135" ht="13" customHeight="1" s="189"/>
    <row r="1136" ht="13" customHeight="1" s="189"/>
    <row r="1137" ht="13" customHeight="1" s="189"/>
    <row r="1138" ht="13" customHeight="1" s="189"/>
    <row r="1139" ht="13" customHeight="1" s="189"/>
    <row r="1140" ht="13" customHeight="1" s="189"/>
    <row r="1141" ht="13" customHeight="1" s="189"/>
    <row r="1142" ht="13" customHeight="1" s="189"/>
    <row r="1143" ht="13" customHeight="1" s="189"/>
    <row r="1144" ht="13" customHeight="1" s="189"/>
    <row r="1145" ht="13" customHeight="1" s="189"/>
    <row r="1146" ht="13" customHeight="1" s="189"/>
    <row r="1147" ht="13" customHeight="1" s="189"/>
    <row r="1148" ht="13" customHeight="1" s="189"/>
    <row r="1149" ht="13" customHeight="1" s="189"/>
    <row r="1150" ht="13" customHeight="1" s="189"/>
    <row r="1151" ht="13" customHeight="1" s="189"/>
    <row r="1152" ht="13" customHeight="1" s="189"/>
    <row r="1153" ht="13" customHeight="1" s="189"/>
    <row r="1154" ht="13" customHeight="1" s="189"/>
    <row r="1155" ht="13" customHeight="1" s="189"/>
    <row r="1156" ht="13" customHeight="1" s="189"/>
    <row r="1157" ht="13" customHeight="1" s="189"/>
    <row r="1158" ht="13" customHeight="1" s="189"/>
    <row r="1159" ht="13" customHeight="1" s="189"/>
    <row r="1160" ht="13" customHeight="1" s="189"/>
    <row r="1161" ht="13" customHeight="1" s="189"/>
    <row r="1162" ht="13" customHeight="1" s="189"/>
    <row r="1163" ht="13" customHeight="1" s="189"/>
    <row r="1164" ht="13" customHeight="1" s="189"/>
    <row r="1165" ht="13" customHeight="1" s="189"/>
    <row r="1166" ht="13" customHeight="1" s="189"/>
    <row r="1167" ht="13" customHeight="1" s="189"/>
    <row r="1168" ht="13" customHeight="1" s="189"/>
    <row r="1169" ht="13" customHeight="1" s="189"/>
    <row r="1170" ht="13" customHeight="1" s="189"/>
    <row r="1171" ht="13" customHeight="1" s="189"/>
    <row r="1172" ht="13" customHeight="1" s="189"/>
    <row r="1173" ht="13" customHeight="1" s="189"/>
    <row r="1174" ht="13" customHeight="1" s="189"/>
    <row r="1175" ht="13" customHeight="1" s="189"/>
    <row r="1176" ht="13" customHeight="1" s="189"/>
    <row r="1177" ht="13" customHeight="1" s="189"/>
    <row r="1178" ht="13" customHeight="1" s="189"/>
    <row r="1179" ht="13" customHeight="1" s="189"/>
    <row r="1180" ht="13" customHeight="1" s="189"/>
    <row r="1181" ht="13" customHeight="1" s="189"/>
    <row r="1182" ht="13" customHeight="1" s="189"/>
    <row r="1183" ht="13" customHeight="1" s="189"/>
    <row r="1184" ht="13" customHeight="1" s="189"/>
    <row r="1185" ht="13" customHeight="1" s="189"/>
    <row r="1186" ht="13" customHeight="1" s="189"/>
    <row r="1187" ht="13" customHeight="1" s="189"/>
    <row r="1188" ht="13" customHeight="1" s="189"/>
    <row r="1189" ht="13" customHeight="1" s="189"/>
    <row r="1190" ht="13" customHeight="1" s="189"/>
    <row r="1191" ht="13" customHeight="1" s="189"/>
    <row r="1192" ht="13" customHeight="1" s="189"/>
    <row r="1193" ht="13" customHeight="1" s="189"/>
    <row r="1194" ht="13" customHeight="1" s="189"/>
    <row r="1195" ht="13" customHeight="1" s="189"/>
    <row r="1196" ht="13" customHeight="1" s="189"/>
    <row r="1197" ht="13" customHeight="1" s="189"/>
    <row r="1198" ht="13" customHeight="1" s="189"/>
    <row r="1199" ht="13" customHeight="1" s="189"/>
    <row r="1200" ht="13" customHeight="1" s="189"/>
    <row r="1201" ht="13" customHeight="1" s="189"/>
    <row r="1202" ht="13" customHeight="1" s="189"/>
    <row r="1203" ht="13" customHeight="1" s="189"/>
    <row r="1204" ht="13" customHeight="1" s="189"/>
    <row r="1205" ht="13" customHeight="1" s="189"/>
    <row r="1206" ht="13" customHeight="1" s="189"/>
    <row r="1207" ht="13" customHeight="1" s="189"/>
    <row r="1208" ht="13" customHeight="1" s="189"/>
    <row r="1209" ht="13" customHeight="1" s="189"/>
    <row r="1210" ht="13" customHeight="1" s="189"/>
    <row r="1211" ht="13" customHeight="1" s="189"/>
    <row r="1212" ht="13" customHeight="1" s="189"/>
    <row r="1213" ht="13" customHeight="1" s="189"/>
    <row r="1214" ht="13" customHeight="1" s="189"/>
    <row r="1215" ht="13" customHeight="1" s="189"/>
    <row r="1216" ht="13" customHeight="1" s="189"/>
    <row r="1217" ht="13" customHeight="1" s="189"/>
    <row r="1218" ht="13" customHeight="1" s="189"/>
    <row r="1219" ht="13" customHeight="1" s="189"/>
    <row r="1220" ht="13" customHeight="1" s="189"/>
    <row r="1221" ht="13" customHeight="1" s="189"/>
    <row r="1222" ht="13" customHeight="1" s="189"/>
    <row r="1223" ht="13" customHeight="1" s="189"/>
    <row r="1224" ht="13" customHeight="1" s="189"/>
    <row r="1225" ht="13" customHeight="1" s="189"/>
    <row r="1226" ht="13" customHeight="1" s="189"/>
    <row r="1227" ht="13" customHeight="1" s="189"/>
    <row r="1228" ht="13" customHeight="1" s="189"/>
    <row r="1229" ht="13" customHeight="1" s="189"/>
    <row r="1230" ht="13" customHeight="1" s="189"/>
    <row r="1231" ht="13" customHeight="1" s="189"/>
    <row r="1232" ht="13" customHeight="1" s="189"/>
    <row r="1233" ht="13" customHeight="1" s="189"/>
    <row r="1234" ht="13" customHeight="1" s="189"/>
    <row r="1235" ht="13" customHeight="1" s="189"/>
    <row r="1236" ht="13" customHeight="1" s="189"/>
    <row r="1237" ht="13" customHeight="1" s="189"/>
    <row r="1238" ht="13" customHeight="1" s="189"/>
    <row r="1239" ht="13" customHeight="1" s="189"/>
    <row r="1240" ht="13" customHeight="1" s="189"/>
    <row r="1241" ht="13" customHeight="1" s="189"/>
    <row r="1242" ht="13" customHeight="1" s="189"/>
    <row r="1243" ht="13" customHeight="1" s="189"/>
    <row r="1244" ht="13" customHeight="1" s="189"/>
    <row r="1245" ht="13" customHeight="1" s="189"/>
    <row r="1246" ht="13" customHeight="1" s="189"/>
    <row r="1247" ht="13" customHeight="1" s="189"/>
    <row r="1248" ht="13" customHeight="1" s="189"/>
    <row r="1249" ht="13" customHeight="1" s="189"/>
    <row r="1250" ht="13" customHeight="1" s="189"/>
    <row r="1251" ht="13" customHeight="1" s="189"/>
    <row r="1252" ht="13" customHeight="1" s="189"/>
    <row r="1253" ht="13" customHeight="1" s="189"/>
    <row r="1254" ht="13" customHeight="1" s="189"/>
    <row r="1255" ht="13" customHeight="1" s="189"/>
    <row r="1256" ht="13" customHeight="1" s="189"/>
    <row r="1257" ht="13" customHeight="1" s="189"/>
    <row r="1258" ht="13" customHeight="1" s="189"/>
    <row r="1259" ht="13" customHeight="1" s="189"/>
    <row r="1260" ht="13" customHeight="1" s="189"/>
    <row r="1261" ht="13" customHeight="1" s="189"/>
    <row r="1262" ht="13" customHeight="1" s="189"/>
    <row r="1263" ht="13" customHeight="1" s="189"/>
    <row r="1264" ht="13" customHeight="1" s="189"/>
    <row r="1265" ht="13" customHeight="1" s="189"/>
    <row r="1266" ht="13" customHeight="1" s="189"/>
    <row r="1267" ht="13" customHeight="1" s="189"/>
    <row r="1268" ht="13" customHeight="1" s="189"/>
    <row r="1269" ht="13" customHeight="1" s="189"/>
    <row r="1270" ht="13" customHeight="1" s="189"/>
    <row r="1271" ht="13" customHeight="1" s="189"/>
    <row r="1272" ht="13" customHeight="1" s="189"/>
    <row r="1273" ht="13" customHeight="1" s="189"/>
    <row r="1274" ht="13" customHeight="1" s="189"/>
    <row r="1275" ht="13" customHeight="1" s="189"/>
    <row r="1276" ht="13" customHeight="1" s="189"/>
    <row r="1277" ht="13" customHeight="1" s="189"/>
    <row r="1278" ht="13" customHeight="1" s="189"/>
    <row r="1279" ht="13" customHeight="1" s="189"/>
    <row r="1280" ht="13" customHeight="1" s="189"/>
    <row r="1281" ht="13" customHeight="1" s="189"/>
    <row r="1282" ht="13" customHeight="1" s="189"/>
    <row r="1283" ht="13" customHeight="1" s="189"/>
    <row r="1284" ht="13" customHeight="1" s="189"/>
    <row r="1285" ht="13" customHeight="1" s="189"/>
    <row r="1286" ht="13" customHeight="1" s="189"/>
    <row r="1287" ht="13" customHeight="1" s="189"/>
    <row r="1288" ht="13" customHeight="1" s="189"/>
    <row r="1289" ht="13" customHeight="1" s="189"/>
    <row r="1290" ht="13" customHeight="1" s="189"/>
    <row r="1291" ht="13" customHeight="1" s="189"/>
    <row r="1292" ht="13" customHeight="1" s="189"/>
    <row r="1293" ht="13" customHeight="1" s="189"/>
    <row r="1294" ht="13" customHeight="1" s="189"/>
    <row r="1295" ht="13" customHeight="1" s="189"/>
    <row r="1296" ht="13" customHeight="1" s="189"/>
    <row r="1297" ht="13" customHeight="1" s="189"/>
    <row r="1298" ht="13" customHeight="1" s="189"/>
    <row r="1299" ht="13" customHeight="1" s="189"/>
    <row r="1300" ht="13" customHeight="1" s="189"/>
    <row r="1301" ht="13" customHeight="1" s="189"/>
    <row r="1302" ht="13" customHeight="1" s="189"/>
    <row r="1303" ht="13" customHeight="1" s="189"/>
    <row r="1304" ht="13" customHeight="1" s="189"/>
    <row r="1305" ht="13" customHeight="1" s="189"/>
    <row r="1306" ht="13" customHeight="1" s="189"/>
    <row r="1307" ht="13" customHeight="1" s="189"/>
    <row r="1308" ht="13" customHeight="1" s="189"/>
    <row r="1309" ht="13" customHeight="1" s="189"/>
    <row r="1310" ht="13" customHeight="1" s="189"/>
    <row r="1311" ht="13" customHeight="1" s="189"/>
    <row r="1312" ht="13" customHeight="1" s="189"/>
    <row r="1313" ht="13" customHeight="1" s="189"/>
    <row r="1314" ht="13" customHeight="1" s="189"/>
    <row r="1315" ht="13" customHeight="1" s="189"/>
    <row r="1316" ht="13" customHeight="1" s="189"/>
    <row r="1317" ht="13" customHeight="1" s="189"/>
    <row r="1318" ht="13" customHeight="1" s="189"/>
    <row r="1319" ht="13" customHeight="1" s="189"/>
    <row r="1320" ht="13" customHeight="1" s="189"/>
    <row r="1321" ht="13" customHeight="1" s="189"/>
    <row r="1322" ht="13" customHeight="1" s="189"/>
    <row r="1323" ht="13" customHeight="1" s="189"/>
    <row r="1324" ht="13" customHeight="1" s="189"/>
    <row r="1325" ht="13" customHeight="1" s="189"/>
    <row r="1326" ht="13" customHeight="1" s="189"/>
    <row r="1327" ht="13" customHeight="1" s="189"/>
    <row r="1328" ht="13" customHeight="1" s="189"/>
    <row r="1329" ht="13" customHeight="1" s="189"/>
    <row r="1330" ht="13" customHeight="1" s="189"/>
    <row r="1331" ht="13" customHeight="1" s="189"/>
    <row r="1332" ht="13" customHeight="1" s="189"/>
    <row r="1333" ht="13" customHeight="1" s="189"/>
    <row r="1334" ht="13" customHeight="1" s="189"/>
    <row r="1335" ht="13" customHeight="1" s="189"/>
    <row r="1336" ht="13" customHeight="1" s="189"/>
    <row r="1337" ht="13" customHeight="1" s="189"/>
    <row r="1338" ht="13" customHeight="1" s="189"/>
    <row r="1339" ht="13" customHeight="1" s="189"/>
    <row r="1340" ht="13" customHeight="1" s="189"/>
    <row r="1341" ht="13" customHeight="1" s="189"/>
    <row r="1342" ht="13" customHeight="1" s="189"/>
    <row r="1343" ht="13" customHeight="1" s="189"/>
    <row r="1344" ht="13" customHeight="1" s="189"/>
    <row r="1345" ht="13" customHeight="1" s="189"/>
    <row r="1346" ht="13" customHeight="1" s="189"/>
    <row r="1347" ht="13" customHeight="1" s="189"/>
    <row r="1348" ht="13" customHeight="1" s="189"/>
    <row r="1349" ht="13" customHeight="1" s="189"/>
    <row r="1350" ht="13" customHeight="1" s="189"/>
    <row r="1351" ht="13" customHeight="1" s="189"/>
    <row r="1352" ht="13" customHeight="1" s="189"/>
    <row r="1353" ht="13" customHeight="1" s="189"/>
    <row r="1354" ht="13" customHeight="1" s="189"/>
    <row r="1355" ht="13" customHeight="1" s="189"/>
    <row r="1356" ht="13" customHeight="1" s="189"/>
    <row r="1357" ht="13" customHeight="1" s="189"/>
    <row r="1358" ht="13" customHeight="1" s="189"/>
    <row r="1359" ht="13" customHeight="1" s="189"/>
    <row r="1360" ht="13" customHeight="1" s="189"/>
    <row r="1361" ht="13" customHeight="1" s="189"/>
    <row r="1362" ht="13" customHeight="1" s="189"/>
    <row r="1363" ht="13" customHeight="1" s="189"/>
    <row r="1364" ht="13" customHeight="1" s="189"/>
    <row r="1365" ht="13" customHeight="1" s="189"/>
    <row r="1366" ht="13" customHeight="1" s="189"/>
    <row r="1367" ht="13" customHeight="1" s="189"/>
    <row r="1368" ht="13" customHeight="1" s="189"/>
    <row r="1369" ht="13" customHeight="1" s="189"/>
    <row r="1370" ht="13" customHeight="1" s="189"/>
    <row r="1371" ht="13" customHeight="1" s="189"/>
    <row r="1372" ht="13" customHeight="1" s="189"/>
    <row r="1373" ht="13" customHeight="1" s="189"/>
    <row r="1374" ht="13" customHeight="1" s="189"/>
    <row r="1375" ht="13" customHeight="1" s="189"/>
    <row r="1376" ht="13" customHeight="1" s="189"/>
    <row r="1377" ht="13" customHeight="1" s="189"/>
    <row r="1378" ht="13" customHeight="1" s="189"/>
    <row r="1379" ht="13" customHeight="1" s="189"/>
    <row r="1380" ht="13" customHeight="1" s="189"/>
    <row r="1381" ht="13" customHeight="1" s="189"/>
    <row r="1382" ht="13" customHeight="1" s="189"/>
    <row r="1383" ht="13" customHeight="1" s="189"/>
    <row r="1384" ht="13" customHeight="1" s="189"/>
    <row r="1385" ht="13" customHeight="1" s="189"/>
    <row r="1386" ht="13" customHeight="1" s="189"/>
    <row r="1387" ht="13" customHeight="1" s="189"/>
    <row r="1388" ht="13" customHeight="1" s="189"/>
    <row r="1389" ht="13" customHeight="1" s="189"/>
    <row r="1390" ht="13" customHeight="1" s="189"/>
    <row r="1391" ht="13" customHeight="1" s="189"/>
    <row r="1392" ht="13" customHeight="1" s="189"/>
    <row r="1393" ht="13" customHeight="1" s="189"/>
    <row r="1394" ht="13" customHeight="1" s="189"/>
    <row r="1395" ht="13" customHeight="1" s="189"/>
    <row r="1396" ht="13" customHeight="1" s="189"/>
    <row r="1397" ht="13" customHeight="1" s="189"/>
    <row r="1398" ht="13" customHeight="1" s="189"/>
    <row r="1399" ht="13" customHeight="1" s="189"/>
    <row r="1400" ht="13" customHeight="1" s="189"/>
    <row r="1401" ht="13" customHeight="1" s="189"/>
    <row r="1402" ht="13" customHeight="1" s="189"/>
    <row r="1403" ht="13" customHeight="1" s="189"/>
    <row r="1404" ht="13" customHeight="1" s="189"/>
    <row r="1405" ht="13" customHeight="1" s="189"/>
    <row r="1406" ht="13" customHeight="1" s="189"/>
    <row r="1407" ht="13" customHeight="1" s="189"/>
    <row r="1408" ht="13" customHeight="1" s="189"/>
    <row r="1409" ht="13" customHeight="1" s="189"/>
    <row r="1410" ht="13" customHeight="1" s="189"/>
    <row r="1411" ht="13" customHeight="1" s="189"/>
    <row r="1412" ht="13" customHeight="1" s="189"/>
    <row r="1413" ht="13" customHeight="1" s="189"/>
    <row r="1414" ht="13" customHeight="1" s="189"/>
    <row r="1415" ht="13" customHeight="1" s="189"/>
    <row r="1416" ht="13" customHeight="1" s="189"/>
    <row r="1417" ht="13" customHeight="1" s="189"/>
    <row r="1418" ht="13" customHeight="1" s="189"/>
    <row r="1419" ht="13" customHeight="1" s="189"/>
    <row r="1420" ht="13" customHeight="1" s="189"/>
    <row r="1421" ht="13" customHeight="1" s="189"/>
    <row r="1422" ht="13" customHeight="1" s="189"/>
    <row r="1423" ht="13" customHeight="1" s="189"/>
    <row r="1424" ht="13" customHeight="1" s="189"/>
    <row r="1425" ht="13" customHeight="1" s="189"/>
    <row r="1426" ht="13" customHeight="1" s="189"/>
    <row r="1427" ht="13" customHeight="1" s="189"/>
    <row r="1428" ht="13" customHeight="1" s="189"/>
    <row r="1429" ht="13" customHeight="1" s="189"/>
    <row r="1430" ht="13" customHeight="1" s="189"/>
    <row r="1431" ht="13" customHeight="1" s="189"/>
    <row r="1432" ht="13" customHeight="1" s="189"/>
    <row r="1433" ht="13" customHeight="1" s="189"/>
    <row r="1434" ht="13" customHeight="1" s="189"/>
    <row r="1435" ht="13" customHeight="1" s="189"/>
    <row r="1436" ht="13" customHeight="1" s="189"/>
    <row r="1437" ht="13" customHeight="1" s="189"/>
    <row r="1438" ht="13" customHeight="1" s="189"/>
    <row r="1439" ht="13" customHeight="1" s="189"/>
    <row r="1440" ht="13" customHeight="1" s="189"/>
    <row r="1441" ht="13" customHeight="1" s="189"/>
    <row r="1442" ht="13" customHeight="1" s="189"/>
    <row r="1443" ht="13" customHeight="1" s="189"/>
    <row r="1444" ht="13" customHeight="1" s="189"/>
    <row r="1445" ht="13" customHeight="1" s="189"/>
    <row r="1446" ht="13" customHeight="1" s="189"/>
    <row r="1447" ht="13" customHeight="1" s="189"/>
    <row r="1448" ht="13" customHeight="1" s="189"/>
    <row r="1449" ht="13" customHeight="1" s="189"/>
    <row r="1450" ht="13" customHeight="1" s="189"/>
    <row r="1451" ht="13" customHeight="1" s="189"/>
    <row r="1452" ht="13" customHeight="1" s="189"/>
    <row r="1453" ht="13" customHeight="1" s="189"/>
    <row r="1454" ht="13" customHeight="1" s="189"/>
    <row r="1455" ht="13" customHeight="1" s="189"/>
    <row r="1456" ht="13" customHeight="1" s="189"/>
    <row r="1457" ht="13" customHeight="1" s="189"/>
    <row r="1458" ht="13" customHeight="1" s="189"/>
    <row r="1459" ht="13" customHeight="1" s="189"/>
    <row r="1460" ht="13" customHeight="1" s="189"/>
    <row r="1461" ht="13" customHeight="1" s="189"/>
    <row r="1462" ht="13" customHeight="1" s="189"/>
    <row r="1463" ht="13" customHeight="1" s="189"/>
    <row r="1464" ht="13" customHeight="1" s="189"/>
    <row r="1465" ht="13" customHeight="1" s="189"/>
    <row r="1466" ht="13" customHeight="1" s="189"/>
    <row r="1467" ht="13" customHeight="1" s="189"/>
    <row r="1468" ht="13" customHeight="1" s="189"/>
    <row r="1469" ht="13" customHeight="1" s="189"/>
    <row r="1470" ht="13" customHeight="1" s="189"/>
    <row r="1471" ht="13" customHeight="1" s="189"/>
    <row r="1472" ht="13" customHeight="1" s="189"/>
    <row r="1473" ht="13" customHeight="1" s="189"/>
    <row r="1474" ht="13" customHeight="1" s="189"/>
    <row r="1475" ht="13" customHeight="1" s="189"/>
    <row r="1476" ht="13" customHeight="1" s="189"/>
    <row r="1477" ht="13" customHeight="1" s="189"/>
    <row r="1478" ht="13" customHeight="1" s="189"/>
    <row r="1479" ht="13" customHeight="1" s="189"/>
    <row r="1480" ht="13" customHeight="1" s="189"/>
    <row r="1481" ht="13" customHeight="1" s="189"/>
    <row r="1482" ht="13" customHeight="1" s="189"/>
    <row r="1483" ht="13" customHeight="1" s="189"/>
    <row r="1484" ht="13" customHeight="1" s="189"/>
    <row r="1485" ht="13" customHeight="1" s="189"/>
    <row r="1486" ht="13" customHeight="1" s="189"/>
    <row r="1487" ht="13" customHeight="1" s="189"/>
    <row r="1488" ht="13" customHeight="1" s="189"/>
    <row r="1489" ht="13" customHeight="1" s="189"/>
    <row r="1490" ht="13" customHeight="1" s="189"/>
    <row r="1491" ht="13" customHeight="1" s="189"/>
    <row r="1492" ht="13" customHeight="1" s="189"/>
    <row r="1493" ht="13" customHeight="1" s="189"/>
    <row r="1494" ht="13" customHeight="1" s="189"/>
    <row r="1495" ht="13" customHeight="1" s="189"/>
    <row r="1496" ht="13" customHeight="1" s="189"/>
    <row r="1497" ht="13" customHeight="1" s="189"/>
    <row r="1498" ht="13" customHeight="1" s="189"/>
    <row r="1499" ht="13" customHeight="1" s="189"/>
    <row r="1500" ht="13" customHeight="1" s="189"/>
    <row r="1501" ht="13" customHeight="1" s="189"/>
    <row r="1502" ht="13" customHeight="1" s="189"/>
    <row r="1503" ht="13" customHeight="1" s="189"/>
    <row r="1504" ht="13" customHeight="1" s="189"/>
    <row r="1505" ht="13" customHeight="1" s="189"/>
    <row r="1506" ht="13" customHeight="1" s="189"/>
    <row r="1507" ht="13" customHeight="1" s="189"/>
    <row r="1508" ht="13" customHeight="1" s="189"/>
    <row r="1509" ht="13" customHeight="1" s="189"/>
    <row r="1510" ht="13" customHeight="1" s="189"/>
    <row r="1511" ht="13" customHeight="1" s="189"/>
    <row r="1512" ht="13" customHeight="1" s="189"/>
    <row r="1513" ht="13" customHeight="1" s="189"/>
    <row r="1514" ht="13" customHeight="1" s="189"/>
    <row r="1515" ht="13" customHeight="1" s="189"/>
    <row r="1516" ht="13" customHeight="1" s="189"/>
    <row r="1517" ht="13" customHeight="1" s="189"/>
    <row r="1518" ht="13" customHeight="1" s="189"/>
    <row r="1519" ht="13" customHeight="1" s="189"/>
    <row r="1520" ht="13" customHeight="1" s="189"/>
    <row r="1521" ht="13" customHeight="1" s="189"/>
    <row r="1522" ht="13" customHeight="1" s="189"/>
    <row r="1523" ht="13" customHeight="1" s="189"/>
    <row r="1524" ht="13" customHeight="1" s="189"/>
    <row r="1525" ht="13" customHeight="1" s="189"/>
    <row r="1526" ht="13" customHeight="1" s="189"/>
    <row r="1527" ht="13" customHeight="1" s="189"/>
    <row r="1528" ht="13" customHeight="1" s="189"/>
    <row r="1529" ht="13" customHeight="1" s="189"/>
    <row r="1530" ht="13" customHeight="1" s="189"/>
    <row r="1531" ht="13" customHeight="1" s="189"/>
    <row r="1532" ht="13" customHeight="1" s="189"/>
    <row r="1533" ht="13" customHeight="1" s="189"/>
    <row r="1534" ht="13" customHeight="1" s="189"/>
    <row r="1535" ht="13" customHeight="1" s="189"/>
    <row r="1536" ht="13" customHeight="1" s="189"/>
    <row r="1537" ht="13" customHeight="1" s="189"/>
    <row r="1538" ht="13" customHeight="1" s="189"/>
    <row r="1539" ht="13" customHeight="1" s="189"/>
    <row r="1540" ht="13" customHeight="1" s="189"/>
    <row r="1541" ht="13" customHeight="1" s="189"/>
    <row r="1542" ht="13" customHeight="1" s="189"/>
    <row r="1543" ht="13" customHeight="1" s="189"/>
    <row r="1544" ht="13" customHeight="1" s="189"/>
    <row r="1545" ht="13" customHeight="1" s="189"/>
    <row r="1546" ht="13" customHeight="1" s="189"/>
    <row r="1547" ht="13" customHeight="1" s="189"/>
    <row r="1548" ht="13" customHeight="1" s="189"/>
    <row r="1549" ht="13" customHeight="1" s="189"/>
    <row r="1550" ht="13" customHeight="1" s="189"/>
    <row r="1551" ht="13" customHeight="1" s="189"/>
    <row r="1552" ht="13" customHeight="1" s="189"/>
    <row r="1553" ht="13" customHeight="1" s="189"/>
    <row r="1554" ht="13" customHeight="1" s="189"/>
    <row r="1555" ht="13" customHeight="1" s="189"/>
    <row r="1556" ht="13" customHeight="1" s="189"/>
    <row r="1557" ht="13" customHeight="1" s="189"/>
    <row r="1558" ht="13" customHeight="1" s="189"/>
    <row r="1559" ht="13" customHeight="1" s="189"/>
    <row r="1560" ht="13" customHeight="1" s="189"/>
    <row r="1561" ht="13" customHeight="1" s="189"/>
    <row r="1562" ht="13" customHeight="1" s="189"/>
    <row r="1563" ht="13" customHeight="1" s="189"/>
    <row r="1564" ht="13" customHeight="1" s="189"/>
    <row r="1565" ht="13" customHeight="1" s="189"/>
    <row r="1566" ht="13" customHeight="1" s="189"/>
    <row r="1567" ht="13" customHeight="1" s="189"/>
    <row r="1568" ht="13" customHeight="1" s="189"/>
    <row r="1569" ht="13" customHeight="1" s="189"/>
    <row r="1570" ht="13" customHeight="1" s="189"/>
    <row r="1571" ht="13" customHeight="1" s="189"/>
    <row r="1572" ht="13" customHeight="1" s="189"/>
    <row r="1573" ht="13" customHeight="1" s="189"/>
    <row r="1574" ht="13" customHeight="1" s="189"/>
    <row r="1575" ht="13" customHeight="1" s="189"/>
    <row r="1576" ht="13" customHeight="1" s="189"/>
    <row r="1577" ht="13" customHeight="1" s="189"/>
    <row r="1578" ht="13" customHeight="1" s="189"/>
    <row r="1579" ht="13" customHeight="1" s="189"/>
    <row r="1580" ht="13" customHeight="1" s="189"/>
    <row r="1581" ht="13" customHeight="1" s="189"/>
    <row r="1582" ht="13" customHeight="1" s="189"/>
    <row r="1583" ht="13" customHeight="1" s="189"/>
    <row r="1584" ht="13" customHeight="1" s="189"/>
    <row r="1585" ht="13" customHeight="1" s="189"/>
    <row r="1586" ht="13" customHeight="1" s="189"/>
    <row r="1587" ht="13" customHeight="1" s="189"/>
    <row r="1588" ht="13" customHeight="1" s="189"/>
    <row r="1589" ht="13" customHeight="1" s="189"/>
    <row r="1590" ht="13" customHeight="1" s="189"/>
    <row r="1591" ht="13" customHeight="1" s="189"/>
    <row r="1592" ht="13" customHeight="1" s="189"/>
    <row r="1593" ht="13" customHeight="1" s="189"/>
    <row r="1594" ht="13" customHeight="1" s="189"/>
    <row r="1595" ht="13" customHeight="1" s="189"/>
    <row r="1596" ht="13" customHeight="1" s="189"/>
    <row r="1597" ht="13" customHeight="1" s="189"/>
    <row r="1598" ht="13" customHeight="1" s="189"/>
    <row r="1599" ht="13" customHeight="1" s="189"/>
    <row r="1600" ht="13" customHeight="1" s="189"/>
    <row r="1601" ht="13" customHeight="1" s="189"/>
    <row r="1602" ht="13" customHeight="1" s="189"/>
    <row r="1603" ht="13" customHeight="1" s="189"/>
    <row r="1604" ht="13" customHeight="1" s="189"/>
    <row r="1605" ht="13" customHeight="1" s="189"/>
    <row r="1606" ht="13" customHeight="1" s="189"/>
    <row r="1607" ht="13" customHeight="1" s="189"/>
    <row r="1608" ht="13" customHeight="1" s="189"/>
    <row r="1609" ht="13" customHeight="1" s="189"/>
    <row r="1610" ht="13" customHeight="1" s="189"/>
    <row r="1611" ht="13" customHeight="1" s="189"/>
    <row r="1612" ht="13" customHeight="1" s="189"/>
    <row r="1613" ht="13" customHeight="1" s="189"/>
    <row r="1614" ht="13" customHeight="1" s="189"/>
    <row r="1615" ht="13" customHeight="1" s="189"/>
    <row r="1616" ht="13" customHeight="1" s="189"/>
    <row r="1617" ht="13" customHeight="1" s="189"/>
    <row r="1618" ht="13" customHeight="1" s="189"/>
    <row r="1619" ht="13" customHeight="1" s="189"/>
    <row r="1620" ht="13" customHeight="1" s="189"/>
    <row r="1621" ht="13" customHeight="1" s="189"/>
    <row r="1622" ht="13" customHeight="1" s="189"/>
    <row r="1623" ht="13" customHeight="1" s="189"/>
    <row r="1624" ht="13" customHeight="1" s="189"/>
    <row r="1625" ht="13" customHeight="1" s="189"/>
    <row r="1626" ht="13" customHeight="1" s="189"/>
    <row r="1627" ht="13" customHeight="1" s="189"/>
    <row r="1628" ht="13" customHeight="1" s="189"/>
    <row r="1629" ht="13" customHeight="1" s="189"/>
    <row r="1630" ht="13" customHeight="1" s="189"/>
    <row r="1631" ht="13" customHeight="1" s="189"/>
    <row r="1632" ht="13" customHeight="1" s="189"/>
    <row r="1633" ht="13" customHeight="1" s="189"/>
    <row r="1634" ht="13" customHeight="1" s="189"/>
    <row r="1635" ht="13" customHeight="1" s="189"/>
    <row r="1636" ht="13" customHeight="1" s="189"/>
    <row r="1637" ht="13" customHeight="1" s="189"/>
    <row r="1638" ht="13" customHeight="1" s="189"/>
    <row r="1639" ht="13" customHeight="1" s="189"/>
    <row r="1640" ht="13" customHeight="1" s="189"/>
    <row r="1641" ht="13" customHeight="1" s="189"/>
    <row r="1642" ht="13" customHeight="1" s="189"/>
    <row r="1643" ht="13" customHeight="1" s="189"/>
    <row r="1644" ht="13" customHeight="1" s="189"/>
    <row r="1645" ht="13" customHeight="1" s="189"/>
    <row r="1646" ht="13" customHeight="1" s="189"/>
    <row r="1647" ht="13" customHeight="1" s="189"/>
    <row r="1648" ht="13" customHeight="1" s="189"/>
    <row r="1649" ht="13" customHeight="1" s="189"/>
    <row r="1650" ht="13" customHeight="1" s="189"/>
    <row r="1651" ht="13" customHeight="1" s="189"/>
    <row r="1652" ht="13" customHeight="1" s="189"/>
    <row r="1653" ht="13" customHeight="1" s="189"/>
    <row r="1654" ht="13" customHeight="1" s="189"/>
    <row r="1655" ht="13" customHeight="1" s="189"/>
    <row r="1656" ht="13" customHeight="1" s="189"/>
    <row r="1657" ht="13" customHeight="1" s="189"/>
    <row r="1658" ht="13" customHeight="1" s="189"/>
    <row r="1659" ht="13" customHeight="1" s="189"/>
    <row r="1660" ht="13" customHeight="1" s="189"/>
    <row r="1661" ht="13" customHeight="1" s="189"/>
    <row r="1662" ht="13" customHeight="1" s="189"/>
    <row r="1663" ht="13" customHeight="1" s="189"/>
    <row r="1664" ht="13" customHeight="1" s="189"/>
    <row r="1665" ht="13" customHeight="1" s="189"/>
    <row r="1666" ht="13" customHeight="1" s="189"/>
    <row r="1667" ht="13" customHeight="1" s="189"/>
    <row r="1668" ht="13" customHeight="1" s="189"/>
    <row r="1669" ht="13" customHeight="1" s="189"/>
    <row r="1670" ht="13" customHeight="1" s="189"/>
    <row r="1671" ht="13" customHeight="1" s="189"/>
    <row r="1672" ht="13" customHeight="1" s="189"/>
    <row r="1673" ht="13" customHeight="1" s="189"/>
    <row r="1674" ht="13" customHeight="1" s="189"/>
    <row r="1675" ht="13" customHeight="1" s="189"/>
    <row r="1676" ht="13" customHeight="1" s="189"/>
    <row r="1677" ht="13" customHeight="1" s="189"/>
    <row r="1678" ht="13" customHeight="1" s="189"/>
    <row r="1679" ht="13" customHeight="1" s="189"/>
    <row r="1680" ht="13" customHeight="1" s="189"/>
    <row r="1681" ht="13" customHeight="1" s="189"/>
    <row r="1682" ht="13" customHeight="1" s="189"/>
    <row r="1683" ht="13" customHeight="1" s="189"/>
    <row r="1684" ht="13" customHeight="1" s="189"/>
    <row r="1685" ht="13" customHeight="1" s="189"/>
    <row r="1686" ht="13" customHeight="1" s="189"/>
    <row r="1687" ht="13" customHeight="1" s="189"/>
    <row r="1688" ht="13" customHeight="1" s="189"/>
    <row r="1689" ht="13" customHeight="1" s="189"/>
    <row r="1690" ht="13" customHeight="1" s="189"/>
    <row r="1691" ht="13" customHeight="1" s="189"/>
    <row r="1692" ht="13" customHeight="1" s="189"/>
    <row r="1693" ht="13" customHeight="1" s="189"/>
    <row r="1694" ht="13" customHeight="1" s="189"/>
    <row r="1695" ht="13" customHeight="1" s="189"/>
    <row r="1696" ht="13" customHeight="1" s="189"/>
    <row r="1697" ht="13" customHeight="1" s="189"/>
    <row r="1698" ht="13" customHeight="1" s="189"/>
    <row r="1699" ht="13" customHeight="1" s="189"/>
    <row r="1700" ht="13" customHeight="1" s="189"/>
    <row r="1701" ht="13" customHeight="1" s="189"/>
    <row r="1702" ht="13" customHeight="1" s="189"/>
    <row r="1703" ht="13" customHeight="1" s="189"/>
    <row r="1704" ht="13" customHeight="1" s="189"/>
    <row r="1705" ht="13" customHeight="1" s="189"/>
    <row r="1706" ht="13" customHeight="1" s="189"/>
    <row r="1707" ht="13" customHeight="1" s="189"/>
    <row r="1708" ht="13" customHeight="1" s="189"/>
    <row r="1709" ht="13" customHeight="1" s="189"/>
    <row r="1710" ht="13" customHeight="1" s="189"/>
    <row r="1711" ht="13" customHeight="1" s="189"/>
    <row r="1712" ht="13" customHeight="1" s="189"/>
    <row r="1713" ht="13" customHeight="1" s="189"/>
    <row r="1714" ht="13" customHeight="1" s="189"/>
    <row r="1715" ht="13" customHeight="1" s="189"/>
    <row r="1716" ht="13" customHeight="1" s="189"/>
    <row r="1717" ht="13" customHeight="1" s="189"/>
    <row r="1718" ht="13" customHeight="1" s="189"/>
    <row r="1719" ht="13" customHeight="1" s="189"/>
    <row r="1720" ht="13" customHeight="1" s="189"/>
    <row r="1721" ht="13" customHeight="1" s="189"/>
    <row r="1722" ht="13" customHeight="1" s="189"/>
    <row r="1723" ht="13" customHeight="1" s="189"/>
    <row r="1724" ht="13" customHeight="1" s="189"/>
    <row r="1725" ht="13" customHeight="1" s="189"/>
    <row r="1726" ht="13" customHeight="1" s="189"/>
    <row r="1727" ht="13" customHeight="1" s="189"/>
    <row r="1728" ht="13" customHeight="1" s="189"/>
    <row r="1729" ht="13" customHeight="1" s="189"/>
    <row r="1730" ht="13" customHeight="1" s="189"/>
    <row r="1731" ht="13" customHeight="1" s="189"/>
    <row r="1732" ht="13" customHeight="1" s="189"/>
    <row r="1733" ht="13" customHeight="1" s="189"/>
    <row r="1734" ht="13" customHeight="1" s="189"/>
    <row r="1735" ht="13" customHeight="1" s="189"/>
    <row r="1736" ht="13" customHeight="1" s="189"/>
    <row r="1737" ht="13" customHeight="1" s="189"/>
    <row r="1738" ht="13" customHeight="1" s="189"/>
    <row r="1739" ht="13" customHeight="1" s="189"/>
    <row r="1740" ht="13" customHeight="1" s="189"/>
    <row r="1741" ht="13" customHeight="1" s="189"/>
    <row r="1742" ht="13" customHeight="1" s="189"/>
    <row r="1743" ht="13" customHeight="1" s="189"/>
    <row r="1744" ht="13" customHeight="1" s="189"/>
    <row r="1745" ht="13" customHeight="1" s="189"/>
    <row r="1746" ht="13" customHeight="1" s="189"/>
    <row r="1747" ht="13" customHeight="1" s="189"/>
    <row r="1748" ht="13" customHeight="1" s="189"/>
    <row r="1749" ht="13" customHeight="1" s="189"/>
    <row r="1750" ht="13" customHeight="1" s="189"/>
    <row r="1751" ht="13" customHeight="1" s="189"/>
    <row r="1752" ht="13" customHeight="1" s="189"/>
    <row r="1753" ht="13" customHeight="1" s="189"/>
    <row r="1754" ht="13" customHeight="1" s="189"/>
    <row r="1755" ht="13" customHeight="1" s="189"/>
    <row r="1756" ht="13" customHeight="1" s="189"/>
    <row r="1757" ht="13" customHeight="1" s="189"/>
    <row r="1758" ht="13" customHeight="1" s="189"/>
    <row r="1759" ht="13" customHeight="1" s="189"/>
    <row r="1760" ht="13" customHeight="1" s="189"/>
    <row r="1761" ht="13" customHeight="1" s="189"/>
    <row r="1762" ht="13" customHeight="1" s="189"/>
    <row r="1763" ht="13" customHeight="1" s="189"/>
    <row r="1764" ht="13" customHeight="1" s="189"/>
    <row r="1765" ht="13" customHeight="1" s="189"/>
    <row r="1766" ht="13" customHeight="1" s="189"/>
    <row r="1767" ht="13" customHeight="1" s="189"/>
    <row r="1768" ht="13" customHeight="1" s="189"/>
    <row r="1769" ht="13" customHeight="1" s="189"/>
    <row r="1770" ht="13" customHeight="1" s="189"/>
    <row r="1771" ht="13" customHeight="1" s="189"/>
    <row r="1772" ht="13" customHeight="1" s="189"/>
    <row r="1773" ht="13" customHeight="1" s="189"/>
    <row r="1774" ht="13" customHeight="1" s="189"/>
    <row r="1775" ht="13" customHeight="1" s="189"/>
    <row r="1776" ht="13" customHeight="1" s="189"/>
    <row r="1777" ht="13" customHeight="1" s="189"/>
    <row r="1778" ht="13" customHeight="1" s="189"/>
    <row r="1779" ht="13" customHeight="1" s="189"/>
    <row r="1780" ht="13" customHeight="1" s="189"/>
    <row r="1781" ht="13" customHeight="1" s="189"/>
    <row r="1782" ht="13" customHeight="1" s="189"/>
    <row r="1783" ht="13" customHeight="1" s="189"/>
    <row r="1784" ht="13" customHeight="1" s="189"/>
    <row r="1785" ht="13" customHeight="1" s="189"/>
    <row r="1786" ht="13" customHeight="1" s="189"/>
    <row r="1787" ht="13" customHeight="1" s="189"/>
    <row r="1788" ht="13" customHeight="1" s="189"/>
    <row r="1789" ht="13" customHeight="1" s="189"/>
    <row r="1790" ht="13" customHeight="1" s="189"/>
    <row r="1791" ht="13" customHeight="1" s="189"/>
    <row r="1792" ht="13" customHeight="1" s="189"/>
    <row r="1793" ht="13" customHeight="1" s="189"/>
    <row r="1794" ht="13" customHeight="1" s="189"/>
    <row r="1795" ht="13" customHeight="1" s="189"/>
    <row r="1796" ht="13" customHeight="1" s="189"/>
    <row r="1797" ht="13" customHeight="1" s="189"/>
    <row r="1798" ht="13" customHeight="1" s="189"/>
    <row r="1799" ht="13" customHeight="1" s="189"/>
    <row r="1800" ht="13" customHeight="1" s="189"/>
    <row r="1801" ht="13" customHeight="1" s="189"/>
    <row r="1802" ht="13" customHeight="1" s="189"/>
    <row r="1803" ht="13" customHeight="1" s="189"/>
    <row r="1804" ht="13" customHeight="1" s="189"/>
    <row r="1805" ht="13" customHeight="1" s="189"/>
    <row r="1806" ht="13" customHeight="1" s="189"/>
    <row r="1807" ht="13" customHeight="1" s="189"/>
    <row r="1808" ht="13" customHeight="1" s="189"/>
    <row r="1809" ht="13" customHeight="1" s="189"/>
    <row r="1810" ht="13" customHeight="1" s="189"/>
    <row r="1811" ht="13" customHeight="1" s="189"/>
    <row r="1812" ht="13" customHeight="1" s="189"/>
    <row r="1813" ht="13" customHeight="1" s="189"/>
    <row r="1814" ht="13" customHeight="1" s="189"/>
    <row r="1815" ht="13" customHeight="1" s="189"/>
    <row r="1816" ht="13" customHeight="1" s="189"/>
    <row r="1817" ht="13" customHeight="1" s="189"/>
    <row r="1818" ht="13" customHeight="1" s="189"/>
    <row r="1819" ht="13" customHeight="1" s="189"/>
    <row r="1820" ht="13" customHeight="1" s="189"/>
    <row r="1821" ht="13" customHeight="1" s="189"/>
    <row r="1822" ht="13" customHeight="1" s="189"/>
    <row r="1823" ht="13" customHeight="1" s="189"/>
    <row r="1824" ht="13" customHeight="1" s="189"/>
    <row r="1825" ht="13" customHeight="1" s="189"/>
    <row r="1826" ht="13" customHeight="1" s="189"/>
    <row r="1827" ht="13" customHeight="1" s="189"/>
    <row r="1828" ht="13" customHeight="1" s="189"/>
    <row r="1829" ht="13" customHeight="1" s="189"/>
    <row r="1830" ht="13" customHeight="1" s="189"/>
    <row r="1831" ht="13" customHeight="1" s="189"/>
    <row r="1832" ht="13" customHeight="1" s="189"/>
    <row r="1833" ht="13" customHeight="1" s="189"/>
    <row r="1834" ht="13" customHeight="1" s="189"/>
    <row r="1835" ht="13" customHeight="1" s="189"/>
    <row r="1836" ht="13" customHeight="1" s="189"/>
    <row r="1837" ht="13" customHeight="1" s="189"/>
    <row r="1838" ht="13" customHeight="1" s="189"/>
    <row r="1839" ht="13" customHeight="1" s="189"/>
    <row r="1840" ht="13" customHeight="1" s="189"/>
    <row r="1841" ht="13" customHeight="1" s="189"/>
    <row r="1842" ht="13" customHeight="1" s="189"/>
    <row r="1843" ht="13" customHeight="1" s="189"/>
    <row r="1844" ht="13" customHeight="1" s="189"/>
    <row r="1845" ht="13" customHeight="1" s="189"/>
    <row r="1846" ht="13" customHeight="1" s="189"/>
    <row r="1847" ht="13" customHeight="1" s="189"/>
    <row r="1848" ht="13" customHeight="1" s="189"/>
    <row r="1849" ht="13" customHeight="1" s="189"/>
    <row r="1850" ht="13" customHeight="1" s="189"/>
    <row r="1851" ht="13" customHeight="1" s="189"/>
    <row r="1852" ht="13" customHeight="1" s="189"/>
    <row r="1853" ht="13" customHeight="1" s="189"/>
    <row r="1854" ht="13" customHeight="1" s="189"/>
    <row r="1855" ht="13" customHeight="1" s="189"/>
    <row r="1856" ht="13" customHeight="1" s="189"/>
    <row r="1857" ht="13" customHeight="1" s="189"/>
    <row r="1858" ht="13" customHeight="1" s="189"/>
    <row r="1859" ht="13" customHeight="1" s="189"/>
    <row r="1860" ht="13" customHeight="1" s="189"/>
    <row r="1861" ht="13" customHeight="1" s="189"/>
    <row r="1862" ht="13" customHeight="1" s="189"/>
    <row r="1863" ht="13" customHeight="1" s="189"/>
    <row r="1864" ht="13" customHeight="1" s="189"/>
    <row r="1865" ht="13" customHeight="1" s="189"/>
    <row r="1866" ht="13" customHeight="1" s="189"/>
    <row r="1867" ht="13" customHeight="1" s="189"/>
    <row r="1868" ht="13" customHeight="1" s="189"/>
    <row r="1869" ht="13" customHeight="1" s="189"/>
    <row r="1870" ht="13" customHeight="1" s="189"/>
    <row r="1871" ht="13" customHeight="1" s="189"/>
    <row r="1872" ht="13" customHeight="1" s="189"/>
    <row r="1873" ht="13" customHeight="1" s="189"/>
    <row r="1874" ht="13" customHeight="1" s="189"/>
    <row r="1875" ht="13" customHeight="1" s="189"/>
    <row r="1876" ht="13" customHeight="1" s="189"/>
    <row r="1877" ht="13" customHeight="1" s="189"/>
    <row r="1878" ht="13" customHeight="1" s="189"/>
    <row r="1879" ht="13" customHeight="1" s="189"/>
    <row r="1880" ht="13" customHeight="1" s="189"/>
  </sheetData>
  <mergeCells count="11">
    <mergeCell ref="A4:B4"/>
    <mergeCell ref="H4:K4"/>
    <mergeCell ref="A2:B2"/>
    <mergeCell ref="C3:F3"/>
    <mergeCell ref="H3:K3"/>
    <mergeCell ref="C4:F4"/>
    <mergeCell ref="H2:K2"/>
    <mergeCell ref="A1:K1"/>
    <mergeCell ref="A5:H5"/>
    <mergeCell ref="C2:F2"/>
    <mergeCell ref="A3:B3"/>
  </mergeCells>
  <printOptions horizontalCentered="0" verticalCentered="0" headings="0" gridLines="1" gridLinesSet="1"/>
  <pageMargins left="0.25" right="0.25" top="1" bottom="1"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12.xml><?xml version="1.0" encoding="utf-8"?>
<worksheet xmlns="http://schemas.openxmlformats.org/spreadsheetml/2006/main">
  <sheetPr filterMode="0">
    <outlinePr summaryBelow="1" summaryRight="1"/>
    <pageSetUpPr fitToPage="0"/>
  </sheetPr>
  <dimension ref="A1:H1036"/>
  <sheetViews>
    <sheetView showFormulas="0" showGridLines="1" showRowColHeaders="1" showZeros="1" rightToLeft="0" tabSelected="0" showOutlineSymbols="1" defaultGridColor="1" view="normal" topLeftCell="A19" colorId="64" zoomScale="100" zoomScaleNormal="100" zoomScalePageLayoutView="100" workbookViewId="0">
      <selection pane="topLeft" activeCell="H36" activeCellId="0" sqref="H36"/>
    </sheetView>
  </sheetViews>
  <sheetFormatPr baseColWidth="8" defaultColWidth="9.0546875" defaultRowHeight="12.5" zeroHeight="0" outlineLevelRow="0"/>
  <cols>
    <col width="18.72" customWidth="1" style="188" min="1" max="1"/>
    <col width="10.72" customWidth="1" style="293" min="2" max="2"/>
    <col width="17.72" customWidth="1" style="293" min="3" max="4"/>
    <col width="11.26" customWidth="1" style="293" min="5" max="6"/>
    <col width="17.72" customWidth="1" style="188" min="7" max="8"/>
  </cols>
  <sheetData>
    <row r="1" ht="15.5" customHeight="1" s="189">
      <c r="A1" s="243" t="inlineStr">
        <is>
          <t>Roster</t>
        </is>
      </c>
      <c r="B1" s="213" t="n"/>
      <c r="C1" s="213" t="n"/>
      <c r="D1" s="213" t="n"/>
      <c r="E1" s="213" t="n"/>
      <c r="F1" s="213" t="n"/>
      <c r="G1" s="213" t="n"/>
      <c r="H1" s="214" t="n"/>
    </row>
    <row r="2" ht="13" customHeight="1" s="189">
      <c r="A2" s="207" t="inlineStr">
        <is>
          <t>Project</t>
        </is>
      </c>
      <c r="B2" s="294">
        <f>Data!B1</f>
        <v/>
      </c>
      <c r="C2" s="213" t="n"/>
      <c r="D2" s="213" t="n"/>
      <c r="E2" s="214" t="n"/>
      <c r="F2" s="266" t="inlineStr">
        <is>
          <t>Project #</t>
        </is>
      </c>
      <c r="G2" s="294">
        <f>Data!B2</f>
        <v/>
      </c>
      <c r="H2" s="214" t="n"/>
    </row>
    <row r="3" ht="13" customHeight="1" s="189">
      <c r="A3" s="207" t="inlineStr">
        <is>
          <t>Project manager</t>
        </is>
      </c>
      <c r="B3" s="294">
        <f>Data!B3</f>
        <v/>
      </c>
      <c r="C3" s="213" t="n"/>
      <c r="D3" s="213" t="n"/>
      <c r="E3" s="214" t="n"/>
      <c r="F3" s="266" t="inlineStr">
        <is>
          <t>Sponsor</t>
        </is>
      </c>
      <c r="G3" s="294">
        <f>Data!B4</f>
        <v/>
      </c>
      <c r="H3" s="214" t="n"/>
    </row>
    <row r="4" ht="13" customHeight="1" s="189">
      <c r="A4" s="207" t="inlineStr">
        <is>
          <t>Project artifacts</t>
        </is>
      </c>
      <c r="B4" s="294">
        <f>Data!B5</f>
        <v/>
      </c>
      <c r="C4" s="213" t="n"/>
      <c r="D4" s="213" t="n"/>
      <c r="E4" s="214" t="n"/>
      <c r="F4" s="266" t="inlineStr">
        <is>
          <t>Updated</t>
        </is>
      </c>
      <c r="G4" s="294">
        <f>Data!B6</f>
        <v/>
      </c>
      <c r="H4" s="214" t="n"/>
    </row>
    <row r="5" ht="12.5" customHeight="1" s="189">
      <c r="A5" s="222" t="n"/>
      <c r="B5" s="213" t="n"/>
      <c r="C5" s="213" t="n"/>
      <c r="D5" s="213" t="n"/>
      <c r="E5" s="213" t="n"/>
      <c r="F5" s="213" t="n"/>
      <c r="G5" s="214" t="n"/>
      <c r="H5" s="222" t="n"/>
    </row>
    <row r="6" ht="66.75" customHeight="1" s="189">
      <c r="A6" s="281" t="inlineStr">
        <is>
          <t>Name</t>
        </is>
      </c>
      <c r="B6" s="281" t="inlineStr">
        <is>
          <t>Core/ Extended Team</t>
        </is>
      </c>
      <c r="C6" s="281" t="inlineStr">
        <is>
          <t>Title</t>
        </is>
      </c>
      <c r="D6" s="220" t="inlineStr">
        <is>
          <t>Dept.</t>
        </is>
      </c>
      <c r="E6" s="281" t="inlineStr">
        <is>
          <t>Phone</t>
        </is>
      </c>
      <c r="F6" s="220" t="inlineStr">
        <is>
          <t>Cell Phone</t>
        </is>
      </c>
      <c r="G6" s="281" t="inlineStr">
        <is>
          <t>E-Mail</t>
        </is>
      </c>
      <c r="H6" s="281" t="inlineStr">
        <is>
          <t>Project Role</t>
        </is>
      </c>
    </row>
    <row r="7" ht="21.75" customHeight="1" s="189">
      <c r="A7" s="284" t="n"/>
      <c r="B7" s="285" t="n"/>
      <c r="C7" s="223" t="n"/>
      <c r="D7" s="223" t="n"/>
      <c r="E7" s="285" t="inlineStr">
        <is>
          <t>000.000.0000</t>
        </is>
      </c>
      <c r="F7" s="285" t="inlineStr">
        <is>
          <t>000.000.0000</t>
        </is>
      </c>
      <c r="G7" s="284" t="n"/>
      <c r="H7" s="223" t="n"/>
    </row>
    <row r="8" ht="21.75" customHeight="1" s="189">
      <c r="A8" s="284" t="n"/>
      <c r="B8" s="285" t="n"/>
      <c r="C8" s="223" t="n"/>
      <c r="D8" s="223" t="n"/>
      <c r="E8" s="272" t="n"/>
      <c r="F8" s="285" t="n"/>
      <c r="G8" s="284" t="n"/>
      <c r="H8" s="223" t="n"/>
    </row>
    <row r="9" ht="21.75" customHeight="1" s="189">
      <c r="A9" s="284" t="n"/>
      <c r="B9" s="285" t="n"/>
      <c r="C9" s="223" t="n"/>
      <c r="D9" s="223" t="n"/>
      <c r="E9" s="285" t="n"/>
      <c r="F9" s="285" t="n"/>
      <c r="G9" s="284" t="n"/>
      <c r="H9" s="223" t="n"/>
    </row>
    <row r="10" ht="21.75" customHeight="1" s="189">
      <c r="A10" s="284" t="n"/>
      <c r="B10" s="285" t="n"/>
      <c r="C10" s="223" t="n"/>
      <c r="D10" s="223" t="n"/>
      <c r="E10" s="285" t="n"/>
      <c r="F10" s="285" t="n"/>
      <c r="G10" s="284" t="n"/>
      <c r="H10" s="223" t="n"/>
    </row>
    <row r="11" ht="21.75" customHeight="1" s="189">
      <c r="A11" s="284" t="n"/>
      <c r="B11" s="285" t="n"/>
      <c r="C11" s="223" t="n"/>
      <c r="D11" s="223" t="n"/>
      <c r="E11" s="285" t="n"/>
      <c r="F11" s="285" t="n"/>
      <c r="G11" s="284" t="n"/>
      <c r="H11" s="223" t="n"/>
    </row>
    <row r="12" ht="21.75" customHeight="1" s="189">
      <c r="A12" s="284" t="n"/>
      <c r="B12" s="285" t="n"/>
      <c r="C12" s="223" t="n"/>
      <c r="D12" s="223" t="n"/>
      <c r="E12" s="285" t="n"/>
      <c r="F12" s="285" t="n"/>
      <c r="G12" s="284" t="n"/>
      <c r="H12" s="223" t="n"/>
    </row>
    <row r="13" ht="21.75" customHeight="1" s="189">
      <c r="A13" s="284" t="n"/>
      <c r="B13" s="285" t="n"/>
      <c r="C13" s="223" t="n"/>
      <c r="D13" s="223" t="n"/>
      <c r="E13" s="285" t="n"/>
      <c r="F13" s="285" t="n"/>
      <c r="G13" s="284" t="n"/>
      <c r="H13" s="223" t="n"/>
    </row>
    <row r="14" ht="21.75" customHeight="1" s="189">
      <c r="A14" s="284" t="n"/>
      <c r="B14" s="285" t="n"/>
      <c r="C14" s="223" t="n"/>
      <c r="D14" s="223" t="n"/>
      <c r="E14" s="285" t="n"/>
      <c r="F14" s="285" t="n"/>
      <c r="G14" s="284" t="n"/>
      <c r="H14" s="223" t="n"/>
    </row>
    <row r="15" ht="21.75" customHeight="1" s="189">
      <c r="A15" s="284" t="n"/>
      <c r="B15" s="285" t="n"/>
      <c r="C15" s="223" t="n"/>
      <c r="D15" s="223" t="n"/>
      <c r="E15" s="285" t="n"/>
      <c r="F15" s="285" t="n"/>
      <c r="G15" s="284" t="n"/>
      <c r="H15" s="223" t="n"/>
    </row>
    <row r="16" ht="21.75" customHeight="1" s="189">
      <c r="A16" s="284" t="n"/>
      <c r="B16" s="285" t="n"/>
      <c r="C16" s="223" t="n"/>
      <c r="D16" s="223" t="n"/>
      <c r="E16" s="285" t="n"/>
      <c r="F16" s="285" t="n"/>
      <c r="G16" s="284" t="n"/>
      <c r="H16" s="223" t="n"/>
    </row>
    <row r="17" ht="21.75" customHeight="1" s="189">
      <c r="A17" s="284" t="n"/>
      <c r="B17" s="285" t="n"/>
      <c r="C17" s="223" t="n"/>
      <c r="D17" s="223" t="n"/>
      <c r="E17" s="285" t="n"/>
      <c r="F17" s="285" t="n"/>
      <c r="G17" s="284" t="n"/>
      <c r="H17" s="223" t="n"/>
    </row>
    <row r="18" ht="21.75" customHeight="1" s="189">
      <c r="A18" s="284" t="n"/>
      <c r="B18" s="285" t="n"/>
      <c r="C18" s="223" t="n"/>
      <c r="D18" s="223" t="n"/>
      <c r="E18" s="285" t="n"/>
      <c r="F18" s="285" t="n"/>
      <c r="G18" s="284" t="n"/>
      <c r="H18" s="223" t="n"/>
    </row>
    <row r="19" ht="21.75" customHeight="1" s="189">
      <c r="A19" s="284" t="n"/>
      <c r="B19" s="285" t="n"/>
      <c r="C19" s="223" t="n"/>
      <c r="D19" s="223" t="n"/>
      <c r="E19" s="285" t="n"/>
      <c r="F19" s="285" t="n"/>
      <c r="G19" s="284" t="n"/>
      <c r="H19" s="223" t="n"/>
    </row>
    <row r="20" ht="21.75" customHeight="1" s="189">
      <c r="A20" s="284" t="n"/>
      <c r="B20" s="285" t="n"/>
      <c r="C20" s="223" t="n"/>
      <c r="D20" s="223" t="n"/>
      <c r="E20" s="285" t="n"/>
      <c r="F20" s="285" t="n"/>
      <c r="G20" s="284" t="n"/>
      <c r="H20" s="223" t="n"/>
    </row>
    <row r="21" ht="21.75" customHeight="1" s="189">
      <c r="A21" s="284" t="n"/>
      <c r="B21" s="285" t="n"/>
      <c r="C21" s="223" t="n"/>
      <c r="D21" s="223" t="n"/>
      <c r="E21" s="285" t="n"/>
      <c r="F21" s="285" t="n"/>
      <c r="G21" s="284" t="n"/>
      <c r="H21" s="223" t="n"/>
    </row>
    <row r="22" ht="21.75" customHeight="1" s="189">
      <c r="A22" s="284" t="n"/>
      <c r="B22" s="285" t="n"/>
      <c r="C22" s="223" t="n"/>
      <c r="D22" s="223" t="n"/>
      <c r="E22" s="285" t="n"/>
      <c r="F22" s="285" t="n"/>
      <c r="G22" s="284" t="n"/>
      <c r="H22" s="223" t="n"/>
    </row>
    <row r="23" ht="21.75" customHeight="1" s="189">
      <c r="A23" s="284" t="n"/>
      <c r="B23" s="285" t="n"/>
      <c r="C23" s="223" t="n"/>
      <c r="D23" s="223" t="n"/>
      <c r="E23" s="285" t="n"/>
      <c r="F23" s="285" t="n"/>
      <c r="G23" s="284" t="n"/>
      <c r="H23" s="223" t="n"/>
    </row>
    <row r="24" ht="21.75" customHeight="1" s="189">
      <c r="A24" s="284" t="n"/>
      <c r="B24" s="285" t="n"/>
      <c r="C24" s="223" t="n"/>
      <c r="D24" s="223" t="n"/>
      <c r="E24" s="285" t="n"/>
      <c r="F24" s="285" t="n"/>
      <c r="G24" s="284" t="n"/>
      <c r="H24" s="223" t="n"/>
    </row>
    <row r="25" ht="21.75" customHeight="1" s="189">
      <c r="A25" s="284" t="n"/>
      <c r="B25" s="285" t="n"/>
      <c r="C25" s="223" t="n"/>
      <c r="D25" s="223" t="n"/>
      <c r="E25" s="285" t="n"/>
      <c r="F25" s="285" t="n"/>
      <c r="G25" s="284" t="n"/>
      <c r="H25" s="223" t="n"/>
    </row>
    <row r="26" ht="21.75" customHeight="1" s="189">
      <c r="A26" s="284" t="n"/>
      <c r="B26" s="285" t="n"/>
      <c r="C26" s="223" t="n"/>
      <c r="D26" s="223" t="n"/>
      <c r="E26" s="285" t="n"/>
      <c r="F26" s="285" t="n"/>
      <c r="G26" s="284" t="n"/>
      <c r="H26" s="223" t="n"/>
    </row>
    <row r="27" ht="21.75" customHeight="1" s="189">
      <c r="A27" s="284" t="n"/>
      <c r="B27" s="285" t="n"/>
      <c r="C27" s="223" t="n"/>
      <c r="D27" s="223" t="n"/>
      <c r="E27" s="285" t="n"/>
      <c r="F27" s="285" t="n"/>
      <c r="G27" s="284" t="n"/>
      <c r="H27" s="223" t="n"/>
    </row>
    <row r="28" ht="21.75" customHeight="1" s="189">
      <c r="A28" s="284" t="n"/>
      <c r="B28" s="285" t="n"/>
      <c r="C28" s="223" t="n"/>
      <c r="D28" s="223" t="n"/>
      <c r="E28" s="285" t="n"/>
      <c r="F28" s="285" t="n"/>
      <c r="G28" s="284" t="n"/>
      <c r="H28" s="223" t="n"/>
    </row>
    <row r="29" ht="21.75" customHeight="1" s="189">
      <c r="A29" s="284" t="n"/>
      <c r="B29" s="285" t="n"/>
      <c r="C29" s="223" t="n"/>
      <c r="D29" s="223" t="n"/>
      <c r="E29" s="285" t="n"/>
      <c r="F29" s="285" t="n"/>
      <c r="G29" s="284" t="n"/>
      <c r="H29" s="223" t="n"/>
    </row>
    <row r="30" ht="21.75" customHeight="1" s="189">
      <c r="A30" s="284" t="n"/>
      <c r="B30" s="285" t="n"/>
      <c r="C30" s="223" t="n"/>
      <c r="D30" s="223" t="n"/>
      <c r="E30" s="285" t="n"/>
      <c r="F30" s="285" t="n"/>
      <c r="G30" s="284" t="n"/>
      <c r="H30" s="223" t="n"/>
    </row>
    <row r="31" ht="21.75" customHeight="1" s="189">
      <c r="A31" s="284" t="n"/>
      <c r="B31" s="285" t="n"/>
      <c r="C31" s="223" t="n"/>
      <c r="D31" s="223" t="n"/>
      <c r="E31" s="285" t="n"/>
      <c r="F31" s="285" t="n"/>
      <c r="G31" s="284" t="n"/>
      <c r="H31" s="223" t="n"/>
    </row>
    <row r="32" ht="21.75" customHeight="1" s="189">
      <c r="A32" s="284" t="n"/>
      <c r="B32" s="285" t="n"/>
      <c r="C32" s="223" t="n"/>
      <c r="D32" s="223" t="n"/>
      <c r="E32" s="285" t="n"/>
      <c r="F32" s="285" t="n"/>
      <c r="G32" s="284" t="n"/>
      <c r="H32" s="223" t="n"/>
    </row>
    <row r="33" ht="21.75" customHeight="1" s="189">
      <c r="A33" s="284" t="n"/>
      <c r="B33" s="285" t="n"/>
      <c r="C33" s="223" t="n"/>
      <c r="D33" s="223" t="n"/>
      <c r="E33" s="285" t="n"/>
      <c r="F33" s="285" t="n"/>
      <c r="G33" s="284" t="n"/>
      <c r="H33" s="223" t="n"/>
    </row>
    <row r="34" ht="21.75" customHeight="1" s="189">
      <c r="A34" s="284" t="n"/>
      <c r="B34" s="285" t="n"/>
      <c r="C34" s="223" t="n"/>
      <c r="D34" s="223" t="n"/>
      <c r="E34" s="285" t="n"/>
      <c r="F34" s="285" t="n"/>
      <c r="G34" s="284" t="n"/>
      <c r="H34" s="223" t="n"/>
    </row>
    <row r="35" ht="13" customHeight="1" s="189">
      <c r="A35" s="297" t="n"/>
      <c r="B35" s="291" t="n"/>
      <c r="C35" s="298" t="n"/>
      <c r="D35" s="298" t="n"/>
      <c r="E35" s="291" t="n"/>
      <c r="F35" s="291" t="n"/>
      <c r="G35" s="297" t="n"/>
      <c r="H35" s="298" t="n"/>
    </row>
    <row r="36" ht="13" customHeight="1" s="189">
      <c r="A36" s="297" t="n"/>
      <c r="B36" s="291" t="n"/>
      <c r="C36" s="298" t="n"/>
      <c r="D36" s="298" t="n"/>
      <c r="E36" s="291" t="n"/>
      <c r="F36" s="291" t="n"/>
      <c r="G36" s="297" t="n"/>
      <c r="H36" s="201" t="inlineStr">
        <is>
          <t>© Global Knowledge Training LLC</t>
        </is>
      </c>
    </row>
    <row r="37" ht="13" customHeight="1" s="189">
      <c r="A37" s="297" t="n"/>
      <c r="B37" s="291" t="n"/>
      <c r="C37" s="298" t="n"/>
      <c r="D37" s="298" t="n"/>
      <c r="E37" s="291" t="n"/>
      <c r="F37" s="291" t="n"/>
      <c r="G37" s="297" t="n"/>
      <c r="H37" s="298" t="n"/>
    </row>
    <row r="38" ht="13" customHeight="1" s="189">
      <c r="A38" s="297" t="n"/>
      <c r="B38" s="291" t="n"/>
      <c r="C38" s="298" t="n"/>
      <c r="D38" s="298" t="n"/>
      <c r="E38" s="291" t="n"/>
      <c r="F38" s="291" t="n"/>
      <c r="G38" s="297" t="n"/>
      <c r="H38" s="298" t="n"/>
    </row>
    <row r="39" ht="13" customHeight="1" s="189">
      <c r="A39" s="297" t="n"/>
      <c r="B39" s="291" t="n"/>
      <c r="C39" s="298" t="n"/>
      <c r="D39" s="298" t="n"/>
      <c r="E39" s="291" t="n"/>
      <c r="F39" s="291" t="n"/>
      <c r="G39" s="297" t="n"/>
      <c r="H39" s="298" t="n"/>
    </row>
    <row r="40" ht="13" customHeight="1" s="189">
      <c r="A40" s="297" t="n"/>
      <c r="B40" s="291" t="n"/>
      <c r="C40" s="298" t="n"/>
      <c r="D40" s="298" t="n"/>
      <c r="E40" s="291" t="n"/>
      <c r="F40" s="291" t="n"/>
      <c r="G40" s="297" t="n"/>
      <c r="H40" s="298" t="n"/>
    </row>
    <row r="41" ht="13" customHeight="1" s="189">
      <c r="A41" s="297" t="n"/>
      <c r="B41" s="291" t="n"/>
      <c r="C41" s="298" t="n"/>
      <c r="D41" s="298" t="n"/>
      <c r="E41" s="291" t="n"/>
      <c r="F41" s="291" t="n"/>
      <c r="G41" s="297" t="n"/>
      <c r="H41" s="298" t="n"/>
    </row>
    <row r="42" ht="13" customHeight="1" s="189">
      <c r="A42" s="297" t="n"/>
      <c r="B42" s="291" t="n"/>
      <c r="C42" s="298" t="n"/>
      <c r="D42" s="298" t="n"/>
      <c r="E42" s="291" t="n"/>
      <c r="F42" s="291" t="n"/>
      <c r="G42" s="297" t="n"/>
      <c r="H42" s="298" t="n"/>
    </row>
    <row r="43" ht="13" customHeight="1" s="189">
      <c r="A43" s="297" t="n"/>
      <c r="B43" s="291" t="n"/>
      <c r="C43" s="298" t="n"/>
      <c r="D43" s="298" t="n"/>
      <c r="E43" s="291" t="n"/>
      <c r="F43" s="291" t="n"/>
      <c r="G43" s="297" t="n"/>
      <c r="H43" s="298" t="n"/>
    </row>
    <row r="44" ht="13" customHeight="1" s="189">
      <c r="A44" s="297" t="n"/>
      <c r="B44" s="291" t="n"/>
      <c r="C44" s="298" t="n"/>
      <c r="D44" s="298" t="n"/>
      <c r="E44" s="291" t="n"/>
      <c r="F44" s="291" t="n"/>
      <c r="G44" s="297" t="n"/>
      <c r="H44" s="298" t="n"/>
    </row>
    <row r="45" ht="13" customHeight="1" s="189">
      <c r="A45" s="297" t="n"/>
      <c r="B45" s="291" t="n"/>
      <c r="C45" s="298" t="n"/>
      <c r="D45" s="298" t="n"/>
      <c r="E45" s="291" t="n"/>
      <c r="F45" s="291" t="n"/>
      <c r="G45" s="297" t="n"/>
      <c r="H45" s="298" t="n"/>
    </row>
    <row r="46" ht="13" customHeight="1" s="189">
      <c r="A46" s="297" t="n"/>
      <c r="B46" s="291" t="n"/>
      <c r="C46" s="298" t="n"/>
      <c r="D46" s="298" t="n"/>
      <c r="E46" s="291" t="n"/>
      <c r="F46" s="291" t="n"/>
      <c r="G46" s="297" t="n"/>
      <c r="H46" s="298" t="n"/>
    </row>
    <row r="47" ht="13" customHeight="1" s="189">
      <c r="A47" s="297" t="n"/>
      <c r="B47" s="291" t="n"/>
      <c r="C47" s="298" t="n"/>
      <c r="D47" s="298" t="n"/>
      <c r="E47" s="291" t="n"/>
      <c r="F47" s="291" t="n"/>
      <c r="G47" s="297" t="n"/>
      <c r="H47" s="298" t="n"/>
    </row>
    <row r="48" ht="13" customHeight="1" s="189">
      <c r="A48" s="297" t="n"/>
      <c r="B48" s="291" t="n"/>
      <c r="C48" s="298" t="n"/>
      <c r="D48" s="298" t="n"/>
      <c r="E48" s="291" t="n"/>
      <c r="F48" s="291" t="n"/>
      <c r="G48" s="297" t="n"/>
      <c r="H48" s="298" t="n"/>
    </row>
    <row r="49" ht="13" customHeight="1" s="189">
      <c r="A49" s="297" t="n"/>
      <c r="B49" s="291" t="n"/>
      <c r="C49" s="298" t="n"/>
      <c r="D49" s="298" t="n"/>
      <c r="E49" s="291" t="n"/>
      <c r="F49" s="291" t="n"/>
      <c r="G49" s="297" t="n"/>
      <c r="H49" s="298" t="n"/>
    </row>
    <row r="50" ht="13" customHeight="1" s="189">
      <c r="A50" s="297" t="n"/>
      <c r="B50" s="291" t="n"/>
      <c r="C50" s="298" t="n"/>
      <c r="D50" s="298" t="n"/>
      <c r="E50" s="291" t="n"/>
      <c r="F50" s="291" t="n"/>
      <c r="G50" s="297" t="n"/>
      <c r="H50" s="298" t="n"/>
    </row>
    <row r="51" ht="13" customHeight="1" s="189">
      <c r="A51" s="297" t="n"/>
      <c r="B51" s="291" t="n"/>
      <c r="C51" s="298" t="n"/>
      <c r="D51" s="298" t="n"/>
      <c r="E51" s="291" t="n"/>
      <c r="F51" s="291" t="n"/>
      <c r="G51" s="297" t="n"/>
      <c r="H51" s="298" t="n"/>
    </row>
    <row r="52" ht="13" customHeight="1" s="189">
      <c r="A52" s="297" t="n"/>
      <c r="B52" s="291" t="n"/>
      <c r="C52" s="298" t="n"/>
      <c r="D52" s="298" t="n"/>
      <c r="E52" s="291" t="n"/>
      <c r="F52" s="291" t="n"/>
      <c r="G52" s="297" t="n"/>
      <c r="H52" s="298" t="n"/>
    </row>
    <row r="53" ht="13" customHeight="1" s="189">
      <c r="A53" s="297" t="n"/>
      <c r="B53" s="291" t="n"/>
      <c r="C53" s="298" t="n"/>
      <c r="D53" s="298" t="n"/>
      <c r="E53" s="291" t="n"/>
      <c r="F53" s="291" t="n"/>
      <c r="G53" s="297" t="n"/>
      <c r="H53" s="298" t="n"/>
    </row>
    <row r="54" ht="13" customHeight="1" s="189">
      <c r="A54" s="297" t="n"/>
      <c r="B54" s="291" t="n"/>
      <c r="C54" s="298" t="n"/>
      <c r="D54" s="298" t="n"/>
      <c r="E54" s="291" t="n"/>
      <c r="F54" s="291" t="n"/>
      <c r="G54" s="297" t="n"/>
      <c r="H54" s="298" t="n"/>
    </row>
    <row r="55" ht="13" customHeight="1" s="189">
      <c r="A55" s="297" t="n"/>
      <c r="B55" s="291" t="n"/>
      <c r="C55" s="298" t="n"/>
      <c r="D55" s="298" t="n"/>
      <c r="E55" s="291" t="n"/>
      <c r="F55" s="291" t="n"/>
      <c r="G55" s="297" t="n"/>
      <c r="H55" s="298" t="n"/>
    </row>
    <row r="56" ht="13" customHeight="1" s="189">
      <c r="A56" s="297" t="n"/>
      <c r="B56" s="291" t="n"/>
      <c r="C56" s="298" t="n"/>
      <c r="D56" s="298" t="n"/>
      <c r="E56" s="291" t="n"/>
      <c r="F56" s="291" t="n"/>
      <c r="G56" s="297" t="n"/>
      <c r="H56" s="298" t="n"/>
    </row>
    <row r="57" ht="13" customHeight="1" s="189">
      <c r="A57" s="297" t="n"/>
      <c r="B57" s="291" t="n"/>
      <c r="C57" s="298" t="n"/>
      <c r="D57" s="298" t="n"/>
      <c r="E57" s="291" t="n"/>
      <c r="F57" s="291" t="n"/>
      <c r="G57" s="297" t="n"/>
      <c r="H57" s="298" t="n"/>
    </row>
    <row r="58" ht="13" customHeight="1" s="189">
      <c r="A58" s="297" t="n"/>
      <c r="B58" s="291" t="n"/>
      <c r="C58" s="298" t="n"/>
      <c r="D58" s="298" t="n"/>
      <c r="E58" s="291" t="n"/>
      <c r="F58" s="291" t="n"/>
      <c r="G58" s="297" t="n"/>
      <c r="H58" s="298" t="n"/>
    </row>
    <row r="59" ht="13" customHeight="1" s="189">
      <c r="A59" s="297" t="n"/>
      <c r="B59" s="291" t="n"/>
      <c r="C59" s="298" t="n"/>
      <c r="D59" s="298" t="n"/>
      <c r="E59" s="291" t="n"/>
      <c r="F59" s="291" t="n"/>
      <c r="G59" s="297" t="n"/>
      <c r="H59" s="298" t="n"/>
    </row>
    <row r="60" ht="13" customHeight="1" s="189">
      <c r="A60" s="297" t="n"/>
      <c r="B60" s="291" t="n"/>
      <c r="C60" s="298" t="n"/>
      <c r="D60" s="298" t="n"/>
      <c r="E60" s="291" t="n"/>
      <c r="F60" s="291" t="n"/>
      <c r="G60" s="297" t="n"/>
      <c r="H60" s="298" t="n"/>
    </row>
    <row r="61" ht="13" customHeight="1" s="189">
      <c r="A61" s="297" t="n"/>
      <c r="B61" s="291" t="n"/>
      <c r="C61" s="298" t="n"/>
      <c r="D61" s="298" t="n"/>
      <c r="E61" s="291" t="n"/>
      <c r="F61" s="291" t="n"/>
      <c r="G61" s="297" t="n"/>
      <c r="H61" s="298" t="n"/>
    </row>
    <row r="62" ht="13" customHeight="1" s="189">
      <c r="A62" s="297" t="n"/>
      <c r="B62" s="291" t="n"/>
      <c r="C62" s="298" t="n"/>
      <c r="D62" s="298" t="n"/>
      <c r="E62" s="291" t="n"/>
      <c r="F62" s="291" t="n"/>
      <c r="G62" s="297" t="n"/>
      <c r="H62" s="298" t="n"/>
    </row>
    <row r="63" ht="13" customHeight="1" s="189">
      <c r="A63" s="297" t="n"/>
      <c r="B63" s="291" t="n"/>
      <c r="C63" s="298" t="n"/>
      <c r="D63" s="298" t="n"/>
      <c r="E63" s="291" t="n"/>
      <c r="F63" s="291" t="n"/>
      <c r="G63" s="297" t="n"/>
      <c r="H63" s="298" t="n"/>
    </row>
    <row r="64" ht="13" customHeight="1" s="189">
      <c r="A64" s="297" t="n"/>
      <c r="B64" s="291" t="n"/>
      <c r="C64" s="298" t="n"/>
      <c r="D64" s="298" t="n"/>
      <c r="E64" s="291" t="n"/>
      <c r="F64" s="291" t="n"/>
      <c r="G64" s="297" t="n"/>
      <c r="H64" s="298" t="n"/>
    </row>
    <row r="65" ht="13" customHeight="1" s="189">
      <c r="A65" s="297" t="n"/>
      <c r="B65" s="291" t="n"/>
      <c r="C65" s="298" t="n"/>
      <c r="D65" s="298" t="n"/>
      <c r="E65" s="291" t="n"/>
      <c r="F65" s="291" t="n"/>
      <c r="G65" s="297" t="n"/>
      <c r="H65" s="298" t="n"/>
    </row>
    <row r="66" ht="13" customHeight="1" s="189">
      <c r="A66" s="297" t="n"/>
      <c r="B66" s="291" t="n"/>
      <c r="C66" s="298" t="n"/>
      <c r="D66" s="298" t="n"/>
      <c r="E66" s="291" t="n"/>
      <c r="F66" s="291" t="n"/>
      <c r="G66" s="297" t="n"/>
      <c r="H66" s="298" t="n"/>
    </row>
    <row r="67" ht="13" customHeight="1" s="189">
      <c r="A67" s="297" t="n"/>
      <c r="B67" s="291" t="n"/>
      <c r="C67" s="298" t="n"/>
      <c r="D67" s="298" t="n"/>
      <c r="E67" s="291" t="n"/>
      <c r="F67" s="291" t="n"/>
      <c r="G67" s="297" t="n"/>
      <c r="H67" s="298" t="n"/>
    </row>
    <row r="68" ht="13" customHeight="1" s="189">
      <c r="A68" s="297" t="n"/>
      <c r="B68" s="291" t="n"/>
      <c r="C68" s="298" t="n"/>
      <c r="D68" s="298" t="n"/>
      <c r="E68" s="291" t="n"/>
      <c r="F68" s="291" t="n"/>
      <c r="G68" s="297" t="n"/>
      <c r="H68" s="298" t="n"/>
    </row>
    <row r="69" ht="13" customHeight="1" s="189">
      <c r="A69" s="297" t="n"/>
      <c r="B69" s="291" t="n"/>
      <c r="C69" s="298" t="n"/>
      <c r="D69" s="298" t="n"/>
      <c r="E69" s="291" t="n"/>
      <c r="F69" s="291" t="n"/>
      <c r="G69" s="297" t="n"/>
      <c r="H69" s="298" t="n"/>
    </row>
    <row r="70" ht="13" customHeight="1" s="189">
      <c r="A70" s="297" t="n"/>
      <c r="B70" s="291" t="n"/>
      <c r="C70" s="298" t="n"/>
      <c r="D70" s="298" t="n"/>
      <c r="E70" s="291" t="n"/>
      <c r="F70" s="291" t="n"/>
      <c r="G70" s="297" t="n"/>
      <c r="H70" s="298" t="n"/>
    </row>
    <row r="71" ht="13" customHeight="1" s="189">
      <c r="A71" s="297" t="n"/>
      <c r="B71" s="291" t="n"/>
      <c r="C71" s="298" t="n"/>
      <c r="D71" s="298" t="n"/>
      <c r="E71" s="291" t="n"/>
      <c r="F71" s="291" t="n"/>
      <c r="G71" s="297" t="n"/>
      <c r="H71" s="298" t="n"/>
    </row>
    <row r="72" ht="13" customHeight="1" s="189">
      <c r="A72" s="297" t="n"/>
      <c r="B72" s="291" t="n"/>
      <c r="C72" s="298" t="n"/>
      <c r="D72" s="298" t="n"/>
      <c r="E72" s="291" t="n"/>
      <c r="F72" s="291" t="n"/>
      <c r="G72" s="297" t="n"/>
      <c r="H72" s="298" t="n"/>
    </row>
    <row r="73" ht="13" customHeight="1" s="189">
      <c r="A73" s="297" t="n"/>
      <c r="B73" s="291" t="n"/>
      <c r="C73" s="298" t="n"/>
      <c r="D73" s="298" t="n"/>
      <c r="E73" s="291" t="n"/>
      <c r="F73" s="291" t="n"/>
      <c r="G73" s="297" t="n"/>
      <c r="H73" s="298" t="n"/>
    </row>
    <row r="74" ht="13" customHeight="1" s="189">
      <c r="A74" s="297" t="n"/>
      <c r="B74" s="291" t="n"/>
      <c r="C74" s="298" t="n"/>
      <c r="D74" s="298" t="n"/>
      <c r="E74" s="291" t="n"/>
      <c r="F74" s="291" t="n"/>
      <c r="G74" s="297" t="n"/>
      <c r="H74" s="298" t="n"/>
    </row>
    <row r="75" ht="13" customHeight="1" s="189">
      <c r="A75" s="297" t="n"/>
      <c r="B75" s="291" t="n"/>
      <c r="C75" s="298" t="n"/>
      <c r="D75" s="298" t="n"/>
      <c r="E75" s="291" t="n"/>
      <c r="F75" s="291" t="n"/>
      <c r="G75" s="297" t="n"/>
      <c r="H75" s="298" t="n"/>
    </row>
    <row r="76" ht="13" customHeight="1" s="189">
      <c r="A76" s="297" t="n"/>
      <c r="B76" s="291" t="n"/>
      <c r="C76" s="298" t="n"/>
      <c r="D76" s="298" t="n"/>
      <c r="E76" s="291" t="n"/>
      <c r="F76" s="291" t="n"/>
      <c r="G76" s="297" t="n"/>
      <c r="H76" s="298" t="n"/>
    </row>
    <row r="77" ht="13" customHeight="1" s="189">
      <c r="A77" s="297" t="n"/>
      <c r="B77" s="291" t="n"/>
      <c r="C77" s="298" t="n"/>
      <c r="D77" s="298" t="n"/>
      <c r="E77" s="291" t="n"/>
      <c r="F77" s="291" t="n"/>
      <c r="G77" s="297" t="n"/>
      <c r="H77" s="298" t="n"/>
    </row>
    <row r="78" ht="13" customHeight="1" s="189">
      <c r="A78" s="297" t="n"/>
      <c r="B78" s="291" t="n"/>
      <c r="C78" s="298" t="n"/>
      <c r="D78" s="298" t="n"/>
      <c r="E78" s="291" t="n"/>
      <c r="F78" s="291" t="n"/>
      <c r="G78" s="297" t="n"/>
      <c r="H78" s="298" t="n"/>
    </row>
    <row r="79" ht="13" customHeight="1" s="189">
      <c r="A79" s="297" t="n"/>
      <c r="B79" s="291" t="n"/>
      <c r="C79" s="298" t="n"/>
      <c r="D79" s="298" t="n"/>
      <c r="E79" s="291" t="n"/>
      <c r="F79" s="291" t="n"/>
      <c r="G79" s="297" t="n"/>
      <c r="H79" s="298" t="n"/>
    </row>
    <row r="80" ht="13" customHeight="1" s="189">
      <c r="A80" s="297" t="n"/>
      <c r="B80" s="291" t="n"/>
      <c r="C80" s="298" t="n"/>
      <c r="D80" s="298" t="n"/>
      <c r="E80" s="291" t="n"/>
      <c r="F80" s="291" t="n"/>
      <c r="G80" s="297" t="n"/>
      <c r="H80" s="298" t="n"/>
    </row>
    <row r="81" ht="13" customHeight="1" s="189">
      <c r="A81" s="297" t="n"/>
      <c r="B81" s="291" t="n"/>
      <c r="C81" s="298" t="n"/>
      <c r="D81" s="298" t="n"/>
      <c r="E81" s="291" t="n"/>
      <c r="F81" s="291" t="n"/>
      <c r="G81" s="297" t="n"/>
      <c r="H81" s="298" t="n"/>
    </row>
    <row r="82" ht="13" customHeight="1" s="189">
      <c r="A82" s="297" t="n"/>
      <c r="B82" s="291" t="n"/>
      <c r="C82" s="298" t="n"/>
      <c r="D82" s="298" t="n"/>
      <c r="E82" s="291" t="n"/>
      <c r="F82" s="291" t="n"/>
      <c r="G82" s="297" t="n"/>
      <c r="H82" s="298" t="n"/>
    </row>
    <row r="83" ht="13" customHeight="1" s="189">
      <c r="A83" s="297" t="n"/>
      <c r="B83" s="291" t="n"/>
      <c r="C83" s="298" t="n"/>
      <c r="D83" s="298" t="n"/>
      <c r="E83" s="291" t="n"/>
      <c r="F83" s="291" t="n"/>
      <c r="G83" s="297" t="n"/>
      <c r="H83" s="298" t="n"/>
    </row>
    <row r="84" ht="13" customHeight="1" s="189">
      <c r="A84" s="297" t="n"/>
      <c r="B84" s="291" t="n"/>
      <c r="C84" s="298" t="n"/>
      <c r="D84" s="298" t="n"/>
      <c r="E84" s="291" t="n"/>
      <c r="F84" s="291" t="n"/>
      <c r="G84" s="297" t="n"/>
      <c r="H84" s="298" t="n"/>
    </row>
    <row r="85" ht="13" customHeight="1" s="189">
      <c r="A85" s="297" t="n"/>
      <c r="B85" s="291" t="n"/>
      <c r="C85" s="298" t="n"/>
      <c r="D85" s="298" t="n"/>
      <c r="E85" s="291" t="n"/>
      <c r="F85" s="291" t="n"/>
      <c r="G85" s="297" t="n"/>
      <c r="H85" s="298" t="n"/>
    </row>
    <row r="86" ht="13" customHeight="1" s="189">
      <c r="A86" s="297" t="n"/>
      <c r="B86" s="291" t="n"/>
      <c r="C86" s="298" t="n"/>
      <c r="D86" s="298" t="n"/>
      <c r="E86" s="291" t="n"/>
      <c r="F86" s="291" t="n"/>
      <c r="G86" s="297" t="n"/>
      <c r="H86" s="298" t="n"/>
    </row>
    <row r="87" ht="13" customHeight="1" s="189">
      <c r="A87" s="297" t="n"/>
      <c r="B87" s="291" t="n"/>
      <c r="C87" s="298" t="n"/>
      <c r="D87" s="298" t="n"/>
      <c r="E87" s="291" t="n"/>
      <c r="F87" s="291" t="n"/>
      <c r="G87" s="297" t="n"/>
      <c r="H87" s="298" t="n"/>
    </row>
    <row r="88" ht="13" customHeight="1" s="189">
      <c r="A88" s="297" t="n"/>
      <c r="B88" s="291" t="n"/>
      <c r="C88" s="298" t="n"/>
      <c r="D88" s="298" t="n"/>
      <c r="E88" s="291" t="n"/>
      <c r="F88" s="291" t="n"/>
      <c r="G88" s="297" t="n"/>
      <c r="H88" s="298" t="n"/>
    </row>
    <row r="89" ht="13" customHeight="1" s="189">
      <c r="A89" s="297" t="n"/>
      <c r="B89" s="291" t="n"/>
      <c r="C89" s="298" t="n"/>
      <c r="D89" s="298" t="n"/>
      <c r="E89" s="291" t="n"/>
      <c r="F89" s="291" t="n"/>
      <c r="G89" s="297" t="n"/>
      <c r="H89" s="298" t="n"/>
    </row>
    <row r="90" ht="13" customHeight="1" s="189">
      <c r="A90" s="297" t="n"/>
      <c r="B90" s="291" t="n"/>
      <c r="C90" s="298" t="n"/>
      <c r="D90" s="298" t="n"/>
      <c r="E90" s="291" t="n"/>
      <c r="F90" s="291" t="n"/>
      <c r="G90" s="297" t="n"/>
      <c r="H90" s="298" t="n"/>
    </row>
    <row r="91" ht="13" customHeight="1" s="189">
      <c r="A91" s="297" t="n"/>
      <c r="B91" s="291" t="n"/>
      <c r="C91" s="298" t="n"/>
      <c r="D91" s="298" t="n"/>
      <c r="E91" s="291" t="n"/>
      <c r="F91" s="291" t="n"/>
      <c r="G91" s="297" t="n"/>
      <c r="H91" s="298" t="n"/>
    </row>
    <row r="92" ht="13" customHeight="1" s="189">
      <c r="A92" s="297" t="n"/>
      <c r="B92" s="291" t="n"/>
      <c r="C92" s="298" t="n"/>
      <c r="D92" s="298" t="n"/>
      <c r="E92" s="291" t="n"/>
      <c r="F92" s="291" t="n"/>
      <c r="G92" s="297" t="n"/>
      <c r="H92" s="298" t="n"/>
    </row>
    <row r="93" ht="13" customHeight="1" s="189">
      <c r="A93" s="297" t="n"/>
      <c r="B93" s="291" t="n"/>
      <c r="C93" s="298" t="n"/>
      <c r="D93" s="298" t="n"/>
      <c r="E93" s="291" t="n"/>
      <c r="F93" s="291" t="n"/>
      <c r="G93" s="297" t="n"/>
      <c r="H93" s="298" t="n"/>
    </row>
    <row r="94" ht="13" customHeight="1" s="189">
      <c r="A94" s="297" t="n"/>
      <c r="B94" s="291" t="n"/>
      <c r="C94" s="298" t="n"/>
      <c r="D94" s="298" t="n"/>
      <c r="E94" s="291" t="n"/>
      <c r="F94" s="291" t="n"/>
      <c r="G94" s="297" t="n"/>
      <c r="H94" s="298" t="n"/>
    </row>
    <row r="95" ht="13" customHeight="1" s="189">
      <c r="A95" s="297" t="n"/>
      <c r="B95" s="291" t="n"/>
      <c r="C95" s="298" t="n"/>
      <c r="D95" s="298" t="n"/>
      <c r="E95" s="291" t="n"/>
      <c r="F95" s="291" t="n"/>
      <c r="G95" s="297" t="n"/>
      <c r="H95" s="298" t="n"/>
    </row>
    <row r="96" ht="13" customHeight="1" s="189">
      <c r="A96" s="297" t="n"/>
      <c r="B96" s="291" t="n"/>
      <c r="C96" s="298" t="n"/>
      <c r="D96" s="298" t="n"/>
      <c r="E96" s="291" t="n"/>
      <c r="F96" s="291" t="n"/>
      <c r="G96" s="297" t="n"/>
      <c r="H96" s="298" t="n"/>
    </row>
    <row r="97" ht="13" customHeight="1" s="189">
      <c r="A97" s="297" t="n"/>
      <c r="B97" s="291" t="n"/>
      <c r="C97" s="298" t="n"/>
      <c r="D97" s="298" t="n"/>
      <c r="E97" s="291" t="n"/>
      <c r="F97" s="291" t="n"/>
      <c r="G97" s="297" t="n"/>
      <c r="H97" s="298" t="n"/>
    </row>
    <row r="98" ht="13" customHeight="1" s="189">
      <c r="A98" s="297" t="n"/>
      <c r="B98" s="291" t="n"/>
      <c r="C98" s="298" t="n"/>
      <c r="D98" s="298" t="n"/>
      <c r="E98" s="291" t="n"/>
      <c r="F98" s="291" t="n"/>
      <c r="G98" s="297" t="n"/>
      <c r="H98" s="298" t="n"/>
    </row>
    <row r="99" ht="13" customHeight="1" s="189">
      <c r="A99" s="297" t="n"/>
      <c r="B99" s="291" t="n"/>
      <c r="C99" s="298" t="n"/>
      <c r="D99" s="298" t="n"/>
      <c r="E99" s="291" t="n"/>
      <c r="F99" s="291" t="n"/>
      <c r="G99" s="297" t="n"/>
      <c r="H99" s="298" t="n"/>
    </row>
    <row r="100" ht="13" customHeight="1" s="189">
      <c r="A100" s="297" t="n"/>
      <c r="B100" s="291" t="n"/>
      <c r="C100" s="298" t="n"/>
      <c r="D100" s="298" t="n"/>
      <c r="E100" s="291" t="n"/>
      <c r="F100" s="291" t="n"/>
      <c r="G100" s="297" t="n"/>
      <c r="H100" s="298" t="n"/>
    </row>
    <row r="101" ht="13" customHeight="1" s="189">
      <c r="A101" s="297" t="n"/>
      <c r="B101" s="291" t="n"/>
      <c r="C101" s="298" t="n"/>
      <c r="D101" s="298" t="n"/>
      <c r="E101" s="291" t="n"/>
      <c r="F101" s="291" t="n"/>
      <c r="G101" s="297" t="n"/>
      <c r="H101" s="298" t="n"/>
    </row>
    <row r="102" ht="13" customHeight="1" s="189">
      <c r="A102" s="297" t="n"/>
      <c r="B102" s="291" t="n"/>
      <c r="C102" s="298" t="n"/>
      <c r="D102" s="298" t="n"/>
      <c r="E102" s="291" t="n"/>
      <c r="F102" s="291" t="n"/>
      <c r="G102" s="297" t="n"/>
      <c r="H102" s="298" t="n"/>
    </row>
    <row r="103" ht="13" customHeight="1" s="189">
      <c r="A103" s="297" t="n"/>
      <c r="B103" s="291" t="n"/>
      <c r="C103" s="298" t="n"/>
      <c r="D103" s="298" t="n"/>
      <c r="E103" s="291" t="n"/>
      <c r="F103" s="291" t="n"/>
      <c r="G103" s="297" t="n"/>
      <c r="H103" s="298" t="n"/>
    </row>
    <row r="104" ht="13" customHeight="1" s="189">
      <c r="A104" s="297" t="n"/>
      <c r="B104" s="291" t="n"/>
      <c r="C104" s="298" t="n"/>
      <c r="D104" s="298" t="n"/>
      <c r="E104" s="291" t="n"/>
      <c r="F104" s="291" t="n"/>
      <c r="G104" s="297" t="n"/>
      <c r="H104" s="298" t="n"/>
    </row>
    <row r="105" ht="13" customHeight="1" s="189">
      <c r="A105" s="297" t="n"/>
      <c r="B105" s="291" t="n"/>
      <c r="C105" s="298" t="n"/>
      <c r="D105" s="298" t="n"/>
      <c r="E105" s="291" t="n"/>
      <c r="F105" s="291" t="n"/>
      <c r="G105" s="297" t="n"/>
      <c r="H105" s="298" t="n"/>
    </row>
    <row r="106" ht="13" customHeight="1" s="189">
      <c r="A106" s="297" t="n"/>
      <c r="B106" s="291" t="n"/>
      <c r="C106" s="298" t="n"/>
      <c r="D106" s="298" t="n"/>
      <c r="E106" s="291" t="n"/>
      <c r="F106" s="291" t="n"/>
      <c r="G106" s="297" t="n"/>
      <c r="H106" s="298" t="n"/>
    </row>
    <row r="107" ht="13" customHeight="1" s="189">
      <c r="A107" s="297" t="n"/>
      <c r="B107" s="291" t="n"/>
      <c r="C107" s="298" t="n"/>
      <c r="D107" s="298" t="n"/>
      <c r="E107" s="291" t="n"/>
      <c r="F107" s="291" t="n"/>
      <c r="G107" s="297" t="n"/>
      <c r="H107" s="298" t="n"/>
    </row>
    <row r="108" ht="13" customHeight="1" s="189">
      <c r="A108" s="297" t="n"/>
      <c r="B108" s="291" t="n"/>
      <c r="C108" s="298" t="n"/>
      <c r="D108" s="298" t="n"/>
      <c r="E108" s="291" t="n"/>
      <c r="F108" s="291" t="n"/>
      <c r="G108" s="297" t="n"/>
      <c r="H108" s="298" t="n"/>
    </row>
    <row r="109" ht="13" customHeight="1" s="189">
      <c r="A109" s="297" t="n"/>
      <c r="B109" s="291" t="n"/>
      <c r="C109" s="298" t="n"/>
      <c r="D109" s="298" t="n"/>
      <c r="E109" s="291" t="n"/>
      <c r="F109" s="291" t="n"/>
      <c r="G109" s="297" t="n"/>
      <c r="H109" s="298" t="n"/>
    </row>
    <row r="110" ht="13" customHeight="1" s="189">
      <c r="A110" s="297" t="n"/>
      <c r="B110" s="291" t="n"/>
      <c r="C110" s="298" t="n"/>
      <c r="D110" s="298" t="n"/>
      <c r="E110" s="291" t="n"/>
      <c r="F110" s="291" t="n"/>
      <c r="G110" s="297" t="n"/>
      <c r="H110" s="298" t="n"/>
    </row>
    <row r="111" ht="13" customHeight="1" s="189">
      <c r="A111" s="297" t="n"/>
      <c r="B111" s="291" t="n"/>
      <c r="C111" s="298" t="n"/>
      <c r="D111" s="298" t="n"/>
      <c r="E111" s="291" t="n"/>
      <c r="F111" s="291" t="n"/>
      <c r="G111" s="297" t="n"/>
      <c r="H111" s="298" t="n"/>
    </row>
    <row r="112" ht="13" customHeight="1" s="189">
      <c r="A112" s="297" t="n"/>
      <c r="B112" s="291" t="n"/>
      <c r="C112" s="298" t="n"/>
      <c r="D112" s="298" t="n"/>
      <c r="E112" s="291" t="n"/>
      <c r="F112" s="291" t="n"/>
      <c r="G112" s="297" t="n"/>
      <c r="H112" s="298" t="n"/>
    </row>
    <row r="113" ht="13" customHeight="1" s="189">
      <c r="A113" s="297" t="n"/>
      <c r="B113" s="291" t="n"/>
      <c r="C113" s="298" t="n"/>
      <c r="D113" s="298" t="n"/>
      <c r="E113" s="291" t="n"/>
      <c r="F113" s="291" t="n"/>
      <c r="G113" s="297" t="n"/>
      <c r="H113" s="298" t="n"/>
    </row>
    <row r="114" ht="13" customHeight="1" s="189">
      <c r="A114" s="297" t="n"/>
      <c r="B114" s="291" t="n"/>
      <c r="C114" s="298" t="n"/>
      <c r="D114" s="298" t="n"/>
      <c r="E114" s="291" t="n"/>
      <c r="F114" s="291" t="n"/>
      <c r="G114" s="297" t="n"/>
      <c r="H114" s="298" t="n"/>
    </row>
    <row r="115" ht="13" customHeight="1" s="189">
      <c r="A115" s="297" t="n"/>
      <c r="B115" s="291" t="n"/>
      <c r="C115" s="298" t="n"/>
      <c r="D115" s="298" t="n"/>
      <c r="E115" s="291" t="n"/>
      <c r="F115" s="291" t="n"/>
      <c r="G115" s="297" t="n"/>
      <c r="H115" s="298" t="n"/>
    </row>
    <row r="116" ht="13" customHeight="1" s="189">
      <c r="A116" s="297" t="n"/>
      <c r="B116" s="291" t="n"/>
      <c r="C116" s="298" t="n"/>
      <c r="D116" s="298" t="n"/>
      <c r="E116" s="291" t="n"/>
      <c r="F116" s="291" t="n"/>
      <c r="G116" s="297" t="n"/>
      <c r="H116" s="298" t="n"/>
    </row>
    <row r="117" ht="13" customHeight="1" s="189">
      <c r="A117" s="297" t="n"/>
      <c r="B117" s="291" t="n"/>
      <c r="C117" s="298" t="n"/>
      <c r="D117" s="298" t="n"/>
      <c r="E117" s="291" t="n"/>
      <c r="F117" s="291" t="n"/>
      <c r="G117" s="297" t="n"/>
      <c r="H117" s="298" t="n"/>
    </row>
    <row r="118" ht="13" customHeight="1" s="189">
      <c r="A118" s="297" t="n"/>
      <c r="B118" s="291" t="n"/>
      <c r="C118" s="298" t="n"/>
      <c r="D118" s="298" t="n"/>
      <c r="E118" s="291" t="n"/>
      <c r="F118" s="291" t="n"/>
      <c r="G118" s="297" t="n"/>
      <c r="H118" s="298" t="n"/>
    </row>
    <row r="119" ht="13" customHeight="1" s="189">
      <c r="A119" s="297" t="n"/>
      <c r="B119" s="291" t="n"/>
      <c r="C119" s="298" t="n"/>
      <c r="D119" s="298" t="n"/>
      <c r="E119" s="291" t="n"/>
      <c r="F119" s="291" t="n"/>
      <c r="G119" s="297" t="n"/>
      <c r="H119" s="298" t="n"/>
    </row>
    <row r="120" ht="13" customHeight="1" s="189">
      <c r="A120" s="297" t="n"/>
      <c r="B120" s="291" t="n"/>
      <c r="C120" s="298" t="n"/>
      <c r="D120" s="298" t="n"/>
      <c r="E120" s="291" t="n"/>
      <c r="F120" s="291" t="n"/>
      <c r="G120" s="297" t="n"/>
      <c r="H120" s="298" t="n"/>
    </row>
    <row r="121" ht="13" customHeight="1" s="189">
      <c r="A121" s="297" t="n"/>
      <c r="B121" s="291" t="n"/>
      <c r="C121" s="298" t="n"/>
      <c r="D121" s="298" t="n"/>
      <c r="E121" s="291" t="n"/>
      <c r="F121" s="291" t="n"/>
      <c r="G121" s="297" t="n"/>
      <c r="H121" s="298" t="n"/>
    </row>
    <row r="122" ht="13" customHeight="1" s="189">
      <c r="A122" s="297" t="n"/>
      <c r="B122" s="291" t="n"/>
      <c r="C122" s="298" t="n"/>
      <c r="D122" s="298" t="n"/>
      <c r="E122" s="291" t="n"/>
      <c r="F122" s="291" t="n"/>
      <c r="G122" s="297" t="n"/>
      <c r="H122" s="298" t="n"/>
    </row>
    <row r="123" ht="13" customHeight="1" s="189">
      <c r="A123" s="297" t="n"/>
      <c r="B123" s="291" t="n"/>
      <c r="C123" s="298" t="n"/>
      <c r="D123" s="298" t="n"/>
      <c r="E123" s="291" t="n"/>
      <c r="F123" s="291" t="n"/>
      <c r="G123" s="297" t="n"/>
      <c r="H123" s="298" t="n"/>
    </row>
    <row r="124" ht="13" customHeight="1" s="189">
      <c r="A124" s="297" t="n"/>
      <c r="B124" s="291" t="n"/>
      <c r="C124" s="298" t="n"/>
      <c r="D124" s="298" t="n"/>
      <c r="E124" s="291" t="n"/>
      <c r="F124" s="291" t="n"/>
      <c r="G124" s="297" t="n"/>
      <c r="H124" s="298" t="n"/>
    </row>
    <row r="125" ht="13" customHeight="1" s="189">
      <c r="A125" s="297" t="n"/>
      <c r="B125" s="291" t="n"/>
      <c r="C125" s="298" t="n"/>
      <c r="D125" s="298" t="n"/>
      <c r="E125" s="291" t="n"/>
      <c r="F125" s="291" t="n"/>
      <c r="G125" s="297" t="n"/>
      <c r="H125" s="298" t="n"/>
    </row>
    <row r="126" ht="13" customHeight="1" s="189">
      <c r="A126" s="297" t="n"/>
      <c r="B126" s="291" t="n"/>
      <c r="C126" s="298" t="n"/>
      <c r="D126" s="298" t="n"/>
      <c r="E126" s="291" t="n"/>
      <c r="F126" s="291" t="n"/>
      <c r="G126" s="297" t="n"/>
      <c r="H126" s="298" t="n"/>
    </row>
    <row r="127" ht="13" customHeight="1" s="189">
      <c r="A127" s="297" t="n"/>
      <c r="B127" s="291" t="n"/>
      <c r="C127" s="298" t="n"/>
      <c r="D127" s="298" t="n"/>
      <c r="E127" s="291" t="n"/>
      <c r="F127" s="291" t="n"/>
      <c r="G127" s="297" t="n"/>
      <c r="H127" s="298" t="n"/>
    </row>
    <row r="128" ht="13" customHeight="1" s="189">
      <c r="A128" s="297" t="n"/>
      <c r="B128" s="291" t="n"/>
      <c r="C128" s="298" t="n"/>
      <c r="D128" s="298" t="n"/>
      <c r="E128" s="291" t="n"/>
      <c r="F128" s="291" t="n"/>
      <c r="G128" s="297" t="n"/>
      <c r="H128" s="298" t="n"/>
    </row>
    <row r="129" ht="13" customHeight="1" s="189">
      <c r="A129" s="297" t="n"/>
      <c r="B129" s="291" t="n"/>
      <c r="C129" s="298" t="n"/>
      <c r="D129" s="298" t="n"/>
      <c r="E129" s="291" t="n"/>
      <c r="F129" s="291" t="n"/>
      <c r="G129" s="297" t="n"/>
      <c r="H129" s="298" t="n"/>
    </row>
    <row r="130" ht="13" customHeight="1" s="189">
      <c r="A130" s="297" t="n"/>
      <c r="B130" s="291" t="n"/>
      <c r="C130" s="298" t="n"/>
      <c r="D130" s="298" t="n"/>
      <c r="E130" s="291" t="n"/>
      <c r="F130" s="291" t="n"/>
      <c r="G130" s="297" t="n"/>
      <c r="H130" s="298" t="n"/>
    </row>
    <row r="131" ht="13" customHeight="1" s="189">
      <c r="A131" s="297" t="n"/>
      <c r="B131" s="291" t="n"/>
      <c r="C131" s="298" t="n"/>
      <c r="D131" s="298" t="n"/>
      <c r="E131" s="291" t="n"/>
      <c r="F131" s="291" t="n"/>
      <c r="G131" s="297" t="n"/>
      <c r="H131" s="298" t="n"/>
    </row>
    <row r="132" ht="13" customHeight="1" s="189">
      <c r="A132" s="297" t="n"/>
      <c r="B132" s="291" t="n"/>
      <c r="C132" s="298" t="n"/>
      <c r="D132" s="298" t="n"/>
      <c r="E132" s="291" t="n"/>
      <c r="F132" s="291" t="n"/>
      <c r="G132" s="297" t="n"/>
      <c r="H132" s="298" t="n"/>
    </row>
    <row r="133" ht="13" customHeight="1" s="189">
      <c r="A133" s="297" t="n"/>
      <c r="B133" s="291" t="n"/>
      <c r="C133" s="298" t="n"/>
      <c r="D133" s="298" t="n"/>
      <c r="E133" s="291" t="n"/>
      <c r="F133" s="291" t="n"/>
      <c r="G133" s="297" t="n"/>
      <c r="H133" s="298" t="n"/>
    </row>
    <row r="134" ht="13" customHeight="1" s="189">
      <c r="A134" s="297" t="n"/>
      <c r="B134" s="291" t="n"/>
      <c r="C134" s="298" t="n"/>
      <c r="D134" s="298" t="n"/>
      <c r="E134" s="291" t="n"/>
      <c r="F134" s="291" t="n"/>
      <c r="G134" s="297" t="n"/>
      <c r="H134" s="298" t="n"/>
    </row>
    <row r="135" ht="13" customHeight="1" s="189">
      <c r="A135" s="297" t="n"/>
      <c r="B135" s="291" t="n"/>
      <c r="C135" s="298" t="n"/>
      <c r="D135" s="298" t="n"/>
      <c r="E135" s="291" t="n"/>
      <c r="F135" s="291" t="n"/>
      <c r="G135" s="297" t="n"/>
      <c r="H135" s="298" t="n"/>
    </row>
    <row r="136" ht="13" customHeight="1" s="189">
      <c r="A136" s="297" t="n"/>
      <c r="B136" s="291" t="n"/>
      <c r="C136" s="298" t="n"/>
      <c r="D136" s="298" t="n"/>
      <c r="E136" s="291" t="n"/>
      <c r="F136" s="291" t="n"/>
      <c r="G136" s="297" t="n"/>
      <c r="H136" s="298" t="n"/>
    </row>
    <row r="137" ht="13" customHeight="1" s="189">
      <c r="A137" s="297" t="n"/>
      <c r="B137" s="291" t="n"/>
      <c r="C137" s="298" t="n"/>
      <c r="D137" s="298" t="n"/>
      <c r="E137" s="291" t="n"/>
      <c r="F137" s="291" t="n"/>
      <c r="G137" s="297" t="n"/>
      <c r="H137" s="298" t="n"/>
    </row>
    <row r="138" ht="13" customHeight="1" s="189">
      <c r="A138" s="297" t="n"/>
      <c r="B138" s="291" t="n"/>
      <c r="C138" s="298" t="n"/>
      <c r="D138" s="298" t="n"/>
      <c r="E138" s="291" t="n"/>
      <c r="F138" s="291" t="n"/>
      <c r="G138" s="297" t="n"/>
      <c r="H138" s="298" t="n"/>
    </row>
    <row r="139" ht="13" customHeight="1" s="189">
      <c r="A139" s="297" t="n"/>
      <c r="B139" s="291" t="n"/>
      <c r="C139" s="298" t="n"/>
      <c r="D139" s="298" t="n"/>
      <c r="E139" s="291" t="n"/>
      <c r="F139" s="291" t="n"/>
      <c r="G139" s="297" t="n"/>
      <c r="H139" s="298" t="n"/>
    </row>
    <row r="140" ht="13" customHeight="1" s="189">
      <c r="A140" s="297" t="n"/>
      <c r="B140" s="291" t="n"/>
      <c r="C140" s="298" t="n"/>
      <c r="D140" s="298" t="n"/>
      <c r="E140" s="291" t="n"/>
      <c r="F140" s="291" t="n"/>
      <c r="G140" s="297" t="n"/>
      <c r="H140" s="298" t="n"/>
    </row>
    <row r="141" ht="13" customHeight="1" s="189">
      <c r="A141" s="297" t="n"/>
      <c r="B141" s="291" t="n"/>
      <c r="C141" s="298" t="n"/>
      <c r="D141" s="298" t="n"/>
      <c r="E141" s="291" t="n"/>
      <c r="F141" s="291" t="n"/>
      <c r="G141" s="297" t="n"/>
      <c r="H141" s="298" t="n"/>
    </row>
    <row r="142" ht="13" customHeight="1" s="189">
      <c r="A142" s="297" t="n"/>
      <c r="B142" s="291" t="n"/>
      <c r="C142" s="298" t="n"/>
      <c r="D142" s="298" t="n"/>
      <c r="E142" s="291" t="n"/>
      <c r="F142" s="291" t="n"/>
      <c r="G142" s="297" t="n"/>
      <c r="H142" s="298" t="n"/>
    </row>
    <row r="143" ht="13" customHeight="1" s="189">
      <c r="A143" s="297" t="n"/>
      <c r="B143" s="291" t="n"/>
      <c r="C143" s="298" t="n"/>
      <c r="D143" s="298" t="n"/>
      <c r="E143" s="291" t="n"/>
      <c r="F143" s="291" t="n"/>
      <c r="G143" s="297" t="n"/>
      <c r="H143" s="298" t="n"/>
    </row>
    <row r="144" ht="13" customHeight="1" s="189">
      <c r="A144" s="297" t="n"/>
      <c r="B144" s="291" t="n"/>
      <c r="C144" s="298" t="n"/>
      <c r="D144" s="298" t="n"/>
      <c r="E144" s="291" t="n"/>
      <c r="F144" s="291" t="n"/>
      <c r="G144" s="297" t="n"/>
      <c r="H144" s="298" t="n"/>
    </row>
    <row r="145" ht="13" customHeight="1" s="189">
      <c r="A145" s="297" t="n"/>
      <c r="B145" s="291" t="n"/>
      <c r="C145" s="298" t="n"/>
      <c r="D145" s="298" t="n"/>
      <c r="E145" s="291" t="n"/>
      <c r="F145" s="291" t="n"/>
      <c r="G145" s="297" t="n"/>
      <c r="H145" s="298" t="n"/>
    </row>
    <row r="146" ht="13" customHeight="1" s="189">
      <c r="A146" s="297" t="n"/>
      <c r="B146" s="291" t="n"/>
      <c r="C146" s="298" t="n"/>
      <c r="D146" s="298" t="n"/>
      <c r="E146" s="291" t="n"/>
      <c r="F146" s="291" t="n"/>
      <c r="G146" s="297" t="n"/>
      <c r="H146" s="298" t="n"/>
    </row>
    <row r="147" ht="13" customHeight="1" s="189">
      <c r="A147" s="297" t="n"/>
      <c r="B147" s="291" t="n"/>
      <c r="C147" s="298" t="n"/>
      <c r="D147" s="298" t="n"/>
      <c r="E147" s="291" t="n"/>
      <c r="F147" s="291" t="n"/>
      <c r="G147" s="297" t="n"/>
      <c r="H147" s="298" t="n"/>
    </row>
    <row r="148" ht="13" customHeight="1" s="189">
      <c r="A148" s="297" t="n"/>
      <c r="B148" s="291" t="n"/>
      <c r="C148" s="298" t="n"/>
      <c r="D148" s="298" t="n"/>
      <c r="E148" s="291" t="n"/>
      <c r="F148" s="291" t="n"/>
      <c r="G148" s="297" t="n"/>
      <c r="H148" s="298" t="n"/>
    </row>
    <row r="149" ht="13" customHeight="1" s="189">
      <c r="A149" s="297" t="n"/>
      <c r="B149" s="291" t="n"/>
      <c r="C149" s="298" t="n"/>
      <c r="D149" s="298" t="n"/>
      <c r="E149" s="291" t="n"/>
      <c r="F149" s="291" t="n"/>
      <c r="G149" s="297" t="n"/>
      <c r="H149" s="298" t="n"/>
    </row>
    <row r="150" ht="13" customHeight="1" s="189">
      <c r="A150" s="297" t="n"/>
      <c r="B150" s="291" t="n"/>
      <c r="C150" s="298" t="n"/>
      <c r="D150" s="298" t="n"/>
      <c r="E150" s="291" t="n"/>
      <c r="F150" s="291" t="n"/>
      <c r="G150" s="297" t="n"/>
      <c r="H150" s="298" t="n"/>
    </row>
    <row r="151" ht="13" customHeight="1" s="189">
      <c r="A151" s="297" t="n"/>
      <c r="B151" s="291" t="n"/>
      <c r="C151" s="298" t="n"/>
      <c r="D151" s="298" t="n"/>
      <c r="E151" s="291" t="n"/>
      <c r="F151" s="291" t="n"/>
      <c r="G151" s="297" t="n"/>
      <c r="H151" s="298" t="n"/>
    </row>
    <row r="152" ht="13" customHeight="1" s="189">
      <c r="A152" s="297" t="n"/>
      <c r="B152" s="291" t="n"/>
      <c r="C152" s="298" t="n"/>
      <c r="D152" s="298" t="n"/>
      <c r="E152" s="291" t="n"/>
      <c r="F152" s="291" t="n"/>
      <c r="G152" s="297" t="n"/>
      <c r="H152" s="298" t="n"/>
    </row>
    <row r="153" ht="13" customHeight="1" s="189">
      <c r="A153" s="297" t="n"/>
      <c r="B153" s="291" t="n"/>
      <c r="C153" s="298" t="n"/>
      <c r="D153" s="298" t="n"/>
      <c r="E153" s="291" t="n"/>
      <c r="F153" s="291" t="n"/>
      <c r="G153" s="297" t="n"/>
      <c r="H153" s="298" t="n"/>
    </row>
    <row r="154" ht="13" customHeight="1" s="189">
      <c r="A154" s="297" t="n"/>
      <c r="B154" s="291" t="n"/>
      <c r="C154" s="298" t="n"/>
      <c r="D154" s="298" t="n"/>
      <c r="E154" s="291" t="n"/>
      <c r="F154" s="291" t="n"/>
      <c r="G154" s="297" t="n"/>
      <c r="H154" s="298" t="n"/>
    </row>
    <row r="155" ht="13" customHeight="1" s="189">
      <c r="A155" s="297" t="n"/>
      <c r="B155" s="291" t="n"/>
      <c r="C155" s="298" t="n"/>
      <c r="D155" s="298" t="n"/>
      <c r="E155" s="291" t="n"/>
      <c r="F155" s="291" t="n"/>
      <c r="G155" s="297" t="n"/>
      <c r="H155" s="298" t="n"/>
    </row>
    <row r="156" ht="13" customHeight="1" s="189">
      <c r="A156" s="297" t="n"/>
      <c r="B156" s="291" t="n"/>
      <c r="C156" s="298" t="n"/>
      <c r="D156" s="298" t="n"/>
      <c r="E156" s="291" t="n"/>
      <c r="F156" s="291" t="n"/>
      <c r="G156" s="297" t="n"/>
      <c r="H156" s="298" t="n"/>
    </row>
    <row r="157" ht="13" customHeight="1" s="189">
      <c r="A157" s="297" t="n"/>
      <c r="B157" s="291" t="n"/>
      <c r="C157" s="298" t="n"/>
      <c r="D157" s="298" t="n"/>
      <c r="E157" s="291" t="n"/>
      <c r="F157" s="291" t="n"/>
      <c r="G157" s="297" t="n"/>
      <c r="H157" s="298" t="n"/>
    </row>
    <row r="158" ht="13" customHeight="1" s="189">
      <c r="A158" s="297" t="n"/>
      <c r="B158" s="291" t="n"/>
      <c r="C158" s="298" t="n"/>
      <c r="D158" s="298" t="n"/>
      <c r="E158" s="291" t="n"/>
      <c r="F158" s="291" t="n"/>
      <c r="G158" s="297" t="n"/>
      <c r="H158" s="298" t="n"/>
    </row>
    <row r="159" ht="13" customHeight="1" s="189">
      <c r="A159" s="297" t="n"/>
      <c r="B159" s="291" t="n"/>
      <c r="C159" s="298" t="n"/>
      <c r="D159" s="298" t="n"/>
      <c r="E159" s="291" t="n"/>
      <c r="F159" s="291" t="n"/>
      <c r="G159" s="297" t="n"/>
      <c r="H159" s="298" t="n"/>
    </row>
    <row r="160" ht="13" customHeight="1" s="189">
      <c r="A160" s="297" t="n"/>
      <c r="B160" s="291" t="n"/>
      <c r="C160" s="298" t="n"/>
      <c r="D160" s="298" t="n"/>
      <c r="E160" s="291" t="n"/>
      <c r="F160" s="291" t="n"/>
      <c r="G160" s="297" t="n"/>
      <c r="H160" s="298" t="n"/>
    </row>
    <row r="161" ht="13" customHeight="1" s="189">
      <c r="A161" s="297" t="n"/>
      <c r="B161" s="291" t="n"/>
      <c r="C161" s="298" t="n"/>
      <c r="D161" s="298" t="n"/>
      <c r="E161" s="291" t="n"/>
      <c r="F161" s="291" t="n"/>
      <c r="G161" s="297" t="n"/>
      <c r="H161" s="298" t="n"/>
    </row>
    <row r="162" ht="13" customHeight="1" s="189">
      <c r="A162" s="297" t="n"/>
      <c r="B162" s="291" t="n"/>
      <c r="C162" s="298" t="n"/>
      <c r="D162" s="298" t="n"/>
      <c r="E162" s="291" t="n"/>
      <c r="F162" s="291" t="n"/>
      <c r="G162" s="297" t="n"/>
      <c r="H162" s="298" t="n"/>
    </row>
    <row r="163" ht="13" customHeight="1" s="189">
      <c r="A163" s="297" t="n"/>
      <c r="B163" s="291" t="n"/>
      <c r="C163" s="298" t="n"/>
      <c r="D163" s="298" t="n"/>
      <c r="E163" s="291" t="n"/>
      <c r="F163" s="291" t="n"/>
      <c r="G163" s="297" t="n"/>
      <c r="H163" s="298" t="n"/>
    </row>
    <row r="164" ht="13" customHeight="1" s="189">
      <c r="A164" s="297" t="n"/>
      <c r="B164" s="291" t="n"/>
      <c r="C164" s="298" t="n"/>
      <c r="D164" s="298" t="n"/>
      <c r="E164" s="291" t="n"/>
      <c r="F164" s="291" t="n"/>
      <c r="G164" s="297" t="n"/>
      <c r="H164" s="298" t="n"/>
    </row>
    <row r="165" ht="13" customHeight="1" s="189">
      <c r="A165" s="297" t="n"/>
      <c r="B165" s="291" t="n"/>
      <c r="C165" s="298" t="n"/>
      <c r="D165" s="298" t="n"/>
      <c r="E165" s="291" t="n"/>
      <c r="F165" s="291" t="n"/>
      <c r="G165" s="297" t="n"/>
      <c r="H165" s="298" t="n"/>
    </row>
    <row r="166" ht="13" customHeight="1" s="189">
      <c r="A166" s="297" t="n"/>
      <c r="B166" s="291" t="n"/>
      <c r="C166" s="298" t="n"/>
      <c r="D166" s="298" t="n"/>
      <c r="E166" s="291" t="n"/>
      <c r="F166" s="291" t="n"/>
      <c r="G166" s="297" t="n"/>
      <c r="H166" s="298" t="n"/>
    </row>
    <row r="167" ht="13" customHeight="1" s="189">
      <c r="A167" s="297" t="n"/>
      <c r="B167" s="291" t="n"/>
      <c r="C167" s="298" t="n"/>
      <c r="D167" s="298" t="n"/>
      <c r="E167" s="291" t="n"/>
      <c r="F167" s="291" t="n"/>
      <c r="G167" s="297" t="n"/>
      <c r="H167" s="298" t="n"/>
    </row>
    <row r="168" ht="13" customHeight="1" s="189">
      <c r="A168" s="297" t="n"/>
      <c r="B168" s="291" t="n"/>
      <c r="C168" s="298" t="n"/>
      <c r="D168" s="298" t="n"/>
      <c r="E168" s="291" t="n"/>
      <c r="F168" s="291" t="n"/>
      <c r="G168" s="297" t="n"/>
      <c r="H168" s="298" t="n"/>
    </row>
    <row r="169" ht="13" customHeight="1" s="189">
      <c r="A169" s="297" t="n"/>
      <c r="B169" s="291" t="n"/>
      <c r="C169" s="298" t="n"/>
      <c r="D169" s="298" t="n"/>
      <c r="E169" s="291" t="n"/>
      <c r="F169" s="291" t="n"/>
      <c r="G169" s="297" t="n"/>
      <c r="H169" s="298" t="n"/>
    </row>
    <row r="170" ht="13" customHeight="1" s="189">
      <c r="A170" s="297" t="n"/>
      <c r="B170" s="291" t="n"/>
      <c r="C170" s="298" t="n"/>
      <c r="D170" s="298" t="n"/>
      <c r="E170" s="291" t="n"/>
      <c r="F170" s="291" t="n"/>
      <c r="G170" s="297" t="n"/>
      <c r="H170" s="298" t="n"/>
    </row>
    <row r="171" ht="13" customHeight="1" s="189">
      <c r="A171" s="297" t="n"/>
      <c r="B171" s="291" t="n"/>
      <c r="C171" s="298" t="n"/>
      <c r="D171" s="298" t="n"/>
      <c r="E171" s="291" t="n"/>
      <c r="F171" s="291" t="n"/>
      <c r="G171" s="297" t="n"/>
      <c r="H171" s="298" t="n"/>
    </row>
    <row r="172" ht="13" customHeight="1" s="189">
      <c r="A172" s="297" t="n"/>
      <c r="B172" s="291" t="n"/>
      <c r="C172" s="298" t="n"/>
      <c r="D172" s="298" t="n"/>
      <c r="E172" s="291" t="n"/>
      <c r="F172" s="291" t="n"/>
      <c r="G172" s="297" t="n"/>
      <c r="H172" s="298" t="n"/>
    </row>
    <row r="173" ht="13" customHeight="1" s="189">
      <c r="A173" s="297" t="n"/>
      <c r="B173" s="291" t="n"/>
      <c r="C173" s="298" t="n"/>
      <c r="D173" s="298" t="n"/>
      <c r="E173" s="291" t="n"/>
      <c r="F173" s="291" t="n"/>
      <c r="G173" s="297" t="n"/>
      <c r="H173" s="298" t="n"/>
    </row>
    <row r="174" ht="13" customHeight="1" s="189">
      <c r="A174" s="297" t="n"/>
      <c r="B174" s="291" t="n"/>
      <c r="C174" s="298" t="n"/>
      <c r="D174" s="298" t="n"/>
      <c r="E174" s="291" t="n"/>
      <c r="F174" s="291" t="n"/>
      <c r="G174" s="297" t="n"/>
      <c r="H174" s="298" t="n"/>
    </row>
    <row r="175" ht="13" customHeight="1" s="189">
      <c r="A175" s="297" t="n"/>
      <c r="B175" s="291" t="n"/>
      <c r="C175" s="298" t="n"/>
      <c r="D175" s="298" t="n"/>
      <c r="E175" s="291" t="n"/>
      <c r="F175" s="291" t="n"/>
      <c r="G175" s="297" t="n"/>
      <c r="H175" s="298" t="n"/>
    </row>
    <row r="176" ht="13" customHeight="1" s="189">
      <c r="A176" s="297" t="n"/>
      <c r="B176" s="291" t="n"/>
      <c r="C176" s="298" t="n"/>
      <c r="D176" s="298" t="n"/>
      <c r="E176" s="291" t="n"/>
      <c r="F176" s="291" t="n"/>
      <c r="G176" s="297" t="n"/>
      <c r="H176" s="298" t="n"/>
    </row>
    <row r="177" ht="13" customHeight="1" s="189">
      <c r="A177" s="297" t="n"/>
      <c r="B177" s="291" t="n"/>
      <c r="C177" s="298" t="n"/>
      <c r="D177" s="298" t="n"/>
      <c r="E177" s="291" t="n"/>
      <c r="F177" s="291" t="n"/>
      <c r="G177" s="297" t="n"/>
      <c r="H177" s="298" t="n"/>
    </row>
    <row r="178" ht="13" customHeight="1" s="189">
      <c r="A178" s="297" t="n"/>
      <c r="B178" s="291" t="n"/>
      <c r="C178" s="298" t="n"/>
      <c r="D178" s="298" t="n"/>
      <c r="E178" s="291" t="n"/>
      <c r="F178" s="291" t="n"/>
      <c r="G178" s="297" t="n"/>
      <c r="H178" s="298" t="n"/>
    </row>
    <row r="179" ht="13" customHeight="1" s="189">
      <c r="A179" s="297" t="n"/>
      <c r="B179" s="291" t="n"/>
      <c r="C179" s="298" t="n"/>
      <c r="D179" s="298" t="n"/>
      <c r="E179" s="291" t="n"/>
      <c r="F179" s="291" t="n"/>
      <c r="G179" s="297" t="n"/>
      <c r="H179" s="298" t="n"/>
    </row>
    <row r="180" ht="13" customHeight="1" s="189">
      <c r="A180" s="297" t="n"/>
      <c r="B180" s="291" t="n"/>
      <c r="C180" s="298" t="n"/>
      <c r="D180" s="298" t="n"/>
      <c r="E180" s="291" t="n"/>
      <c r="F180" s="291" t="n"/>
      <c r="G180" s="297" t="n"/>
      <c r="H180" s="298" t="n"/>
    </row>
    <row r="181" ht="13" customHeight="1" s="189">
      <c r="A181" s="297" t="n"/>
      <c r="B181" s="291" t="n"/>
      <c r="C181" s="298" t="n"/>
      <c r="D181" s="298" t="n"/>
      <c r="E181" s="291" t="n"/>
      <c r="F181" s="291" t="n"/>
      <c r="G181" s="297" t="n"/>
      <c r="H181" s="298" t="n"/>
    </row>
    <row r="182" ht="13" customHeight="1" s="189">
      <c r="A182" s="297" t="n"/>
      <c r="B182" s="291" t="n"/>
      <c r="C182" s="298" t="n"/>
      <c r="D182" s="298" t="n"/>
      <c r="E182" s="291" t="n"/>
      <c r="F182" s="291" t="n"/>
      <c r="G182" s="297" t="n"/>
      <c r="H182" s="298" t="n"/>
    </row>
    <row r="183" ht="13" customHeight="1" s="189">
      <c r="A183" s="297" t="n"/>
      <c r="B183" s="291" t="n"/>
      <c r="C183" s="298" t="n"/>
      <c r="D183" s="298" t="n"/>
      <c r="E183" s="291" t="n"/>
      <c r="F183" s="291" t="n"/>
      <c r="G183" s="297" t="n"/>
      <c r="H183" s="298" t="n"/>
    </row>
    <row r="184" ht="13" customHeight="1" s="189">
      <c r="A184" s="297" t="n"/>
      <c r="B184" s="291" t="n"/>
      <c r="C184" s="298" t="n"/>
      <c r="D184" s="298" t="n"/>
      <c r="E184" s="291" t="n"/>
      <c r="F184" s="291" t="n"/>
      <c r="G184" s="297" t="n"/>
      <c r="H184" s="298" t="n"/>
    </row>
    <row r="185" ht="13" customHeight="1" s="189">
      <c r="A185" s="297" t="n"/>
      <c r="B185" s="291" t="n"/>
      <c r="C185" s="298" t="n"/>
      <c r="D185" s="298" t="n"/>
      <c r="E185" s="291" t="n"/>
      <c r="F185" s="291" t="n"/>
      <c r="G185" s="297" t="n"/>
      <c r="H185" s="298" t="n"/>
    </row>
    <row r="186" ht="13" customHeight="1" s="189">
      <c r="A186" s="297" t="n"/>
      <c r="B186" s="291" t="n"/>
      <c r="C186" s="298" t="n"/>
      <c r="D186" s="298" t="n"/>
      <c r="E186" s="291" t="n"/>
      <c r="F186" s="291" t="n"/>
      <c r="G186" s="297" t="n"/>
      <c r="H186" s="298" t="n"/>
    </row>
    <row r="187" ht="13" customHeight="1" s="189">
      <c r="A187" s="297" t="n"/>
      <c r="B187" s="291" t="n"/>
      <c r="C187" s="298" t="n"/>
      <c r="D187" s="298" t="n"/>
      <c r="E187" s="291" t="n"/>
      <c r="F187" s="291" t="n"/>
      <c r="G187" s="297" t="n"/>
      <c r="H187" s="298" t="n"/>
    </row>
    <row r="188" ht="13" customHeight="1" s="189">
      <c r="A188" s="297" t="n"/>
      <c r="B188" s="291" t="n"/>
      <c r="C188" s="298" t="n"/>
      <c r="D188" s="298" t="n"/>
      <c r="E188" s="291" t="n"/>
      <c r="F188" s="291" t="n"/>
      <c r="G188" s="297" t="n"/>
      <c r="H188" s="298" t="n"/>
    </row>
    <row r="189" ht="13" customHeight="1" s="189">
      <c r="A189" s="297" t="n"/>
      <c r="B189" s="291" t="n"/>
      <c r="C189" s="298" t="n"/>
      <c r="D189" s="298" t="n"/>
      <c r="E189" s="291" t="n"/>
      <c r="F189" s="291" t="n"/>
      <c r="G189" s="297" t="n"/>
      <c r="H189" s="298" t="n"/>
    </row>
    <row r="190" ht="13" customHeight="1" s="189">
      <c r="A190" s="297" t="n"/>
      <c r="B190" s="291" t="n"/>
      <c r="C190" s="298" t="n"/>
      <c r="D190" s="298" t="n"/>
      <c r="E190" s="291" t="n"/>
      <c r="F190" s="291" t="n"/>
      <c r="G190" s="297" t="n"/>
      <c r="H190" s="298" t="n"/>
    </row>
    <row r="191" ht="13" customHeight="1" s="189">
      <c r="A191" s="297" t="n"/>
      <c r="B191" s="291" t="n"/>
      <c r="C191" s="298" t="n"/>
      <c r="D191" s="298" t="n"/>
      <c r="E191" s="291" t="n"/>
      <c r="F191" s="291" t="n"/>
      <c r="G191" s="297" t="n"/>
      <c r="H191" s="298" t="n"/>
    </row>
    <row r="192" ht="13" customHeight="1" s="189">
      <c r="A192" s="297" t="n"/>
      <c r="B192" s="291" t="n"/>
      <c r="C192" s="298" t="n"/>
      <c r="D192" s="298" t="n"/>
      <c r="E192" s="291" t="n"/>
      <c r="F192" s="291" t="n"/>
      <c r="G192" s="297" t="n"/>
      <c r="H192" s="298" t="n"/>
    </row>
    <row r="193" ht="13" customHeight="1" s="189">
      <c r="A193" s="297" t="n"/>
      <c r="B193" s="291" t="n"/>
      <c r="C193" s="298" t="n"/>
      <c r="D193" s="298" t="n"/>
      <c r="E193" s="291" t="n"/>
      <c r="F193" s="291" t="n"/>
      <c r="G193" s="297" t="n"/>
      <c r="H193" s="298" t="n"/>
    </row>
    <row r="194" ht="13" customHeight="1" s="189">
      <c r="A194" s="297" t="n"/>
      <c r="B194" s="291" t="n"/>
      <c r="C194" s="298" t="n"/>
      <c r="D194" s="298" t="n"/>
      <c r="E194" s="291" t="n"/>
      <c r="F194" s="291" t="n"/>
      <c r="G194" s="297" t="n"/>
      <c r="H194" s="298" t="n"/>
    </row>
    <row r="195" ht="13" customHeight="1" s="189">
      <c r="A195" s="297" t="n"/>
      <c r="B195" s="291" t="n"/>
      <c r="C195" s="298" t="n"/>
      <c r="D195" s="298" t="n"/>
      <c r="E195" s="291" t="n"/>
      <c r="F195" s="291" t="n"/>
      <c r="G195" s="297" t="n"/>
      <c r="H195" s="298" t="n"/>
    </row>
    <row r="196" ht="13" customHeight="1" s="189">
      <c r="A196" s="297" t="n"/>
      <c r="B196" s="291" t="n"/>
      <c r="C196" s="298" t="n"/>
      <c r="D196" s="298" t="n"/>
      <c r="E196" s="291" t="n"/>
      <c r="F196" s="291" t="n"/>
      <c r="G196" s="297" t="n"/>
      <c r="H196" s="298" t="n"/>
    </row>
    <row r="197" ht="13" customHeight="1" s="189">
      <c r="A197" s="297" t="n"/>
      <c r="B197" s="291" t="n"/>
      <c r="C197" s="298" t="n"/>
      <c r="D197" s="298" t="n"/>
      <c r="E197" s="291" t="n"/>
      <c r="F197" s="291" t="n"/>
      <c r="G197" s="297" t="n"/>
      <c r="H197" s="298" t="n"/>
    </row>
    <row r="198" ht="13" customHeight="1" s="189">
      <c r="A198" s="297" t="n"/>
      <c r="B198" s="291" t="n"/>
      <c r="C198" s="298" t="n"/>
      <c r="D198" s="298" t="n"/>
      <c r="E198" s="291" t="n"/>
      <c r="F198" s="291" t="n"/>
      <c r="G198" s="297" t="n"/>
      <c r="H198" s="298" t="n"/>
    </row>
    <row r="199" ht="13" customHeight="1" s="189">
      <c r="A199" s="297" t="n"/>
      <c r="B199" s="291" t="n"/>
      <c r="C199" s="298" t="n"/>
      <c r="D199" s="298" t="n"/>
      <c r="E199" s="291" t="n"/>
      <c r="F199" s="291" t="n"/>
      <c r="G199" s="297" t="n"/>
      <c r="H199" s="298" t="n"/>
    </row>
    <row r="200" ht="13" customHeight="1" s="189">
      <c r="A200" s="297" t="n"/>
      <c r="B200" s="291" t="n"/>
      <c r="C200" s="298" t="n"/>
      <c r="D200" s="298" t="n"/>
      <c r="E200" s="291" t="n"/>
      <c r="F200" s="291" t="n"/>
      <c r="G200" s="297" t="n"/>
      <c r="H200" s="298" t="n"/>
    </row>
    <row r="201" ht="13" customHeight="1" s="189">
      <c r="A201" s="297" t="n"/>
      <c r="B201" s="291" t="n"/>
      <c r="C201" s="298" t="n"/>
      <c r="D201" s="298" t="n"/>
      <c r="E201" s="291" t="n"/>
      <c r="F201" s="291" t="n"/>
      <c r="G201" s="297" t="n"/>
      <c r="H201" s="298" t="n"/>
    </row>
    <row r="202" ht="13" customHeight="1" s="189">
      <c r="A202" s="297" t="n"/>
      <c r="B202" s="291" t="n"/>
      <c r="C202" s="298" t="n"/>
      <c r="D202" s="298" t="n"/>
      <c r="E202" s="291" t="n"/>
      <c r="F202" s="291" t="n"/>
      <c r="G202" s="297" t="n"/>
      <c r="H202" s="298" t="n"/>
    </row>
    <row r="203" ht="13" customHeight="1" s="189">
      <c r="A203" s="297" t="n"/>
      <c r="B203" s="291" t="n"/>
      <c r="C203" s="298" t="n"/>
      <c r="D203" s="298" t="n"/>
      <c r="E203" s="291" t="n"/>
      <c r="F203" s="291" t="n"/>
      <c r="G203" s="297" t="n"/>
      <c r="H203" s="298" t="n"/>
    </row>
    <row r="204" ht="13" customHeight="1" s="189">
      <c r="A204" s="297" t="n"/>
      <c r="B204" s="291" t="n"/>
      <c r="C204" s="298" t="n"/>
      <c r="D204" s="298" t="n"/>
      <c r="E204" s="291" t="n"/>
      <c r="F204" s="291" t="n"/>
      <c r="G204" s="297" t="n"/>
      <c r="H204" s="298" t="n"/>
    </row>
    <row r="205" ht="13" customHeight="1" s="189">
      <c r="A205" s="297" t="n"/>
      <c r="B205" s="291" t="n"/>
      <c r="C205" s="298" t="n"/>
      <c r="D205" s="298" t="n"/>
      <c r="E205" s="291" t="n"/>
      <c r="F205" s="291" t="n"/>
      <c r="G205" s="297" t="n"/>
      <c r="H205" s="298" t="n"/>
    </row>
    <row r="206" ht="13" customHeight="1" s="189">
      <c r="A206" s="297" t="n"/>
      <c r="B206" s="291" t="n"/>
      <c r="C206" s="298" t="n"/>
      <c r="D206" s="298" t="n"/>
      <c r="E206" s="291" t="n"/>
      <c r="F206" s="291" t="n"/>
      <c r="G206" s="297" t="n"/>
      <c r="H206" s="298" t="n"/>
    </row>
    <row r="207" ht="13" customHeight="1" s="189">
      <c r="A207" s="297" t="n"/>
      <c r="B207" s="291" t="n"/>
      <c r="C207" s="298" t="n"/>
      <c r="D207" s="298" t="n"/>
      <c r="E207" s="291" t="n"/>
      <c r="F207" s="291" t="n"/>
      <c r="G207" s="297" t="n"/>
      <c r="H207" s="298" t="n"/>
    </row>
    <row r="208" ht="13" customHeight="1" s="189">
      <c r="A208" s="297" t="n"/>
      <c r="B208" s="291" t="n"/>
      <c r="C208" s="298" t="n"/>
      <c r="D208" s="298" t="n"/>
      <c r="E208" s="291" t="n"/>
      <c r="F208" s="291" t="n"/>
      <c r="G208" s="297" t="n"/>
      <c r="H208" s="298" t="n"/>
    </row>
    <row r="209" ht="13" customHeight="1" s="189">
      <c r="A209" s="297" t="n"/>
      <c r="B209" s="291" t="n"/>
      <c r="C209" s="298" t="n"/>
      <c r="D209" s="298" t="n"/>
      <c r="E209" s="291" t="n"/>
      <c r="F209" s="291" t="n"/>
      <c r="G209" s="297" t="n"/>
      <c r="H209" s="298" t="n"/>
    </row>
    <row r="210" ht="13" customHeight="1" s="189">
      <c r="A210" s="297" t="n"/>
      <c r="B210" s="291" t="n"/>
      <c r="C210" s="298" t="n"/>
      <c r="D210" s="298" t="n"/>
      <c r="E210" s="291" t="n"/>
      <c r="F210" s="291" t="n"/>
      <c r="G210" s="297" t="n"/>
      <c r="H210" s="298" t="n"/>
    </row>
    <row r="211" ht="13" customHeight="1" s="189">
      <c r="A211" s="297" t="n"/>
      <c r="B211" s="291" t="n"/>
      <c r="C211" s="298" t="n"/>
      <c r="D211" s="298" t="n"/>
      <c r="E211" s="291" t="n"/>
      <c r="F211" s="291" t="n"/>
      <c r="G211" s="297" t="n"/>
      <c r="H211" s="298" t="n"/>
    </row>
    <row r="212" ht="13" customHeight="1" s="189">
      <c r="A212" s="297" t="n"/>
      <c r="B212" s="291" t="n"/>
      <c r="C212" s="298" t="n"/>
      <c r="D212" s="298" t="n"/>
      <c r="E212" s="291" t="n"/>
      <c r="F212" s="291" t="n"/>
      <c r="G212" s="297" t="n"/>
      <c r="H212" s="298" t="n"/>
    </row>
    <row r="213" ht="13" customHeight="1" s="189">
      <c r="A213" s="297" t="n"/>
      <c r="B213" s="291" t="n"/>
      <c r="C213" s="298" t="n"/>
      <c r="D213" s="298" t="n"/>
      <c r="E213" s="291" t="n"/>
      <c r="F213" s="291" t="n"/>
      <c r="G213" s="297" t="n"/>
      <c r="H213" s="298" t="n"/>
    </row>
    <row r="214" ht="13" customHeight="1" s="189">
      <c r="A214" s="297" t="n"/>
      <c r="B214" s="291" t="n"/>
      <c r="C214" s="298" t="n"/>
      <c r="D214" s="298" t="n"/>
      <c r="E214" s="291" t="n"/>
      <c r="F214" s="291" t="n"/>
      <c r="G214" s="297" t="n"/>
      <c r="H214" s="298" t="n"/>
    </row>
    <row r="215" ht="13" customHeight="1" s="189">
      <c r="A215" s="297" t="n"/>
      <c r="B215" s="291" t="n"/>
      <c r="C215" s="298" t="n"/>
      <c r="D215" s="298" t="n"/>
      <c r="E215" s="291" t="n"/>
      <c r="F215" s="291" t="n"/>
      <c r="G215" s="297" t="n"/>
      <c r="H215" s="298" t="n"/>
    </row>
    <row r="216" ht="13" customHeight="1" s="189">
      <c r="A216" s="297" t="n"/>
      <c r="B216" s="291" t="n"/>
      <c r="C216" s="298" t="n"/>
      <c r="D216" s="298" t="n"/>
      <c r="E216" s="291" t="n"/>
      <c r="F216" s="291" t="n"/>
      <c r="G216" s="297" t="n"/>
      <c r="H216" s="298" t="n"/>
    </row>
    <row r="217" ht="13" customHeight="1" s="189">
      <c r="A217" s="297" t="n"/>
      <c r="B217" s="291" t="n"/>
      <c r="C217" s="298" t="n"/>
      <c r="D217" s="298" t="n"/>
      <c r="E217" s="291" t="n"/>
      <c r="F217" s="291" t="n"/>
      <c r="G217" s="297" t="n"/>
      <c r="H217" s="298" t="n"/>
    </row>
    <row r="218" ht="13" customHeight="1" s="189">
      <c r="A218" s="297" t="n"/>
      <c r="B218" s="291" t="n"/>
      <c r="C218" s="298" t="n"/>
      <c r="D218" s="298" t="n"/>
      <c r="E218" s="291" t="n"/>
      <c r="F218" s="291" t="n"/>
      <c r="G218" s="297" t="n"/>
      <c r="H218" s="298" t="n"/>
    </row>
    <row r="219" ht="13" customHeight="1" s="189">
      <c r="A219" s="297" t="n"/>
      <c r="B219" s="291" t="n"/>
      <c r="C219" s="298" t="n"/>
      <c r="D219" s="298" t="n"/>
      <c r="E219" s="291" t="n"/>
      <c r="F219" s="291" t="n"/>
      <c r="G219" s="297" t="n"/>
      <c r="H219" s="298" t="n"/>
    </row>
    <row r="220" ht="13" customHeight="1" s="189">
      <c r="A220" s="297" t="n"/>
      <c r="B220" s="291" t="n"/>
      <c r="C220" s="298" t="n"/>
      <c r="D220" s="298" t="n"/>
      <c r="E220" s="291" t="n"/>
      <c r="F220" s="291" t="n"/>
      <c r="G220" s="297" t="n"/>
      <c r="H220" s="298" t="n"/>
    </row>
    <row r="221" ht="13" customHeight="1" s="189">
      <c r="A221" s="297" t="n"/>
      <c r="B221" s="291" t="n"/>
      <c r="C221" s="298" t="n"/>
      <c r="D221" s="298" t="n"/>
      <c r="E221" s="291" t="n"/>
      <c r="F221" s="291" t="n"/>
      <c r="G221" s="297" t="n"/>
      <c r="H221" s="298" t="n"/>
    </row>
    <row r="222" ht="13" customHeight="1" s="189">
      <c r="A222" s="297" t="n"/>
      <c r="B222" s="291" t="n"/>
      <c r="C222" s="298" t="n"/>
      <c r="D222" s="298" t="n"/>
      <c r="E222" s="291" t="n"/>
      <c r="F222" s="291" t="n"/>
      <c r="G222" s="297" t="n"/>
      <c r="H222" s="298" t="n"/>
    </row>
    <row r="223" ht="13" customHeight="1" s="189">
      <c r="A223" s="297" t="n"/>
      <c r="B223" s="291" t="n"/>
      <c r="C223" s="298" t="n"/>
      <c r="D223" s="298" t="n"/>
      <c r="E223" s="291" t="n"/>
      <c r="F223" s="291" t="n"/>
      <c r="G223" s="297" t="n"/>
      <c r="H223" s="298" t="n"/>
    </row>
    <row r="224" ht="13" customHeight="1" s="189">
      <c r="A224" s="297" t="n"/>
      <c r="B224" s="291" t="n"/>
      <c r="C224" s="298" t="n"/>
      <c r="D224" s="298" t="n"/>
      <c r="E224" s="291" t="n"/>
      <c r="F224" s="291" t="n"/>
      <c r="G224" s="297" t="n"/>
      <c r="H224" s="298" t="n"/>
    </row>
    <row r="225" ht="13" customHeight="1" s="189">
      <c r="A225" s="297" t="n"/>
      <c r="B225" s="291" t="n"/>
      <c r="C225" s="298" t="n"/>
      <c r="D225" s="298" t="n"/>
      <c r="E225" s="291" t="n"/>
      <c r="F225" s="291" t="n"/>
      <c r="G225" s="297" t="n"/>
      <c r="H225" s="298" t="n"/>
    </row>
    <row r="226" ht="13" customHeight="1" s="189">
      <c r="A226" s="297" t="n"/>
      <c r="B226" s="291" t="n"/>
      <c r="C226" s="298" t="n"/>
      <c r="D226" s="298" t="n"/>
      <c r="E226" s="291" t="n"/>
      <c r="F226" s="291" t="n"/>
      <c r="G226" s="297" t="n"/>
      <c r="H226" s="298" t="n"/>
    </row>
    <row r="227" ht="13" customHeight="1" s="189">
      <c r="A227" s="297" t="n"/>
      <c r="B227" s="291" t="n"/>
      <c r="C227" s="298" t="n"/>
      <c r="D227" s="298" t="n"/>
      <c r="E227" s="291" t="n"/>
      <c r="F227" s="291" t="n"/>
      <c r="G227" s="297" t="n"/>
      <c r="H227" s="298" t="n"/>
    </row>
    <row r="228" ht="13" customHeight="1" s="189">
      <c r="A228" s="297" t="n"/>
      <c r="B228" s="291" t="n"/>
      <c r="C228" s="298" t="n"/>
      <c r="D228" s="298" t="n"/>
      <c r="E228" s="291" t="n"/>
      <c r="F228" s="291" t="n"/>
      <c r="G228" s="297" t="n"/>
      <c r="H228" s="298" t="n"/>
    </row>
    <row r="229" ht="13" customHeight="1" s="189">
      <c r="A229" s="297" t="n"/>
      <c r="B229" s="291" t="n"/>
      <c r="C229" s="298" t="n"/>
      <c r="D229" s="298" t="n"/>
      <c r="E229" s="291" t="n"/>
      <c r="F229" s="291" t="n"/>
      <c r="G229" s="297" t="n"/>
      <c r="H229" s="298" t="n"/>
    </row>
    <row r="230" ht="13" customHeight="1" s="189">
      <c r="A230" s="297" t="n"/>
      <c r="B230" s="291" t="n"/>
      <c r="C230" s="298" t="n"/>
      <c r="D230" s="298" t="n"/>
      <c r="E230" s="291" t="n"/>
      <c r="F230" s="291" t="n"/>
      <c r="G230" s="297" t="n"/>
      <c r="H230" s="298" t="n"/>
    </row>
    <row r="231" ht="13" customHeight="1" s="189">
      <c r="A231" s="297" t="n"/>
      <c r="B231" s="291" t="n"/>
      <c r="C231" s="298" t="n"/>
      <c r="D231" s="298" t="n"/>
      <c r="E231" s="291" t="n"/>
      <c r="F231" s="291" t="n"/>
      <c r="G231" s="297" t="n"/>
      <c r="H231" s="298" t="n"/>
    </row>
    <row r="232" ht="13" customHeight="1" s="189">
      <c r="A232" s="297" t="n"/>
      <c r="B232" s="291" t="n"/>
      <c r="C232" s="298" t="n"/>
      <c r="D232" s="298" t="n"/>
      <c r="E232" s="291" t="n"/>
      <c r="F232" s="291" t="n"/>
      <c r="G232" s="297" t="n"/>
      <c r="H232" s="298" t="n"/>
    </row>
    <row r="233" ht="13" customHeight="1" s="189">
      <c r="A233" s="297" t="n"/>
      <c r="B233" s="291" t="n"/>
      <c r="C233" s="298" t="n"/>
      <c r="D233" s="298" t="n"/>
      <c r="E233" s="291" t="n"/>
      <c r="F233" s="291" t="n"/>
      <c r="G233" s="297" t="n"/>
      <c r="H233" s="298" t="n"/>
    </row>
    <row r="234" ht="13" customHeight="1" s="189">
      <c r="A234" s="297" t="n"/>
      <c r="B234" s="291" t="n"/>
      <c r="C234" s="298" t="n"/>
      <c r="D234" s="298" t="n"/>
      <c r="E234" s="291" t="n"/>
      <c r="F234" s="291" t="n"/>
      <c r="G234" s="297" t="n"/>
      <c r="H234" s="298" t="n"/>
    </row>
    <row r="235" ht="13" customHeight="1" s="189">
      <c r="A235" s="297" t="n"/>
      <c r="B235" s="291" t="n"/>
      <c r="C235" s="298" t="n"/>
      <c r="D235" s="298" t="n"/>
      <c r="E235" s="291" t="n"/>
      <c r="F235" s="291" t="n"/>
      <c r="G235" s="297" t="n"/>
      <c r="H235" s="298" t="n"/>
    </row>
    <row r="236" ht="13" customHeight="1" s="189">
      <c r="A236" s="297" t="n"/>
      <c r="B236" s="291" t="n"/>
      <c r="C236" s="298" t="n"/>
      <c r="D236" s="298" t="n"/>
      <c r="E236" s="291" t="n"/>
      <c r="F236" s="291" t="n"/>
      <c r="G236" s="297" t="n"/>
      <c r="H236" s="298" t="n"/>
    </row>
    <row r="237" ht="13" customHeight="1" s="189">
      <c r="A237" s="297" t="n"/>
      <c r="B237" s="291" t="n"/>
      <c r="C237" s="298" t="n"/>
      <c r="D237" s="298" t="n"/>
      <c r="E237" s="291" t="n"/>
      <c r="F237" s="291" t="n"/>
      <c r="G237" s="297" t="n"/>
      <c r="H237" s="298" t="n"/>
    </row>
    <row r="238" ht="13" customHeight="1" s="189">
      <c r="A238" s="297" t="n"/>
      <c r="B238" s="291" t="n"/>
      <c r="C238" s="298" t="n"/>
      <c r="D238" s="298" t="n"/>
      <c r="E238" s="291" t="n"/>
      <c r="F238" s="291" t="n"/>
      <c r="G238" s="297" t="n"/>
      <c r="H238" s="298" t="n"/>
    </row>
    <row r="239" ht="13" customHeight="1" s="189">
      <c r="A239" s="297" t="n"/>
      <c r="B239" s="291" t="n"/>
      <c r="C239" s="298" t="n"/>
      <c r="D239" s="298" t="n"/>
      <c r="E239" s="291" t="n"/>
      <c r="F239" s="291" t="n"/>
      <c r="G239" s="297" t="n"/>
      <c r="H239" s="298" t="n"/>
    </row>
    <row r="240" ht="13" customHeight="1" s="189">
      <c r="A240" s="297" t="n"/>
      <c r="B240" s="291" t="n"/>
      <c r="C240" s="298" t="n"/>
      <c r="D240" s="298" t="n"/>
      <c r="E240" s="291" t="n"/>
      <c r="F240" s="291" t="n"/>
      <c r="G240" s="297" t="n"/>
      <c r="H240" s="298" t="n"/>
    </row>
    <row r="241" ht="13" customHeight="1" s="189">
      <c r="A241" s="297" t="n"/>
      <c r="B241" s="291" t="n"/>
      <c r="C241" s="298" t="n"/>
      <c r="D241" s="298" t="n"/>
      <c r="E241" s="291" t="n"/>
      <c r="F241" s="291" t="n"/>
      <c r="G241" s="297" t="n"/>
      <c r="H241" s="298" t="n"/>
    </row>
    <row r="242" ht="13" customHeight="1" s="189">
      <c r="A242" s="297" t="n"/>
      <c r="B242" s="291" t="n"/>
      <c r="C242" s="298" t="n"/>
      <c r="D242" s="298" t="n"/>
      <c r="E242" s="291" t="n"/>
      <c r="F242" s="291" t="n"/>
      <c r="G242" s="297" t="n"/>
      <c r="H242" s="298" t="n"/>
    </row>
    <row r="243" ht="13" customHeight="1" s="189">
      <c r="A243" s="297" t="n"/>
      <c r="B243" s="291" t="n"/>
      <c r="C243" s="298" t="n"/>
      <c r="D243" s="298" t="n"/>
      <c r="E243" s="291" t="n"/>
      <c r="F243" s="291" t="n"/>
      <c r="G243" s="297" t="n"/>
      <c r="H243" s="298" t="n"/>
    </row>
    <row r="244" ht="13" customHeight="1" s="189">
      <c r="A244" s="297" t="n"/>
      <c r="B244" s="291" t="n"/>
      <c r="C244" s="298" t="n"/>
      <c r="D244" s="298" t="n"/>
      <c r="E244" s="291" t="n"/>
      <c r="F244" s="291" t="n"/>
      <c r="G244" s="297" t="n"/>
      <c r="H244" s="298" t="n"/>
    </row>
    <row r="245" ht="13" customHeight="1" s="189">
      <c r="A245" s="297" t="n"/>
      <c r="B245" s="291" t="n"/>
      <c r="C245" s="298" t="n"/>
      <c r="D245" s="298" t="n"/>
      <c r="E245" s="291" t="n"/>
      <c r="F245" s="291" t="n"/>
      <c r="G245" s="297" t="n"/>
      <c r="H245" s="298" t="n"/>
    </row>
    <row r="246" ht="13" customHeight="1" s="189">
      <c r="A246" s="297" t="n"/>
      <c r="B246" s="291" t="n"/>
      <c r="C246" s="298" t="n"/>
      <c r="D246" s="298" t="n"/>
      <c r="E246" s="291" t="n"/>
      <c r="F246" s="291" t="n"/>
      <c r="G246" s="297" t="n"/>
      <c r="H246" s="298" t="n"/>
    </row>
    <row r="247" ht="13" customHeight="1" s="189">
      <c r="A247" s="297" t="n"/>
      <c r="B247" s="291" t="n"/>
      <c r="C247" s="298" t="n"/>
      <c r="D247" s="298" t="n"/>
      <c r="E247" s="291" t="n"/>
      <c r="F247" s="291" t="n"/>
      <c r="G247" s="297" t="n"/>
      <c r="H247" s="298" t="n"/>
    </row>
    <row r="248" ht="13" customHeight="1" s="189">
      <c r="A248" s="297" t="n"/>
      <c r="B248" s="291" t="n"/>
      <c r="C248" s="298" t="n"/>
      <c r="D248" s="298" t="n"/>
      <c r="E248" s="291" t="n"/>
      <c r="F248" s="291" t="n"/>
      <c r="G248" s="297" t="n"/>
      <c r="H248" s="298" t="n"/>
    </row>
    <row r="249" ht="13" customHeight="1" s="189">
      <c r="A249" s="297" t="n"/>
      <c r="B249" s="291" t="n"/>
      <c r="C249" s="298" t="n"/>
      <c r="D249" s="298" t="n"/>
      <c r="E249" s="291" t="n"/>
      <c r="F249" s="291" t="n"/>
      <c r="G249" s="297" t="n"/>
      <c r="H249" s="298" t="n"/>
    </row>
    <row r="250" ht="13" customHeight="1" s="189">
      <c r="A250" s="297" t="n"/>
      <c r="B250" s="291" t="n"/>
      <c r="C250" s="298" t="n"/>
      <c r="D250" s="298" t="n"/>
      <c r="E250" s="291" t="n"/>
      <c r="F250" s="291" t="n"/>
      <c r="G250" s="297" t="n"/>
      <c r="H250" s="298" t="n"/>
    </row>
    <row r="251" ht="13" customHeight="1" s="189">
      <c r="A251" s="297" t="n"/>
      <c r="B251" s="291" t="n"/>
      <c r="C251" s="298" t="n"/>
      <c r="D251" s="298" t="n"/>
      <c r="E251" s="291" t="n"/>
      <c r="F251" s="291" t="n"/>
      <c r="G251" s="297" t="n"/>
      <c r="H251" s="298" t="n"/>
    </row>
    <row r="252" ht="13" customHeight="1" s="189">
      <c r="A252" s="297" t="n"/>
      <c r="B252" s="291" t="n"/>
      <c r="C252" s="298" t="n"/>
      <c r="D252" s="298" t="n"/>
      <c r="E252" s="291" t="n"/>
      <c r="F252" s="291" t="n"/>
      <c r="G252" s="297" t="n"/>
      <c r="H252" s="298" t="n"/>
    </row>
    <row r="253" ht="13" customHeight="1" s="189">
      <c r="A253" s="297" t="n"/>
      <c r="B253" s="291" t="n"/>
      <c r="C253" s="298" t="n"/>
      <c r="D253" s="298" t="n"/>
      <c r="E253" s="291" t="n"/>
      <c r="F253" s="291" t="n"/>
      <c r="G253" s="297" t="n"/>
      <c r="H253" s="298" t="n"/>
    </row>
    <row r="254" ht="13" customHeight="1" s="189">
      <c r="A254" s="297" t="n"/>
      <c r="B254" s="291" t="n"/>
      <c r="C254" s="298" t="n"/>
      <c r="D254" s="298" t="n"/>
      <c r="E254" s="291" t="n"/>
      <c r="F254" s="291" t="n"/>
      <c r="G254" s="297" t="n"/>
      <c r="H254" s="298" t="n"/>
    </row>
    <row r="255" ht="13" customHeight="1" s="189">
      <c r="A255" s="297" t="n"/>
      <c r="B255" s="291" t="n"/>
      <c r="C255" s="298" t="n"/>
      <c r="D255" s="298" t="n"/>
      <c r="E255" s="291" t="n"/>
      <c r="F255" s="291" t="n"/>
      <c r="G255" s="297" t="n"/>
      <c r="H255" s="298" t="n"/>
    </row>
    <row r="256" ht="13" customHeight="1" s="189">
      <c r="A256" s="297" t="n"/>
      <c r="B256" s="291" t="n"/>
      <c r="C256" s="298" t="n"/>
      <c r="D256" s="298" t="n"/>
      <c r="E256" s="291" t="n"/>
      <c r="F256" s="291" t="n"/>
      <c r="G256" s="297" t="n"/>
      <c r="H256" s="298" t="n"/>
    </row>
    <row r="257" ht="13" customHeight="1" s="189">
      <c r="A257" s="297" t="n"/>
      <c r="B257" s="291" t="n"/>
      <c r="C257" s="298" t="n"/>
      <c r="D257" s="298" t="n"/>
      <c r="E257" s="291" t="n"/>
      <c r="F257" s="291" t="n"/>
      <c r="G257" s="297" t="n"/>
      <c r="H257" s="298" t="n"/>
    </row>
    <row r="258" ht="13" customHeight="1" s="189">
      <c r="A258" s="297" t="n"/>
      <c r="B258" s="291" t="n"/>
      <c r="C258" s="298" t="n"/>
      <c r="D258" s="298" t="n"/>
      <c r="E258" s="291" t="n"/>
      <c r="F258" s="291" t="n"/>
      <c r="G258" s="297" t="n"/>
      <c r="H258" s="298" t="n"/>
    </row>
    <row r="259" ht="13" customHeight="1" s="189">
      <c r="A259" s="297" t="n"/>
      <c r="B259" s="291" t="n"/>
      <c r="C259" s="298" t="n"/>
      <c r="D259" s="298" t="n"/>
      <c r="E259" s="291" t="n"/>
      <c r="F259" s="291" t="n"/>
      <c r="G259" s="297" t="n"/>
      <c r="H259" s="298" t="n"/>
    </row>
    <row r="260" ht="13" customHeight="1" s="189">
      <c r="A260" s="297" t="n"/>
      <c r="B260" s="291" t="n"/>
      <c r="C260" s="298" t="n"/>
      <c r="D260" s="298" t="n"/>
      <c r="E260" s="291" t="n"/>
      <c r="F260" s="291" t="n"/>
      <c r="G260" s="297" t="n"/>
      <c r="H260" s="298" t="n"/>
    </row>
    <row r="261" ht="13" customHeight="1" s="189">
      <c r="A261" s="297" t="n"/>
      <c r="B261" s="291" t="n"/>
      <c r="C261" s="298" t="n"/>
      <c r="D261" s="298" t="n"/>
      <c r="E261" s="291" t="n"/>
      <c r="F261" s="291" t="n"/>
      <c r="G261" s="297" t="n"/>
      <c r="H261" s="298" t="n"/>
    </row>
    <row r="262" ht="13" customHeight="1" s="189">
      <c r="A262" s="297" t="n"/>
      <c r="B262" s="291" t="n"/>
      <c r="C262" s="298" t="n"/>
      <c r="D262" s="298" t="n"/>
      <c r="E262" s="291" t="n"/>
      <c r="F262" s="291" t="n"/>
      <c r="G262" s="297" t="n"/>
      <c r="H262" s="298" t="n"/>
    </row>
    <row r="263" ht="13" customHeight="1" s="189">
      <c r="A263" s="297" t="n"/>
      <c r="B263" s="291" t="n"/>
      <c r="C263" s="298" t="n"/>
      <c r="D263" s="298" t="n"/>
      <c r="E263" s="291" t="n"/>
      <c r="F263" s="291" t="n"/>
      <c r="G263" s="297" t="n"/>
      <c r="H263" s="298" t="n"/>
    </row>
    <row r="264" ht="13" customHeight="1" s="189">
      <c r="A264" s="297" t="n"/>
      <c r="B264" s="291" t="n"/>
      <c r="C264" s="298" t="n"/>
      <c r="D264" s="298" t="n"/>
      <c r="E264" s="291" t="n"/>
      <c r="F264" s="291" t="n"/>
      <c r="G264" s="297" t="n"/>
      <c r="H264" s="298" t="n"/>
    </row>
    <row r="265" ht="13" customHeight="1" s="189">
      <c r="A265" s="297" t="n"/>
      <c r="B265" s="291" t="n"/>
      <c r="C265" s="298" t="n"/>
      <c r="D265" s="298" t="n"/>
      <c r="E265" s="291" t="n"/>
      <c r="F265" s="291" t="n"/>
      <c r="G265" s="297" t="n"/>
      <c r="H265" s="298" t="n"/>
    </row>
    <row r="266" ht="13" customHeight="1" s="189">
      <c r="A266" s="297" t="n"/>
      <c r="B266" s="291" t="n"/>
      <c r="C266" s="298" t="n"/>
      <c r="D266" s="298" t="n"/>
      <c r="E266" s="291" t="n"/>
      <c r="F266" s="291" t="n"/>
      <c r="G266" s="297" t="n"/>
      <c r="H266" s="298" t="n"/>
    </row>
    <row r="267" ht="13" customHeight="1" s="189">
      <c r="A267" s="297" t="n"/>
      <c r="B267" s="291" t="n"/>
      <c r="C267" s="298" t="n"/>
      <c r="D267" s="298" t="n"/>
      <c r="E267" s="291" t="n"/>
      <c r="F267" s="291" t="n"/>
      <c r="G267" s="297" t="n"/>
      <c r="H267" s="298" t="n"/>
    </row>
    <row r="268" ht="13" customHeight="1" s="189">
      <c r="A268" s="297" t="n"/>
      <c r="B268" s="291" t="n"/>
      <c r="C268" s="298" t="n"/>
      <c r="D268" s="298" t="n"/>
      <c r="E268" s="291" t="n"/>
      <c r="F268" s="291" t="n"/>
      <c r="G268" s="297" t="n"/>
      <c r="H268" s="298" t="n"/>
    </row>
    <row r="269" ht="13" customHeight="1" s="189">
      <c r="A269" s="297" t="n"/>
      <c r="B269" s="291" t="n"/>
      <c r="C269" s="298" t="n"/>
      <c r="D269" s="298" t="n"/>
      <c r="E269" s="291" t="n"/>
      <c r="F269" s="291" t="n"/>
      <c r="G269" s="297" t="n"/>
      <c r="H269" s="298" t="n"/>
    </row>
    <row r="270" ht="13" customHeight="1" s="189">
      <c r="A270" s="297" t="n"/>
      <c r="B270" s="291" t="n"/>
      <c r="C270" s="298" t="n"/>
      <c r="D270" s="298" t="n"/>
      <c r="E270" s="291" t="n"/>
      <c r="F270" s="291" t="n"/>
      <c r="G270" s="297" t="n"/>
      <c r="H270" s="298" t="n"/>
    </row>
    <row r="271" ht="13" customHeight="1" s="189">
      <c r="A271" s="297" t="n"/>
      <c r="B271" s="291" t="n"/>
      <c r="C271" s="298" t="n"/>
      <c r="D271" s="298" t="n"/>
      <c r="E271" s="291" t="n"/>
      <c r="F271" s="291" t="n"/>
      <c r="G271" s="297" t="n"/>
      <c r="H271" s="298" t="n"/>
    </row>
    <row r="272" ht="13" customHeight="1" s="189">
      <c r="A272" s="297" t="n"/>
      <c r="B272" s="291" t="n"/>
      <c r="C272" s="298" t="n"/>
      <c r="D272" s="298" t="n"/>
      <c r="E272" s="291" t="n"/>
      <c r="F272" s="291" t="n"/>
      <c r="G272" s="297" t="n"/>
      <c r="H272" s="298" t="n"/>
    </row>
    <row r="273" ht="13" customHeight="1" s="189">
      <c r="A273" s="297" t="n"/>
      <c r="B273" s="291" t="n"/>
      <c r="C273" s="298" t="n"/>
      <c r="D273" s="298" t="n"/>
      <c r="E273" s="291" t="n"/>
      <c r="F273" s="291" t="n"/>
      <c r="G273" s="297" t="n"/>
      <c r="H273" s="298" t="n"/>
    </row>
    <row r="274" ht="13" customHeight="1" s="189">
      <c r="A274" s="297" t="n"/>
      <c r="B274" s="291" t="n"/>
      <c r="C274" s="298" t="n"/>
      <c r="D274" s="298" t="n"/>
      <c r="E274" s="291" t="n"/>
      <c r="F274" s="291" t="n"/>
      <c r="G274" s="297" t="n"/>
      <c r="H274" s="298" t="n"/>
    </row>
    <row r="275" ht="13" customHeight="1" s="189">
      <c r="A275" s="297" t="n"/>
      <c r="B275" s="291" t="n"/>
      <c r="C275" s="298" t="n"/>
      <c r="D275" s="298" t="n"/>
      <c r="E275" s="291" t="n"/>
      <c r="F275" s="291" t="n"/>
      <c r="G275" s="297" t="n"/>
      <c r="H275" s="298" t="n"/>
    </row>
    <row r="276" ht="13" customHeight="1" s="189">
      <c r="A276" s="297" t="n"/>
      <c r="B276" s="291" t="n"/>
      <c r="C276" s="298" t="n"/>
      <c r="D276" s="298" t="n"/>
      <c r="E276" s="291" t="n"/>
      <c r="F276" s="291" t="n"/>
      <c r="G276" s="297" t="n"/>
      <c r="H276" s="298" t="n"/>
    </row>
    <row r="277" ht="13" customHeight="1" s="189">
      <c r="A277" s="297" t="n"/>
      <c r="B277" s="291" t="n"/>
      <c r="C277" s="298" t="n"/>
      <c r="D277" s="298" t="n"/>
      <c r="E277" s="291" t="n"/>
      <c r="F277" s="291" t="n"/>
      <c r="G277" s="297" t="n"/>
      <c r="H277" s="298" t="n"/>
    </row>
    <row r="278" ht="13" customHeight="1" s="189">
      <c r="A278" s="297" t="n"/>
      <c r="B278" s="291" t="n"/>
      <c r="C278" s="298" t="n"/>
      <c r="D278" s="298" t="n"/>
      <c r="E278" s="291" t="n"/>
      <c r="F278" s="291" t="n"/>
      <c r="G278" s="297" t="n"/>
      <c r="H278" s="298" t="n"/>
    </row>
    <row r="279" ht="13" customHeight="1" s="189">
      <c r="A279" s="297" t="n"/>
      <c r="B279" s="291" t="n"/>
      <c r="C279" s="298" t="n"/>
      <c r="D279" s="298" t="n"/>
      <c r="E279" s="291" t="n"/>
      <c r="F279" s="291" t="n"/>
      <c r="G279" s="297" t="n"/>
      <c r="H279" s="298" t="n"/>
    </row>
    <row r="280" ht="13" customHeight="1" s="189">
      <c r="A280" s="297" t="n"/>
      <c r="B280" s="291" t="n"/>
      <c r="C280" s="298" t="n"/>
      <c r="D280" s="298" t="n"/>
      <c r="E280" s="291" t="n"/>
      <c r="F280" s="291" t="n"/>
      <c r="G280" s="297" t="n"/>
      <c r="H280" s="298" t="n"/>
    </row>
    <row r="281" ht="13" customHeight="1" s="189">
      <c r="A281" s="297" t="n"/>
      <c r="B281" s="291" t="n"/>
      <c r="C281" s="298" t="n"/>
      <c r="D281" s="298" t="n"/>
      <c r="E281" s="291" t="n"/>
      <c r="F281" s="291" t="n"/>
      <c r="G281" s="297" t="n"/>
      <c r="H281" s="298" t="n"/>
    </row>
    <row r="282" ht="13" customHeight="1" s="189">
      <c r="A282" s="297" t="n"/>
      <c r="B282" s="291" t="n"/>
      <c r="C282" s="298" t="n"/>
      <c r="D282" s="298" t="n"/>
      <c r="E282" s="291" t="n"/>
      <c r="F282" s="291" t="n"/>
      <c r="G282" s="297" t="n"/>
      <c r="H282" s="298" t="n"/>
    </row>
    <row r="283" ht="13" customHeight="1" s="189">
      <c r="A283" s="297" t="n"/>
      <c r="B283" s="291" t="n"/>
      <c r="C283" s="298" t="n"/>
      <c r="D283" s="298" t="n"/>
      <c r="E283" s="291" t="n"/>
      <c r="F283" s="291" t="n"/>
      <c r="G283" s="297" t="n"/>
      <c r="H283" s="298" t="n"/>
    </row>
    <row r="284" ht="13" customHeight="1" s="189">
      <c r="A284" s="297" t="n"/>
      <c r="B284" s="291" t="n"/>
      <c r="C284" s="298" t="n"/>
      <c r="D284" s="298" t="n"/>
      <c r="E284" s="291" t="n"/>
      <c r="F284" s="291" t="n"/>
      <c r="G284" s="297" t="n"/>
      <c r="H284" s="298" t="n"/>
    </row>
    <row r="285" ht="13" customHeight="1" s="189">
      <c r="A285" s="297" t="n"/>
      <c r="B285" s="291" t="n"/>
      <c r="C285" s="298" t="n"/>
      <c r="D285" s="298" t="n"/>
      <c r="E285" s="291" t="n"/>
      <c r="F285" s="291" t="n"/>
      <c r="G285" s="297" t="n"/>
      <c r="H285" s="298" t="n"/>
    </row>
    <row r="286" ht="13" customHeight="1" s="189">
      <c r="A286" s="297" t="n"/>
      <c r="B286" s="291" t="n"/>
      <c r="C286" s="298" t="n"/>
      <c r="D286" s="298" t="n"/>
      <c r="E286" s="291" t="n"/>
      <c r="F286" s="291" t="n"/>
      <c r="G286" s="297" t="n"/>
      <c r="H286" s="298" t="n"/>
    </row>
    <row r="287" ht="13" customHeight="1" s="189">
      <c r="A287" s="297" t="n"/>
      <c r="B287" s="291" t="n"/>
      <c r="C287" s="298" t="n"/>
      <c r="D287" s="298" t="n"/>
      <c r="E287" s="291" t="n"/>
      <c r="F287" s="291" t="n"/>
      <c r="G287" s="297" t="n"/>
      <c r="H287" s="298" t="n"/>
    </row>
    <row r="288" ht="13" customHeight="1" s="189">
      <c r="A288" s="297" t="n"/>
      <c r="B288" s="291" t="n"/>
      <c r="C288" s="298" t="n"/>
      <c r="D288" s="298" t="n"/>
      <c r="E288" s="291" t="n"/>
      <c r="F288" s="291" t="n"/>
      <c r="G288" s="297" t="n"/>
      <c r="H288" s="298" t="n"/>
    </row>
    <row r="289" ht="13" customHeight="1" s="189">
      <c r="A289" s="297" t="n"/>
      <c r="B289" s="291" t="n"/>
      <c r="C289" s="298" t="n"/>
      <c r="D289" s="298" t="n"/>
      <c r="E289" s="291" t="n"/>
      <c r="F289" s="291" t="n"/>
      <c r="G289" s="297" t="n"/>
      <c r="H289" s="298" t="n"/>
    </row>
    <row r="290" ht="13" customHeight="1" s="189">
      <c r="A290" s="297" t="n"/>
      <c r="B290" s="291" t="n"/>
      <c r="C290" s="298" t="n"/>
      <c r="D290" s="298" t="n"/>
      <c r="E290" s="291" t="n"/>
      <c r="F290" s="291" t="n"/>
      <c r="G290" s="297" t="n"/>
      <c r="H290" s="298" t="n"/>
    </row>
    <row r="291" ht="13" customHeight="1" s="189">
      <c r="A291" s="297" t="n"/>
      <c r="B291" s="291" t="n"/>
      <c r="C291" s="298" t="n"/>
      <c r="D291" s="298" t="n"/>
      <c r="E291" s="291" t="n"/>
      <c r="F291" s="291" t="n"/>
      <c r="G291" s="297" t="n"/>
      <c r="H291" s="298" t="n"/>
    </row>
    <row r="292" ht="13" customHeight="1" s="189">
      <c r="A292" s="297" t="n"/>
      <c r="B292" s="291" t="n"/>
      <c r="C292" s="298" t="n"/>
      <c r="D292" s="298" t="n"/>
      <c r="E292" s="291" t="n"/>
      <c r="F292" s="291" t="n"/>
      <c r="G292" s="297" t="n"/>
      <c r="H292" s="298" t="n"/>
    </row>
    <row r="293" ht="13" customHeight="1" s="189">
      <c r="A293" s="297" t="n"/>
      <c r="B293" s="291" t="n"/>
      <c r="C293" s="298" t="n"/>
      <c r="D293" s="298" t="n"/>
      <c r="E293" s="291" t="n"/>
      <c r="F293" s="291" t="n"/>
      <c r="G293" s="297" t="n"/>
      <c r="H293" s="298" t="n"/>
    </row>
    <row r="294" ht="13" customHeight="1" s="189">
      <c r="A294" s="297" t="n"/>
      <c r="B294" s="291" t="n"/>
      <c r="C294" s="298" t="n"/>
      <c r="D294" s="298" t="n"/>
      <c r="E294" s="291" t="n"/>
      <c r="F294" s="291" t="n"/>
      <c r="G294" s="297" t="n"/>
      <c r="H294" s="298" t="n"/>
    </row>
    <row r="295" ht="13" customHeight="1" s="189">
      <c r="A295" s="297" t="n"/>
      <c r="B295" s="291" t="n"/>
      <c r="C295" s="298" t="n"/>
      <c r="D295" s="298" t="n"/>
      <c r="E295" s="291" t="n"/>
      <c r="F295" s="291" t="n"/>
      <c r="G295" s="297" t="n"/>
      <c r="H295" s="298" t="n"/>
    </row>
    <row r="296" ht="13" customHeight="1" s="189">
      <c r="A296" s="297" t="n"/>
      <c r="B296" s="291" t="n"/>
      <c r="C296" s="298" t="n"/>
      <c r="D296" s="298" t="n"/>
      <c r="E296" s="291" t="n"/>
      <c r="F296" s="291" t="n"/>
      <c r="G296" s="297" t="n"/>
      <c r="H296" s="298" t="n"/>
    </row>
    <row r="297" ht="13" customHeight="1" s="189">
      <c r="A297" s="297" t="n"/>
      <c r="B297" s="291" t="n"/>
      <c r="C297" s="298" t="n"/>
      <c r="D297" s="298" t="n"/>
      <c r="E297" s="291" t="n"/>
      <c r="F297" s="291" t="n"/>
      <c r="G297" s="297" t="n"/>
      <c r="H297" s="298" t="n"/>
    </row>
    <row r="298" ht="13" customHeight="1" s="189">
      <c r="A298" s="297" t="n"/>
      <c r="B298" s="291" t="n"/>
      <c r="C298" s="298" t="n"/>
      <c r="D298" s="298" t="n"/>
      <c r="E298" s="291" t="n"/>
      <c r="F298" s="291" t="n"/>
      <c r="G298" s="297" t="n"/>
      <c r="H298" s="298" t="n"/>
    </row>
    <row r="299" ht="13" customHeight="1" s="189">
      <c r="A299" s="297" t="n"/>
      <c r="B299" s="291" t="n"/>
      <c r="C299" s="298" t="n"/>
      <c r="D299" s="298" t="n"/>
      <c r="E299" s="291" t="n"/>
      <c r="F299" s="291" t="n"/>
      <c r="G299" s="297" t="n"/>
      <c r="H299" s="298" t="n"/>
    </row>
    <row r="300" ht="13" customHeight="1" s="189">
      <c r="A300" s="297" t="n"/>
      <c r="B300" s="291" t="n"/>
      <c r="C300" s="298" t="n"/>
      <c r="D300" s="298" t="n"/>
      <c r="E300" s="291" t="n"/>
      <c r="F300" s="291" t="n"/>
      <c r="G300" s="297" t="n"/>
      <c r="H300" s="298" t="n"/>
    </row>
    <row r="301" ht="13" customHeight="1" s="189">
      <c r="A301" s="297" t="n"/>
      <c r="B301" s="291" t="n"/>
      <c r="C301" s="298" t="n"/>
      <c r="D301" s="298" t="n"/>
      <c r="E301" s="291" t="n"/>
      <c r="F301" s="291" t="n"/>
      <c r="G301" s="297" t="n"/>
      <c r="H301" s="298" t="n"/>
    </row>
    <row r="302" ht="13" customHeight="1" s="189">
      <c r="A302" s="297" t="n"/>
      <c r="B302" s="291" t="n"/>
      <c r="C302" s="298" t="n"/>
      <c r="D302" s="298" t="n"/>
      <c r="E302" s="291" t="n"/>
      <c r="F302" s="291" t="n"/>
      <c r="G302" s="297" t="n"/>
      <c r="H302" s="298" t="n"/>
    </row>
    <row r="303" ht="13" customHeight="1" s="189">
      <c r="A303" s="297" t="n"/>
      <c r="B303" s="291" t="n"/>
      <c r="C303" s="298" t="n"/>
      <c r="D303" s="298" t="n"/>
      <c r="E303" s="291" t="n"/>
      <c r="F303" s="291" t="n"/>
      <c r="G303" s="297" t="n"/>
      <c r="H303" s="298" t="n"/>
    </row>
    <row r="304" ht="13" customHeight="1" s="189">
      <c r="A304" s="297" t="n"/>
      <c r="B304" s="291" t="n"/>
      <c r="C304" s="298" t="n"/>
      <c r="D304" s="298" t="n"/>
      <c r="E304" s="291" t="n"/>
      <c r="F304" s="291" t="n"/>
      <c r="G304" s="297" t="n"/>
      <c r="H304" s="298" t="n"/>
    </row>
    <row r="305" ht="13" customHeight="1" s="189">
      <c r="A305" s="297" t="n"/>
      <c r="B305" s="291" t="n"/>
      <c r="C305" s="298" t="n"/>
      <c r="D305" s="298" t="n"/>
      <c r="E305" s="291" t="n"/>
      <c r="F305" s="291" t="n"/>
      <c r="G305" s="297" t="n"/>
      <c r="H305" s="298" t="n"/>
    </row>
    <row r="306" ht="13" customHeight="1" s="189">
      <c r="A306" s="297" t="n"/>
      <c r="B306" s="291" t="n"/>
      <c r="C306" s="298" t="n"/>
      <c r="D306" s="298" t="n"/>
      <c r="E306" s="291" t="n"/>
      <c r="F306" s="291" t="n"/>
      <c r="G306" s="297" t="n"/>
      <c r="H306" s="298" t="n"/>
    </row>
    <row r="307" ht="13" customHeight="1" s="189">
      <c r="A307" s="297" t="n"/>
      <c r="B307" s="291" t="n"/>
      <c r="C307" s="298" t="n"/>
      <c r="D307" s="298" t="n"/>
      <c r="E307" s="291" t="n"/>
      <c r="F307" s="291" t="n"/>
      <c r="G307" s="297" t="n"/>
      <c r="H307" s="298" t="n"/>
    </row>
    <row r="308" ht="13" customHeight="1" s="189">
      <c r="A308" s="297" t="n"/>
      <c r="B308" s="291" t="n"/>
      <c r="C308" s="298" t="n"/>
      <c r="D308" s="298" t="n"/>
      <c r="E308" s="291" t="n"/>
      <c r="F308" s="291" t="n"/>
      <c r="G308" s="297" t="n"/>
      <c r="H308" s="298" t="n"/>
    </row>
    <row r="309" ht="13" customHeight="1" s="189">
      <c r="A309" s="297" t="n"/>
      <c r="B309" s="291" t="n"/>
      <c r="C309" s="298" t="n"/>
      <c r="D309" s="298" t="n"/>
      <c r="E309" s="291" t="n"/>
      <c r="F309" s="291" t="n"/>
      <c r="G309" s="297" t="n"/>
      <c r="H309" s="298" t="n"/>
    </row>
    <row r="310" ht="13" customHeight="1" s="189">
      <c r="A310" s="297" t="n"/>
      <c r="B310" s="291" t="n"/>
      <c r="C310" s="298" t="n"/>
      <c r="D310" s="298" t="n"/>
      <c r="E310" s="291" t="n"/>
      <c r="F310" s="291" t="n"/>
      <c r="G310" s="297" t="n"/>
      <c r="H310" s="298" t="n"/>
    </row>
    <row r="311" ht="13" customHeight="1" s="189">
      <c r="A311" s="297" t="n"/>
      <c r="B311" s="291" t="n"/>
      <c r="C311" s="298" t="n"/>
      <c r="D311" s="298" t="n"/>
      <c r="E311" s="291" t="n"/>
      <c r="F311" s="291" t="n"/>
      <c r="G311" s="297" t="n"/>
      <c r="H311" s="298" t="n"/>
    </row>
    <row r="312" ht="13" customHeight="1" s="189">
      <c r="A312" s="297" t="n"/>
      <c r="B312" s="291" t="n"/>
      <c r="C312" s="298" t="n"/>
      <c r="D312" s="298" t="n"/>
      <c r="E312" s="291" t="n"/>
      <c r="F312" s="291" t="n"/>
      <c r="G312" s="297" t="n"/>
      <c r="H312" s="298" t="n"/>
    </row>
    <row r="313" ht="13" customHeight="1" s="189">
      <c r="A313" s="297" t="n"/>
      <c r="B313" s="291" t="n"/>
      <c r="C313" s="298" t="n"/>
      <c r="D313" s="298" t="n"/>
      <c r="E313" s="291" t="n"/>
      <c r="F313" s="291" t="n"/>
      <c r="G313" s="297" t="n"/>
      <c r="H313" s="298" t="n"/>
    </row>
    <row r="314" ht="13" customHeight="1" s="189">
      <c r="A314" s="297" t="n"/>
      <c r="B314" s="291" t="n"/>
      <c r="C314" s="298" t="n"/>
      <c r="D314" s="298" t="n"/>
      <c r="E314" s="291" t="n"/>
      <c r="F314" s="291" t="n"/>
      <c r="G314" s="297" t="n"/>
      <c r="H314" s="298" t="n"/>
    </row>
    <row r="315" ht="13" customHeight="1" s="189">
      <c r="A315" s="297" t="n"/>
      <c r="B315" s="291" t="n"/>
      <c r="C315" s="298" t="n"/>
      <c r="D315" s="298" t="n"/>
      <c r="E315" s="291" t="n"/>
      <c r="F315" s="291" t="n"/>
      <c r="G315" s="297" t="n"/>
      <c r="H315" s="298" t="n"/>
    </row>
    <row r="316" ht="13" customHeight="1" s="189">
      <c r="A316" s="297" t="n"/>
      <c r="B316" s="291" t="n"/>
      <c r="C316" s="298" t="n"/>
      <c r="D316" s="298" t="n"/>
      <c r="E316" s="291" t="n"/>
      <c r="F316" s="291" t="n"/>
      <c r="G316" s="297" t="n"/>
      <c r="H316" s="298" t="n"/>
    </row>
    <row r="317" ht="13" customHeight="1" s="189">
      <c r="A317" s="297" t="n"/>
      <c r="B317" s="291" t="n"/>
      <c r="C317" s="298" t="n"/>
      <c r="D317" s="298" t="n"/>
      <c r="E317" s="291" t="n"/>
      <c r="F317" s="291" t="n"/>
      <c r="G317" s="297" t="n"/>
      <c r="H317" s="298" t="n"/>
    </row>
    <row r="318" ht="13" customHeight="1" s="189">
      <c r="A318" s="297" t="n"/>
      <c r="B318" s="291" t="n"/>
      <c r="C318" s="298" t="n"/>
      <c r="D318" s="298" t="n"/>
      <c r="E318" s="291" t="n"/>
      <c r="F318" s="291" t="n"/>
      <c r="G318" s="297" t="n"/>
      <c r="H318" s="298" t="n"/>
    </row>
    <row r="319" ht="13" customHeight="1" s="189">
      <c r="A319" s="297" t="n"/>
      <c r="B319" s="291" t="n"/>
      <c r="C319" s="298" t="n"/>
      <c r="D319" s="298" t="n"/>
      <c r="E319" s="291" t="n"/>
      <c r="F319" s="291" t="n"/>
      <c r="G319" s="297" t="n"/>
      <c r="H319" s="298" t="n"/>
    </row>
    <row r="320" ht="13" customHeight="1" s="189">
      <c r="A320" s="297" t="n"/>
      <c r="B320" s="291" t="n"/>
      <c r="C320" s="298" t="n"/>
      <c r="D320" s="298" t="n"/>
      <c r="E320" s="291" t="n"/>
      <c r="F320" s="291" t="n"/>
      <c r="G320" s="297" t="n"/>
      <c r="H320" s="298" t="n"/>
    </row>
    <row r="321" ht="13" customHeight="1" s="189">
      <c r="A321" s="297" t="n"/>
      <c r="B321" s="291" t="n"/>
      <c r="C321" s="298" t="n"/>
      <c r="D321" s="298" t="n"/>
      <c r="E321" s="291" t="n"/>
      <c r="F321" s="291" t="n"/>
      <c r="G321" s="297" t="n"/>
      <c r="H321" s="298" t="n"/>
    </row>
    <row r="322" ht="13" customHeight="1" s="189">
      <c r="A322" s="297" t="n"/>
      <c r="B322" s="291" t="n"/>
      <c r="C322" s="298" t="n"/>
      <c r="D322" s="298" t="n"/>
      <c r="E322" s="291" t="n"/>
      <c r="F322" s="291" t="n"/>
      <c r="G322" s="297" t="n"/>
      <c r="H322" s="298" t="n"/>
    </row>
    <row r="323" ht="13" customHeight="1" s="189">
      <c r="A323" s="297" t="n"/>
      <c r="B323" s="291" t="n"/>
      <c r="C323" s="298" t="n"/>
      <c r="D323" s="298" t="n"/>
      <c r="E323" s="291" t="n"/>
      <c r="F323" s="291" t="n"/>
      <c r="G323" s="297" t="n"/>
      <c r="H323" s="298" t="n"/>
    </row>
    <row r="324" ht="13" customHeight="1" s="189">
      <c r="A324" s="297" t="n"/>
      <c r="B324" s="291" t="n"/>
      <c r="C324" s="298" t="n"/>
      <c r="D324" s="298" t="n"/>
      <c r="E324" s="291" t="n"/>
      <c r="F324" s="291" t="n"/>
      <c r="G324" s="297" t="n"/>
      <c r="H324" s="298" t="n"/>
    </row>
    <row r="325" ht="13" customHeight="1" s="189">
      <c r="A325" s="297" t="n"/>
      <c r="B325" s="291" t="n"/>
      <c r="C325" s="298" t="n"/>
      <c r="D325" s="298" t="n"/>
      <c r="E325" s="291" t="n"/>
      <c r="F325" s="291" t="n"/>
      <c r="G325" s="297" t="n"/>
      <c r="H325" s="298" t="n"/>
    </row>
    <row r="326" ht="13" customHeight="1" s="189">
      <c r="A326" s="297" t="n"/>
      <c r="B326" s="291" t="n"/>
      <c r="C326" s="298" t="n"/>
      <c r="D326" s="298" t="n"/>
      <c r="E326" s="291" t="n"/>
      <c r="F326" s="291" t="n"/>
      <c r="G326" s="297" t="n"/>
      <c r="H326" s="298" t="n"/>
    </row>
    <row r="327" ht="13" customHeight="1" s="189">
      <c r="A327" s="297" t="n"/>
      <c r="B327" s="291" t="n"/>
      <c r="C327" s="298" t="n"/>
      <c r="D327" s="298" t="n"/>
      <c r="E327" s="291" t="n"/>
      <c r="F327" s="291" t="n"/>
      <c r="G327" s="297" t="n"/>
      <c r="H327" s="298" t="n"/>
    </row>
    <row r="328" ht="13" customHeight="1" s="189">
      <c r="A328" s="297" t="n"/>
      <c r="B328" s="291" t="n"/>
      <c r="C328" s="298" t="n"/>
      <c r="D328" s="298" t="n"/>
      <c r="E328" s="291" t="n"/>
      <c r="F328" s="291" t="n"/>
      <c r="G328" s="297" t="n"/>
      <c r="H328" s="298" t="n"/>
    </row>
    <row r="329" ht="13" customHeight="1" s="189">
      <c r="A329" s="297" t="n"/>
      <c r="B329" s="291" t="n"/>
      <c r="C329" s="298" t="n"/>
      <c r="D329" s="298" t="n"/>
      <c r="E329" s="291" t="n"/>
      <c r="F329" s="291" t="n"/>
      <c r="G329" s="297" t="n"/>
      <c r="H329" s="298" t="n"/>
    </row>
    <row r="330" ht="13" customHeight="1" s="189">
      <c r="A330" s="297" t="n"/>
      <c r="B330" s="291" t="n"/>
      <c r="C330" s="298" t="n"/>
      <c r="D330" s="298" t="n"/>
      <c r="E330" s="291" t="n"/>
      <c r="F330" s="291" t="n"/>
      <c r="G330" s="297" t="n"/>
      <c r="H330" s="298" t="n"/>
    </row>
    <row r="331" ht="13" customHeight="1" s="189">
      <c r="A331" s="297" t="n"/>
      <c r="B331" s="291" t="n"/>
      <c r="C331" s="298" t="n"/>
      <c r="D331" s="298" t="n"/>
      <c r="E331" s="291" t="n"/>
      <c r="F331" s="291" t="n"/>
      <c r="G331" s="297" t="n"/>
      <c r="H331" s="298" t="n"/>
    </row>
    <row r="332" ht="13" customHeight="1" s="189">
      <c r="A332" s="297" t="n"/>
      <c r="B332" s="291" t="n"/>
      <c r="C332" s="298" t="n"/>
      <c r="D332" s="298" t="n"/>
      <c r="E332" s="291" t="n"/>
      <c r="F332" s="291" t="n"/>
      <c r="G332" s="297" t="n"/>
      <c r="H332" s="298" t="n"/>
    </row>
    <row r="333" ht="13" customHeight="1" s="189">
      <c r="A333" s="297" t="n"/>
      <c r="B333" s="291" t="n"/>
      <c r="C333" s="298" t="n"/>
      <c r="D333" s="298" t="n"/>
      <c r="E333" s="291" t="n"/>
      <c r="F333" s="291" t="n"/>
      <c r="G333" s="297" t="n"/>
      <c r="H333" s="298" t="n"/>
    </row>
    <row r="334" ht="13" customHeight="1" s="189">
      <c r="A334" s="297" t="n"/>
      <c r="B334" s="291" t="n"/>
      <c r="C334" s="298" t="n"/>
      <c r="D334" s="298" t="n"/>
      <c r="E334" s="291" t="n"/>
      <c r="F334" s="291" t="n"/>
      <c r="G334" s="297" t="n"/>
      <c r="H334" s="298" t="n"/>
    </row>
    <row r="335" ht="13" customHeight="1" s="189">
      <c r="A335" s="297" t="n"/>
      <c r="B335" s="291" t="n"/>
      <c r="C335" s="298" t="n"/>
      <c r="D335" s="298" t="n"/>
      <c r="E335" s="291" t="n"/>
      <c r="F335" s="291" t="n"/>
      <c r="G335" s="297" t="n"/>
      <c r="H335" s="298" t="n"/>
    </row>
    <row r="336" ht="13" customHeight="1" s="189">
      <c r="A336" s="297" t="n"/>
      <c r="B336" s="291" t="n"/>
      <c r="C336" s="298" t="n"/>
      <c r="D336" s="298" t="n"/>
      <c r="E336" s="291" t="n"/>
      <c r="F336" s="291" t="n"/>
      <c r="G336" s="297" t="n"/>
      <c r="H336" s="298" t="n"/>
    </row>
    <row r="337" ht="13" customHeight="1" s="189">
      <c r="A337" s="297" t="n"/>
      <c r="B337" s="291" t="n"/>
      <c r="C337" s="298" t="n"/>
      <c r="D337" s="298" t="n"/>
      <c r="E337" s="291" t="n"/>
      <c r="F337" s="291" t="n"/>
      <c r="G337" s="297" t="n"/>
      <c r="H337" s="298" t="n"/>
    </row>
    <row r="338" ht="13" customHeight="1" s="189">
      <c r="A338" s="297" t="n"/>
      <c r="B338" s="291" t="n"/>
      <c r="C338" s="298" t="n"/>
      <c r="D338" s="298" t="n"/>
      <c r="E338" s="291" t="n"/>
      <c r="F338" s="291" t="n"/>
      <c r="G338" s="297" t="n"/>
      <c r="H338" s="298" t="n"/>
    </row>
    <row r="339" ht="13" customHeight="1" s="189">
      <c r="A339" s="297" t="n"/>
      <c r="B339" s="291" t="n"/>
      <c r="C339" s="298" t="n"/>
      <c r="D339" s="298" t="n"/>
      <c r="E339" s="291" t="n"/>
      <c r="F339" s="291" t="n"/>
      <c r="G339" s="297" t="n"/>
      <c r="H339" s="298" t="n"/>
    </row>
    <row r="340" ht="13" customHeight="1" s="189">
      <c r="A340" s="297" t="n"/>
      <c r="B340" s="291" t="n"/>
      <c r="C340" s="298" t="n"/>
      <c r="D340" s="298" t="n"/>
      <c r="E340" s="291" t="n"/>
      <c r="F340" s="291" t="n"/>
      <c r="G340" s="297" t="n"/>
      <c r="H340" s="298" t="n"/>
    </row>
    <row r="341" ht="13" customHeight="1" s="189">
      <c r="A341" s="297" t="n"/>
      <c r="B341" s="291" t="n"/>
      <c r="C341" s="298" t="n"/>
      <c r="D341" s="298" t="n"/>
      <c r="E341" s="291" t="n"/>
      <c r="F341" s="291" t="n"/>
      <c r="G341" s="297" t="n"/>
      <c r="H341" s="298" t="n"/>
    </row>
    <row r="342" ht="13" customHeight="1" s="189">
      <c r="A342" s="297" t="n"/>
      <c r="B342" s="291" t="n"/>
      <c r="C342" s="298" t="n"/>
      <c r="D342" s="298" t="n"/>
      <c r="E342" s="291" t="n"/>
      <c r="F342" s="291" t="n"/>
      <c r="G342" s="297" t="n"/>
      <c r="H342" s="298" t="n"/>
    </row>
    <row r="343" ht="13" customHeight="1" s="189">
      <c r="A343" s="297" t="n"/>
      <c r="B343" s="291" t="n"/>
      <c r="C343" s="298" t="n"/>
      <c r="D343" s="298" t="n"/>
      <c r="E343" s="291" t="n"/>
      <c r="F343" s="291" t="n"/>
      <c r="G343" s="297" t="n"/>
      <c r="H343" s="298" t="n"/>
    </row>
    <row r="344" ht="13" customHeight="1" s="189">
      <c r="A344" s="297" t="n"/>
      <c r="B344" s="291" t="n"/>
      <c r="C344" s="298" t="n"/>
      <c r="D344" s="298" t="n"/>
      <c r="E344" s="291" t="n"/>
      <c r="F344" s="291" t="n"/>
      <c r="G344" s="297" t="n"/>
      <c r="H344" s="298" t="n"/>
    </row>
    <row r="345" ht="13" customHeight="1" s="189">
      <c r="A345" s="297" t="n"/>
      <c r="B345" s="291" t="n"/>
      <c r="C345" s="298" t="n"/>
      <c r="D345" s="298" t="n"/>
      <c r="E345" s="291" t="n"/>
      <c r="F345" s="291" t="n"/>
      <c r="G345" s="297" t="n"/>
      <c r="H345" s="298" t="n"/>
    </row>
    <row r="346" ht="13" customHeight="1" s="189">
      <c r="A346" s="297" t="n"/>
      <c r="B346" s="291" t="n"/>
      <c r="C346" s="298" t="n"/>
      <c r="D346" s="298" t="n"/>
      <c r="E346" s="291" t="n"/>
      <c r="F346" s="291" t="n"/>
      <c r="G346" s="297" t="n"/>
      <c r="H346" s="298" t="n"/>
    </row>
    <row r="347" ht="13" customHeight="1" s="189">
      <c r="A347" s="297" t="n"/>
      <c r="B347" s="291" t="n"/>
      <c r="C347" s="298" t="n"/>
      <c r="D347" s="298" t="n"/>
      <c r="E347" s="291" t="n"/>
      <c r="F347" s="291" t="n"/>
      <c r="G347" s="297" t="n"/>
      <c r="H347" s="298" t="n"/>
    </row>
    <row r="348" ht="13" customHeight="1" s="189">
      <c r="A348" s="297" t="n"/>
      <c r="B348" s="291" t="n"/>
      <c r="C348" s="298" t="n"/>
      <c r="D348" s="298" t="n"/>
      <c r="E348" s="291" t="n"/>
      <c r="F348" s="291" t="n"/>
      <c r="G348" s="297" t="n"/>
      <c r="H348" s="298" t="n"/>
    </row>
    <row r="349" ht="13" customHeight="1" s="189">
      <c r="A349" s="297" t="n"/>
      <c r="B349" s="291" t="n"/>
      <c r="C349" s="298" t="n"/>
      <c r="D349" s="298" t="n"/>
      <c r="E349" s="291" t="n"/>
      <c r="F349" s="291" t="n"/>
      <c r="G349" s="297" t="n"/>
      <c r="H349" s="298" t="n"/>
    </row>
    <row r="350" ht="13" customHeight="1" s="189">
      <c r="A350" s="297" t="n"/>
      <c r="B350" s="291" t="n"/>
      <c r="C350" s="298" t="n"/>
      <c r="D350" s="298" t="n"/>
      <c r="E350" s="291" t="n"/>
      <c r="F350" s="291" t="n"/>
      <c r="G350" s="297" t="n"/>
      <c r="H350" s="298" t="n"/>
    </row>
    <row r="351" ht="13" customHeight="1" s="189">
      <c r="A351" s="297" t="n"/>
      <c r="B351" s="291" t="n"/>
      <c r="C351" s="298" t="n"/>
      <c r="D351" s="298" t="n"/>
      <c r="E351" s="291" t="n"/>
      <c r="F351" s="291" t="n"/>
      <c r="G351" s="297" t="n"/>
      <c r="H351" s="298" t="n"/>
    </row>
    <row r="352" ht="13" customHeight="1" s="189">
      <c r="A352" s="297" t="n"/>
      <c r="B352" s="291" t="n"/>
      <c r="C352" s="298" t="n"/>
      <c r="D352" s="298" t="n"/>
      <c r="E352" s="291" t="n"/>
      <c r="F352" s="291" t="n"/>
      <c r="G352" s="297" t="n"/>
      <c r="H352" s="298" t="n"/>
    </row>
    <row r="353" ht="13" customHeight="1" s="189">
      <c r="A353" s="297" t="n"/>
      <c r="B353" s="291" t="n"/>
      <c r="C353" s="298" t="n"/>
      <c r="D353" s="298" t="n"/>
      <c r="E353" s="291" t="n"/>
      <c r="F353" s="291" t="n"/>
      <c r="G353" s="297" t="n"/>
      <c r="H353" s="298" t="n"/>
    </row>
    <row r="354" ht="13" customHeight="1" s="189">
      <c r="A354" s="297" t="n"/>
      <c r="B354" s="291" t="n"/>
      <c r="C354" s="298" t="n"/>
      <c r="D354" s="298" t="n"/>
      <c r="E354" s="291" t="n"/>
      <c r="F354" s="291" t="n"/>
      <c r="G354" s="297" t="n"/>
      <c r="H354" s="298" t="n"/>
    </row>
    <row r="355" ht="13" customHeight="1" s="189">
      <c r="A355" s="297" t="n"/>
      <c r="B355" s="291" t="n"/>
      <c r="C355" s="298" t="n"/>
      <c r="D355" s="298" t="n"/>
      <c r="E355" s="291" t="n"/>
      <c r="F355" s="291" t="n"/>
      <c r="G355" s="297" t="n"/>
      <c r="H355" s="298" t="n"/>
    </row>
    <row r="356" ht="13" customHeight="1" s="189">
      <c r="A356" s="297" t="n"/>
      <c r="B356" s="291" t="n"/>
      <c r="C356" s="298" t="n"/>
      <c r="D356" s="298" t="n"/>
      <c r="E356" s="291" t="n"/>
      <c r="F356" s="291" t="n"/>
      <c r="G356" s="297" t="n"/>
      <c r="H356" s="298" t="n"/>
    </row>
    <row r="357" ht="13" customHeight="1" s="189">
      <c r="A357" s="297" t="n"/>
      <c r="B357" s="291" t="n"/>
      <c r="C357" s="298" t="n"/>
      <c r="D357" s="298" t="n"/>
      <c r="E357" s="291" t="n"/>
      <c r="F357" s="291" t="n"/>
      <c r="G357" s="297" t="n"/>
      <c r="H357" s="298" t="n"/>
    </row>
    <row r="358" ht="13" customHeight="1" s="189">
      <c r="A358" s="297" t="n"/>
      <c r="B358" s="291" t="n"/>
      <c r="C358" s="298" t="n"/>
      <c r="D358" s="298" t="n"/>
      <c r="E358" s="291" t="n"/>
      <c r="F358" s="291" t="n"/>
      <c r="G358" s="297" t="n"/>
      <c r="H358" s="298" t="n"/>
    </row>
    <row r="359" ht="13" customHeight="1" s="189">
      <c r="A359" s="297" t="n"/>
      <c r="B359" s="291" t="n"/>
      <c r="C359" s="298" t="n"/>
      <c r="D359" s="298" t="n"/>
      <c r="E359" s="291" t="n"/>
      <c r="F359" s="291" t="n"/>
      <c r="G359" s="297" t="n"/>
      <c r="H359" s="298" t="n"/>
    </row>
    <row r="360" ht="13" customHeight="1" s="189">
      <c r="A360" s="297" t="n"/>
      <c r="B360" s="291" t="n"/>
      <c r="C360" s="298" t="n"/>
      <c r="D360" s="298" t="n"/>
      <c r="E360" s="291" t="n"/>
      <c r="F360" s="291" t="n"/>
      <c r="G360" s="297" t="n"/>
      <c r="H360" s="298" t="n"/>
    </row>
    <row r="361" ht="13" customHeight="1" s="189">
      <c r="A361" s="297" t="n"/>
      <c r="B361" s="291" t="n"/>
      <c r="C361" s="298" t="n"/>
      <c r="D361" s="298" t="n"/>
      <c r="E361" s="291" t="n"/>
      <c r="F361" s="291" t="n"/>
      <c r="G361" s="297" t="n"/>
      <c r="H361" s="298" t="n"/>
    </row>
    <row r="362" ht="13" customHeight="1" s="189">
      <c r="A362" s="297" t="n"/>
      <c r="B362" s="291" t="n"/>
      <c r="C362" s="298" t="n"/>
      <c r="D362" s="298" t="n"/>
      <c r="E362" s="291" t="n"/>
      <c r="F362" s="291" t="n"/>
      <c r="G362" s="297" t="n"/>
      <c r="H362" s="298" t="n"/>
    </row>
    <row r="363" ht="13" customHeight="1" s="189">
      <c r="A363" s="297" t="n"/>
      <c r="B363" s="291" t="n"/>
      <c r="C363" s="298" t="n"/>
      <c r="D363" s="298" t="n"/>
      <c r="E363" s="291" t="n"/>
      <c r="F363" s="291" t="n"/>
      <c r="G363" s="297" t="n"/>
      <c r="H363" s="298" t="n"/>
    </row>
    <row r="364" ht="13" customHeight="1" s="189">
      <c r="A364" s="297" t="n"/>
      <c r="B364" s="291" t="n"/>
      <c r="C364" s="298" t="n"/>
      <c r="D364" s="298" t="n"/>
      <c r="E364" s="291" t="n"/>
      <c r="F364" s="291" t="n"/>
      <c r="G364" s="297" t="n"/>
      <c r="H364" s="298" t="n"/>
    </row>
    <row r="365" ht="13" customHeight="1" s="189">
      <c r="A365" s="297" t="n"/>
      <c r="B365" s="291" t="n"/>
      <c r="C365" s="298" t="n"/>
      <c r="D365" s="298" t="n"/>
      <c r="E365" s="291" t="n"/>
      <c r="F365" s="291" t="n"/>
      <c r="G365" s="297" t="n"/>
      <c r="H365" s="298" t="n"/>
    </row>
    <row r="366" ht="13" customHeight="1" s="189">
      <c r="A366" s="297" t="n"/>
      <c r="B366" s="291" t="n"/>
      <c r="C366" s="298" t="n"/>
      <c r="D366" s="298" t="n"/>
      <c r="E366" s="291" t="n"/>
      <c r="F366" s="291" t="n"/>
      <c r="G366" s="297" t="n"/>
      <c r="H366" s="298" t="n"/>
    </row>
    <row r="367" ht="13" customHeight="1" s="189">
      <c r="A367" s="297" t="n"/>
      <c r="B367" s="291" t="n"/>
      <c r="C367" s="298" t="n"/>
      <c r="D367" s="298" t="n"/>
      <c r="E367" s="291" t="n"/>
      <c r="F367" s="291" t="n"/>
      <c r="G367" s="297" t="n"/>
      <c r="H367" s="298" t="n"/>
    </row>
    <row r="368" ht="13" customHeight="1" s="189">
      <c r="A368" s="297" t="n"/>
      <c r="B368" s="291" t="n"/>
      <c r="C368" s="298" t="n"/>
      <c r="D368" s="298" t="n"/>
      <c r="E368" s="291" t="n"/>
      <c r="F368" s="291" t="n"/>
      <c r="G368" s="297" t="n"/>
      <c r="H368" s="298" t="n"/>
    </row>
    <row r="369" ht="13" customHeight="1" s="189">
      <c r="A369" s="297" t="n"/>
      <c r="B369" s="291" t="n"/>
      <c r="C369" s="298" t="n"/>
      <c r="D369" s="298" t="n"/>
      <c r="E369" s="291" t="n"/>
      <c r="F369" s="291" t="n"/>
      <c r="G369" s="297" t="n"/>
      <c r="H369" s="298" t="n"/>
    </row>
    <row r="370" ht="13" customHeight="1" s="189">
      <c r="A370" s="297" t="n"/>
      <c r="B370" s="291" t="n"/>
      <c r="C370" s="298" t="n"/>
      <c r="D370" s="298" t="n"/>
      <c r="E370" s="291" t="n"/>
      <c r="F370" s="291" t="n"/>
      <c r="G370" s="297" t="n"/>
      <c r="H370" s="298" t="n"/>
    </row>
    <row r="371" ht="13" customHeight="1" s="189">
      <c r="A371" s="297" t="n"/>
      <c r="B371" s="291" t="n"/>
      <c r="C371" s="298" t="n"/>
      <c r="D371" s="298" t="n"/>
      <c r="E371" s="291" t="n"/>
      <c r="F371" s="291" t="n"/>
      <c r="G371" s="297" t="n"/>
      <c r="H371" s="298" t="n"/>
    </row>
    <row r="372" ht="13" customHeight="1" s="189">
      <c r="A372" s="297" t="n"/>
      <c r="B372" s="291" t="n"/>
      <c r="C372" s="298" t="n"/>
      <c r="D372" s="298" t="n"/>
      <c r="E372" s="291" t="n"/>
      <c r="F372" s="291" t="n"/>
      <c r="G372" s="297" t="n"/>
      <c r="H372" s="298" t="n"/>
    </row>
    <row r="373" ht="13" customHeight="1" s="189">
      <c r="A373" s="297" t="n"/>
      <c r="B373" s="291" t="n"/>
      <c r="C373" s="298" t="n"/>
      <c r="D373" s="298" t="n"/>
      <c r="E373" s="291" t="n"/>
      <c r="F373" s="291" t="n"/>
      <c r="G373" s="297" t="n"/>
      <c r="H373" s="298" t="n"/>
    </row>
    <row r="374" ht="13" customHeight="1" s="189">
      <c r="A374" s="297" t="n"/>
      <c r="B374" s="291" t="n"/>
      <c r="C374" s="298" t="n"/>
      <c r="D374" s="298" t="n"/>
      <c r="E374" s="291" t="n"/>
      <c r="F374" s="291" t="n"/>
      <c r="G374" s="297" t="n"/>
      <c r="H374" s="298" t="n"/>
    </row>
    <row r="375" ht="13" customHeight="1" s="189">
      <c r="A375" s="297" t="n"/>
      <c r="B375" s="291" t="n"/>
      <c r="C375" s="298" t="n"/>
      <c r="D375" s="298" t="n"/>
      <c r="E375" s="291" t="n"/>
      <c r="F375" s="291" t="n"/>
      <c r="G375" s="297" t="n"/>
      <c r="H375" s="298" t="n"/>
    </row>
    <row r="376" ht="13" customHeight="1" s="189">
      <c r="A376" s="297" t="n"/>
      <c r="B376" s="291" t="n"/>
      <c r="C376" s="298" t="n"/>
      <c r="D376" s="298" t="n"/>
      <c r="E376" s="291" t="n"/>
      <c r="F376" s="291" t="n"/>
      <c r="G376" s="297" t="n"/>
      <c r="H376" s="298" t="n"/>
    </row>
    <row r="377" ht="13" customHeight="1" s="189">
      <c r="A377" s="297" t="n"/>
      <c r="B377" s="291" t="n"/>
      <c r="C377" s="298" t="n"/>
      <c r="D377" s="298" t="n"/>
      <c r="E377" s="291" t="n"/>
      <c r="F377" s="291" t="n"/>
      <c r="G377" s="297" t="n"/>
      <c r="H377" s="298" t="n"/>
    </row>
    <row r="378" ht="13" customHeight="1" s="189">
      <c r="A378" s="297" t="n"/>
      <c r="B378" s="291" t="n"/>
      <c r="C378" s="298" t="n"/>
      <c r="D378" s="298" t="n"/>
      <c r="E378" s="291" t="n"/>
      <c r="F378" s="291" t="n"/>
      <c r="G378" s="297" t="n"/>
      <c r="H378" s="298" t="n"/>
    </row>
    <row r="379" ht="13" customHeight="1" s="189">
      <c r="A379" s="297" t="n"/>
      <c r="B379" s="291" t="n"/>
      <c r="C379" s="298" t="n"/>
      <c r="D379" s="298" t="n"/>
      <c r="E379" s="291" t="n"/>
      <c r="F379" s="291" t="n"/>
      <c r="G379" s="297" t="n"/>
      <c r="H379" s="298" t="n"/>
    </row>
    <row r="380" ht="13" customHeight="1" s="189">
      <c r="A380" s="297" t="n"/>
      <c r="B380" s="291" t="n"/>
      <c r="C380" s="298" t="n"/>
      <c r="D380" s="298" t="n"/>
      <c r="E380" s="291" t="n"/>
      <c r="F380" s="291" t="n"/>
      <c r="G380" s="297" t="n"/>
      <c r="H380" s="298" t="n"/>
    </row>
    <row r="381" ht="13" customHeight="1" s="189">
      <c r="A381" s="297" t="n"/>
      <c r="B381" s="291" t="n"/>
      <c r="C381" s="298" t="n"/>
      <c r="D381" s="298" t="n"/>
      <c r="E381" s="291" t="n"/>
      <c r="F381" s="291" t="n"/>
      <c r="G381" s="297" t="n"/>
      <c r="H381" s="298" t="n"/>
    </row>
    <row r="382" ht="13" customHeight="1" s="189">
      <c r="A382" s="297" t="n"/>
      <c r="B382" s="291" t="n"/>
      <c r="C382" s="298" t="n"/>
      <c r="D382" s="298" t="n"/>
      <c r="E382" s="291" t="n"/>
      <c r="F382" s="291" t="n"/>
      <c r="G382" s="297" t="n"/>
      <c r="H382" s="298" t="n"/>
    </row>
    <row r="383" ht="13" customHeight="1" s="189">
      <c r="A383" s="297" t="n"/>
      <c r="B383" s="291" t="n"/>
      <c r="C383" s="298" t="n"/>
      <c r="D383" s="298" t="n"/>
      <c r="E383" s="291" t="n"/>
      <c r="F383" s="291" t="n"/>
      <c r="G383" s="297" t="n"/>
      <c r="H383" s="298" t="n"/>
    </row>
    <row r="384" ht="13" customHeight="1" s="189">
      <c r="A384" s="297" t="n"/>
      <c r="B384" s="291" t="n"/>
      <c r="C384" s="298" t="n"/>
      <c r="D384" s="298" t="n"/>
      <c r="E384" s="291" t="n"/>
      <c r="F384" s="291" t="n"/>
      <c r="G384" s="297" t="n"/>
      <c r="H384" s="298" t="n"/>
    </row>
    <row r="385" ht="13" customHeight="1" s="189">
      <c r="A385" s="297" t="n"/>
      <c r="B385" s="291" t="n"/>
      <c r="C385" s="298" t="n"/>
      <c r="D385" s="298" t="n"/>
      <c r="E385" s="291" t="n"/>
      <c r="F385" s="291" t="n"/>
      <c r="G385" s="297" t="n"/>
      <c r="H385" s="298" t="n"/>
    </row>
    <row r="386" ht="13" customHeight="1" s="189">
      <c r="A386" s="297" t="n"/>
      <c r="B386" s="291" t="n"/>
      <c r="C386" s="298" t="n"/>
      <c r="D386" s="298" t="n"/>
      <c r="E386" s="291" t="n"/>
      <c r="F386" s="291" t="n"/>
      <c r="G386" s="297" t="n"/>
      <c r="H386" s="298" t="n"/>
    </row>
    <row r="387" ht="13" customHeight="1" s="189">
      <c r="A387" s="297" t="n"/>
      <c r="B387" s="291" t="n"/>
      <c r="C387" s="298" t="n"/>
      <c r="D387" s="298" t="n"/>
      <c r="E387" s="291" t="n"/>
      <c r="F387" s="291" t="n"/>
      <c r="G387" s="297" t="n"/>
      <c r="H387" s="298" t="n"/>
    </row>
    <row r="388" ht="13" customHeight="1" s="189">
      <c r="A388" s="297" t="n"/>
      <c r="B388" s="291" t="n"/>
      <c r="C388" s="298" t="n"/>
      <c r="D388" s="298" t="n"/>
      <c r="E388" s="291" t="n"/>
      <c r="F388" s="291" t="n"/>
      <c r="G388" s="297" t="n"/>
      <c r="H388" s="298" t="n"/>
    </row>
    <row r="389" ht="13" customHeight="1" s="189">
      <c r="A389" s="297" t="n"/>
      <c r="B389" s="291" t="n"/>
      <c r="C389" s="298" t="n"/>
      <c r="D389" s="298" t="n"/>
      <c r="E389" s="291" t="n"/>
      <c r="F389" s="291" t="n"/>
      <c r="G389" s="297" t="n"/>
      <c r="H389" s="298" t="n"/>
    </row>
    <row r="390" ht="13" customHeight="1" s="189">
      <c r="A390" s="297" t="n"/>
      <c r="B390" s="291" t="n"/>
      <c r="C390" s="298" t="n"/>
      <c r="D390" s="298" t="n"/>
      <c r="E390" s="291" t="n"/>
      <c r="F390" s="291" t="n"/>
      <c r="G390" s="297" t="n"/>
      <c r="H390" s="298" t="n"/>
    </row>
    <row r="391" ht="13" customHeight="1" s="189">
      <c r="A391" s="297" t="n"/>
      <c r="B391" s="291" t="n"/>
      <c r="C391" s="298" t="n"/>
      <c r="D391" s="298" t="n"/>
      <c r="E391" s="291" t="n"/>
      <c r="F391" s="291" t="n"/>
      <c r="G391" s="297" t="n"/>
      <c r="H391" s="298" t="n"/>
    </row>
    <row r="392" ht="13" customHeight="1" s="189">
      <c r="A392" s="297" t="n"/>
      <c r="B392" s="291" t="n"/>
      <c r="C392" s="298" t="n"/>
      <c r="D392" s="298" t="n"/>
      <c r="E392" s="291" t="n"/>
      <c r="F392" s="291" t="n"/>
      <c r="G392" s="297" t="n"/>
      <c r="H392" s="298" t="n"/>
    </row>
    <row r="393" ht="13" customHeight="1" s="189">
      <c r="A393" s="297" t="n"/>
      <c r="B393" s="291" t="n"/>
      <c r="C393" s="298" t="n"/>
      <c r="D393" s="298" t="n"/>
      <c r="E393" s="291" t="n"/>
      <c r="F393" s="291" t="n"/>
      <c r="G393" s="297" t="n"/>
      <c r="H393" s="298" t="n"/>
    </row>
    <row r="394" ht="13" customHeight="1" s="189">
      <c r="A394" s="297" t="n"/>
      <c r="B394" s="291" t="n"/>
      <c r="C394" s="298" t="n"/>
      <c r="D394" s="298" t="n"/>
      <c r="E394" s="291" t="n"/>
      <c r="F394" s="291" t="n"/>
      <c r="G394" s="297" t="n"/>
      <c r="H394" s="298" t="n"/>
    </row>
    <row r="395" ht="13" customHeight="1" s="189">
      <c r="A395" s="297" t="n"/>
      <c r="B395" s="291" t="n"/>
      <c r="C395" s="298" t="n"/>
      <c r="D395" s="298" t="n"/>
      <c r="E395" s="291" t="n"/>
      <c r="F395" s="291" t="n"/>
      <c r="G395" s="297" t="n"/>
      <c r="H395" s="298" t="n"/>
    </row>
    <row r="396" ht="13" customHeight="1" s="189">
      <c r="A396" s="297" t="n"/>
      <c r="B396" s="291" t="n"/>
      <c r="C396" s="298" t="n"/>
      <c r="D396" s="298" t="n"/>
      <c r="E396" s="291" t="n"/>
      <c r="F396" s="291" t="n"/>
      <c r="G396" s="297" t="n"/>
      <c r="H396" s="298" t="n"/>
    </row>
    <row r="397" ht="13" customHeight="1" s="189">
      <c r="A397" s="297" t="n"/>
      <c r="B397" s="291" t="n"/>
      <c r="C397" s="298" t="n"/>
      <c r="D397" s="298" t="n"/>
      <c r="E397" s="291" t="n"/>
      <c r="F397" s="291" t="n"/>
      <c r="G397" s="297" t="n"/>
      <c r="H397" s="298" t="n"/>
    </row>
    <row r="398" ht="13" customHeight="1" s="189">
      <c r="A398" s="297" t="n"/>
      <c r="B398" s="291" t="n"/>
      <c r="C398" s="298" t="n"/>
      <c r="D398" s="298" t="n"/>
      <c r="E398" s="291" t="n"/>
      <c r="F398" s="291" t="n"/>
      <c r="G398" s="297" t="n"/>
      <c r="H398" s="298" t="n"/>
    </row>
    <row r="399" ht="13" customHeight="1" s="189">
      <c r="A399" s="297" t="n"/>
      <c r="B399" s="291" t="n"/>
      <c r="C399" s="298" t="n"/>
      <c r="D399" s="298" t="n"/>
      <c r="E399" s="291" t="n"/>
      <c r="F399" s="291" t="n"/>
      <c r="G399" s="297" t="n"/>
      <c r="H399" s="298" t="n"/>
    </row>
    <row r="400" ht="13" customHeight="1" s="189">
      <c r="A400" s="297" t="n"/>
      <c r="B400" s="291" t="n"/>
      <c r="C400" s="298" t="n"/>
      <c r="D400" s="298" t="n"/>
      <c r="E400" s="291" t="n"/>
      <c r="F400" s="291" t="n"/>
      <c r="G400" s="297" t="n"/>
      <c r="H400" s="298" t="n"/>
    </row>
    <row r="401" ht="13" customHeight="1" s="189">
      <c r="A401" s="297" t="n"/>
      <c r="B401" s="291" t="n"/>
      <c r="C401" s="298" t="n"/>
      <c r="D401" s="298" t="n"/>
      <c r="E401" s="291" t="n"/>
      <c r="F401" s="291" t="n"/>
      <c r="G401" s="297" t="n"/>
      <c r="H401" s="298" t="n"/>
    </row>
    <row r="402" ht="13" customHeight="1" s="189">
      <c r="A402" s="297" t="n"/>
      <c r="B402" s="291" t="n"/>
      <c r="C402" s="298" t="n"/>
      <c r="D402" s="298" t="n"/>
      <c r="E402" s="291" t="n"/>
      <c r="F402" s="291" t="n"/>
      <c r="G402" s="297" t="n"/>
      <c r="H402" s="298" t="n"/>
    </row>
    <row r="403" ht="13" customHeight="1" s="189">
      <c r="A403" s="297" t="n"/>
      <c r="B403" s="291" t="n"/>
      <c r="C403" s="298" t="n"/>
      <c r="D403" s="298" t="n"/>
      <c r="E403" s="291" t="n"/>
      <c r="F403" s="291" t="n"/>
      <c r="G403" s="297" t="n"/>
      <c r="H403" s="298" t="n"/>
    </row>
    <row r="404" ht="13" customHeight="1" s="189">
      <c r="A404" s="297" t="n"/>
      <c r="B404" s="291" t="n"/>
      <c r="C404" s="298" t="n"/>
      <c r="D404" s="298" t="n"/>
      <c r="E404" s="291" t="n"/>
      <c r="F404" s="291" t="n"/>
      <c r="G404" s="297" t="n"/>
      <c r="H404" s="298" t="n"/>
    </row>
    <row r="405" ht="13" customHeight="1" s="189">
      <c r="A405" s="297" t="n"/>
      <c r="B405" s="291" t="n"/>
      <c r="C405" s="298" t="n"/>
      <c r="D405" s="298" t="n"/>
      <c r="E405" s="291" t="n"/>
      <c r="F405" s="291" t="n"/>
      <c r="G405" s="297" t="n"/>
      <c r="H405" s="298" t="n"/>
    </row>
    <row r="406" ht="13" customHeight="1" s="189">
      <c r="A406" s="297" t="n"/>
      <c r="B406" s="291" t="n"/>
      <c r="C406" s="298" t="n"/>
      <c r="D406" s="298" t="n"/>
      <c r="E406" s="291" t="n"/>
      <c r="F406" s="291" t="n"/>
      <c r="G406" s="297" t="n"/>
      <c r="H406" s="298" t="n"/>
    </row>
    <row r="407" ht="13" customHeight="1" s="189">
      <c r="A407" s="297" t="n"/>
      <c r="B407" s="291" t="n"/>
      <c r="C407" s="298" t="n"/>
      <c r="D407" s="298" t="n"/>
      <c r="E407" s="291" t="n"/>
      <c r="F407" s="291" t="n"/>
      <c r="G407" s="297" t="n"/>
      <c r="H407" s="298" t="n"/>
    </row>
    <row r="408" ht="13" customHeight="1" s="189">
      <c r="A408" s="297" t="n"/>
      <c r="B408" s="291" t="n"/>
      <c r="C408" s="298" t="n"/>
      <c r="D408" s="298" t="n"/>
      <c r="E408" s="291" t="n"/>
      <c r="F408" s="291" t="n"/>
      <c r="G408" s="297" t="n"/>
      <c r="H408" s="298" t="n"/>
    </row>
    <row r="409" ht="13" customHeight="1" s="189">
      <c r="A409" s="297" t="n"/>
      <c r="B409" s="291" t="n"/>
      <c r="C409" s="298" t="n"/>
      <c r="D409" s="298" t="n"/>
      <c r="E409" s="291" t="n"/>
      <c r="F409" s="291" t="n"/>
      <c r="G409" s="297" t="n"/>
      <c r="H409" s="298" t="n"/>
    </row>
    <row r="410" ht="13" customHeight="1" s="189">
      <c r="A410" s="297" t="n"/>
      <c r="B410" s="291" t="n"/>
      <c r="C410" s="298" t="n"/>
      <c r="D410" s="298" t="n"/>
      <c r="E410" s="291" t="n"/>
      <c r="F410" s="291" t="n"/>
      <c r="G410" s="297" t="n"/>
      <c r="H410" s="298" t="n"/>
    </row>
    <row r="411" ht="13" customHeight="1" s="189">
      <c r="A411" s="297" t="n"/>
      <c r="B411" s="291" t="n"/>
      <c r="C411" s="298" t="n"/>
      <c r="D411" s="298" t="n"/>
      <c r="E411" s="291" t="n"/>
      <c r="F411" s="291" t="n"/>
      <c r="G411" s="297" t="n"/>
      <c r="H411" s="298" t="n"/>
    </row>
    <row r="412" ht="13" customHeight="1" s="189">
      <c r="A412" s="297" t="n"/>
      <c r="B412" s="291" t="n"/>
      <c r="C412" s="298" t="n"/>
      <c r="D412" s="298" t="n"/>
      <c r="E412" s="291" t="n"/>
      <c r="F412" s="291" t="n"/>
      <c r="G412" s="297" t="n"/>
      <c r="H412" s="298" t="n"/>
    </row>
    <row r="413" ht="13" customHeight="1" s="189">
      <c r="A413" s="297" t="n"/>
      <c r="B413" s="291" t="n"/>
      <c r="C413" s="298" t="n"/>
      <c r="D413" s="298" t="n"/>
      <c r="E413" s="291" t="n"/>
      <c r="F413" s="291" t="n"/>
      <c r="G413" s="297" t="n"/>
      <c r="H413" s="298" t="n"/>
    </row>
    <row r="414" ht="13" customHeight="1" s="189">
      <c r="A414" s="297" t="n"/>
      <c r="B414" s="291" t="n"/>
      <c r="C414" s="298" t="n"/>
      <c r="D414" s="298" t="n"/>
      <c r="E414" s="291" t="n"/>
      <c r="F414" s="291" t="n"/>
      <c r="G414" s="297" t="n"/>
      <c r="H414" s="298" t="n"/>
    </row>
    <row r="415" ht="13" customHeight="1" s="189">
      <c r="A415" s="297" t="n"/>
      <c r="B415" s="291" t="n"/>
      <c r="C415" s="298" t="n"/>
      <c r="D415" s="298" t="n"/>
      <c r="E415" s="291" t="n"/>
      <c r="F415" s="291" t="n"/>
      <c r="G415" s="297" t="n"/>
      <c r="H415" s="298" t="n"/>
    </row>
    <row r="416" ht="13" customHeight="1" s="189">
      <c r="A416" s="297" t="n"/>
      <c r="B416" s="291" t="n"/>
      <c r="C416" s="298" t="n"/>
      <c r="D416" s="298" t="n"/>
      <c r="E416" s="291" t="n"/>
      <c r="F416" s="291" t="n"/>
      <c r="G416" s="297" t="n"/>
      <c r="H416" s="298" t="n"/>
    </row>
    <row r="417" ht="13" customHeight="1" s="189">
      <c r="A417" s="297" t="n"/>
      <c r="B417" s="291" t="n"/>
      <c r="C417" s="298" t="n"/>
      <c r="D417" s="298" t="n"/>
      <c r="E417" s="291" t="n"/>
      <c r="F417" s="291" t="n"/>
      <c r="G417" s="297" t="n"/>
      <c r="H417" s="298" t="n"/>
    </row>
    <row r="418" ht="13" customHeight="1" s="189">
      <c r="A418" s="297" t="n"/>
      <c r="B418" s="291" t="n"/>
      <c r="C418" s="298" t="n"/>
      <c r="D418" s="298" t="n"/>
      <c r="E418" s="291" t="n"/>
      <c r="F418" s="291" t="n"/>
      <c r="G418" s="297" t="n"/>
      <c r="H418" s="298" t="n"/>
    </row>
    <row r="419" ht="13" customHeight="1" s="189">
      <c r="A419" s="297" t="n"/>
      <c r="B419" s="291" t="n"/>
      <c r="C419" s="298" t="n"/>
      <c r="D419" s="298" t="n"/>
      <c r="E419" s="291" t="n"/>
      <c r="F419" s="291" t="n"/>
      <c r="G419" s="297" t="n"/>
      <c r="H419" s="298" t="n"/>
    </row>
    <row r="420" ht="13" customHeight="1" s="189">
      <c r="A420" s="297" t="n"/>
      <c r="B420" s="291" t="n"/>
      <c r="C420" s="298" t="n"/>
      <c r="D420" s="298" t="n"/>
      <c r="E420" s="291" t="n"/>
      <c r="F420" s="291" t="n"/>
      <c r="G420" s="297" t="n"/>
      <c r="H420" s="298" t="n"/>
    </row>
    <row r="421" ht="13" customHeight="1" s="189">
      <c r="A421" s="297" t="n"/>
      <c r="B421" s="291" t="n"/>
      <c r="C421" s="298" t="n"/>
      <c r="D421" s="298" t="n"/>
      <c r="E421" s="291" t="n"/>
      <c r="F421" s="291" t="n"/>
      <c r="G421" s="297" t="n"/>
      <c r="H421" s="298" t="n"/>
    </row>
    <row r="422" ht="13" customHeight="1" s="189">
      <c r="A422" s="297" t="n"/>
      <c r="B422" s="291" t="n"/>
      <c r="C422" s="298" t="n"/>
      <c r="D422" s="298" t="n"/>
      <c r="E422" s="291" t="n"/>
      <c r="F422" s="291" t="n"/>
      <c r="G422" s="297" t="n"/>
      <c r="H422" s="298" t="n"/>
    </row>
    <row r="423" ht="13" customHeight="1" s="189">
      <c r="A423" s="297" t="n"/>
      <c r="B423" s="291" t="n"/>
      <c r="C423" s="298" t="n"/>
      <c r="D423" s="298" t="n"/>
      <c r="E423" s="291" t="n"/>
      <c r="F423" s="291" t="n"/>
      <c r="G423" s="297" t="n"/>
      <c r="H423" s="298" t="n"/>
    </row>
    <row r="424" ht="13" customHeight="1" s="189">
      <c r="A424" s="297" t="n"/>
      <c r="B424" s="291" t="n"/>
      <c r="C424" s="298" t="n"/>
      <c r="D424" s="298" t="n"/>
      <c r="E424" s="291" t="n"/>
      <c r="F424" s="291" t="n"/>
      <c r="G424" s="297" t="n"/>
      <c r="H424" s="298" t="n"/>
    </row>
    <row r="425" ht="13" customHeight="1" s="189">
      <c r="A425" s="297" t="n"/>
      <c r="B425" s="291" t="n"/>
      <c r="C425" s="298" t="n"/>
      <c r="D425" s="298" t="n"/>
      <c r="E425" s="291" t="n"/>
      <c r="F425" s="291" t="n"/>
      <c r="G425" s="297" t="n"/>
      <c r="H425" s="298" t="n"/>
    </row>
    <row r="426" ht="13" customHeight="1" s="189">
      <c r="A426" s="297" t="n"/>
      <c r="B426" s="291" t="n"/>
      <c r="C426" s="298" t="n"/>
      <c r="D426" s="298" t="n"/>
      <c r="E426" s="291" t="n"/>
      <c r="F426" s="291" t="n"/>
      <c r="G426" s="297" t="n"/>
      <c r="H426" s="298" t="n"/>
    </row>
    <row r="427" ht="13" customHeight="1" s="189">
      <c r="A427" s="297" t="n"/>
      <c r="B427" s="291" t="n"/>
      <c r="C427" s="298" t="n"/>
      <c r="D427" s="298" t="n"/>
      <c r="E427" s="291" t="n"/>
      <c r="F427" s="291" t="n"/>
      <c r="G427" s="297" t="n"/>
      <c r="H427" s="298" t="n"/>
    </row>
    <row r="428" ht="13" customHeight="1" s="189">
      <c r="A428" s="297" t="n"/>
      <c r="B428" s="291" t="n"/>
      <c r="C428" s="298" t="n"/>
      <c r="D428" s="298" t="n"/>
      <c r="E428" s="291" t="n"/>
      <c r="F428" s="291" t="n"/>
      <c r="G428" s="297" t="n"/>
      <c r="H428" s="298" t="n"/>
    </row>
    <row r="429" ht="13" customHeight="1" s="189">
      <c r="A429" s="297" t="n"/>
      <c r="B429" s="291" t="n"/>
      <c r="C429" s="298" t="n"/>
      <c r="D429" s="298" t="n"/>
      <c r="E429" s="291" t="n"/>
      <c r="F429" s="291" t="n"/>
      <c r="G429" s="297" t="n"/>
      <c r="H429" s="298" t="n"/>
    </row>
    <row r="430" ht="13" customHeight="1" s="189">
      <c r="A430" s="297" t="n"/>
      <c r="B430" s="291" t="n"/>
      <c r="C430" s="298" t="n"/>
      <c r="D430" s="298" t="n"/>
      <c r="E430" s="291" t="n"/>
      <c r="F430" s="291" t="n"/>
      <c r="G430" s="297" t="n"/>
      <c r="H430" s="298" t="n"/>
    </row>
    <row r="431" ht="13" customHeight="1" s="189">
      <c r="A431" s="297" t="n"/>
      <c r="B431" s="291" t="n"/>
      <c r="C431" s="298" t="n"/>
      <c r="D431" s="298" t="n"/>
      <c r="E431" s="291" t="n"/>
      <c r="F431" s="291" t="n"/>
      <c r="G431" s="297" t="n"/>
      <c r="H431" s="298" t="n"/>
    </row>
    <row r="432" ht="13" customHeight="1" s="189">
      <c r="A432" s="297" t="n"/>
      <c r="B432" s="291" t="n"/>
      <c r="C432" s="298" t="n"/>
      <c r="D432" s="298" t="n"/>
      <c r="E432" s="291" t="n"/>
      <c r="F432" s="291" t="n"/>
      <c r="G432" s="297" t="n"/>
      <c r="H432" s="298" t="n"/>
    </row>
    <row r="433" ht="13" customHeight="1" s="189">
      <c r="A433" s="297" t="n"/>
      <c r="B433" s="291" t="n"/>
      <c r="C433" s="298" t="n"/>
      <c r="D433" s="298" t="n"/>
      <c r="E433" s="291" t="n"/>
      <c r="F433" s="291" t="n"/>
      <c r="G433" s="297" t="n"/>
      <c r="H433" s="298" t="n"/>
    </row>
    <row r="434" ht="13" customHeight="1" s="189">
      <c r="A434" s="297" t="n"/>
      <c r="B434" s="291" t="n"/>
      <c r="C434" s="298" t="n"/>
      <c r="D434" s="298" t="n"/>
      <c r="E434" s="291" t="n"/>
      <c r="F434" s="291" t="n"/>
      <c r="G434" s="297" t="n"/>
      <c r="H434" s="298" t="n"/>
    </row>
    <row r="435" ht="13" customHeight="1" s="189">
      <c r="A435" s="297" t="n"/>
      <c r="B435" s="291" t="n"/>
      <c r="C435" s="298" t="n"/>
      <c r="D435" s="298" t="n"/>
      <c r="E435" s="291" t="n"/>
      <c r="F435" s="291" t="n"/>
      <c r="G435" s="297" t="n"/>
      <c r="H435" s="298" t="n"/>
    </row>
    <row r="436" ht="13" customHeight="1" s="189">
      <c r="A436" s="297" t="n"/>
      <c r="B436" s="291" t="n"/>
      <c r="C436" s="298" t="n"/>
      <c r="D436" s="298" t="n"/>
      <c r="E436" s="291" t="n"/>
      <c r="F436" s="291" t="n"/>
      <c r="G436" s="297" t="n"/>
      <c r="H436" s="298" t="n"/>
    </row>
    <row r="437" ht="13" customHeight="1" s="189">
      <c r="A437" s="297" t="n"/>
      <c r="B437" s="291" t="n"/>
      <c r="C437" s="298" t="n"/>
      <c r="D437" s="298" t="n"/>
      <c r="E437" s="291" t="n"/>
      <c r="F437" s="291" t="n"/>
      <c r="G437" s="297" t="n"/>
      <c r="H437" s="298" t="n"/>
    </row>
    <row r="438" ht="13" customHeight="1" s="189">
      <c r="A438" s="297" t="n"/>
      <c r="B438" s="291" t="n"/>
      <c r="C438" s="298" t="n"/>
      <c r="D438" s="298" t="n"/>
      <c r="E438" s="291" t="n"/>
      <c r="F438" s="291" t="n"/>
      <c r="G438" s="297" t="n"/>
      <c r="H438" s="298" t="n"/>
    </row>
    <row r="439" ht="13" customHeight="1" s="189">
      <c r="A439" s="297" t="n"/>
      <c r="B439" s="291" t="n"/>
      <c r="C439" s="298" t="n"/>
      <c r="D439" s="298" t="n"/>
      <c r="E439" s="291" t="n"/>
      <c r="F439" s="291" t="n"/>
      <c r="G439" s="297" t="n"/>
      <c r="H439" s="298" t="n"/>
    </row>
    <row r="440" ht="13" customHeight="1" s="189">
      <c r="A440" s="297" t="n"/>
      <c r="B440" s="291" t="n"/>
      <c r="C440" s="298" t="n"/>
      <c r="D440" s="298" t="n"/>
      <c r="E440" s="291" t="n"/>
      <c r="F440" s="291" t="n"/>
      <c r="G440" s="297" t="n"/>
      <c r="H440" s="298" t="n"/>
    </row>
    <row r="441" ht="13" customHeight="1" s="189">
      <c r="A441" s="297" t="n"/>
      <c r="B441" s="291" t="n"/>
      <c r="C441" s="298" t="n"/>
      <c r="D441" s="298" t="n"/>
      <c r="E441" s="291" t="n"/>
      <c r="F441" s="291" t="n"/>
      <c r="G441" s="297" t="n"/>
      <c r="H441" s="298" t="n"/>
    </row>
    <row r="442" ht="13" customHeight="1" s="189">
      <c r="A442" s="297" t="n"/>
      <c r="B442" s="291" t="n"/>
      <c r="C442" s="298" t="n"/>
      <c r="D442" s="298" t="n"/>
      <c r="E442" s="291" t="n"/>
      <c r="F442" s="291" t="n"/>
      <c r="G442" s="297" t="n"/>
      <c r="H442" s="298" t="n"/>
    </row>
    <row r="443" ht="13" customHeight="1" s="189">
      <c r="A443" s="297" t="n"/>
      <c r="B443" s="291" t="n"/>
      <c r="C443" s="298" t="n"/>
      <c r="D443" s="298" t="n"/>
      <c r="E443" s="291" t="n"/>
      <c r="F443" s="291" t="n"/>
      <c r="G443" s="297" t="n"/>
      <c r="H443" s="298" t="n"/>
    </row>
    <row r="444" ht="13" customHeight="1" s="189">
      <c r="A444" s="297" t="n"/>
      <c r="B444" s="291" t="n"/>
      <c r="C444" s="298" t="n"/>
      <c r="D444" s="298" t="n"/>
      <c r="E444" s="291" t="n"/>
      <c r="F444" s="291" t="n"/>
      <c r="G444" s="297" t="n"/>
      <c r="H444" s="298" t="n"/>
    </row>
    <row r="445" ht="13" customHeight="1" s="189">
      <c r="A445" s="297" t="n"/>
      <c r="B445" s="291" t="n"/>
      <c r="C445" s="298" t="n"/>
      <c r="D445" s="298" t="n"/>
      <c r="E445" s="291" t="n"/>
      <c r="F445" s="291" t="n"/>
      <c r="G445" s="297" t="n"/>
      <c r="H445" s="298" t="n"/>
    </row>
    <row r="446" ht="13" customHeight="1" s="189">
      <c r="A446" s="297" t="n"/>
      <c r="B446" s="291" t="n"/>
      <c r="C446" s="298" t="n"/>
      <c r="D446" s="298" t="n"/>
      <c r="E446" s="291" t="n"/>
      <c r="F446" s="291" t="n"/>
      <c r="G446" s="297" t="n"/>
      <c r="H446" s="298" t="n"/>
    </row>
    <row r="447" ht="13" customHeight="1" s="189">
      <c r="A447" s="297" t="n"/>
      <c r="B447" s="291" t="n"/>
      <c r="C447" s="298" t="n"/>
      <c r="D447" s="298" t="n"/>
      <c r="E447" s="291" t="n"/>
      <c r="F447" s="291" t="n"/>
      <c r="G447" s="297" t="n"/>
      <c r="H447" s="298" t="n"/>
    </row>
    <row r="448" ht="13" customHeight="1" s="189">
      <c r="A448" s="297" t="n"/>
      <c r="B448" s="291" t="n"/>
      <c r="C448" s="298" t="n"/>
      <c r="D448" s="298" t="n"/>
      <c r="E448" s="291" t="n"/>
      <c r="F448" s="291" t="n"/>
      <c r="G448" s="297" t="n"/>
      <c r="H448" s="298" t="n"/>
    </row>
    <row r="449" ht="13" customHeight="1" s="189">
      <c r="A449" s="297" t="n"/>
      <c r="B449" s="291" t="n"/>
      <c r="C449" s="298" t="n"/>
      <c r="D449" s="298" t="n"/>
      <c r="E449" s="291" t="n"/>
      <c r="F449" s="291" t="n"/>
      <c r="G449" s="297" t="n"/>
      <c r="H449" s="298" t="n"/>
    </row>
    <row r="450" ht="13" customHeight="1" s="189">
      <c r="A450" s="297" t="n"/>
      <c r="B450" s="291" t="n"/>
      <c r="C450" s="298" t="n"/>
      <c r="D450" s="298" t="n"/>
      <c r="E450" s="291" t="n"/>
      <c r="F450" s="291" t="n"/>
      <c r="G450" s="297" t="n"/>
      <c r="H450" s="298" t="n"/>
    </row>
    <row r="451" ht="13" customHeight="1" s="189">
      <c r="A451" s="297" t="n"/>
      <c r="B451" s="291" t="n"/>
      <c r="C451" s="298" t="n"/>
      <c r="D451" s="298" t="n"/>
      <c r="E451" s="291" t="n"/>
      <c r="F451" s="291" t="n"/>
      <c r="G451" s="297" t="n"/>
      <c r="H451" s="298" t="n"/>
    </row>
    <row r="452" ht="13" customHeight="1" s="189">
      <c r="A452" s="297" t="n"/>
      <c r="B452" s="291" t="n"/>
      <c r="C452" s="298" t="n"/>
      <c r="D452" s="298" t="n"/>
      <c r="E452" s="291" t="n"/>
      <c r="F452" s="291" t="n"/>
      <c r="G452" s="297" t="n"/>
      <c r="H452" s="298" t="n"/>
    </row>
    <row r="453" ht="13" customHeight="1" s="189">
      <c r="A453" s="297" t="n"/>
      <c r="B453" s="291" t="n"/>
      <c r="C453" s="298" t="n"/>
      <c r="D453" s="298" t="n"/>
      <c r="E453" s="291" t="n"/>
      <c r="F453" s="291" t="n"/>
      <c r="G453" s="297" t="n"/>
      <c r="H453" s="298" t="n"/>
    </row>
    <row r="454" ht="13" customHeight="1" s="189">
      <c r="A454" s="297" t="n"/>
      <c r="B454" s="291" t="n"/>
      <c r="C454" s="298" t="n"/>
      <c r="D454" s="298" t="n"/>
      <c r="E454" s="291" t="n"/>
      <c r="F454" s="291" t="n"/>
      <c r="G454" s="297" t="n"/>
      <c r="H454" s="298" t="n"/>
    </row>
    <row r="455" ht="13" customHeight="1" s="189">
      <c r="A455" s="297" t="n"/>
      <c r="B455" s="291" t="n"/>
      <c r="C455" s="298" t="n"/>
      <c r="D455" s="298" t="n"/>
      <c r="E455" s="291" t="n"/>
      <c r="F455" s="291" t="n"/>
      <c r="G455" s="297" t="n"/>
      <c r="H455" s="298" t="n"/>
    </row>
    <row r="456" ht="13" customHeight="1" s="189">
      <c r="A456" s="297" t="n"/>
      <c r="B456" s="291" t="n"/>
      <c r="C456" s="298" t="n"/>
      <c r="D456" s="298" t="n"/>
      <c r="E456" s="291" t="n"/>
      <c r="F456" s="291" t="n"/>
      <c r="G456" s="297" t="n"/>
      <c r="H456" s="298" t="n"/>
    </row>
    <row r="457" ht="13" customHeight="1" s="189">
      <c r="A457" s="297" t="n"/>
      <c r="B457" s="291" t="n"/>
      <c r="C457" s="298" t="n"/>
      <c r="D457" s="298" t="n"/>
      <c r="E457" s="291" t="n"/>
      <c r="F457" s="291" t="n"/>
      <c r="G457" s="297" t="n"/>
      <c r="H457" s="298" t="n"/>
    </row>
    <row r="458" ht="13" customHeight="1" s="189">
      <c r="A458" s="297" t="n"/>
      <c r="B458" s="291" t="n"/>
      <c r="C458" s="298" t="n"/>
      <c r="D458" s="298" t="n"/>
      <c r="E458" s="291" t="n"/>
      <c r="F458" s="291" t="n"/>
      <c r="G458" s="297" t="n"/>
      <c r="H458" s="298" t="n"/>
    </row>
    <row r="459" ht="13" customHeight="1" s="189">
      <c r="A459" s="297" t="n"/>
      <c r="B459" s="291" t="n"/>
      <c r="C459" s="298" t="n"/>
      <c r="D459" s="298" t="n"/>
      <c r="E459" s="291" t="n"/>
      <c r="F459" s="291" t="n"/>
      <c r="G459" s="297" t="n"/>
      <c r="H459" s="298" t="n"/>
    </row>
    <row r="460" ht="13" customHeight="1" s="189">
      <c r="A460" s="297" t="n"/>
      <c r="B460" s="291" t="n"/>
      <c r="C460" s="298" t="n"/>
      <c r="D460" s="298" t="n"/>
      <c r="E460" s="291" t="n"/>
      <c r="F460" s="291" t="n"/>
      <c r="G460" s="297" t="n"/>
      <c r="H460" s="298" t="n"/>
    </row>
    <row r="461" ht="13" customHeight="1" s="189">
      <c r="A461" s="297" t="n"/>
      <c r="B461" s="291" t="n"/>
      <c r="C461" s="298" t="n"/>
      <c r="D461" s="298" t="n"/>
      <c r="E461" s="291" t="n"/>
      <c r="F461" s="291" t="n"/>
      <c r="G461" s="297" t="n"/>
      <c r="H461" s="298" t="n"/>
    </row>
    <row r="462" ht="13" customHeight="1" s="189">
      <c r="A462" s="297" t="n"/>
      <c r="B462" s="291" t="n"/>
      <c r="C462" s="298" t="n"/>
      <c r="D462" s="298" t="n"/>
      <c r="E462" s="291" t="n"/>
      <c r="F462" s="291" t="n"/>
      <c r="G462" s="297" t="n"/>
      <c r="H462" s="298" t="n"/>
    </row>
    <row r="463" ht="13" customHeight="1" s="189">
      <c r="A463" s="297" t="n"/>
      <c r="B463" s="291" t="n"/>
      <c r="C463" s="298" t="n"/>
      <c r="D463" s="298" t="n"/>
      <c r="E463" s="291" t="n"/>
      <c r="F463" s="291" t="n"/>
      <c r="G463" s="297" t="n"/>
      <c r="H463" s="298" t="n"/>
    </row>
    <row r="464" ht="13" customHeight="1" s="189">
      <c r="A464" s="297" t="n"/>
      <c r="B464" s="291" t="n"/>
      <c r="C464" s="298" t="n"/>
      <c r="D464" s="298" t="n"/>
      <c r="E464" s="291" t="n"/>
      <c r="F464" s="291" t="n"/>
      <c r="G464" s="297" t="n"/>
      <c r="H464" s="298" t="n"/>
    </row>
    <row r="465" ht="13" customHeight="1" s="189">
      <c r="A465" s="297" t="n"/>
      <c r="B465" s="291" t="n"/>
      <c r="C465" s="298" t="n"/>
      <c r="D465" s="298" t="n"/>
      <c r="E465" s="291" t="n"/>
      <c r="F465" s="291" t="n"/>
      <c r="G465" s="297" t="n"/>
      <c r="H465" s="298" t="n"/>
    </row>
    <row r="466" ht="13" customHeight="1" s="189">
      <c r="A466" s="297" t="n"/>
      <c r="B466" s="291" t="n"/>
      <c r="C466" s="298" t="n"/>
      <c r="D466" s="298" t="n"/>
      <c r="E466" s="291" t="n"/>
      <c r="F466" s="291" t="n"/>
      <c r="G466" s="297" t="n"/>
      <c r="H466" s="298" t="n"/>
    </row>
    <row r="467" ht="13" customHeight="1" s="189">
      <c r="A467" s="297" t="n"/>
      <c r="B467" s="291" t="n"/>
      <c r="C467" s="298" t="n"/>
      <c r="D467" s="298" t="n"/>
      <c r="E467" s="291" t="n"/>
      <c r="F467" s="291" t="n"/>
      <c r="G467" s="297" t="n"/>
      <c r="H467" s="298" t="n"/>
    </row>
    <row r="468" ht="13" customHeight="1" s="189">
      <c r="A468" s="297" t="n"/>
      <c r="B468" s="291" t="n"/>
      <c r="C468" s="298" t="n"/>
      <c r="D468" s="298" t="n"/>
      <c r="E468" s="291" t="n"/>
      <c r="F468" s="291" t="n"/>
      <c r="G468" s="297" t="n"/>
      <c r="H468" s="298" t="n"/>
    </row>
    <row r="469" ht="13" customHeight="1" s="189">
      <c r="A469" s="297" t="n"/>
      <c r="B469" s="291" t="n"/>
      <c r="C469" s="298" t="n"/>
      <c r="D469" s="298" t="n"/>
      <c r="E469" s="291" t="n"/>
      <c r="F469" s="291" t="n"/>
      <c r="G469" s="297" t="n"/>
      <c r="H469" s="298" t="n"/>
    </row>
    <row r="470" ht="13" customHeight="1" s="189">
      <c r="A470" s="297" t="n"/>
      <c r="B470" s="291" t="n"/>
      <c r="C470" s="298" t="n"/>
      <c r="D470" s="298" t="n"/>
      <c r="E470" s="291" t="n"/>
      <c r="F470" s="291" t="n"/>
      <c r="G470" s="297" t="n"/>
      <c r="H470" s="298" t="n"/>
    </row>
    <row r="471" ht="13" customHeight="1" s="189">
      <c r="A471" s="297" t="n"/>
      <c r="B471" s="291" t="n"/>
      <c r="C471" s="298" t="n"/>
      <c r="D471" s="298" t="n"/>
      <c r="E471" s="291" t="n"/>
      <c r="F471" s="291" t="n"/>
      <c r="G471" s="297" t="n"/>
      <c r="H471" s="298" t="n"/>
    </row>
    <row r="472" ht="13" customHeight="1" s="189">
      <c r="A472" s="297" t="n"/>
      <c r="B472" s="291" t="n"/>
      <c r="C472" s="298" t="n"/>
      <c r="D472" s="298" t="n"/>
      <c r="E472" s="291" t="n"/>
      <c r="F472" s="291" t="n"/>
      <c r="G472" s="297" t="n"/>
      <c r="H472" s="298" t="n"/>
    </row>
    <row r="473" ht="13" customHeight="1" s="189">
      <c r="A473" s="297" t="n"/>
      <c r="B473" s="291" t="n"/>
      <c r="C473" s="298" t="n"/>
      <c r="D473" s="298" t="n"/>
      <c r="E473" s="291" t="n"/>
      <c r="F473" s="291" t="n"/>
      <c r="G473" s="297" t="n"/>
      <c r="H473" s="298" t="n"/>
    </row>
    <row r="474" ht="13" customHeight="1" s="189">
      <c r="A474" s="297" t="n"/>
      <c r="B474" s="291" t="n"/>
      <c r="C474" s="298" t="n"/>
      <c r="D474" s="298" t="n"/>
      <c r="E474" s="291" t="n"/>
      <c r="F474" s="291" t="n"/>
      <c r="G474" s="297" t="n"/>
      <c r="H474" s="298" t="n"/>
    </row>
    <row r="475" ht="13" customHeight="1" s="189">
      <c r="A475" s="297" t="n"/>
      <c r="B475" s="291" t="n"/>
      <c r="C475" s="298" t="n"/>
      <c r="D475" s="298" t="n"/>
      <c r="E475" s="291" t="n"/>
      <c r="F475" s="291" t="n"/>
      <c r="G475" s="297" t="n"/>
      <c r="H475" s="298" t="n"/>
    </row>
    <row r="476" ht="13" customHeight="1" s="189">
      <c r="A476" s="297" t="n"/>
      <c r="B476" s="291" t="n"/>
      <c r="C476" s="298" t="n"/>
      <c r="D476" s="298" t="n"/>
      <c r="E476" s="291" t="n"/>
      <c r="F476" s="291" t="n"/>
      <c r="G476" s="297" t="n"/>
      <c r="H476" s="298" t="n"/>
    </row>
    <row r="477" ht="13" customHeight="1" s="189">
      <c r="A477" s="297" t="n"/>
      <c r="B477" s="291" t="n"/>
      <c r="C477" s="298" t="n"/>
      <c r="D477" s="298" t="n"/>
      <c r="E477" s="291" t="n"/>
      <c r="F477" s="291" t="n"/>
      <c r="G477" s="297" t="n"/>
      <c r="H477" s="298" t="n"/>
    </row>
    <row r="478" ht="13" customHeight="1" s="189">
      <c r="A478" s="297" t="n"/>
      <c r="B478" s="291" t="n"/>
      <c r="C478" s="298" t="n"/>
      <c r="D478" s="298" t="n"/>
      <c r="E478" s="291" t="n"/>
      <c r="F478" s="291" t="n"/>
      <c r="G478" s="297" t="n"/>
      <c r="H478" s="298" t="n"/>
    </row>
    <row r="479" ht="13" customHeight="1" s="189">
      <c r="A479" s="297" t="n"/>
      <c r="B479" s="291" t="n"/>
      <c r="C479" s="298" t="n"/>
      <c r="D479" s="298" t="n"/>
      <c r="E479" s="291" t="n"/>
      <c r="F479" s="291" t="n"/>
      <c r="G479" s="297" t="n"/>
      <c r="H479" s="298" t="n"/>
    </row>
    <row r="480" ht="13" customHeight="1" s="189">
      <c r="A480" s="297" t="n"/>
      <c r="B480" s="291" t="n"/>
      <c r="C480" s="298" t="n"/>
      <c r="D480" s="298" t="n"/>
      <c r="E480" s="291" t="n"/>
      <c r="F480" s="291" t="n"/>
      <c r="G480" s="297" t="n"/>
      <c r="H480" s="298" t="n"/>
    </row>
    <row r="481" ht="13" customHeight="1" s="189">
      <c r="A481" s="297" t="n"/>
      <c r="B481" s="291" t="n"/>
      <c r="C481" s="298" t="n"/>
      <c r="D481" s="298" t="n"/>
      <c r="E481" s="291" t="n"/>
      <c r="F481" s="291" t="n"/>
      <c r="G481" s="297" t="n"/>
      <c r="H481" s="298" t="n"/>
    </row>
    <row r="482" ht="13" customHeight="1" s="189">
      <c r="A482" s="297" t="n"/>
      <c r="B482" s="291" t="n"/>
      <c r="C482" s="298" t="n"/>
      <c r="D482" s="298" t="n"/>
      <c r="E482" s="291" t="n"/>
      <c r="F482" s="291" t="n"/>
      <c r="G482" s="297" t="n"/>
      <c r="H482" s="298" t="n"/>
    </row>
    <row r="483" ht="13" customHeight="1" s="189">
      <c r="A483" s="297" t="n"/>
      <c r="B483" s="291" t="n"/>
      <c r="C483" s="298" t="n"/>
      <c r="D483" s="298" t="n"/>
      <c r="E483" s="291" t="n"/>
      <c r="F483" s="291" t="n"/>
      <c r="G483" s="297" t="n"/>
      <c r="H483" s="298" t="n"/>
    </row>
    <row r="484" ht="13" customHeight="1" s="189">
      <c r="A484" s="297" t="n"/>
      <c r="B484" s="291" t="n"/>
      <c r="C484" s="298" t="n"/>
      <c r="D484" s="298" t="n"/>
      <c r="E484" s="291" t="n"/>
      <c r="F484" s="291" t="n"/>
      <c r="G484" s="297" t="n"/>
      <c r="H484" s="298" t="n"/>
    </row>
    <row r="485" ht="13" customHeight="1" s="189">
      <c r="A485" s="297" t="n"/>
      <c r="B485" s="291" t="n"/>
      <c r="C485" s="298" t="n"/>
      <c r="D485" s="298" t="n"/>
      <c r="E485" s="291" t="n"/>
      <c r="F485" s="291" t="n"/>
      <c r="G485" s="297" t="n"/>
      <c r="H485" s="298" t="n"/>
    </row>
    <row r="486" ht="13" customHeight="1" s="189">
      <c r="A486" s="297" t="n"/>
      <c r="B486" s="291" t="n"/>
      <c r="C486" s="298" t="n"/>
      <c r="D486" s="298" t="n"/>
      <c r="E486" s="291" t="n"/>
      <c r="F486" s="291" t="n"/>
      <c r="G486" s="297" t="n"/>
      <c r="H486" s="298" t="n"/>
    </row>
    <row r="487" ht="13" customHeight="1" s="189">
      <c r="A487" s="297" t="n"/>
      <c r="B487" s="291" t="n"/>
      <c r="C487" s="298" t="n"/>
      <c r="D487" s="298" t="n"/>
      <c r="E487" s="291" t="n"/>
      <c r="F487" s="291" t="n"/>
      <c r="G487" s="297" t="n"/>
      <c r="H487" s="298" t="n"/>
    </row>
    <row r="488" ht="13" customHeight="1" s="189">
      <c r="A488" s="297" t="n"/>
      <c r="B488" s="291" t="n"/>
      <c r="C488" s="298" t="n"/>
      <c r="D488" s="298" t="n"/>
      <c r="E488" s="291" t="n"/>
      <c r="F488" s="291" t="n"/>
      <c r="G488" s="297" t="n"/>
      <c r="H488" s="298" t="n"/>
    </row>
    <row r="489" ht="13" customHeight="1" s="189">
      <c r="A489" s="297" t="n"/>
      <c r="B489" s="291" t="n"/>
      <c r="C489" s="298" t="n"/>
      <c r="D489" s="298" t="n"/>
      <c r="E489" s="291" t="n"/>
      <c r="F489" s="291" t="n"/>
      <c r="G489" s="297" t="n"/>
      <c r="H489" s="298" t="n"/>
    </row>
    <row r="490" ht="13" customHeight="1" s="189">
      <c r="A490" s="297" t="n"/>
      <c r="B490" s="291" t="n"/>
      <c r="C490" s="298" t="n"/>
      <c r="D490" s="298" t="n"/>
      <c r="E490" s="291" t="n"/>
      <c r="F490" s="291" t="n"/>
      <c r="G490" s="297" t="n"/>
      <c r="H490" s="298" t="n"/>
    </row>
    <row r="491" ht="13" customHeight="1" s="189">
      <c r="A491" s="297" t="n"/>
      <c r="B491" s="291" t="n"/>
      <c r="C491" s="298" t="n"/>
      <c r="D491" s="298" t="n"/>
      <c r="E491" s="291" t="n"/>
      <c r="F491" s="291" t="n"/>
      <c r="G491" s="297" t="n"/>
      <c r="H491" s="298" t="n"/>
    </row>
    <row r="492" ht="13" customHeight="1" s="189">
      <c r="A492" s="297" t="n"/>
      <c r="B492" s="291" t="n"/>
      <c r="C492" s="298" t="n"/>
      <c r="D492" s="298" t="n"/>
      <c r="E492" s="291" t="n"/>
      <c r="F492" s="291" t="n"/>
      <c r="G492" s="297" t="n"/>
      <c r="H492" s="298" t="n"/>
    </row>
    <row r="493" ht="13" customHeight="1" s="189">
      <c r="A493" s="297" t="n"/>
      <c r="B493" s="291" t="n"/>
      <c r="C493" s="298" t="n"/>
      <c r="D493" s="298" t="n"/>
      <c r="E493" s="291" t="n"/>
      <c r="F493" s="291" t="n"/>
      <c r="G493" s="297" t="n"/>
      <c r="H493" s="298" t="n"/>
    </row>
    <row r="494" ht="13" customHeight="1" s="189">
      <c r="A494" s="297" t="n"/>
      <c r="B494" s="291" t="n"/>
      <c r="C494" s="298" t="n"/>
      <c r="D494" s="298" t="n"/>
      <c r="E494" s="291" t="n"/>
      <c r="F494" s="291" t="n"/>
      <c r="G494" s="297" t="n"/>
      <c r="H494" s="298" t="n"/>
    </row>
    <row r="495" ht="13" customHeight="1" s="189">
      <c r="A495" s="297" t="n"/>
      <c r="B495" s="291" t="n"/>
      <c r="C495" s="298" t="n"/>
      <c r="D495" s="298" t="n"/>
      <c r="E495" s="291" t="n"/>
      <c r="F495" s="291" t="n"/>
      <c r="G495" s="297" t="n"/>
      <c r="H495" s="298" t="n"/>
    </row>
    <row r="496" ht="13" customHeight="1" s="189">
      <c r="A496" s="297" t="n"/>
      <c r="B496" s="291" t="n"/>
      <c r="C496" s="298" t="n"/>
      <c r="D496" s="298" t="n"/>
      <c r="E496" s="291" t="n"/>
      <c r="F496" s="291" t="n"/>
      <c r="G496" s="297" t="n"/>
      <c r="H496" s="298" t="n"/>
    </row>
    <row r="497" ht="13" customHeight="1" s="189">
      <c r="A497" s="297" t="n"/>
      <c r="B497" s="291" t="n"/>
      <c r="C497" s="298" t="n"/>
      <c r="D497" s="298" t="n"/>
      <c r="E497" s="291" t="n"/>
      <c r="F497" s="291" t="n"/>
      <c r="G497" s="297" t="n"/>
      <c r="H497" s="298" t="n"/>
    </row>
    <row r="498" ht="13" customHeight="1" s="189">
      <c r="A498" s="297" t="n"/>
      <c r="B498" s="291" t="n"/>
      <c r="C498" s="298" t="n"/>
      <c r="D498" s="298" t="n"/>
      <c r="E498" s="291" t="n"/>
      <c r="F498" s="291" t="n"/>
      <c r="G498" s="297" t="n"/>
      <c r="H498" s="298" t="n"/>
    </row>
    <row r="499" ht="13" customHeight="1" s="189">
      <c r="A499" s="297" t="n"/>
      <c r="B499" s="291" t="n"/>
      <c r="C499" s="298" t="n"/>
      <c r="D499" s="298" t="n"/>
      <c r="E499" s="291" t="n"/>
      <c r="F499" s="291" t="n"/>
      <c r="G499" s="297" t="n"/>
      <c r="H499" s="298" t="n"/>
    </row>
    <row r="500" ht="13" customHeight="1" s="189">
      <c r="A500" s="297" t="n"/>
      <c r="B500" s="291" t="n"/>
      <c r="C500" s="298" t="n"/>
      <c r="D500" s="298" t="n"/>
      <c r="E500" s="291" t="n"/>
      <c r="F500" s="291" t="n"/>
      <c r="G500" s="297" t="n"/>
      <c r="H500" s="298" t="n"/>
    </row>
    <row r="501" ht="13" customHeight="1" s="189">
      <c r="A501" s="297" t="n"/>
      <c r="B501" s="291" t="n"/>
      <c r="C501" s="298" t="n"/>
      <c r="D501" s="298" t="n"/>
      <c r="E501" s="291" t="n"/>
      <c r="F501" s="291" t="n"/>
      <c r="G501" s="297" t="n"/>
      <c r="H501" s="298" t="n"/>
    </row>
    <row r="502" ht="13" customHeight="1" s="189">
      <c r="A502" s="297" t="n"/>
      <c r="B502" s="291" t="n"/>
      <c r="C502" s="298" t="n"/>
      <c r="D502" s="298" t="n"/>
      <c r="E502" s="291" t="n"/>
      <c r="F502" s="291" t="n"/>
      <c r="G502" s="297" t="n"/>
      <c r="H502" s="298" t="n"/>
    </row>
    <row r="503" ht="13" customHeight="1" s="189">
      <c r="A503" s="297" t="n"/>
      <c r="B503" s="291" t="n"/>
      <c r="C503" s="298" t="n"/>
      <c r="D503" s="298" t="n"/>
      <c r="E503" s="291" t="n"/>
      <c r="F503" s="291" t="n"/>
      <c r="G503" s="297" t="n"/>
      <c r="H503" s="298" t="n"/>
    </row>
    <row r="504" ht="13" customHeight="1" s="189">
      <c r="A504" s="297" t="n"/>
      <c r="B504" s="291" t="n"/>
      <c r="C504" s="298" t="n"/>
      <c r="D504" s="298" t="n"/>
      <c r="E504" s="291" t="n"/>
      <c r="F504" s="291" t="n"/>
      <c r="G504" s="297" t="n"/>
      <c r="H504" s="298" t="n"/>
    </row>
    <row r="505" ht="13" customHeight="1" s="189">
      <c r="A505" s="297" t="n"/>
      <c r="B505" s="291" t="n"/>
      <c r="C505" s="298" t="n"/>
      <c r="D505" s="298" t="n"/>
      <c r="E505" s="291" t="n"/>
      <c r="F505" s="291" t="n"/>
      <c r="G505" s="297" t="n"/>
      <c r="H505" s="298" t="n"/>
    </row>
    <row r="506" ht="13" customHeight="1" s="189">
      <c r="A506" s="297" t="n"/>
      <c r="B506" s="291" t="n"/>
      <c r="C506" s="298" t="n"/>
      <c r="D506" s="298" t="n"/>
      <c r="E506" s="291" t="n"/>
      <c r="F506" s="291" t="n"/>
      <c r="G506" s="297" t="n"/>
      <c r="H506" s="298" t="n"/>
    </row>
    <row r="507" ht="13" customHeight="1" s="189">
      <c r="A507" s="297" t="n"/>
      <c r="B507" s="291" t="n"/>
      <c r="C507" s="298" t="n"/>
      <c r="D507" s="298" t="n"/>
      <c r="E507" s="291" t="n"/>
      <c r="F507" s="291" t="n"/>
      <c r="G507" s="297" t="n"/>
      <c r="H507" s="298" t="n"/>
    </row>
    <row r="508" ht="13" customHeight="1" s="189">
      <c r="A508" s="297" t="n"/>
      <c r="B508" s="291" t="n"/>
      <c r="C508" s="298" t="n"/>
      <c r="D508" s="298" t="n"/>
      <c r="E508" s="291" t="n"/>
      <c r="F508" s="291" t="n"/>
      <c r="G508" s="297" t="n"/>
      <c r="H508" s="298" t="n"/>
    </row>
    <row r="509" ht="13" customHeight="1" s="189">
      <c r="A509" s="297" t="n"/>
      <c r="B509" s="291" t="n"/>
      <c r="C509" s="298" t="n"/>
      <c r="D509" s="298" t="n"/>
      <c r="E509" s="291" t="n"/>
      <c r="F509" s="291" t="n"/>
      <c r="G509" s="297" t="n"/>
      <c r="H509" s="298" t="n"/>
    </row>
    <row r="510" ht="13" customHeight="1" s="189">
      <c r="A510" s="297" t="n"/>
      <c r="B510" s="291" t="n"/>
      <c r="C510" s="298" t="n"/>
      <c r="D510" s="298" t="n"/>
      <c r="E510" s="291" t="n"/>
      <c r="F510" s="291" t="n"/>
      <c r="G510" s="297" t="n"/>
      <c r="H510" s="298" t="n"/>
    </row>
    <row r="511" ht="13" customHeight="1" s="189">
      <c r="A511" s="297" t="n"/>
      <c r="B511" s="291" t="n"/>
      <c r="C511" s="298" t="n"/>
      <c r="D511" s="298" t="n"/>
      <c r="E511" s="291" t="n"/>
      <c r="F511" s="291" t="n"/>
      <c r="G511" s="297" t="n"/>
      <c r="H511" s="298" t="n"/>
    </row>
    <row r="512" ht="13" customHeight="1" s="189">
      <c r="A512" s="297" t="n"/>
      <c r="B512" s="291" t="n"/>
      <c r="C512" s="298" t="n"/>
      <c r="D512" s="298" t="n"/>
      <c r="E512" s="291" t="n"/>
      <c r="F512" s="291" t="n"/>
      <c r="G512" s="297" t="n"/>
      <c r="H512" s="298" t="n"/>
    </row>
    <row r="513" ht="13" customHeight="1" s="189">
      <c r="A513" s="297" t="n"/>
      <c r="B513" s="291" t="n"/>
      <c r="C513" s="298" t="n"/>
      <c r="D513" s="298" t="n"/>
      <c r="E513" s="291" t="n"/>
      <c r="F513" s="291" t="n"/>
      <c r="G513" s="297" t="n"/>
      <c r="H513" s="298" t="n"/>
    </row>
    <row r="514" ht="13" customHeight="1" s="189">
      <c r="A514" s="297" t="n"/>
      <c r="B514" s="291" t="n"/>
      <c r="C514" s="298" t="n"/>
      <c r="D514" s="298" t="n"/>
      <c r="E514" s="291" t="n"/>
      <c r="F514" s="291" t="n"/>
      <c r="G514" s="297" t="n"/>
      <c r="H514" s="298" t="n"/>
    </row>
    <row r="515" ht="13" customHeight="1" s="189">
      <c r="A515" s="297" t="n"/>
      <c r="B515" s="291" t="n"/>
      <c r="C515" s="298" t="n"/>
      <c r="D515" s="298" t="n"/>
      <c r="E515" s="291" t="n"/>
      <c r="F515" s="291" t="n"/>
      <c r="G515" s="297" t="n"/>
      <c r="H515" s="298" t="n"/>
    </row>
    <row r="516" ht="13" customHeight="1" s="189">
      <c r="A516" s="297" t="n"/>
      <c r="B516" s="291" t="n"/>
      <c r="C516" s="298" t="n"/>
      <c r="D516" s="298" t="n"/>
      <c r="E516" s="291" t="n"/>
      <c r="F516" s="291" t="n"/>
      <c r="G516" s="297" t="n"/>
      <c r="H516" s="298" t="n"/>
    </row>
    <row r="517" ht="13" customHeight="1" s="189">
      <c r="A517" s="297" t="n"/>
      <c r="B517" s="291" t="n"/>
      <c r="C517" s="298" t="n"/>
      <c r="D517" s="298" t="n"/>
      <c r="E517" s="291" t="n"/>
      <c r="F517" s="291" t="n"/>
      <c r="G517" s="297" t="n"/>
      <c r="H517" s="298" t="n"/>
    </row>
    <row r="518" ht="13" customHeight="1" s="189">
      <c r="A518" s="297" t="n"/>
      <c r="B518" s="291" t="n"/>
      <c r="C518" s="298" t="n"/>
      <c r="D518" s="298" t="n"/>
      <c r="E518" s="291" t="n"/>
      <c r="F518" s="291" t="n"/>
      <c r="G518" s="297" t="n"/>
      <c r="H518" s="298" t="n"/>
    </row>
    <row r="519" ht="13" customHeight="1" s="189">
      <c r="A519" s="297" t="n"/>
      <c r="B519" s="291" t="n"/>
      <c r="C519" s="298" t="n"/>
      <c r="D519" s="298" t="n"/>
      <c r="E519" s="291" t="n"/>
      <c r="F519" s="291" t="n"/>
      <c r="G519" s="297" t="n"/>
      <c r="H519" s="298" t="n"/>
    </row>
    <row r="520" ht="13" customHeight="1" s="189">
      <c r="A520" s="297" t="n"/>
      <c r="B520" s="291" t="n"/>
      <c r="C520" s="298" t="n"/>
      <c r="D520" s="298" t="n"/>
      <c r="E520" s="291" t="n"/>
      <c r="F520" s="291" t="n"/>
      <c r="G520" s="297" t="n"/>
      <c r="H520" s="298" t="n"/>
    </row>
    <row r="521" ht="13" customHeight="1" s="189">
      <c r="A521" s="297" t="n"/>
      <c r="B521" s="291" t="n"/>
      <c r="C521" s="298" t="n"/>
      <c r="D521" s="298" t="n"/>
      <c r="E521" s="291" t="n"/>
      <c r="F521" s="291" t="n"/>
      <c r="G521" s="297" t="n"/>
      <c r="H521" s="298" t="n"/>
    </row>
    <row r="522" ht="13" customHeight="1" s="189">
      <c r="A522" s="297" t="n"/>
      <c r="B522" s="291" t="n"/>
      <c r="C522" s="298" t="n"/>
      <c r="D522" s="298" t="n"/>
      <c r="E522" s="291" t="n"/>
      <c r="F522" s="291" t="n"/>
      <c r="G522" s="297" t="n"/>
      <c r="H522" s="298" t="n"/>
    </row>
    <row r="523" ht="13" customHeight="1" s="189">
      <c r="A523" s="297" t="n"/>
      <c r="B523" s="291" t="n"/>
      <c r="C523" s="298" t="n"/>
      <c r="D523" s="298" t="n"/>
      <c r="E523" s="291" t="n"/>
      <c r="F523" s="291" t="n"/>
      <c r="G523" s="297" t="n"/>
      <c r="H523" s="298" t="n"/>
    </row>
    <row r="524" ht="13" customHeight="1" s="189">
      <c r="A524" s="297" t="n"/>
      <c r="B524" s="291" t="n"/>
      <c r="C524" s="298" t="n"/>
      <c r="D524" s="298" t="n"/>
      <c r="E524" s="291" t="n"/>
      <c r="F524" s="291" t="n"/>
      <c r="G524" s="297" t="n"/>
      <c r="H524" s="298" t="n"/>
    </row>
    <row r="525" ht="13" customHeight="1" s="189">
      <c r="A525" s="297" t="n"/>
      <c r="B525" s="291" t="n"/>
      <c r="C525" s="298" t="n"/>
      <c r="D525" s="298" t="n"/>
      <c r="E525" s="291" t="n"/>
      <c r="F525" s="291" t="n"/>
      <c r="G525" s="297" t="n"/>
      <c r="H525" s="298" t="n"/>
    </row>
    <row r="526" ht="13" customHeight="1" s="189">
      <c r="A526" s="297" t="n"/>
      <c r="B526" s="291" t="n"/>
      <c r="C526" s="298" t="n"/>
      <c r="D526" s="298" t="n"/>
      <c r="E526" s="291" t="n"/>
      <c r="F526" s="291" t="n"/>
      <c r="G526" s="297" t="n"/>
      <c r="H526" s="298" t="n"/>
    </row>
    <row r="527" ht="13" customHeight="1" s="189">
      <c r="A527" s="297" t="n"/>
      <c r="B527" s="291" t="n"/>
      <c r="C527" s="298" t="n"/>
      <c r="D527" s="298" t="n"/>
      <c r="E527" s="291" t="n"/>
      <c r="F527" s="291" t="n"/>
      <c r="G527" s="297" t="n"/>
      <c r="H527" s="298" t="n"/>
    </row>
    <row r="528" ht="13" customHeight="1" s="189">
      <c r="A528" s="297" t="n"/>
      <c r="B528" s="291" t="n"/>
      <c r="C528" s="298" t="n"/>
      <c r="D528" s="298" t="n"/>
      <c r="E528" s="291" t="n"/>
      <c r="F528" s="291" t="n"/>
      <c r="G528" s="297" t="n"/>
      <c r="H528" s="298" t="n"/>
    </row>
    <row r="529" ht="13" customHeight="1" s="189">
      <c r="A529" s="297" t="n"/>
      <c r="B529" s="291" t="n"/>
      <c r="C529" s="298" t="n"/>
      <c r="D529" s="298" t="n"/>
      <c r="E529" s="291" t="n"/>
      <c r="F529" s="291" t="n"/>
      <c r="G529" s="297" t="n"/>
      <c r="H529" s="298" t="n"/>
    </row>
    <row r="530" ht="13" customHeight="1" s="189">
      <c r="A530" s="297" t="n"/>
      <c r="B530" s="291" t="n"/>
      <c r="C530" s="298" t="n"/>
      <c r="D530" s="298" t="n"/>
      <c r="E530" s="291" t="n"/>
      <c r="F530" s="291" t="n"/>
      <c r="G530" s="297" t="n"/>
      <c r="H530" s="298" t="n"/>
    </row>
    <row r="531" ht="13" customHeight="1" s="189">
      <c r="A531" s="297" t="n"/>
      <c r="B531" s="291" t="n"/>
      <c r="C531" s="298" t="n"/>
      <c r="D531" s="298" t="n"/>
      <c r="E531" s="291" t="n"/>
      <c r="F531" s="291" t="n"/>
      <c r="G531" s="297" t="n"/>
      <c r="H531" s="298" t="n"/>
    </row>
    <row r="532" ht="13" customHeight="1" s="189">
      <c r="A532" s="297" t="n"/>
      <c r="B532" s="291" t="n"/>
      <c r="C532" s="298" t="n"/>
      <c r="D532" s="298" t="n"/>
      <c r="E532" s="291" t="n"/>
      <c r="F532" s="291" t="n"/>
      <c r="G532" s="297" t="n"/>
      <c r="H532" s="298" t="n"/>
    </row>
    <row r="533" ht="13" customHeight="1" s="189">
      <c r="A533" s="297" t="n"/>
      <c r="B533" s="291" t="n"/>
      <c r="C533" s="298" t="n"/>
      <c r="D533" s="298" t="n"/>
      <c r="E533" s="291" t="n"/>
      <c r="F533" s="291" t="n"/>
      <c r="G533" s="297" t="n"/>
      <c r="H533" s="298" t="n"/>
    </row>
    <row r="534" ht="13" customHeight="1" s="189">
      <c r="A534" s="297" t="n"/>
      <c r="B534" s="291" t="n"/>
      <c r="C534" s="298" t="n"/>
      <c r="D534" s="298" t="n"/>
      <c r="E534" s="291" t="n"/>
      <c r="F534" s="291" t="n"/>
      <c r="G534" s="297" t="n"/>
      <c r="H534" s="298" t="n"/>
    </row>
    <row r="535" ht="13" customHeight="1" s="189">
      <c r="A535" s="297" t="n"/>
      <c r="B535" s="291" t="n"/>
      <c r="C535" s="298" t="n"/>
      <c r="D535" s="298" t="n"/>
      <c r="E535" s="291" t="n"/>
      <c r="F535" s="291" t="n"/>
      <c r="G535" s="297" t="n"/>
      <c r="H535" s="298" t="n"/>
    </row>
    <row r="536" ht="13" customHeight="1" s="189">
      <c r="A536" s="297" t="n"/>
      <c r="B536" s="291" t="n"/>
      <c r="C536" s="298" t="n"/>
      <c r="D536" s="298" t="n"/>
      <c r="E536" s="291" t="n"/>
      <c r="F536" s="291" t="n"/>
      <c r="G536" s="297" t="n"/>
      <c r="H536" s="298" t="n"/>
    </row>
    <row r="537" ht="13" customHeight="1" s="189">
      <c r="A537" s="297" t="n"/>
      <c r="B537" s="291" t="n"/>
      <c r="C537" s="298" t="n"/>
      <c r="D537" s="298" t="n"/>
      <c r="E537" s="291" t="n"/>
      <c r="F537" s="291" t="n"/>
      <c r="G537" s="297" t="n"/>
      <c r="H537" s="298" t="n"/>
    </row>
    <row r="538" ht="13" customHeight="1" s="189">
      <c r="A538" s="297" t="n"/>
      <c r="B538" s="291" t="n"/>
      <c r="C538" s="298" t="n"/>
      <c r="D538" s="298" t="n"/>
      <c r="E538" s="291" t="n"/>
      <c r="F538" s="291" t="n"/>
      <c r="G538" s="297" t="n"/>
      <c r="H538" s="298" t="n"/>
    </row>
    <row r="539" ht="13" customHeight="1" s="189">
      <c r="A539" s="297" t="n"/>
      <c r="B539" s="291" t="n"/>
      <c r="C539" s="298" t="n"/>
      <c r="D539" s="298" t="n"/>
      <c r="E539" s="291" t="n"/>
      <c r="F539" s="291" t="n"/>
      <c r="G539" s="297" t="n"/>
      <c r="H539" s="298" t="n"/>
    </row>
    <row r="540" ht="13" customHeight="1" s="189">
      <c r="A540" s="297" t="n"/>
      <c r="B540" s="291" t="n"/>
      <c r="C540" s="298" t="n"/>
      <c r="D540" s="298" t="n"/>
      <c r="E540" s="291" t="n"/>
      <c r="F540" s="291" t="n"/>
      <c r="G540" s="297" t="n"/>
      <c r="H540" s="298" t="n"/>
    </row>
    <row r="541" ht="13" customHeight="1" s="189">
      <c r="A541" s="297" t="n"/>
      <c r="B541" s="291" t="n"/>
      <c r="C541" s="298" t="n"/>
      <c r="D541" s="298" t="n"/>
      <c r="E541" s="291" t="n"/>
      <c r="F541" s="291" t="n"/>
      <c r="G541" s="297" t="n"/>
      <c r="H541" s="298" t="n"/>
    </row>
    <row r="542" ht="13" customHeight="1" s="189">
      <c r="A542" s="297" t="n"/>
      <c r="B542" s="291" t="n"/>
      <c r="C542" s="298" t="n"/>
      <c r="D542" s="298" t="n"/>
      <c r="E542" s="291" t="n"/>
      <c r="F542" s="291" t="n"/>
      <c r="G542" s="297" t="n"/>
      <c r="H542" s="298" t="n"/>
    </row>
    <row r="543" ht="13" customHeight="1" s="189">
      <c r="A543" s="297" t="n"/>
      <c r="B543" s="291" t="n"/>
      <c r="C543" s="298" t="n"/>
      <c r="D543" s="298" t="n"/>
      <c r="E543" s="291" t="n"/>
      <c r="F543" s="291" t="n"/>
      <c r="G543" s="297" t="n"/>
      <c r="H543" s="298" t="n"/>
    </row>
    <row r="544" ht="13" customHeight="1" s="189">
      <c r="A544" s="297" t="n"/>
      <c r="B544" s="291" t="n"/>
      <c r="C544" s="298" t="n"/>
      <c r="D544" s="298" t="n"/>
      <c r="E544" s="291" t="n"/>
      <c r="F544" s="291" t="n"/>
      <c r="G544" s="297" t="n"/>
      <c r="H544" s="298" t="n"/>
    </row>
    <row r="545" ht="13" customHeight="1" s="189">
      <c r="A545" s="297" t="n"/>
      <c r="B545" s="291" t="n"/>
      <c r="C545" s="298" t="n"/>
      <c r="D545" s="298" t="n"/>
      <c r="E545" s="291" t="n"/>
      <c r="F545" s="291" t="n"/>
      <c r="G545" s="297" t="n"/>
      <c r="H545" s="298" t="n"/>
    </row>
    <row r="546" ht="13" customHeight="1" s="189">
      <c r="A546" s="297" t="n"/>
      <c r="B546" s="291" t="n"/>
      <c r="C546" s="298" t="n"/>
      <c r="D546" s="298" t="n"/>
      <c r="E546" s="291" t="n"/>
      <c r="F546" s="291" t="n"/>
      <c r="G546" s="297" t="n"/>
      <c r="H546" s="298" t="n"/>
    </row>
    <row r="547" ht="13" customHeight="1" s="189">
      <c r="A547" s="297" t="n"/>
      <c r="B547" s="291" t="n"/>
      <c r="C547" s="298" t="n"/>
      <c r="D547" s="298" t="n"/>
      <c r="E547" s="291" t="n"/>
      <c r="F547" s="291" t="n"/>
      <c r="G547" s="297" t="n"/>
      <c r="H547" s="298" t="n"/>
    </row>
    <row r="548" ht="13" customHeight="1" s="189">
      <c r="A548" s="297" t="n"/>
      <c r="B548" s="291" t="n"/>
      <c r="C548" s="298" t="n"/>
      <c r="D548" s="298" t="n"/>
      <c r="E548" s="291" t="n"/>
      <c r="F548" s="291" t="n"/>
      <c r="G548" s="297" t="n"/>
      <c r="H548" s="298" t="n"/>
    </row>
    <row r="549" ht="13" customHeight="1" s="189">
      <c r="A549" s="297" t="n"/>
      <c r="B549" s="291" t="n"/>
      <c r="C549" s="298" t="n"/>
      <c r="D549" s="298" t="n"/>
      <c r="E549" s="291" t="n"/>
      <c r="F549" s="291" t="n"/>
      <c r="G549" s="297" t="n"/>
      <c r="H549" s="298" t="n"/>
    </row>
    <row r="550" ht="13" customHeight="1" s="189">
      <c r="A550" s="297" t="n"/>
      <c r="B550" s="291" t="n"/>
      <c r="C550" s="298" t="n"/>
      <c r="D550" s="298" t="n"/>
      <c r="E550" s="291" t="n"/>
      <c r="F550" s="291" t="n"/>
      <c r="G550" s="297" t="n"/>
      <c r="H550" s="298" t="n"/>
    </row>
    <row r="551" ht="13" customHeight="1" s="189">
      <c r="A551" s="297" t="n"/>
      <c r="B551" s="291" t="n"/>
      <c r="C551" s="298" t="n"/>
      <c r="D551" s="298" t="n"/>
      <c r="E551" s="291" t="n"/>
      <c r="F551" s="291" t="n"/>
      <c r="G551" s="297" t="n"/>
      <c r="H551" s="298" t="n"/>
    </row>
    <row r="552" ht="13" customHeight="1" s="189">
      <c r="A552" s="297" t="n"/>
      <c r="B552" s="291" t="n"/>
      <c r="C552" s="298" t="n"/>
      <c r="D552" s="298" t="n"/>
      <c r="E552" s="291" t="n"/>
      <c r="F552" s="291" t="n"/>
      <c r="G552" s="297" t="n"/>
      <c r="H552" s="298" t="n"/>
    </row>
    <row r="553" ht="13" customHeight="1" s="189">
      <c r="A553" s="297" t="n"/>
      <c r="B553" s="291" t="n"/>
      <c r="C553" s="298" t="n"/>
      <c r="D553" s="298" t="n"/>
      <c r="E553" s="291" t="n"/>
      <c r="F553" s="291" t="n"/>
      <c r="G553" s="297" t="n"/>
      <c r="H553" s="298" t="n"/>
    </row>
    <row r="554" ht="13" customHeight="1" s="189">
      <c r="A554" s="297" t="n"/>
      <c r="B554" s="291" t="n"/>
      <c r="C554" s="298" t="n"/>
      <c r="D554" s="298" t="n"/>
      <c r="E554" s="291" t="n"/>
      <c r="F554" s="291" t="n"/>
      <c r="G554" s="297" t="n"/>
      <c r="H554" s="298" t="n"/>
    </row>
    <row r="555" ht="13" customHeight="1" s="189">
      <c r="A555" s="297" t="n"/>
      <c r="B555" s="291" t="n"/>
      <c r="C555" s="298" t="n"/>
      <c r="D555" s="298" t="n"/>
      <c r="E555" s="291" t="n"/>
      <c r="F555" s="291" t="n"/>
      <c r="G555" s="297" t="n"/>
      <c r="H555" s="298" t="n"/>
    </row>
    <row r="556" ht="13" customHeight="1" s="189">
      <c r="A556" s="297" t="n"/>
      <c r="B556" s="291" t="n"/>
      <c r="C556" s="298" t="n"/>
      <c r="D556" s="298" t="n"/>
      <c r="E556" s="291" t="n"/>
      <c r="F556" s="291" t="n"/>
      <c r="G556" s="297" t="n"/>
      <c r="H556" s="298" t="n"/>
    </row>
    <row r="557" ht="13" customHeight="1" s="189">
      <c r="A557" s="297" t="n"/>
      <c r="B557" s="291" t="n"/>
      <c r="C557" s="298" t="n"/>
      <c r="D557" s="298" t="n"/>
      <c r="E557" s="291" t="n"/>
      <c r="F557" s="291" t="n"/>
      <c r="G557" s="297" t="n"/>
      <c r="H557" s="298" t="n"/>
    </row>
    <row r="558" ht="13" customHeight="1" s="189">
      <c r="A558" s="297" t="n"/>
      <c r="B558" s="291" t="n"/>
      <c r="C558" s="298" t="n"/>
      <c r="D558" s="298" t="n"/>
      <c r="E558" s="291" t="n"/>
      <c r="F558" s="291" t="n"/>
      <c r="G558" s="297" t="n"/>
      <c r="H558" s="298" t="n"/>
    </row>
    <row r="559" ht="13" customHeight="1" s="189">
      <c r="A559" s="297" t="n"/>
      <c r="B559" s="291" t="n"/>
      <c r="C559" s="298" t="n"/>
      <c r="D559" s="298" t="n"/>
      <c r="E559" s="291" t="n"/>
      <c r="F559" s="291" t="n"/>
      <c r="G559" s="297" t="n"/>
      <c r="H559" s="298" t="n"/>
    </row>
    <row r="560" ht="13" customHeight="1" s="189">
      <c r="A560" s="297" t="n"/>
      <c r="B560" s="291" t="n"/>
      <c r="C560" s="298" t="n"/>
      <c r="D560" s="298" t="n"/>
      <c r="E560" s="291" t="n"/>
      <c r="F560" s="291" t="n"/>
      <c r="G560" s="297" t="n"/>
      <c r="H560" s="298" t="n"/>
    </row>
    <row r="561" ht="13" customHeight="1" s="189">
      <c r="A561" s="297" t="n"/>
      <c r="B561" s="291" t="n"/>
      <c r="C561" s="298" t="n"/>
      <c r="D561" s="298" t="n"/>
      <c r="E561" s="291" t="n"/>
      <c r="F561" s="291" t="n"/>
      <c r="G561" s="297" t="n"/>
      <c r="H561" s="298" t="n"/>
    </row>
    <row r="562" ht="13" customHeight="1" s="189">
      <c r="A562" s="297" t="n"/>
      <c r="B562" s="291" t="n"/>
      <c r="C562" s="298" t="n"/>
      <c r="D562" s="298" t="n"/>
      <c r="E562" s="291" t="n"/>
      <c r="F562" s="291" t="n"/>
      <c r="G562" s="297" t="n"/>
      <c r="H562" s="298" t="n"/>
    </row>
    <row r="563" ht="13" customHeight="1" s="189">
      <c r="A563" s="297" t="n"/>
      <c r="B563" s="291" t="n"/>
      <c r="C563" s="298" t="n"/>
      <c r="D563" s="298" t="n"/>
      <c r="E563" s="291" t="n"/>
      <c r="F563" s="291" t="n"/>
      <c r="G563" s="297" t="n"/>
      <c r="H563" s="298" t="n"/>
    </row>
    <row r="564" ht="13" customHeight="1" s="189">
      <c r="A564" s="297" t="n"/>
      <c r="B564" s="291" t="n"/>
      <c r="C564" s="298" t="n"/>
      <c r="D564" s="298" t="n"/>
      <c r="E564" s="291" t="n"/>
      <c r="F564" s="291" t="n"/>
      <c r="G564" s="297" t="n"/>
      <c r="H564" s="298" t="n"/>
    </row>
    <row r="565" ht="13" customHeight="1" s="189">
      <c r="A565" s="297" t="n"/>
      <c r="B565" s="291" t="n"/>
      <c r="C565" s="298" t="n"/>
      <c r="D565" s="298" t="n"/>
      <c r="E565" s="291" t="n"/>
      <c r="F565" s="291" t="n"/>
      <c r="G565" s="297" t="n"/>
      <c r="H565" s="298" t="n"/>
    </row>
    <row r="566" ht="13" customHeight="1" s="189">
      <c r="A566" s="297" t="n"/>
      <c r="B566" s="291" t="n"/>
      <c r="C566" s="298" t="n"/>
      <c r="D566" s="298" t="n"/>
      <c r="E566" s="291" t="n"/>
      <c r="F566" s="291" t="n"/>
      <c r="G566" s="297" t="n"/>
      <c r="H566" s="298" t="n"/>
    </row>
    <row r="567" ht="13" customHeight="1" s="189">
      <c r="A567" s="297" t="n"/>
      <c r="B567" s="291" t="n"/>
      <c r="C567" s="298" t="n"/>
      <c r="D567" s="298" t="n"/>
      <c r="E567" s="291" t="n"/>
      <c r="F567" s="291" t="n"/>
      <c r="G567" s="297" t="n"/>
      <c r="H567" s="298" t="n"/>
    </row>
    <row r="568" ht="13" customHeight="1" s="189">
      <c r="A568" s="297" t="n"/>
      <c r="B568" s="291" t="n"/>
      <c r="C568" s="298" t="n"/>
      <c r="D568" s="298" t="n"/>
      <c r="E568" s="291" t="n"/>
      <c r="F568" s="291" t="n"/>
      <c r="G568" s="297" t="n"/>
      <c r="H568" s="298" t="n"/>
    </row>
    <row r="569" ht="13" customHeight="1" s="189">
      <c r="A569" s="297" t="n"/>
      <c r="B569" s="291" t="n"/>
      <c r="C569" s="298" t="n"/>
      <c r="D569" s="298" t="n"/>
      <c r="E569" s="291" t="n"/>
      <c r="F569" s="291" t="n"/>
      <c r="G569" s="297" t="n"/>
      <c r="H569" s="298" t="n"/>
    </row>
    <row r="570" ht="13" customHeight="1" s="189">
      <c r="A570" s="297" t="n"/>
      <c r="B570" s="291" t="n"/>
      <c r="C570" s="298" t="n"/>
      <c r="D570" s="298" t="n"/>
      <c r="E570" s="291" t="n"/>
      <c r="F570" s="291" t="n"/>
      <c r="G570" s="297" t="n"/>
      <c r="H570" s="298" t="n"/>
    </row>
    <row r="571" ht="13" customHeight="1" s="189">
      <c r="A571" s="297" t="n"/>
      <c r="B571" s="291" t="n"/>
      <c r="C571" s="298" t="n"/>
      <c r="D571" s="298" t="n"/>
      <c r="E571" s="291" t="n"/>
      <c r="F571" s="291" t="n"/>
      <c r="G571" s="297" t="n"/>
      <c r="H571" s="298" t="n"/>
    </row>
    <row r="572" ht="13" customHeight="1" s="189">
      <c r="A572" s="297" t="n"/>
      <c r="B572" s="291" t="n"/>
      <c r="C572" s="298" t="n"/>
      <c r="D572" s="298" t="n"/>
      <c r="E572" s="291" t="n"/>
      <c r="F572" s="291" t="n"/>
      <c r="G572" s="297" t="n"/>
      <c r="H572" s="298" t="n"/>
    </row>
    <row r="573" ht="13" customHeight="1" s="189">
      <c r="A573" s="297" t="n"/>
      <c r="B573" s="291" t="n"/>
      <c r="C573" s="298" t="n"/>
      <c r="D573" s="298" t="n"/>
      <c r="E573" s="291" t="n"/>
      <c r="F573" s="291" t="n"/>
      <c r="G573" s="297" t="n"/>
      <c r="H573" s="298" t="n"/>
    </row>
    <row r="574" ht="13" customHeight="1" s="189">
      <c r="A574" s="297" t="n"/>
      <c r="B574" s="291" t="n"/>
      <c r="C574" s="298" t="n"/>
      <c r="D574" s="298" t="n"/>
      <c r="E574" s="291" t="n"/>
      <c r="F574" s="291" t="n"/>
      <c r="G574" s="297" t="n"/>
      <c r="H574" s="298" t="n"/>
    </row>
    <row r="575" ht="13" customHeight="1" s="189">
      <c r="A575" s="297" t="n"/>
      <c r="B575" s="291" t="n"/>
      <c r="C575" s="298" t="n"/>
      <c r="D575" s="298" t="n"/>
      <c r="E575" s="291" t="n"/>
      <c r="F575" s="291" t="n"/>
      <c r="G575" s="297" t="n"/>
      <c r="H575" s="298" t="n"/>
    </row>
    <row r="576" ht="13" customHeight="1" s="189">
      <c r="A576" s="297" t="n"/>
      <c r="B576" s="291" t="n"/>
      <c r="C576" s="298" t="n"/>
      <c r="D576" s="298" t="n"/>
      <c r="E576" s="291" t="n"/>
      <c r="F576" s="291" t="n"/>
      <c r="G576" s="297" t="n"/>
      <c r="H576" s="298" t="n"/>
    </row>
    <row r="577" ht="13" customHeight="1" s="189">
      <c r="A577" s="297" t="n"/>
      <c r="B577" s="291" t="n"/>
      <c r="C577" s="298" t="n"/>
      <c r="D577" s="298" t="n"/>
      <c r="E577" s="291" t="n"/>
      <c r="F577" s="291" t="n"/>
      <c r="G577" s="297" t="n"/>
      <c r="H577" s="298" t="n"/>
    </row>
    <row r="578" ht="13" customHeight="1" s="189">
      <c r="A578" s="297" t="n"/>
      <c r="B578" s="291" t="n"/>
      <c r="C578" s="298" t="n"/>
      <c r="D578" s="298" t="n"/>
      <c r="E578" s="291" t="n"/>
      <c r="F578" s="291" t="n"/>
      <c r="G578" s="297" t="n"/>
      <c r="H578" s="298" t="n"/>
    </row>
    <row r="579" ht="13" customHeight="1" s="189">
      <c r="A579" s="297" t="n"/>
      <c r="B579" s="291" t="n"/>
      <c r="C579" s="298" t="n"/>
      <c r="D579" s="298" t="n"/>
      <c r="E579" s="291" t="n"/>
      <c r="F579" s="291" t="n"/>
      <c r="G579" s="297" t="n"/>
      <c r="H579" s="298" t="n"/>
    </row>
    <row r="580" ht="13" customHeight="1" s="189">
      <c r="A580" s="297" t="n"/>
      <c r="B580" s="291" t="n"/>
      <c r="C580" s="298" t="n"/>
      <c r="D580" s="298" t="n"/>
      <c r="E580" s="291" t="n"/>
      <c r="F580" s="291" t="n"/>
      <c r="G580" s="297" t="n"/>
      <c r="H580" s="298" t="n"/>
    </row>
    <row r="581" ht="13" customHeight="1" s="189">
      <c r="A581" s="297" t="n"/>
      <c r="B581" s="291" t="n"/>
      <c r="C581" s="298" t="n"/>
      <c r="D581" s="298" t="n"/>
      <c r="E581" s="291" t="n"/>
      <c r="F581" s="291" t="n"/>
      <c r="G581" s="297" t="n"/>
      <c r="H581" s="298" t="n"/>
    </row>
    <row r="582" ht="13" customHeight="1" s="189">
      <c r="A582" s="297" t="n"/>
      <c r="B582" s="291" t="n"/>
      <c r="C582" s="298" t="n"/>
      <c r="D582" s="298" t="n"/>
      <c r="E582" s="291" t="n"/>
      <c r="F582" s="291" t="n"/>
      <c r="G582" s="297" t="n"/>
      <c r="H582" s="298" t="n"/>
    </row>
    <row r="583" ht="13" customHeight="1" s="189">
      <c r="A583" s="297" t="n"/>
      <c r="B583" s="291" t="n"/>
      <c r="C583" s="298" t="n"/>
      <c r="D583" s="298" t="n"/>
      <c r="E583" s="291" t="n"/>
      <c r="F583" s="291" t="n"/>
      <c r="G583" s="297" t="n"/>
      <c r="H583" s="298" t="n"/>
    </row>
    <row r="584" ht="13" customHeight="1" s="189">
      <c r="A584" s="297" t="n"/>
      <c r="B584" s="291" t="n"/>
      <c r="C584" s="298" t="n"/>
      <c r="D584" s="298" t="n"/>
      <c r="E584" s="291" t="n"/>
      <c r="F584" s="291" t="n"/>
      <c r="G584" s="297" t="n"/>
      <c r="H584" s="298" t="n"/>
    </row>
    <row r="585" ht="13" customHeight="1" s="189">
      <c r="A585" s="297" t="n"/>
      <c r="B585" s="291" t="n"/>
      <c r="C585" s="298" t="n"/>
      <c r="D585" s="298" t="n"/>
      <c r="E585" s="291" t="n"/>
      <c r="F585" s="291" t="n"/>
      <c r="G585" s="297" t="n"/>
      <c r="H585" s="298" t="n"/>
    </row>
    <row r="586" ht="13" customHeight="1" s="189">
      <c r="A586" s="297" t="n"/>
      <c r="B586" s="291" t="n"/>
      <c r="C586" s="298" t="n"/>
      <c r="D586" s="298" t="n"/>
      <c r="E586" s="291" t="n"/>
      <c r="F586" s="291" t="n"/>
      <c r="G586" s="297" t="n"/>
      <c r="H586" s="298" t="n"/>
    </row>
    <row r="587" ht="13" customHeight="1" s="189">
      <c r="A587" s="297" t="n"/>
      <c r="B587" s="291" t="n"/>
      <c r="C587" s="298" t="n"/>
      <c r="D587" s="298" t="n"/>
      <c r="E587" s="291" t="n"/>
      <c r="F587" s="291" t="n"/>
      <c r="G587" s="297" t="n"/>
      <c r="H587" s="298" t="n"/>
    </row>
    <row r="588" ht="13" customHeight="1" s="189">
      <c r="A588" s="297" t="n"/>
      <c r="B588" s="291" t="n"/>
      <c r="C588" s="298" t="n"/>
      <c r="D588" s="298" t="n"/>
      <c r="E588" s="291" t="n"/>
      <c r="F588" s="291" t="n"/>
      <c r="G588" s="297" t="n"/>
      <c r="H588" s="298" t="n"/>
    </row>
    <row r="589" ht="13" customHeight="1" s="189">
      <c r="A589" s="297" t="n"/>
      <c r="B589" s="291" t="n"/>
      <c r="C589" s="298" t="n"/>
      <c r="D589" s="298" t="n"/>
      <c r="E589" s="291" t="n"/>
      <c r="F589" s="291" t="n"/>
      <c r="G589" s="297" t="n"/>
      <c r="H589" s="298" t="n"/>
    </row>
    <row r="590" ht="13" customHeight="1" s="189">
      <c r="A590" s="297" t="n"/>
      <c r="B590" s="291" t="n"/>
      <c r="C590" s="298" t="n"/>
      <c r="D590" s="298" t="n"/>
      <c r="E590" s="291" t="n"/>
      <c r="F590" s="291" t="n"/>
      <c r="G590" s="297" t="n"/>
      <c r="H590" s="298" t="n"/>
    </row>
    <row r="591" ht="13" customHeight="1" s="189">
      <c r="A591" s="297" t="n"/>
      <c r="B591" s="291" t="n"/>
      <c r="C591" s="298" t="n"/>
      <c r="D591" s="298" t="n"/>
      <c r="E591" s="291" t="n"/>
      <c r="F591" s="291" t="n"/>
      <c r="G591" s="297" t="n"/>
      <c r="H591" s="298" t="n"/>
    </row>
    <row r="592" ht="13" customHeight="1" s="189">
      <c r="A592" s="297" t="n"/>
      <c r="B592" s="291" t="n"/>
      <c r="C592" s="298" t="n"/>
      <c r="D592" s="298" t="n"/>
      <c r="E592" s="291" t="n"/>
      <c r="F592" s="291" t="n"/>
      <c r="G592" s="297" t="n"/>
      <c r="H592" s="298" t="n"/>
    </row>
    <row r="593" ht="13" customHeight="1" s="189">
      <c r="A593" s="297" t="n"/>
      <c r="B593" s="291" t="n"/>
      <c r="C593" s="298" t="n"/>
      <c r="D593" s="298" t="n"/>
      <c r="E593" s="291" t="n"/>
      <c r="F593" s="291" t="n"/>
      <c r="G593" s="297" t="n"/>
      <c r="H593" s="298" t="n"/>
    </row>
    <row r="594" ht="13" customHeight="1" s="189">
      <c r="A594" s="297" t="n"/>
      <c r="B594" s="291" t="n"/>
      <c r="C594" s="298" t="n"/>
      <c r="D594" s="298" t="n"/>
      <c r="E594" s="291" t="n"/>
      <c r="F594" s="291" t="n"/>
      <c r="G594" s="297" t="n"/>
      <c r="H594" s="298" t="n"/>
    </row>
    <row r="595" ht="13" customHeight="1" s="189">
      <c r="A595" s="297" t="n"/>
      <c r="B595" s="291" t="n"/>
      <c r="C595" s="298" t="n"/>
      <c r="D595" s="298" t="n"/>
      <c r="E595" s="291" t="n"/>
      <c r="F595" s="291" t="n"/>
      <c r="G595" s="297" t="n"/>
      <c r="H595" s="298" t="n"/>
    </row>
    <row r="596" ht="13" customHeight="1" s="189">
      <c r="A596" s="297" t="n"/>
      <c r="B596" s="291" t="n"/>
      <c r="C596" s="298" t="n"/>
      <c r="D596" s="298" t="n"/>
      <c r="E596" s="291" t="n"/>
      <c r="F596" s="291" t="n"/>
      <c r="G596" s="297" t="n"/>
      <c r="H596" s="298" t="n"/>
    </row>
    <row r="597" ht="13" customHeight="1" s="189">
      <c r="A597" s="297" t="n"/>
      <c r="B597" s="291" t="n"/>
      <c r="C597" s="298" t="n"/>
      <c r="D597" s="298" t="n"/>
      <c r="E597" s="291" t="n"/>
      <c r="F597" s="291" t="n"/>
      <c r="G597" s="297" t="n"/>
      <c r="H597" s="298" t="n"/>
    </row>
    <row r="598" ht="13" customHeight="1" s="189">
      <c r="A598" s="297" t="n"/>
      <c r="B598" s="291" t="n"/>
      <c r="C598" s="298" t="n"/>
      <c r="D598" s="298" t="n"/>
      <c r="E598" s="291" t="n"/>
      <c r="F598" s="291" t="n"/>
      <c r="G598" s="297" t="n"/>
      <c r="H598" s="298" t="n"/>
    </row>
    <row r="599" ht="13" customHeight="1" s="189">
      <c r="A599" s="297" t="n"/>
      <c r="B599" s="291" t="n"/>
      <c r="C599" s="298" t="n"/>
      <c r="D599" s="298" t="n"/>
      <c r="E599" s="291" t="n"/>
      <c r="F599" s="291" t="n"/>
      <c r="G599" s="297" t="n"/>
      <c r="H599" s="298" t="n"/>
    </row>
    <row r="600" ht="13" customHeight="1" s="189">
      <c r="A600" s="297" t="n"/>
      <c r="B600" s="291" t="n"/>
      <c r="C600" s="298" t="n"/>
      <c r="D600" s="298" t="n"/>
      <c r="E600" s="291" t="n"/>
      <c r="F600" s="291" t="n"/>
      <c r="G600" s="297" t="n"/>
      <c r="H600" s="298" t="n"/>
    </row>
    <row r="601" ht="13" customHeight="1" s="189">
      <c r="A601" s="297" t="n"/>
      <c r="B601" s="291" t="n"/>
      <c r="C601" s="298" t="n"/>
      <c r="D601" s="298" t="n"/>
      <c r="E601" s="291" t="n"/>
      <c r="F601" s="291" t="n"/>
      <c r="G601" s="297" t="n"/>
      <c r="H601" s="298" t="n"/>
    </row>
    <row r="602" ht="13" customHeight="1" s="189">
      <c r="A602" s="297" t="n"/>
      <c r="B602" s="291" t="n"/>
      <c r="C602" s="298" t="n"/>
      <c r="D602" s="298" t="n"/>
      <c r="E602" s="291" t="n"/>
      <c r="F602" s="291" t="n"/>
      <c r="G602" s="297" t="n"/>
      <c r="H602" s="298" t="n"/>
    </row>
    <row r="603" ht="13" customHeight="1" s="189">
      <c r="A603" s="297" t="n"/>
      <c r="B603" s="291" t="n"/>
      <c r="C603" s="298" t="n"/>
      <c r="D603" s="298" t="n"/>
      <c r="E603" s="291" t="n"/>
      <c r="F603" s="291" t="n"/>
      <c r="G603" s="297" t="n"/>
      <c r="H603" s="298" t="n"/>
    </row>
    <row r="604" ht="13" customHeight="1" s="189">
      <c r="A604" s="297" t="n"/>
      <c r="B604" s="291" t="n"/>
      <c r="C604" s="298" t="n"/>
      <c r="D604" s="298" t="n"/>
      <c r="E604" s="291" t="n"/>
      <c r="F604" s="291" t="n"/>
      <c r="G604" s="297" t="n"/>
      <c r="H604" s="298" t="n"/>
    </row>
    <row r="605" ht="13" customHeight="1" s="189">
      <c r="A605" s="297" t="n"/>
      <c r="B605" s="291" t="n"/>
      <c r="C605" s="298" t="n"/>
      <c r="D605" s="298" t="n"/>
      <c r="E605" s="291" t="n"/>
      <c r="F605" s="291" t="n"/>
      <c r="G605" s="297" t="n"/>
      <c r="H605" s="298" t="n"/>
    </row>
    <row r="606" ht="13" customHeight="1" s="189">
      <c r="A606" s="297" t="n"/>
      <c r="B606" s="291" t="n"/>
      <c r="C606" s="298" t="n"/>
      <c r="D606" s="298" t="n"/>
      <c r="E606" s="291" t="n"/>
      <c r="F606" s="291" t="n"/>
      <c r="G606" s="297" t="n"/>
      <c r="H606" s="298" t="n"/>
    </row>
    <row r="607" ht="13" customHeight="1" s="189">
      <c r="A607" s="297" t="n"/>
      <c r="B607" s="291" t="n"/>
      <c r="C607" s="298" t="n"/>
      <c r="D607" s="298" t="n"/>
      <c r="E607" s="291" t="n"/>
      <c r="F607" s="291" t="n"/>
      <c r="G607" s="297" t="n"/>
      <c r="H607" s="298" t="n"/>
    </row>
    <row r="608" ht="13" customHeight="1" s="189">
      <c r="A608" s="297" t="n"/>
      <c r="B608" s="291" t="n"/>
      <c r="C608" s="298" t="n"/>
      <c r="D608" s="298" t="n"/>
      <c r="E608" s="291" t="n"/>
      <c r="F608" s="291" t="n"/>
      <c r="G608" s="297" t="n"/>
      <c r="H608" s="298" t="n"/>
    </row>
    <row r="609" ht="13" customHeight="1" s="189">
      <c r="A609" s="297" t="n"/>
      <c r="B609" s="291" t="n"/>
      <c r="C609" s="298" t="n"/>
      <c r="D609" s="298" t="n"/>
      <c r="E609" s="291" t="n"/>
      <c r="F609" s="291" t="n"/>
      <c r="G609" s="297" t="n"/>
      <c r="H609" s="298" t="n"/>
    </row>
    <row r="610" ht="13" customHeight="1" s="189">
      <c r="A610" s="297" t="n"/>
      <c r="B610" s="291" t="n"/>
      <c r="C610" s="298" t="n"/>
      <c r="D610" s="298" t="n"/>
      <c r="E610" s="291" t="n"/>
      <c r="F610" s="291" t="n"/>
      <c r="G610" s="297" t="n"/>
      <c r="H610" s="298" t="n"/>
    </row>
    <row r="611" ht="13" customHeight="1" s="189">
      <c r="A611" s="297" t="n"/>
      <c r="B611" s="291" t="n"/>
      <c r="C611" s="298" t="n"/>
      <c r="D611" s="298" t="n"/>
      <c r="E611" s="291" t="n"/>
      <c r="F611" s="291" t="n"/>
      <c r="G611" s="297" t="n"/>
      <c r="H611" s="298" t="n"/>
    </row>
    <row r="612" ht="13" customHeight="1" s="189">
      <c r="A612" s="297" t="n"/>
      <c r="B612" s="291" t="n"/>
      <c r="C612" s="298" t="n"/>
      <c r="D612" s="298" t="n"/>
      <c r="E612" s="291" t="n"/>
      <c r="F612" s="291" t="n"/>
      <c r="G612" s="297" t="n"/>
      <c r="H612" s="298" t="n"/>
    </row>
    <row r="613" ht="13" customHeight="1" s="189">
      <c r="A613" s="297" t="n"/>
      <c r="B613" s="291" t="n"/>
      <c r="C613" s="298" t="n"/>
      <c r="D613" s="298" t="n"/>
      <c r="E613" s="291" t="n"/>
      <c r="F613" s="291" t="n"/>
      <c r="G613" s="297" t="n"/>
      <c r="H613" s="298" t="n"/>
    </row>
    <row r="614" ht="13" customHeight="1" s="189">
      <c r="A614" s="297" t="n"/>
      <c r="B614" s="291" t="n"/>
      <c r="C614" s="298" t="n"/>
      <c r="D614" s="298" t="n"/>
      <c r="E614" s="291" t="n"/>
      <c r="F614" s="291" t="n"/>
      <c r="G614" s="297" t="n"/>
      <c r="H614" s="298" t="n"/>
    </row>
    <row r="615" ht="13" customHeight="1" s="189">
      <c r="A615" s="297" t="n"/>
      <c r="B615" s="291" t="n"/>
      <c r="C615" s="298" t="n"/>
      <c r="D615" s="298" t="n"/>
      <c r="E615" s="291" t="n"/>
      <c r="F615" s="291" t="n"/>
      <c r="G615" s="297" t="n"/>
      <c r="H615" s="298" t="n"/>
    </row>
    <row r="616" ht="13" customHeight="1" s="189">
      <c r="A616" s="297" t="n"/>
      <c r="B616" s="291" t="n"/>
      <c r="C616" s="298" t="n"/>
      <c r="D616" s="298" t="n"/>
      <c r="E616" s="291" t="n"/>
      <c r="F616" s="291" t="n"/>
      <c r="G616" s="297" t="n"/>
      <c r="H616" s="298" t="n"/>
    </row>
    <row r="617" ht="13" customHeight="1" s="189">
      <c r="A617" s="297" t="n"/>
      <c r="B617" s="291" t="n"/>
      <c r="C617" s="298" t="n"/>
      <c r="D617" s="298" t="n"/>
      <c r="E617" s="291" t="n"/>
      <c r="F617" s="291" t="n"/>
      <c r="G617" s="297" t="n"/>
      <c r="H617" s="298" t="n"/>
    </row>
    <row r="618" ht="13" customHeight="1" s="189">
      <c r="A618" s="297" t="n"/>
      <c r="B618" s="291" t="n"/>
      <c r="C618" s="298" t="n"/>
      <c r="D618" s="298" t="n"/>
      <c r="E618" s="291" t="n"/>
      <c r="F618" s="291" t="n"/>
      <c r="G618" s="297" t="n"/>
      <c r="H618" s="298" t="n"/>
    </row>
    <row r="619" ht="13" customHeight="1" s="189">
      <c r="A619" s="297" t="n"/>
      <c r="B619" s="291" t="n"/>
      <c r="C619" s="298" t="n"/>
      <c r="D619" s="298" t="n"/>
      <c r="E619" s="291" t="n"/>
      <c r="F619" s="291" t="n"/>
      <c r="G619" s="297" t="n"/>
      <c r="H619" s="298" t="n"/>
    </row>
    <row r="620" ht="13" customHeight="1" s="189">
      <c r="A620" s="297" t="n"/>
      <c r="B620" s="291" t="n"/>
      <c r="C620" s="298" t="n"/>
      <c r="D620" s="298" t="n"/>
      <c r="E620" s="291" t="n"/>
      <c r="F620" s="291" t="n"/>
      <c r="G620" s="297" t="n"/>
      <c r="H620" s="298" t="n"/>
    </row>
    <row r="621" ht="13" customHeight="1" s="189">
      <c r="A621" s="297" t="n"/>
      <c r="B621" s="291" t="n"/>
      <c r="C621" s="298" t="n"/>
      <c r="D621" s="298" t="n"/>
      <c r="E621" s="291" t="n"/>
      <c r="F621" s="291" t="n"/>
      <c r="G621" s="297" t="n"/>
      <c r="H621" s="298" t="n"/>
    </row>
    <row r="622" ht="13" customHeight="1" s="189">
      <c r="A622" s="297" t="n"/>
      <c r="B622" s="291" t="n"/>
      <c r="C622" s="298" t="n"/>
      <c r="D622" s="298" t="n"/>
      <c r="E622" s="291" t="n"/>
      <c r="F622" s="291" t="n"/>
      <c r="G622" s="297" t="n"/>
      <c r="H622" s="298" t="n"/>
    </row>
    <row r="623" ht="13" customHeight="1" s="189">
      <c r="A623" s="297" t="n"/>
      <c r="B623" s="291" t="n"/>
      <c r="C623" s="298" t="n"/>
      <c r="D623" s="298" t="n"/>
      <c r="E623" s="291" t="n"/>
      <c r="F623" s="291" t="n"/>
      <c r="G623" s="297" t="n"/>
      <c r="H623" s="298" t="n"/>
    </row>
    <row r="624" ht="13" customHeight="1" s="189">
      <c r="A624" s="297" t="n"/>
      <c r="B624" s="291" t="n"/>
      <c r="C624" s="298" t="n"/>
      <c r="D624" s="298" t="n"/>
      <c r="E624" s="291" t="n"/>
      <c r="F624" s="291" t="n"/>
      <c r="G624" s="297" t="n"/>
      <c r="H624" s="298" t="n"/>
    </row>
    <row r="625" ht="13" customHeight="1" s="189">
      <c r="A625" s="297" t="n"/>
      <c r="B625" s="291" t="n"/>
      <c r="C625" s="298" t="n"/>
      <c r="D625" s="298" t="n"/>
      <c r="E625" s="291" t="n"/>
      <c r="F625" s="291" t="n"/>
      <c r="G625" s="297" t="n"/>
      <c r="H625" s="298" t="n"/>
    </row>
    <row r="626" ht="13" customHeight="1" s="189">
      <c r="A626" s="297" t="n"/>
      <c r="B626" s="291" t="n"/>
      <c r="C626" s="298" t="n"/>
      <c r="D626" s="298" t="n"/>
      <c r="E626" s="291" t="n"/>
      <c r="F626" s="291" t="n"/>
      <c r="G626" s="297" t="n"/>
      <c r="H626" s="298" t="n"/>
    </row>
    <row r="627" ht="13" customHeight="1" s="189">
      <c r="A627" s="297" t="n"/>
      <c r="B627" s="291" t="n"/>
      <c r="C627" s="298" t="n"/>
      <c r="D627" s="298" t="n"/>
      <c r="E627" s="291" t="n"/>
      <c r="F627" s="291" t="n"/>
      <c r="G627" s="297" t="n"/>
      <c r="H627" s="298" t="n"/>
    </row>
    <row r="628" ht="13" customHeight="1" s="189">
      <c r="A628" s="297" t="n"/>
      <c r="B628" s="291" t="n"/>
      <c r="C628" s="298" t="n"/>
      <c r="D628" s="298" t="n"/>
      <c r="E628" s="291" t="n"/>
      <c r="F628" s="291" t="n"/>
      <c r="G628" s="297" t="n"/>
      <c r="H628" s="298" t="n"/>
    </row>
    <row r="629" ht="13" customHeight="1" s="189">
      <c r="A629" s="297" t="n"/>
      <c r="B629" s="291" t="n"/>
      <c r="C629" s="298" t="n"/>
      <c r="D629" s="298" t="n"/>
      <c r="E629" s="291" t="n"/>
      <c r="F629" s="291" t="n"/>
      <c r="G629" s="297" t="n"/>
      <c r="H629" s="298" t="n"/>
    </row>
    <row r="630" ht="13" customHeight="1" s="189">
      <c r="A630" s="297" t="n"/>
      <c r="B630" s="291" t="n"/>
      <c r="C630" s="298" t="n"/>
      <c r="D630" s="298" t="n"/>
      <c r="E630" s="291" t="n"/>
      <c r="F630" s="291" t="n"/>
      <c r="G630" s="297" t="n"/>
      <c r="H630" s="298" t="n"/>
    </row>
    <row r="631" ht="13" customHeight="1" s="189">
      <c r="A631" s="297" t="n"/>
      <c r="B631" s="291" t="n"/>
      <c r="C631" s="298" t="n"/>
      <c r="D631" s="298" t="n"/>
      <c r="E631" s="291" t="n"/>
      <c r="F631" s="291" t="n"/>
      <c r="G631" s="297" t="n"/>
      <c r="H631" s="298" t="n"/>
    </row>
    <row r="632" ht="13" customHeight="1" s="189">
      <c r="A632" s="297" t="n"/>
      <c r="B632" s="291" t="n"/>
      <c r="C632" s="298" t="n"/>
      <c r="D632" s="298" t="n"/>
      <c r="E632" s="291" t="n"/>
      <c r="F632" s="291" t="n"/>
      <c r="G632" s="297" t="n"/>
      <c r="H632" s="298" t="n"/>
    </row>
    <row r="633" ht="13" customHeight="1" s="189">
      <c r="A633" s="297" t="n"/>
      <c r="B633" s="291" t="n"/>
      <c r="C633" s="298" t="n"/>
      <c r="D633" s="298" t="n"/>
      <c r="E633" s="291" t="n"/>
      <c r="F633" s="291" t="n"/>
      <c r="G633" s="297" t="n"/>
      <c r="H633" s="298" t="n"/>
    </row>
    <row r="634" ht="13" customHeight="1" s="189">
      <c r="A634" s="297" t="n"/>
      <c r="B634" s="291" t="n"/>
      <c r="C634" s="298" t="n"/>
      <c r="D634" s="298" t="n"/>
      <c r="E634" s="291" t="n"/>
      <c r="F634" s="291" t="n"/>
      <c r="G634" s="297" t="n"/>
      <c r="H634" s="298" t="n"/>
    </row>
    <row r="635" ht="13" customHeight="1" s="189">
      <c r="A635" s="297" t="n"/>
      <c r="B635" s="291" t="n"/>
      <c r="C635" s="298" t="n"/>
      <c r="D635" s="298" t="n"/>
      <c r="E635" s="291" t="n"/>
      <c r="F635" s="291" t="n"/>
      <c r="G635" s="297" t="n"/>
      <c r="H635" s="298" t="n"/>
    </row>
    <row r="636" ht="13" customHeight="1" s="189">
      <c r="A636" s="297" t="n"/>
      <c r="B636" s="291" t="n"/>
      <c r="C636" s="298" t="n"/>
      <c r="D636" s="298" t="n"/>
      <c r="E636" s="291" t="n"/>
      <c r="F636" s="291" t="n"/>
      <c r="G636" s="297" t="n"/>
      <c r="H636" s="298" t="n"/>
    </row>
    <row r="637" ht="13" customHeight="1" s="189">
      <c r="A637" s="297" t="n"/>
      <c r="B637" s="291" t="n"/>
      <c r="C637" s="298" t="n"/>
      <c r="D637" s="298" t="n"/>
      <c r="E637" s="291" t="n"/>
      <c r="F637" s="291" t="n"/>
      <c r="G637" s="297" t="n"/>
      <c r="H637" s="298" t="n"/>
    </row>
    <row r="638" ht="13" customHeight="1" s="189">
      <c r="A638" s="297" t="n"/>
      <c r="B638" s="291" t="n"/>
      <c r="C638" s="298" t="n"/>
      <c r="D638" s="298" t="n"/>
      <c r="E638" s="291" t="n"/>
      <c r="F638" s="291" t="n"/>
      <c r="G638" s="297" t="n"/>
      <c r="H638" s="298" t="n"/>
    </row>
    <row r="639" ht="13" customHeight="1" s="189">
      <c r="A639" s="297" t="n"/>
      <c r="B639" s="291" t="n"/>
      <c r="C639" s="298" t="n"/>
      <c r="D639" s="298" t="n"/>
      <c r="E639" s="291" t="n"/>
      <c r="F639" s="291" t="n"/>
      <c r="G639" s="297" t="n"/>
      <c r="H639" s="298" t="n"/>
    </row>
    <row r="640" ht="13" customHeight="1" s="189">
      <c r="A640" s="297" t="n"/>
      <c r="B640" s="291" t="n"/>
      <c r="C640" s="298" t="n"/>
      <c r="D640" s="298" t="n"/>
      <c r="E640" s="291" t="n"/>
      <c r="F640" s="291" t="n"/>
      <c r="G640" s="297" t="n"/>
      <c r="H640" s="298" t="n"/>
    </row>
    <row r="641" ht="13" customHeight="1" s="189">
      <c r="A641" s="297" t="n"/>
      <c r="B641" s="291" t="n"/>
      <c r="C641" s="298" t="n"/>
      <c r="D641" s="298" t="n"/>
      <c r="E641" s="291" t="n"/>
      <c r="F641" s="291" t="n"/>
      <c r="G641" s="297" t="n"/>
      <c r="H641" s="298" t="n"/>
    </row>
    <row r="642" ht="13" customHeight="1" s="189">
      <c r="A642" s="297" t="n"/>
      <c r="B642" s="291" t="n"/>
      <c r="C642" s="298" t="n"/>
      <c r="D642" s="298" t="n"/>
      <c r="E642" s="291" t="n"/>
      <c r="F642" s="291" t="n"/>
      <c r="G642" s="297" t="n"/>
      <c r="H642" s="298" t="n"/>
    </row>
    <row r="643" ht="13" customHeight="1" s="189">
      <c r="A643" s="297" t="n"/>
      <c r="B643" s="291" t="n"/>
      <c r="C643" s="298" t="n"/>
      <c r="D643" s="298" t="n"/>
      <c r="E643" s="291" t="n"/>
      <c r="F643" s="291" t="n"/>
      <c r="G643" s="297" t="n"/>
      <c r="H643" s="298" t="n"/>
    </row>
    <row r="644" ht="13" customHeight="1" s="189">
      <c r="A644" s="297" t="n"/>
      <c r="B644" s="291" t="n"/>
      <c r="C644" s="298" t="n"/>
      <c r="D644" s="298" t="n"/>
      <c r="E644" s="291" t="n"/>
      <c r="F644" s="291" t="n"/>
      <c r="G644" s="297" t="n"/>
      <c r="H644" s="298" t="n"/>
    </row>
    <row r="645" ht="13" customHeight="1" s="189">
      <c r="A645" s="297" t="n"/>
      <c r="B645" s="291" t="n"/>
      <c r="C645" s="298" t="n"/>
      <c r="D645" s="298" t="n"/>
      <c r="E645" s="291" t="n"/>
      <c r="F645" s="291" t="n"/>
      <c r="G645" s="297" t="n"/>
      <c r="H645" s="298" t="n"/>
    </row>
    <row r="646" ht="13" customHeight="1" s="189">
      <c r="A646" s="297" t="n"/>
      <c r="B646" s="291" t="n"/>
      <c r="C646" s="298" t="n"/>
      <c r="D646" s="298" t="n"/>
      <c r="E646" s="291" t="n"/>
      <c r="F646" s="291" t="n"/>
      <c r="G646" s="297" t="n"/>
      <c r="H646" s="298" t="n"/>
    </row>
    <row r="647" ht="13" customHeight="1" s="189">
      <c r="A647" s="297" t="n"/>
      <c r="B647" s="291" t="n"/>
      <c r="C647" s="298" t="n"/>
      <c r="D647" s="298" t="n"/>
      <c r="E647" s="291" t="n"/>
      <c r="F647" s="291" t="n"/>
      <c r="G647" s="297" t="n"/>
      <c r="H647" s="298" t="n"/>
    </row>
    <row r="648" ht="13" customHeight="1" s="189">
      <c r="A648" s="297" t="n"/>
      <c r="B648" s="291" t="n"/>
      <c r="C648" s="298" t="n"/>
      <c r="D648" s="298" t="n"/>
      <c r="E648" s="291" t="n"/>
      <c r="F648" s="291" t="n"/>
      <c r="G648" s="297" t="n"/>
      <c r="H648" s="298" t="n"/>
    </row>
    <row r="649" ht="13" customHeight="1" s="189">
      <c r="A649" s="297" t="n"/>
      <c r="B649" s="291" t="n"/>
      <c r="C649" s="298" t="n"/>
      <c r="D649" s="298" t="n"/>
      <c r="E649" s="291" t="n"/>
      <c r="F649" s="291" t="n"/>
      <c r="G649" s="297" t="n"/>
      <c r="H649" s="298" t="n"/>
    </row>
    <row r="650" ht="13" customHeight="1" s="189">
      <c r="A650" s="297" t="n"/>
      <c r="B650" s="291" t="n"/>
      <c r="C650" s="298" t="n"/>
      <c r="D650" s="298" t="n"/>
      <c r="E650" s="291" t="n"/>
      <c r="F650" s="291" t="n"/>
      <c r="G650" s="297" t="n"/>
      <c r="H650" s="298" t="n"/>
    </row>
    <row r="651" ht="13" customHeight="1" s="189">
      <c r="A651" s="297" t="n"/>
      <c r="B651" s="291" t="n"/>
      <c r="C651" s="298" t="n"/>
      <c r="D651" s="298" t="n"/>
      <c r="E651" s="291" t="n"/>
      <c r="F651" s="291" t="n"/>
      <c r="G651" s="297" t="n"/>
      <c r="H651" s="298" t="n"/>
    </row>
    <row r="652" ht="13" customHeight="1" s="189">
      <c r="A652" s="297" t="n"/>
      <c r="B652" s="291" t="n"/>
      <c r="C652" s="298" t="n"/>
      <c r="D652" s="298" t="n"/>
      <c r="E652" s="291" t="n"/>
      <c r="F652" s="291" t="n"/>
      <c r="G652" s="297" t="n"/>
      <c r="H652" s="298" t="n"/>
    </row>
    <row r="653" ht="13" customHeight="1" s="189">
      <c r="A653" s="297" t="n"/>
      <c r="B653" s="291" t="n"/>
      <c r="C653" s="298" t="n"/>
      <c r="D653" s="298" t="n"/>
      <c r="E653" s="291" t="n"/>
      <c r="F653" s="291" t="n"/>
      <c r="G653" s="297" t="n"/>
      <c r="H653" s="298" t="n"/>
    </row>
    <row r="654" ht="13" customHeight="1" s="189">
      <c r="A654" s="297" t="n"/>
      <c r="B654" s="291" t="n"/>
      <c r="C654" s="298" t="n"/>
      <c r="D654" s="298" t="n"/>
      <c r="E654" s="291" t="n"/>
      <c r="F654" s="291" t="n"/>
      <c r="G654" s="297" t="n"/>
      <c r="H654" s="298" t="n"/>
    </row>
    <row r="655" ht="13" customHeight="1" s="189">
      <c r="A655" s="297" t="n"/>
      <c r="B655" s="291" t="n"/>
      <c r="C655" s="298" t="n"/>
      <c r="D655" s="298" t="n"/>
      <c r="E655" s="291" t="n"/>
      <c r="F655" s="291" t="n"/>
      <c r="G655" s="297" t="n"/>
      <c r="H655" s="298" t="n"/>
    </row>
    <row r="656" ht="13" customHeight="1" s="189">
      <c r="A656" s="297" t="n"/>
      <c r="B656" s="291" t="n"/>
      <c r="C656" s="298" t="n"/>
      <c r="D656" s="298" t="n"/>
      <c r="E656" s="291" t="n"/>
      <c r="F656" s="291" t="n"/>
      <c r="G656" s="297" t="n"/>
      <c r="H656" s="298" t="n"/>
    </row>
    <row r="657" ht="13" customHeight="1" s="189">
      <c r="A657" s="297" t="n"/>
      <c r="B657" s="291" t="n"/>
      <c r="C657" s="298" t="n"/>
      <c r="D657" s="298" t="n"/>
      <c r="E657" s="291" t="n"/>
      <c r="F657" s="291" t="n"/>
      <c r="G657" s="297" t="n"/>
      <c r="H657" s="298" t="n"/>
    </row>
    <row r="658" ht="13" customHeight="1" s="189">
      <c r="A658" s="297" t="n"/>
      <c r="B658" s="291" t="n"/>
      <c r="C658" s="298" t="n"/>
      <c r="D658" s="298" t="n"/>
      <c r="E658" s="291" t="n"/>
      <c r="F658" s="291" t="n"/>
      <c r="G658" s="297" t="n"/>
      <c r="H658" s="298" t="n"/>
    </row>
    <row r="659" ht="13" customHeight="1" s="189">
      <c r="A659" s="297" t="n"/>
      <c r="B659" s="291" t="n"/>
      <c r="C659" s="298" t="n"/>
      <c r="D659" s="298" t="n"/>
      <c r="E659" s="291" t="n"/>
      <c r="F659" s="291" t="n"/>
      <c r="G659" s="297" t="n"/>
      <c r="H659" s="298" t="n"/>
    </row>
    <row r="660" ht="13" customHeight="1" s="189">
      <c r="A660" s="297" t="n"/>
      <c r="B660" s="291" t="n"/>
      <c r="C660" s="298" t="n"/>
      <c r="D660" s="298" t="n"/>
      <c r="E660" s="291" t="n"/>
      <c r="F660" s="291" t="n"/>
      <c r="G660" s="297" t="n"/>
      <c r="H660" s="298" t="n"/>
    </row>
    <row r="661" ht="13" customHeight="1" s="189">
      <c r="A661" s="297" t="n"/>
      <c r="B661" s="291" t="n"/>
      <c r="C661" s="298" t="n"/>
      <c r="D661" s="298" t="n"/>
      <c r="E661" s="291" t="n"/>
      <c r="F661" s="291" t="n"/>
      <c r="G661" s="297" t="n"/>
      <c r="H661" s="298" t="n"/>
    </row>
    <row r="662" ht="13" customHeight="1" s="189">
      <c r="A662" s="297" t="n"/>
      <c r="B662" s="291" t="n"/>
      <c r="C662" s="298" t="n"/>
      <c r="D662" s="298" t="n"/>
      <c r="E662" s="291" t="n"/>
      <c r="F662" s="291" t="n"/>
      <c r="G662" s="297" t="n"/>
      <c r="H662" s="298" t="n"/>
    </row>
    <row r="663" ht="13" customHeight="1" s="189">
      <c r="A663" s="297" t="n"/>
      <c r="B663" s="291" t="n"/>
      <c r="C663" s="298" t="n"/>
      <c r="D663" s="298" t="n"/>
      <c r="E663" s="291" t="n"/>
      <c r="F663" s="291" t="n"/>
      <c r="G663" s="297" t="n"/>
      <c r="H663" s="298" t="n"/>
    </row>
    <row r="664" ht="13" customHeight="1" s="189">
      <c r="A664" s="297" t="n"/>
      <c r="B664" s="291" t="n"/>
      <c r="C664" s="298" t="n"/>
      <c r="D664" s="298" t="n"/>
      <c r="E664" s="291" t="n"/>
      <c r="F664" s="291" t="n"/>
      <c r="G664" s="297" t="n"/>
      <c r="H664" s="298" t="n"/>
    </row>
    <row r="665" ht="13" customHeight="1" s="189">
      <c r="A665" s="297" t="n"/>
      <c r="B665" s="291" t="n"/>
      <c r="C665" s="298" t="n"/>
      <c r="D665" s="298" t="n"/>
      <c r="E665" s="291" t="n"/>
      <c r="F665" s="291" t="n"/>
      <c r="G665" s="297" t="n"/>
      <c r="H665" s="298" t="n"/>
    </row>
    <row r="666" ht="13" customHeight="1" s="189">
      <c r="A666" s="297" t="n"/>
      <c r="B666" s="291" t="n"/>
      <c r="C666" s="298" t="n"/>
      <c r="D666" s="298" t="n"/>
      <c r="E666" s="291" t="n"/>
      <c r="F666" s="291" t="n"/>
      <c r="G666" s="297" t="n"/>
      <c r="H666" s="298" t="n"/>
    </row>
    <row r="667" ht="13" customHeight="1" s="189">
      <c r="A667" s="297" t="n"/>
      <c r="B667" s="291" t="n"/>
      <c r="C667" s="298" t="n"/>
      <c r="D667" s="298" t="n"/>
      <c r="E667" s="291" t="n"/>
      <c r="F667" s="291" t="n"/>
      <c r="G667" s="297" t="n"/>
      <c r="H667" s="298" t="n"/>
    </row>
    <row r="668" ht="13" customHeight="1" s="189">
      <c r="A668" s="297" t="n"/>
      <c r="B668" s="291" t="n"/>
      <c r="C668" s="298" t="n"/>
      <c r="D668" s="298" t="n"/>
      <c r="E668" s="291" t="n"/>
      <c r="F668" s="291" t="n"/>
      <c r="G668" s="297" t="n"/>
      <c r="H668" s="298" t="n"/>
    </row>
    <row r="669" ht="13" customHeight="1" s="189">
      <c r="A669" s="297" t="n"/>
      <c r="B669" s="291" t="n"/>
      <c r="C669" s="298" t="n"/>
      <c r="D669" s="298" t="n"/>
      <c r="E669" s="291" t="n"/>
      <c r="F669" s="291" t="n"/>
      <c r="G669" s="297" t="n"/>
      <c r="H669" s="298" t="n"/>
    </row>
    <row r="670" ht="13" customHeight="1" s="189">
      <c r="A670" s="297" t="n"/>
      <c r="B670" s="291" t="n"/>
      <c r="C670" s="298" t="n"/>
      <c r="D670" s="298" t="n"/>
      <c r="E670" s="291" t="n"/>
      <c r="F670" s="291" t="n"/>
      <c r="G670" s="297" t="n"/>
      <c r="H670" s="298" t="n"/>
    </row>
    <row r="671" ht="13" customHeight="1" s="189">
      <c r="A671" s="297" t="n"/>
      <c r="B671" s="291" t="n"/>
      <c r="C671" s="298" t="n"/>
      <c r="D671" s="298" t="n"/>
      <c r="E671" s="291" t="n"/>
      <c r="F671" s="291" t="n"/>
      <c r="G671" s="297" t="n"/>
      <c r="H671" s="298" t="n"/>
    </row>
    <row r="672" ht="13" customHeight="1" s="189">
      <c r="A672" s="297" t="n"/>
      <c r="B672" s="291" t="n"/>
      <c r="C672" s="298" t="n"/>
      <c r="D672" s="298" t="n"/>
      <c r="E672" s="291" t="n"/>
      <c r="F672" s="291" t="n"/>
      <c r="G672" s="297" t="n"/>
      <c r="H672" s="298" t="n"/>
    </row>
    <row r="673" ht="13" customHeight="1" s="189">
      <c r="A673" s="297" t="n"/>
      <c r="B673" s="291" t="n"/>
      <c r="C673" s="298" t="n"/>
      <c r="D673" s="298" t="n"/>
      <c r="E673" s="291" t="n"/>
      <c r="F673" s="291" t="n"/>
      <c r="G673" s="297" t="n"/>
      <c r="H673" s="298" t="n"/>
    </row>
    <row r="674" ht="13" customHeight="1" s="189">
      <c r="A674" s="297" t="n"/>
      <c r="B674" s="291" t="n"/>
      <c r="C674" s="298" t="n"/>
      <c r="D674" s="298" t="n"/>
      <c r="E674" s="291" t="n"/>
      <c r="F674" s="291" t="n"/>
      <c r="G674" s="297" t="n"/>
      <c r="H674" s="298" t="n"/>
    </row>
    <row r="675" ht="13" customHeight="1" s="189">
      <c r="A675" s="297" t="n"/>
      <c r="B675" s="291" t="n"/>
      <c r="C675" s="298" t="n"/>
      <c r="D675" s="298" t="n"/>
      <c r="E675" s="291" t="n"/>
      <c r="F675" s="291" t="n"/>
      <c r="G675" s="297" t="n"/>
      <c r="H675" s="298" t="n"/>
    </row>
    <row r="676" ht="13" customHeight="1" s="189">
      <c r="A676" s="297" t="n"/>
      <c r="B676" s="291" t="n"/>
      <c r="C676" s="298" t="n"/>
      <c r="D676" s="298" t="n"/>
      <c r="E676" s="291" t="n"/>
      <c r="F676" s="291" t="n"/>
      <c r="G676" s="297" t="n"/>
      <c r="H676" s="298" t="n"/>
    </row>
    <row r="677" ht="13" customHeight="1" s="189">
      <c r="A677" s="297" t="n"/>
      <c r="B677" s="291" t="n"/>
      <c r="C677" s="298" t="n"/>
      <c r="D677" s="298" t="n"/>
      <c r="E677" s="291" t="n"/>
      <c r="F677" s="291" t="n"/>
      <c r="G677" s="297" t="n"/>
      <c r="H677" s="298" t="n"/>
    </row>
    <row r="678" ht="13" customHeight="1" s="189">
      <c r="A678" s="297" t="n"/>
      <c r="B678" s="291" t="n"/>
      <c r="C678" s="298" t="n"/>
      <c r="D678" s="298" t="n"/>
      <c r="E678" s="291" t="n"/>
      <c r="F678" s="291" t="n"/>
      <c r="G678" s="297" t="n"/>
      <c r="H678" s="298" t="n"/>
    </row>
    <row r="679" ht="13" customHeight="1" s="189">
      <c r="A679" s="297" t="n"/>
      <c r="B679" s="291" t="n"/>
      <c r="C679" s="298" t="n"/>
      <c r="D679" s="298" t="n"/>
      <c r="E679" s="291" t="n"/>
      <c r="F679" s="291" t="n"/>
      <c r="G679" s="297" t="n"/>
      <c r="H679" s="298" t="n"/>
    </row>
    <row r="680" ht="13" customHeight="1" s="189">
      <c r="A680" s="297" t="n"/>
      <c r="B680" s="291" t="n"/>
      <c r="C680" s="298" t="n"/>
      <c r="D680" s="298" t="n"/>
      <c r="E680" s="291" t="n"/>
      <c r="F680" s="291" t="n"/>
      <c r="G680" s="297" t="n"/>
      <c r="H680" s="298" t="n"/>
    </row>
    <row r="681" ht="13" customHeight="1" s="189">
      <c r="A681" s="297" t="n"/>
      <c r="B681" s="291" t="n"/>
      <c r="C681" s="298" t="n"/>
      <c r="D681" s="298" t="n"/>
      <c r="E681" s="291" t="n"/>
      <c r="F681" s="291" t="n"/>
      <c r="G681" s="297" t="n"/>
      <c r="H681" s="298" t="n"/>
    </row>
    <row r="682" ht="13" customHeight="1" s="189">
      <c r="A682" s="297" t="n"/>
      <c r="B682" s="291" t="n"/>
      <c r="C682" s="298" t="n"/>
      <c r="D682" s="298" t="n"/>
      <c r="E682" s="291" t="n"/>
      <c r="F682" s="291" t="n"/>
      <c r="G682" s="297" t="n"/>
      <c r="H682" s="298" t="n"/>
    </row>
    <row r="683" ht="13" customHeight="1" s="189">
      <c r="A683" s="297" t="n"/>
      <c r="B683" s="291" t="n"/>
      <c r="C683" s="298" t="n"/>
      <c r="D683" s="298" t="n"/>
      <c r="E683" s="291" t="n"/>
      <c r="F683" s="291" t="n"/>
      <c r="G683" s="297" t="n"/>
      <c r="H683" s="298" t="n"/>
    </row>
    <row r="684" ht="13" customHeight="1" s="189">
      <c r="A684" s="297" t="n"/>
      <c r="B684" s="291" t="n"/>
      <c r="C684" s="298" t="n"/>
      <c r="D684" s="298" t="n"/>
      <c r="E684" s="291" t="n"/>
      <c r="F684" s="291" t="n"/>
      <c r="G684" s="297" t="n"/>
      <c r="H684" s="298" t="n"/>
    </row>
    <row r="685" ht="13" customHeight="1" s="189">
      <c r="A685" s="297" t="n"/>
      <c r="B685" s="291" t="n"/>
      <c r="C685" s="298" t="n"/>
      <c r="D685" s="298" t="n"/>
      <c r="E685" s="291" t="n"/>
      <c r="F685" s="291" t="n"/>
      <c r="G685" s="297" t="n"/>
      <c r="H685" s="298" t="n"/>
    </row>
    <row r="686" ht="13" customHeight="1" s="189">
      <c r="A686" s="297" t="n"/>
      <c r="B686" s="291" t="n"/>
      <c r="C686" s="298" t="n"/>
      <c r="D686" s="298" t="n"/>
      <c r="E686" s="291" t="n"/>
      <c r="F686" s="291" t="n"/>
      <c r="G686" s="297" t="n"/>
      <c r="H686" s="298" t="n"/>
    </row>
    <row r="687" ht="13" customHeight="1" s="189">
      <c r="A687" s="297" t="n"/>
      <c r="B687" s="291" t="n"/>
      <c r="C687" s="298" t="n"/>
      <c r="D687" s="298" t="n"/>
      <c r="E687" s="291" t="n"/>
      <c r="F687" s="291" t="n"/>
      <c r="G687" s="297" t="n"/>
      <c r="H687" s="298" t="n"/>
    </row>
    <row r="688" ht="13" customHeight="1" s="189">
      <c r="A688" s="297" t="n"/>
      <c r="B688" s="291" t="n"/>
      <c r="C688" s="298" t="n"/>
      <c r="D688" s="298" t="n"/>
      <c r="E688" s="291" t="n"/>
      <c r="F688" s="291" t="n"/>
      <c r="G688" s="297" t="n"/>
      <c r="H688" s="298" t="n"/>
    </row>
    <row r="689" ht="13" customHeight="1" s="189">
      <c r="A689" s="297" t="n"/>
      <c r="B689" s="291" t="n"/>
      <c r="C689" s="298" t="n"/>
      <c r="D689" s="298" t="n"/>
      <c r="E689" s="291" t="n"/>
      <c r="F689" s="291" t="n"/>
      <c r="G689" s="297" t="n"/>
      <c r="H689" s="298" t="n"/>
    </row>
    <row r="690" ht="13" customHeight="1" s="189">
      <c r="A690" s="297" t="n"/>
      <c r="B690" s="291" t="n"/>
      <c r="C690" s="298" t="n"/>
      <c r="D690" s="298" t="n"/>
      <c r="E690" s="291" t="n"/>
      <c r="F690" s="291" t="n"/>
      <c r="G690" s="297" t="n"/>
      <c r="H690" s="298" t="n"/>
    </row>
    <row r="691" ht="13" customHeight="1" s="189">
      <c r="A691" s="297" t="n"/>
      <c r="B691" s="291" t="n"/>
      <c r="C691" s="298" t="n"/>
      <c r="D691" s="298" t="n"/>
      <c r="E691" s="291" t="n"/>
      <c r="F691" s="291" t="n"/>
      <c r="G691" s="297" t="n"/>
      <c r="H691" s="298" t="n"/>
    </row>
    <row r="692" ht="13" customHeight="1" s="189">
      <c r="A692" s="297" t="n"/>
      <c r="B692" s="291" t="n"/>
      <c r="C692" s="298" t="n"/>
      <c r="D692" s="298" t="n"/>
      <c r="E692" s="291" t="n"/>
      <c r="F692" s="291" t="n"/>
      <c r="G692" s="297" t="n"/>
      <c r="H692" s="298" t="n"/>
    </row>
    <row r="693" ht="13" customHeight="1" s="189">
      <c r="A693" s="297" t="n"/>
      <c r="B693" s="291" t="n"/>
      <c r="C693" s="298" t="n"/>
      <c r="D693" s="298" t="n"/>
      <c r="E693" s="291" t="n"/>
      <c r="F693" s="291" t="n"/>
      <c r="G693" s="297" t="n"/>
      <c r="H693" s="298" t="n"/>
    </row>
    <row r="694" ht="13" customHeight="1" s="189">
      <c r="A694" s="297" t="n"/>
      <c r="B694" s="291" t="n"/>
      <c r="C694" s="298" t="n"/>
      <c r="D694" s="298" t="n"/>
      <c r="E694" s="291" t="n"/>
      <c r="F694" s="291" t="n"/>
      <c r="G694" s="297" t="n"/>
      <c r="H694" s="298" t="n"/>
    </row>
    <row r="695" ht="13" customHeight="1" s="189">
      <c r="A695" s="297" t="n"/>
      <c r="B695" s="291" t="n"/>
      <c r="C695" s="298" t="n"/>
      <c r="D695" s="298" t="n"/>
      <c r="E695" s="291" t="n"/>
      <c r="F695" s="291" t="n"/>
      <c r="G695" s="297" t="n"/>
      <c r="H695" s="298" t="n"/>
    </row>
    <row r="696" ht="13" customHeight="1" s="189">
      <c r="A696" s="297" t="n"/>
      <c r="B696" s="291" t="n"/>
      <c r="C696" s="298" t="n"/>
      <c r="D696" s="298" t="n"/>
      <c r="E696" s="291" t="n"/>
      <c r="F696" s="291" t="n"/>
      <c r="G696" s="297" t="n"/>
      <c r="H696" s="298" t="n"/>
    </row>
    <row r="697" ht="13" customHeight="1" s="189">
      <c r="A697" s="297" t="n"/>
      <c r="B697" s="291" t="n"/>
      <c r="C697" s="298" t="n"/>
      <c r="D697" s="298" t="n"/>
      <c r="E697" s="291" t="n"/>
      <c r="F697" s="291" t="n"/>
      <c r="G697" s="297" t="n"/>
      <c r="H697" s="298" t="n"/>
    </row>
    <row r="698" ht="13" customHeight="1" s="189">
      <c r="A698" s="297" t="n"/>
      <c r="B698" s="291" t="n"/>
      <c r="C698" s="298" t="n"/>
      <c r="D698" s="298" t="n"/>
      <c r="E698" s="291" t="n"/>
      <c r="F698" s="291" t="n"/>
      <c r="G698" s="297" t="n"/>
      <c r="H698" s="298" t="n"/>
    </row>
    <row r="699" ht="13" customHeight="1" s="189">
      <c r="A699" s="297" t="n"/>
      <c r="B699" s="291" t="n"/>
      <c r="C699" s="298" t="n"/>
      <c r="D699" s="298" t="n"/>
      <c r="E699" s="291" t="n"/>
      <c r="F699" s="291" t="n"/>
      <c r="G699" s="297" t="n"/>
      <c r="H699" s="298" t="n"/>
    </row>
    <row r="700" ht="13" customHeight="1" s="189">
      <c r="A700" s="297" t="n"/>
      <c r="B700" s="291" t="n"/>
      <c r="C700" s="298" t="n"/>
      <c r="D700" s="298" t="n"/>
      <c r="E700" s="291" t="n"/>
      <c r="F700" s="291" t="n"/>
      <c r="G700" s="297" t="n"/>
      <c r="H700" s="298" t="n"/>
    </row>
    <row r="701" ht="13" customHeight="1" s="189">
      <c r="A701" s="297" t="n"/>
      <c r="B701" s="291" t="n"/>
      <c r="C701" s="298" t="n"/>
      <c r="D701" s="298" t="n"/>
      <c r="E701" s="291" t="n"/>
      <c r="F701" s="291" t="n"/>
      <c r="G701" s="297" t="n"/>
      <c r="H701" s="298" t="n"/>
    </row>
    <row r="702" ht="13" customHeight="1" s="189">
      <c r="A702" s="297" t="n"/>
      <c r="B702" s="291" t="n"/>
      <c r="C702" s="298" t="n"/>
      <c r="D702" s="298" t="n"/>
      <c r="E702" s="291" t="n"/>
      <c r="F702" s="291" t="n"/>
      <c r="G702" s="297" t="n"/>
      <c r="H702" s="298" t="n"/>
    </row>
    <row r="703" ht="13" customHeight="1" s="189">
      <c r="A703" s="297" t="n"/>
      <c r="B703" s="291" t="n"/>
      <c r="C703" s="298" t="n"/>
      <c r="D703" s="298" t="n"/>
      <c r="E703" s="291" t="n"/>
      <c r="F703" s="291" t="n"/>
      <c r="G703" s="297" t="n"/>
      <c r="H703" s="298" t="n"/>
    </row>
    <row r="704" ht="13" customHeight="1" s="189">
      <c r="A704" s="297" t="n"/>
      <c r="B704" s="291" t="n"/>
      <c r="C704" s="298" t="n"/>
      <c r="D704" s="298" t="n"/>
      <c r="E704" s="291" t="n"/>
      <c r="F704" s="291" t="n"/>
      <c r="G704" s="297" t="n"/>
      <c r="H704" s="298" t="n"/>
    </row>
    <row r="705" ht="13" customHeight="1" s="189">
      <c r="A705" s="297" t="n"/>
      <c r="B705" s="291" t="n"/>
      <c r="C705" s="298" t="n"/>
      <c r="D705" s="298" t="n"/>
      <c r="E705" s="291" t="n"/>
      <c r="F705" s="291" t="n"/>
      <c r="G705" s="297" t="n"/>
      <c r="H705" s="298" t="n"/>
    </row>
    <row r="706" ht="13" customHeight="1" s="189">
      <c r="A706" s="297" t="n"/>
      <c r="B706" s="291" t="n"/>
      <c r="C706" s="298" t="n"/>
      <c r="D706" s="298" t="n"/>
      <c r="E706" s="291" t="n"/>
      <c r="F706" s="291" t="n"/>
      <c r="G706" s="297" t="n"/>
      <c r="H706" s="298" t="n"/>
    </row>
    <row r="707" ht="13" customHeight="1" s="189">
      <c r="A707" s="297" t="n"/>
      <c r="B707" s="291" t="n"/>
      <c r="C707" s="298" t="n"/>
      <c r="D707" s="298" t="n"/>
      <c r="E707" s="291" t="n"/>
      <c r="F707" s="291" t="n"/>
      <c r="G707" s="297" t="n"/>
      <c r="H707" s="298" t="n"/>
    </row>
    <row r="708" ht="13" customHeight="1" s="189">
      <c r="A708" s="297" t="n"/>
      <c r="B708" s="291" t="n"/>
      <c r="C708" s="298" t="n"/>
      <c r="D708" s="298" t="n"/>
      <c r="E708" s="291" t="n"/>
      <c r="F708" s="291" t="n"/>
      <c r="G708" s="297" t="n"/>
      <c r="H708" s="298" t="n"/>
    </row>
    <row r="709" ht="13" customHeight="1" s="189">
      <c r="A709" s="297" t="n"/>
      <c r="B709" s="291" t="n"/>
      <c r="C709" s="298" t="n"/>
      <c r="D709" s="298" t="n"/>
      <c r="E709" s="291" t="n"/>
      <c r="F709" s="291" t="n"/>
      <c r="G709" s="297" t="n"/>
      <c r="H709" s="298" t="n"/>
    </row>
    <row r="710" ht="13" customHeight="1" s="189">
      <c r="A710" s="297" t="n"/>
      <c r="B710" s="291" t="n"/>
      <c r="C710" s="298" t="n"/>
      <c r="D710" s="298" t="n"/>
      <c r="E710" s="291" t="n"/>
      <c r="F710" s="291" t="n"/>
      <c r="G710" s="297" t="n"/>
      <c r="H710" s="298" t="n"/>
    </row>
    <row r="711" ht="13" customHeight="1" s="189">
      <c r="A711" s="297" t="n"/>
      <c r="B711" s="291" t="n"/>
      <c r="C711" s="298" t="n"/>
      <c r="D711" s="298" t="n"/>
      <c r="E711" s="291" t="n"/>
      <c r="F711" s="291" t="n"/>
      <c r="G711" s="297" t="n"/>
      <c r="H711" s="298" t="n"/>
    </row>
    <row r="712" ht="13" customHeight="1" s="189">
      <c r="A712" s="297" t="n"/>
      <c r="B712" s="291" t="n"/>
      <c r="C712" s="298" t="n"/>
      <c r="D712" s="298" t="n"/>
      <c r="E712" s="291" t="n"/>
      <c r="F712" s="291" t="n"/>
      <c r="G712" s="297" t="n"/>
      <c r="H712" s="298" t="n"/>
    </row>
    <row r="713" ht="13" customHeight="1" s="189">
      <c r="A713" s="297" t="n"/>
      <c r="B713" s="291" t="n"/>
      <c r="C713" s="298" t="n"/>
      <c r="D713" s="298" t="n"/>
      <c r="E713" s="291" t="n"/>
      <c r="F713" s="291" t="n"/>
      <c r="G713" s="297" t="n"/>
      <c r="H713" s="298" t="n"/>
    </row>
    <row r="714" ht="13" customHeight="1" s="189">
      <c r="A714" s="297" t="n"/>
      <c r="B714" s="291" t="n"/>
      <c r="C714" s="298" t="n"/>
      <c r="D714" s="298" t="n"/>
      <c r="E714" s="291" t="n"/>
      <c r="F714" s="291" t="n"/>
      <c r="G714" s="297" t="n"/>
      <c r="H714" s="298" t="n"/>
    </row>
    <row r="715" ht="13" customHeight="1" s="189">
      <c r="A715" s="297" t="n"/>
      <c r="B715" s="291" t="n"/>
      <c r="C715" s="298" t="n"/>
      <c r="D715" s="298" t="n"/>
      <c r="E715" s="291" t="n"/>
      <c r="F715" s="291" t="n"/>
      <c r="G715" s="297" t="n"/>
      <c r="H715" s="298" t="n"/>
    </row>
    <row r="716" ht="13" customHeight="1" s="189">
      <c r="A716" s="297" t="n"/>
      <c r="B716" s="291" t="n"/>
      <c r="C716" s="298" t="n"/>
      <c r="D716" s="298" t="n"/>
      <c r="E716" s="291" t="n"/>
      <c r="F716" s="291" t="n"/>
      <c r="G716" s="297" t="n"/>
      <c r="H716" s="298" t="n"/>
    </row>
    <row r="717" ht="13" customHeight="1" s="189">
      <c r="A717" s="297" t="n"/>
      <c r="B717" s="291" t="n"/>
      <c r="C717" s="298" t="n"/>
      <c r="D717" s="298" t="n"/>
      <c r="E717" s="291" t="n"/>
      <c r="F717" s="291" t="n"/>
      <c r="G717" s="297" t="n"/>
      <c r="H717" s="298" t="n"/>
    </row>
    <row r="718" ht="13" customHeight="1" s="189">
      <c r="A718" s="297" t="n"/>
      <c r="B718" s="291" t="n"/>
      <c r="C718" s="298" t="n"/>
      <c r="D718" s="298" t="n"/>
      <c r="E718" s="291" t="n"/>
      <c r="F718" s="291" t="n"/>
      <c r="G718" s="297" t="n"/>
      <c r="H718" s="298" t="n"/>
    </row>
    <row r="719" ht="13" customHeight="1" s="189">
      <c r="A719" s="297" t="n"/>
      <c r="B719" s="291" t="n"/>
      <c r="C719" s="298" t="n"/>
      <c r="D719" s="298" t="n"/>
      <c r="E719" s="291" t="n"/>
      <c r="F719" s="291" t="n"/>
      <c r="G719" s="297" t="n"/>
      <c r="H719" s="298" t="n"/>
    </row>
    <row r="720" ht="13" customHeight="1" s="189">
      <c r="A720" s="297" t="n"/>
      <c r="B720" s="291" t="n"/>
      <c r="C720" s="298" t="n"/>
      <c r="D720" s="298" t="n"/>
      <c r="E720" s="291" t="n"/>
      <c r="F720" s="291" t="n"/>
      <c r="G720" s="297" t="n"/>
      <c r="H720" s="298" t="n"/>
    </row>
    <row r="721" ht="13" customHeight="1" s="189">
      <c r="A721" s="297" t="n"/>
      <c r="B721" s="291" t="n"/>
      <c r="C721" s="298" t="n"/>
      <c r="D721" s="298" t="n"/>
      <c r="E721" s="291" t="n"/>
      <c r="F721" s="291" t="n"/>
      <c r="G721" s="297" t="n"/>
      <c r="H721" s="298" t="n"/>
    </row>
    <row r="722" ht="13" customHeight="1" s="189">
      <c r="A722" s="297" t="n"/>
      <c r="B722" s="291" t="n"/>
      <c r="C722" s="298" t="n"/>
      <c r="D722" s="298" t="n"/>
      <c r="E722" s="291" t="n"/>
      <c r="F722" s="291" t="n"/>
      <c r="G722" s="297" t="n"/>
      <c r="H722" s="298" t="n"/>
    </row>
    <row r="723" ht="13" customHeight="1" s="189">
      <c r="A723" s="297" t="n"/>
      <c r="B723" s="291" t="n"/>
      <c r="C723" s="298" t="n"/>
      <c r="D723" s="298" t="n"/>
      <c r="E723" s="291" t="n"/>
      <c r="F723" s="291" t="n"/>
      <c r="G723" s="297" t="n"/>
      <c r="H723" s="298" t="n"/>
    </row>
    <row r="724" ht="13" customHeight="1" s="189">
      <c r="A724" s="297" t="n"/>
      <c r="B724" s="291" t="n"/>
      <c r="C724" s="298" t="n"/>
      <c r="D724" s="298" t="n"/>
      <c r="E724" s="291" t="n"/>
      <c r="F724" s="291" t="n"/>
      <c r="G724" s="297" t="n"/>
      <c r="H724" s="298" t="n"/>
    </row>
    <row r="725" ht="13" customHeight="1" s="189">
      <c r="A725" s="297" t="n"/>
      <c r="B725" s="291" t="n"/>
      <c r="C725" s="298" t="n"/>
      <c r="D725" s="298" t="n"/>
      <c r="E725" s="291" t="n"/>
      <c r="F725" s="291" t="n"/>
      <c r="G725" s="297" t="n"/>
      <c r="H725" s="298" t="n"/>
    </row>
    <row r="726" ht="13" customHeight="1" s="189">
      <c r="A726" s="297" t="n"/>
      <c r="B726" s="291" t="n"/>
      <c r="C726" s="298" t="n"/>
      <c r="D726" s="298" t="n"/>
      <c r="E726" s="291" t="n"/>
      <c r="F726" s="291" t="n"/>
      <c r="G726" s="297" t="n"/>
      <c r="H726" s="298" t="n"/>
    </row>
    <row r="727" ht="13" customHeight="1" s="189">
      <c r="A727" s="297" t="n"/>
      <c r="B727" s="291" t="n"/>
      <c r="C727" s="298" t="n"/>
      <c r="D727" s="298" t="n"/>
      <c r="E727" s="291" t="n"/>
      <c r="F727" s="291" t="n"/>
      <c r="G727" s="297" t="n"/>
      <c r="H727" s="298" t="n"/>
    </row>
    <row r="728" ht="13" customHeight="1" s="189">
      <c r="A728" s="297" t="n"/>
      <c r="B728" s="291" t="n"/>
      <c r="C728" s="298" t="n"/>
      <c r="D728" s="298" t="n"/>
      <c r="E728" s="291" t="n"/>
      <c r="F728" s="291" t="n"/>
      <c r="G728" s="297" t="n"/>
      <c r="H728" s="298" t="n"/>
    </row>
    <row r="729" ht="13" customHeight="1" s="189">
      <c r="A729" s="297" t="n"/>
      <c r="B729" s="291" t="n"/>
      <c r="C729" s="298" t="n"/>
      <c r="D729" s="298" t="n"/>
      <c r="E729" s="291" t="n"/>
      <c r="F729" s="291" t="n"/>
      <c r="G729" s="297" t="n"/>
      <c r="H729" s="298" t="n"/>
    </row>
    <row r="730" ht="13" customHeight="1" s="189">
      <c r="A730" s="297" t="n"/>
      <c r="B730" s="291" t="n"/>
      <c r="C730" s="298" t="n"/>
      <c r="D730" s="298" t="n"/>
      <c r="E730" s="291" t="n"/>
      <c r="F730" s="291" t="n"/>
      <c r="G730" s="297" t="n"/>
      <c r="H730" s="298" t="n"/>
    </row>
    <row r="731" ht="13" customHeight="1" s="189">
      <c r="A731" s="297" t="n"/>
      <c r="B731" s="291" t="n"/>
      <c r="C731" s="298" t="n"/>
      <c r="D731" s="298" t="n"/>
      <c r="E731" s="291" t="n"/>
      <c r="F731" s="291" t="n"/>
      <c r="G731" s="297" t="n"/>
      <c r="H731" s="298" t="n"/>
    </row>
    <row r="732" ht="13" customHeight="1" s="189">
      <c r="A732" s="297" t="n"/>
      <c r="B732" s="291" t="n"/>
      <c r="C732" s="298" t="n"/>
      <c r="D732" s="298" t="n"/>
      <c r="E732" s="291" t="n"/>
      <c r="F732" s="291" t="n"/>
      <c r="G732" s="297" t="n"/>
      <c r="H732" s="298" t="n"/>
    </row>
    <row r="733" ht="13" customHeight="1" s="189">
      <c r="A733" s="297" t="n"/>
      <c r="B733" s="291" t="n"/>
      <c r="C733" s="298" t="n"/>
      <c r="D733" s="298" t="n"/>
      <c r="E733" s="291" t="n"/>
      <c r="F733" s="291" t="n"/>
      <c r="G733" s="297" t="n"/>
      <c r="H733" s="298" t="n"/>
    </row>
    <row r="734" ht="13" customHeight="1" s="189">
      <c r="A734" s="297" t="n"/>
      <c r="B734" s="291" t="n"/>
      <c r="C734" s="298" t="n"/>
      <c r="D734" s="298" t="n"/>
      <c r="E734" s="291" t="n"/>
      <c r="F734" s="291" t="n"/>
      <c r="G734" s="297" t="n"/>
      <c r="H734" s="298" t="n"/>
    </row>
    <row r="735" ht="13" customHeight="1" s="189">
      <c r="A735" s="297" t="n"/>
      <c r="B735" s="291" t="n"/>
      <c r="C735" s="298" t="n"/>
      <c r="D735" s="298" t="n"/>
      <c r="E735" s="291" t="n"/>
      <c r="F735" s="291" t="n"/>
      <c r="G735" s="297" t="n"/>
      <c r="H735" s="298" t="n"/>
    </row>
    <row r="736" ht="13" customHeight="1" s="189">
      <c r="A736" s="297" t="n"/>
      <c r="B736" s="291" t="n"/>
      <c r="C736" s="298" t="n"/>
      <c r="D736" s="298" t="n"/>
      <c r="E736" s="291" t="n"/>
      <c r="F736" s="291" t="n"/>
      <c r="G736" s="297" t="n"/>
      <c r="H736" s="298" t="n"/>
    </row>
    <row r="737" ht="13" customHeight="1" s="189">
      <c r="A737" s="297" t="n"/>
      <c r="B737" s="291" t="n"/>
      <c r="C737" s="298" t="n"/>
      <c r="D737" s="298" t="n"/>
      <c r="E737" s="291" t="n"/>
      <c r="F737" s="291" t="n"/>
      <c r="G737" s="297" t="n"/>
      <c r="H737" s="298" t="n"/>
    </row>
    <row r="738" ht="13" customHeight="1" s="189">
      <c r="A738" s="297" t="n"/>
      <c r="B738" s="291" t="n"/>
      <c r="C738" s="298" t="n"/>
      <c r="D738" s="298" t="n"/>
      <c r="E738" s="291" t="n"/>
      <c r="F738" s="291" t="n"/>
      <c r="G738" s="297" t="n"/>
      <c r="H738" s="298" t="n"/>
    </row>
    <row r="739" ht="13" customHeight="1" s="189">
      <c r="A739" s="297" t="n"/>
      <c r="B739" s="291" t="n"/>
      <c r="C739" s="298" t="n"/>
      <c r="D739" s="298" t="n"/>
      <c r="E739" s="291" t="n"/>
      <c r="F739" s="291" t="n"/>
      <c r="G739" s="297" t="n"/>
      <c r="H739" s="298" t="n"/>
    </row>
    <row r="740" ht="13" customHeight="1" s="189">
      <c r="A740" s="297" t="n"/>
      <c r="B740" s="291" t="n"/>
      <c r="C740" s="298" t="n"/>
      <c r="D740" s="298" t="n"/>
      <c r="E740" s="291" t="n"/>
      <c r="F740" s="291" t="n"/>
      <c r="G740" s="297" t="n"/>
      <c r="H740" s="298" t="n"/>
    </row>
    <row r="741" ht="13" customHeight="1" s="189">
      <c r="A741" s="297" t="n"/>
      <c r="B741" s="291" t="n"/>
      <c r="C741" s="298" t="n"/>
      <c r="D741" s="298" t="n"/>
      <c r="E741" s="291" t="n"/>
      <c r="F741" s="291" t="n"/>
      <c r="G741" s="297" t="n"/>
      <c r="H741" s="298" t="n"/>
    </row>
    <row r="742" ht="13" customHeight="1" s="189">
      <c r="A742" s="297" t="n"/>
      <c r="B742" s="291" t="n"/>
      <c r="C742" s="298" t="n"/>
      <c r="D742" s="298" t="n"/>
      <c r="E742" s="291" t="n"/>
      <c r="F742" s="291" t="n"/>
      <c r="G742" s="297" t="n"/>
      <c r="H742" s="298" t="n"/>
    </row>
    <row r="743" ht="13" customHeight="1" s="189">
      <c r="A743" s="297" t="n"/>
      <c r="B743" s="291" t="n"/>
      <c r="C743" s="298" t="n"/>
      <c r="D743" s="298" t="n"/>
      <c r="E743" s="291" t="n"/>
      <c r="F743" s="291" t="n"/>
      <c r="G743" s="297" t="n"/>
      <c r="H743" s="298" t="n"/>
    </row>
    <row r="744" ht="13" customHeight="1" s="189">
      <c r="A744" s="297" t="n"/>
      <c r="B744" s="291" t="n"/>
      <c r="C744" s="298" t="n"/>
      <c r="D744" s="298" t="n"/>
      <c r="E744" s="291" t="n"/>
      <c r="F744" s="291" t="n"/>
      <c r="G744" s="297" t="n"/>
      <c r="H744" s="298" t="n"/>
    </row>
    <row r="745" ht="13" customHeight="1" s="189">
      <c r="A745" s="297" t="n"/>
      <c r="B745" s="291" t="n"/>
      <c r="C745" s="298" t="n"/>
      <c r="D745" s="298" t="n"/>
      <c r="E745" s="291" t="n"/>
      <c r="F745" s="291" t="n"/>
      <c r="G745" s="297" t="n"/>
      <c r="H745" s="298" t="n"/>
    </row>
    <row r="746" ht="13" customHeight="1" s="189">
      <c r="A746" s="297" t="n"/>
      <c r="B746" s="291" t="n"/>
      <c r="C746" s="298" t="n"/>
      <c r="D746" s="298" t="n"/>
      <c r="E746" s="291" t="n"/>
      <c r="F746" s="291" t="n"/>
      <c r="G746" s="297" t="n"/>
      <c r="H746" s="298" t="n"/>
    </row>
    <row r="747" ht="13" customHeight="1" s="189">
      <c r="A747" s="297" t="n"/>
      <c r="B747" s="291" t="n"/>
      <c r="C747" s="298" t="n"/>
      <c r="D747" s="298" t="n"/>
      <c r="E747" s="291" t="n"/>
      <c r="F747" s="291" t="n"/>
      <c r="G747" s="297" t="n"/>
      <c r="H747" s="298" t="n"/>
    </row>
    <row r="748" ht="13" customHeight="1" s="189">
      <c r="A748" s="297" t="n"/>
      <c r="B748" s="291" t="n"/>
      <c r="C748" s="298" t="n"/>
      <c r="D748" s="298" t="n"/>
      <c r="E748" s="291" t="n"/>
      <c r="F748" s="291" t="n"/>
      <c r="G748" s="297" t="n"/>
      <c r="H748" s="298" t="n"/>
    </row>
    <row r="749" ht="13" customHeight="1" s="189">
      <c r="A749" s="297" t="n"/>
      <c r="B749" s="291" t="n"/>
      <c r="C749" s="298" t="n"/>
      <c r="D749" s="298" t="n"/>
      <c r="E749" s="291" t="n"/>
      <c r="F749" s="291" t="n"/>
      <c r="G749" s="297" t="n"/>
      <c r="H749" s="298" t="n"/>
    </row>
    <row r="750" ht="13" customHeight="1" s="189">
      <c r="A750" s="297" t="n"/>
      <c r="B750" s="291" t="n"/>
      <c r="C750" s="298" t="n"/>
      <c r="D750" s="298" t="n"/>
      <c r="E750" s="291" t="n"/>
      <c r="F750" s="291" t="n"/>
      <c r="G750" s="297" t="n"/>
      <c r="H750" s="298" t="n"/>
    </row>
    <row r="751" ht="13" customHeight="1" s="189">
      <c r="A751" s="297" t="n"/>
      <c r="B751" s="291" t="n"/>
      <c r="C751" s="298" t="n"/>
      <c r="D751" s="298" t="n"/>
      <c r="E751" s="291" t="n"/>
      <c r="F751" s="291" t="n"/>
      <c r="G751" s="297" t="n"/>
      <c r="H751" s="298" t="n"/>
    </row>
    <row r="752" ht="13" customHeight="1" s="189">
      <c r="A752" s="297" t="n"/>
      <c r="B752" s="291" t="n"/>
      <c r="C752" s="298" t="n"/>
      <c r="D752" s="298" t="n"/>
      <c r="E752" s="291" t="n"/>
      <c r="F752" s="291" t="n"/>
      <c r="G752" s="297" t="n"/>
      <c r="H752" s="298" t="n"/>
    </row>
    <row r="753" ht="13" customHeight="1" s="189">
      <c r="A753" s="297" t="n"/>
      <c r="B753" s="291" t="n"/>
      <c r="C753" s="298" t="n"/>
      <c r="D753" s="298" t="n"/>
      <c r="E753" s="291" t="n"/>
      <c r="F753" s="291" t="n"/>
      <c r="G753" s="297" t="n"/>
      <c r="H753" s="298" t="n"/>
    </row>
    <row r="754" ht="13" customHeight="1" s="189">
      <c r="A754" s="297" t="n"/>
      <c r="B754" s="291" t="n"/>
      <c r="C754" s="298" t="n"/>
      <c r="D754" s="298" t="n"/>
      <c r="E754" s="291" t="n"/>
      <c r="F754" s="291" t="n"/>
      <c r="G754" s="297" t="n"/>
      <c r="H754" s="298" t="n"/>
    </row>
    <row r="755" ht="13" customHeight="1" s="189">
      <c r="A755" s="297" t="n"/>
      <c r="B755" s="291" t="n"/>
      <c r="C755" s="298" t="n"/>
      <c r="D755" s="298" t="n"/>
      <c r="E755" s="291" t="n"/>
      <c r="F755" s="291" t="n"/>
      <c r="G755" s="297" t="n"/>
      <c r="H755" s="298" t="n"/>
    </row>
    <row r="756" ht="13" customHeight="1" s="189">
      <c r="A756" s="297" t="n"/>
      <c r="B756" s="291" t="n"/>
      <c r="C756" s="298" t="n"/>
      <c r="D756" s="298" t="n"/>
      <c r="E756" s="291" t="n"/>
      <c r="F756" s="291" t="n"/>
      <c r="G756" s="297" t="n"/>
      <c r="H756" s="298" t="n"/>
    </row>
    <row r="757" ht="13" customHeight="1" s="189">
      <c r="A757" s="297" t="n"/>
      <c r="B757" s="291" t="n"/>
      <c r="C757" s="298" t="n"/>
      <c r="D757" s="298" t="n"/>
      <c r="E757" s="291" t="n"/>
      <c r="F757" s="291" t="n"/>
      <c r="G757" s="297" t="n"/>
      <c r="H757" s="298" t="n"/>
    </row>
    <row r="758" ht="13" customHeight="1" s="189">
      <c r="A758" s="297" t="n"/>
      <c r="B758" s="291" t="n"/>
      <c r="C758" s="298" t="n"/>
      <c r="D758" s="298" t="n"/>
      <c r="E758" s="291" t="n"/>
      <c r="F758" s="291" t="n"/>
      <c r="G758" s="297" t="n"/>
      <c r="H758" s="298" t="n"/>
    </row>
    <row r="759" ht="13" customHeight="1" s="189">
      <c r="A759" s="297" t="n"/>
      <c r="B759" s="291" t="n"/>
      <c r="C759" s="298" t="n"/>
      <c r="D759" s="298" t="n"/>
      <c r="E759" s="291" t="n"/>
      <c r="F759" s="291" t="n"/>
      <c r="G759" s="297" t="n"/>
      <c r="H759" s="298" t="n"/>
    </row>
    <row r="760" ht="13" customHeight="1" s="189">
      <c r="A760" s="297" t="n"/>
      <c r="B760" s="291" t="n"/>
      <c r="C760" s="298" t="n"/>
      <c r="D760" s="298" t="n"/>
      <c r="E760" s="291" t="n"/>
      <c r="F760" s="291" t="n"/>
      <c r="G760" s="297" t="n"/>
      <c r="H760" s="298" t="n"/>
    </row>
    <row r="761" ht="13" customHeight="1" s="189">
      <c r="A761" s="297" t="n"/>
      <c r="B761" s="291" t="n"/>
      <c r="C761" s="298" t="n"/>
      <c r="D761" s="298" t="n"/>
      <c r="E761" s="291" t="n"/>
      <c r="F761" s="291" t="n"/>
      <c r="G761" s="297" t="n"/>
      <c r="H761" s="298" t="n"/>
    </row>
    <row r="762" ht="13" customHeight="1" s="189">
      <c r="A762" s="297" t="n"/>
      <c r="B762" s="291" t="n"/>
      <c r="C762" s="298" t="n"/>
      <c r="D762" s="298" t="n"/>
      <c r="E762" s="291" t="n"/>
      <c r="F762" s="291" t="n"/>
      <c r="G762" s="297" t="n"/>
      <c r="H762" s="298" t="n"/>
    </row>
    <row r="763" ht="13" customHeight="1" s="189">
      <c r="A763" s="297" t="n"/>
      <c r="B763" s="291" t="n"/>
      <c r="C763" s="298" t="n"/>
      <c r="D763" s="298" t="n"/>
      <c r="E763" s="291" t="n"/>
      <c r="F763" s="291" t="n"/>
      <c r="G763" s="297" t="n"/>
      <c r="H763" s="298" t="n"/>
    </row>
    <row r="764" ht="13" customHeight="1" s="189">
      <c r="A764" s="297" t="n"/>
      <c r="B764" s="291" t="n"/>
      <c r="C764" s="298" t="n"/>
      <c r="D764" s="298" t="n"/>
      <c r="E764" s="291" t="n"/>
      <c r="F764" s="291" t="n"/>
      <c r="G764" s="297" t="n"/>
      <c r="H764" s="298" t="n"/>
    </row>
    <row r="765" ht="13" customHeight="1" s="189">
      <c r="A765" s="297" t="n"/>
      <c r="B765" s="291" t="n"/>
      <c r="C765" s="298" t="n"/>
      <c r="D765" s="298" t="n"/>
      <c r="E765" s="291" t="n"/>
      <c r="F765" s="291" t="n"/>
      <c r="G765" s="297" t="n"/>
      <c r="H765" s="298" t="n"/>
    </row>
    <row r="766" ht="13" customHeight="1" s="189">
      <c r="A766" s="297" t="n"/>
      <c r="B766" s="291" t="n"/>
      <c r="C766" s="298" t="n"/>
      <c r="D766" s="298" t="n"/>
      <c r="E766" s="291" t="n"/>
      <c r="F766" s="291" t="n"/>
      <c r="G766" s="297" t="n"/>
      <c r="H766" s="298" t="n"/>
    </row>
    <row r="767" ht="13" customHeight="1" s="189">
      <c r="A767" s="297" t="n"/>
      <c r="B767" s="291" t="n"/>
      <c r="C767" s="298" t="n"/>
      <c r="D767" s="298" t="n"/>
      <c r="E767" s="291" t="n"/>
      <c r="F767" s="291" t="n"/>
      <c r="G767" s="297" t="n"/>
      <c r="H767" s="298" t="n"/>
    </row>
    <row r="768" ht="13" customHeight="1" s="189">
      <c r="A768" s="297" t="n"/>
      <c r="B768" s="291" t="n"/>
      <c r="C768" s="298" t="n"/>
      <c r="D768" s="298" t="n"/>
      <c r="E768" s="291" t="n"/>
      <c r="F768" s="291" t="n"/>
      <c r="G768" s="297" t="n"/>
      <c r="H768" s="298" t="n"/>
    </row>
    <row r="769" ht="13" customHeight="1" s="189">
      <c r="A769" s="297" t="n"/>
      <c r="B769" s="291" t="n"/>
      <c r="C769" s="298" t="n"/>
      <c r="D769" s="298" t="n"/>
      <c r="E769" s="291" t="n"/>
      <c r="F769" s="291" t="n"/>
      <c r="G769" s="297" t="n"/>
      <c r="H769" s="298" t="n"/>
    </row>
    <row r="770" ht="13" customHeight="1" s="189">
      <c r="A770" s="297" t="n"/>
      <c r="B770" s="291" t="n"/>
      <c r="C770" s="298" t="n"/>
      <c r="D770" s="298" t="n"/>
      <c r="E770" s="291" t="n"/>
      <c r="F770" s="291" t="n"/>
      <c r="G770" s="297" t="n"/>
      <c r="H770" s="298" t="n"/>
    </row>
    <row r="771" ht="13" customHeight="1" s="189">
      <c r="A771" s="297" t="n"/>
      <c r="B771" s="291" t="n"/>
      <c r="C771" s="298" t="n"/>
      <c r="D771" s="298" t="n"/>
      <c r="E771" s="291" t="n"/>
      <c r="F771" s="291" t="n"/>
      <c r="G771" s="297" t="n"/>
      <c r="H771" s="298" t="n"/>
    </row>
    <row r="772" ht="13" customHeight="1" s="189">
      <c r="A772" s="297" t="n"/>
      <c r="B772" s="291" t="n"/>
      <c r="C772" s="298" t="n"/>
      <c r="D772" s="298" t="n"/>
      <c r="E772" s="291" t="n"/>
      <c r="F772" s="291" t="n"/>
      <c r="G772" s="297" t="n"/>
      <c r="H772" s="298" t="n"/>
    </row>
    <row r="773" ht="13" customHeight="1" s="189">
      <c r="A773" s="297" t="n"/>
      <c r="B773" s="291" t="n"/>
      <c r="C773" s="298" t="n"/>
      <c r="D773" s="298" t="n"/>
      <c r="E773" s="291" t="n"/>
      <c r="F773" s="291" t="n"/>
      <c r="G773" s="297" t="n"/>
      <c r="H773" s="298" t="n"/>
    </row>
    <row r="774" ht="13" customHeight="1" s="189">
      <c r="A774" s="297" t="n"/>
      <c r="B774" s="291" t="n"/>
      <c r="C774" s="298" t="n"/>
      <c r="D774" s="298" t="n"/>
      <c r="E774" s="291" t="n"/>
      <c r="F774" s="291" t="n"/>
      <c r="G774" s="297" t="n"/>
      <c r="H774" s="298" t="n"/>
    </row>
    <row r="775" ht="13" customHeight="1" s="189">
      <c r="A775" s="297" t="n"/>
      <c r="B775" s="291" t="n"/>
      <c r="C775" s="298" t="n"/>
      <c r="D775" s="298" t="n"/>
      <c r="E775" s="291" t="n"/>
      <c r="F775" s="291" t="n"/>
      <c r="G775" s="297" t="n"/>
      <c r="H775" s="298" t="n"/>
    </row>
    <row r="776" ht="13" customHeight="1" s="189">
      <c r="A776" s="297" t="n"/>
      <c r="B776" s="291" t="n"/>
      <c r="C776" s="298" t="n"/>
      <c r="D776" s="298" t="n"/>
      <c r="E776" s="291" t="n"/>
      <c r="F776" s="291" t="n"/>
      <c r="G776" s="297" t="n"/>
      <c r="H776" s="298" t="n"/>
    </row>
    <row r="777" ht="13" customHeight="1" s="189">
      <c r="A777" s="297" t="n"/>
      <c r="B777" s="291" t="n"/>
      <c r="C777" s="298" t="n"/>
      <c r="D777" s="298" t="n"/>
      <c r="E777" s="291" t="n"/>
      <c r="F777" s="291" t="n"/>
      <c r="G777" s="297" t="n"/>
      <c r="H777" s="298" t="n"/>
    </row>
    <row r="778" ht="13" customHeight="1" s="189">
      <c r="A778" s="297" t="n"/>
      <c r="B778" s="291" t="n"/>
      <c r="C778" s="298" t="n"/>
      <c r="D778" s="298" t="n"/>
      <c r="E778" s="291" t="n"/>
      <c r="F778" s="291" t="n"/>
      <c r="G778" s="297" t="n"/>
      <c r="H778" s="298" t="n"/>
    </row>
    <row r="779" ht="13" customHeight="1" s="189">
      <c r="A779" s="297" t="n"/>
      <c r="B779" s="291" t="n"/>
      <c r="C779" s="298" t="n"/>
      <c r="D779" s="298" t="n"/>
      <c r="E779" s="291" t="n"/>
      <c r="F779" s="291" t="n"/>
      <c r="G779" s="297" t="n"/>
      <c r="H779" s="298" t="n"/>
    </row>
    <row r="780" ht="13" customHeight="1" s="189">
      <c r="A780" s="297" t="n"/>
      <c r="B780" s="291" t="n"/>
      <c r="C780" s="298" t="n"/>
      <c r="D780" s="298" t="n"/>
      <c r="E780" s="291" t="n"/>
      <c r="F780" s="291" t="n"/>
      <c r="G780" s="297" t="n"/>
      <c r="H780" s="298" t="n"/>
    </row>
    <row r="781" ht="13" customHeight="1" s="189">
      <c r="A781" s="297" t="n"/>
      <c r="B781" s="291" t="n"/>
      <c r="C781" s="298" t="n"/>
      <c r="D781" s="298" t="n"/>
      <c r="E781" s="291" t="n"/>
      <c r="F781" s="291" t="n"/>
      <c r="G781" s="297" t="n"/>
      <c r="H781" s="298" t="n"/>
    </row>
    <row r="782" ht="13" customHeight="1" s="189">
      <c r="A782" s="297" t="n"/>
      <c r="B782" s="291" t="n"/>
      <c r="C782" s="298" t="n"/>
      <c r="D782" s="298" t="n"/>
      <c r="E782" s="291" t="n"/>
      <c r="F782" s="291" t="n"/>
      <c r="G782" s="297" t="n"/>
      <c r="H782" s="298" t="n"/>
    </row>
    <row r="783" ht="13" customHeight="1" s="189">
      <c r="A783" s="297" t="n"/>
      <c r="B783" s="291" t="n"/>
      <c r="C783" s="298" t="n"/>
      <c r="D783" s="298" t="n"/>
      <c r="E783" s="291" t="n"/>
      <c r="F783" s="291" t="n"/>
      <c r="G783" s="297" t="n"/>
      <c r="H783" s="298" t="n"/>
    </row>
    <row r="784" ht="13" customHeight="1" s="189">
      <c r="A784" s="297" t="n"/>
      <c r="B784" s="291" t="n"/>
      <c r="C784" s="298" t="n"/>
      <c r="D784" s="298" t="n"/>
      <c r="E784" s="291" t="n"/>
      <c r="F784" s="291" t="n"/>
      <c r="G784" s="297" t="n"/>
      <c r="H784" s="298" t="n"/>
    </row>
    <row r="785" ht="13" customHeight="1" s="189">
      <c r="A785" s="297" t="n"/>
      <c r="B785" s="291" t="n"/>
      <c r="C785" s="298" t="n"/>
      <c r="D785" s="298" t="n"/>
      <c r="E785" s="291" t="n"/>
      <c r="F785" s="291" t="n"/>
      <c r="G785" s="297" t="n"/>
      <c r="H785" s="298" t="n"/>
    </row>
    <row r="786" ht="13" customHeight="1" s="189">
      <c r="A786" s="297" t="n"/>
      <c r="B786" s="291" t="n"/>
      <c r="C786" s="298" t="n"/>
      <c r="D786" s="298" t="n"/>
      <c r="E786" s="291" t="n"/>
      <c r="F786" s="291" t="n"/>
      <c r="G786" s="297" t="n"/>
      <c r="H786" s="298" t="n"/>
    </row>
    <row r="787" ht="13" customHeight="1" s="189">
      <c r="A787" s="297" t="n"/>
      <c r="B787" s="291" t="n"/>
      <c r="C787" s="298" t="n"/>
      <c r="D787" s="298" t="n"/>
      <c r="E787" s="291" t="n"/>
      <c r="F787" s="291" t="n"/>
      <c r="G787" s="297" t="n"/>
      <c r="H787" s="298" t="n"/>
    </row>
    <row r="788" ht="13" customHeight="1" s="189">
      <c r="A788" s="297" t="n"/>
      <c r="B788" s="291" t="n"/>
      <c r="C788" s="298" t="n"/>
      <c r="D788" s="298" t="n"/>
      <c r="E788" s="291" t="n"/>
      <c r="F788" s="291" t="n"/>
      <c r="G788" s="297" t="n"/>
      <c r="H788" s="298" t="n"/>
    </row>
    <row r="789" ht="13" customHeight="1" s="189">
      <c r="A789" s="297" t="n"/>
      <c r="B789" s="291" t="n"/>
      <c r="C789" s="298" t="n"/>
      <c r="D789" s="298" t="n"/>
      <c r="E789" s="291" t="n"/>
      <c r="F789" s="291" t="n"/>
      <c r="G789" s="297" t="n"/>
      <c r="H789" s="298" t="n"/>
    </row>
    <row r="790" ht="13" customHeight="1" s="189">
      <c r="A790" s="297" t="n"/>
      <c r="B790" s="291" t="n"/>
      <c r="C790" s="298" t="n"/>
      <c r="D790" s="298" t="n"/>
      <c r="E790" s="291" t="n"/>
      <c r="F790" s="291" t="n"/>
      <c r="G790" s="297" t="n"/>
      <c r="H790" s="298" t="n"/>
    </row>
    <row r="791" ht="13" customHeight="1" s="189">
      <c r="A791" s="297" t="n"/>
      <c r="B791" s="291" t="n"/>
      <c r="C791" s="298" t="n"/>
      <c r="D791" s="298" t="n"/>
      <c r="E791" s="291" t="n"/>
      <c r="F791" s="291" t="n"/>
      <c r="G791" s="297" t="n"/>
      <c r="H791" s="298" t="n"/>
    </row>
    <row r="792" ht="13" customHeight="1" s="189">
      <c r="A792" s="297" t="n"/>
      <c r="B792" s="291" t="n"/>
      <c r="C792" s="298" t="n"/>
      <c r="D792" s="298" t="n"/>
      <c r="E792" s="291" t="n"/>
      <c r="F792" s="291" t="n"/>
      <c r="G792" s="297" t="n"/>
      <c r="H792" s="298" t="n"/>
    </row>
    <row r="793" ht="13" customHeight="1" s="189">
      <c r="A793" s="297" t="n"/>
      <c r="B793" s="291" t="n"/>
      <c r="C793" s="298" t="n"/>
      <c r="D793" s="298" t="n"/>
      <c r="E793" s="291" t="n"/>
      <c r="F793" s="291" t="n"/>
      <c r="G793" s="297" t="n"/>
      <c r="H793" s="298" t="n"/>
    </row>
    <row r="794" ht="13" customHeight="1" s="189">
      <c r="A794" s="297" t="n"/>
      <c r="B794" s="291" t="n"/>
      <c r="C794" s="298" t="n"/>
      <c r="D794" s="298" t="n"/>
      <c r="E794" s="291" t="n"/>
      <c r="F794" s="291" t="n"/>
      <c r="G794" s="297" t="n"/>
      <c r="H794" s="298" t="n"/>
    </row>
    <row r="795" ht="13" customHeight="1" s="189">
      <c r="A795" s="297" t="n"/>
      <c r="B795" s="291" t="n"/>
      <c r="C795" s="298" t="n"/>
      <c r="D795" s="298" t="n"/>
      <c r="E795" s="291" t="n"/>
      <c r="F795" s="291" t="n"/>
      <c r="G795" s="297" t="n"/>
      <c r="H795" s="298" t="n"/>
    </row>
    <row r="796" ht="13" customHeight="1" s="189">
      <c r="A796" s="297" t="n"/>
      <c r="B796" s="291" t="n"/>
      <c r="C796" s="298" t="n"/>
      <c r="D796" s="298" t="n"/>
      <c r="E796" s="291" t="n"/>
      <c r="F796" s="291" t="n"/>
      <c r="G796" s="297" t="n"/>
      <c r="H796" s="298" t="n"/>
    </row>
    <row r="797" ht="13" customHeight="1" s="189">
      <c r="A797" s="297" t="n"/>
      <c r="B797" s="291" t="n"/>
      <c r="C797" s="298" t="n"/>
      <c r="D797" s="298" t="n"/>
      <c r="E797" s="291" t="n"/>
      <c r="F797" s="291" t="n"/>
      <c r="G797" s="297" t="n"/>
      <c r="H797" s="298" t="n"/>
    </row>
    <row r="798" ht="13" customHeight="1" s="189">
      <c r="A798" s="297" t="n"/>
      <c r="B798" s="291" t="n"/>
      <c r="C798" s="298" t="n"/>
      <c r="D798" s="298" t="n"/>
      <c r="E798" s="291" t="n"/>
      <c r="F798" s="291" t="n"/>
      <c r="G798" s="297" t="n"/>
      <c r="H798" s="298" t="n"/>
    </row>
    <row r="799" ht="13" customHeight="1" s="189">
      <c r="A799" s="297" t="n"/>
      <c r="B799" s="291" t="n"/>
      <c r="C799" s="298" t="n"/>
      <c r="D799" s="298" t="n"/>
      <c r="E799" s="291" t="n"/>
      <c r="F799" s="291" t="n"/>
      <c r="G799" s="297" t="n"/>
      <c r="H799" s="298" t="n"/>
    </row>
    <row r="800" ht="13" customHeight="1" s="189">
      <c r="A800" s="297" t="n"/>
      <c r="B800" s="291" t="n"/>
      <c r="C800" s="298" t="n"/>
      <c r="D800" s="298" t="n"/>
      <c r="E800" s="291" t="n"/>
      <c r="F800" s="291" t="n"/>
      <c r="G800" s="297" t="n"/>
      <c r="H800" s="298" t="n"/>
    </row>
    <row r="801" ht="13" customHeight="1" s="189">
      <c r="A801" s="297" t="n"/>
      <c r="B801" s="291" t="n"/>
      <c r="C801" s="298" t="n"/>
      <c r="D801" s="298" t="n"/>
      <c r="E801" s="291" t="n"/>
      <c r="F801" s="291" t="n"/>
      <c r="G801" s="297" t="n"/>
      <c r="H801" s="298" t="n"/>
    </row>
    <row r="802" ht="13" customHeight="1" s="189">
      <c r="A802" s="297" t="n"/>
      <c r="B802" s="291" t="n"/>
      <c r="C802" s="298" t="n"/>
      <c r="D802" s="298" t="n"/>
      <c r="E802" s="291" t="n"/>
      <c r="F802" s="291" t="n"/>
      <c r="G802" s="297" t="n"/>
      <c r="H802" s="298" t="n"/>
    </row>
    <row r="803" ht="13" customHeight="1" s="189">
      <c r="A803" s="297" t="n"/>
      <c r="B803" s="291" t="n"/>
      <c r="C803" s="298" t="n"/>
      <c r="D803" s="298" t="n"/>
      <c r="E803" s="291" t="n"/>
      <c r="F803" s="291" t="n"/>
      <c r="G803" s="297" t="n"/>
      <c r="H803" s="298" t="n"/>
    </row>
    <row r="804" ht="13" customHeight="1" s="189">
      <c r="A804" s="297" t="n"/>
      <c r="B804" s="291" t="n"/>
      <c r="C804" s="298" t="n"/>
      <c r="D804" s="298" t="n"/>
      <c r="E804" s="291" t="n"/>
      <c r="F804" s="291" t="n"/>
      <c r="G804" s="297" t="n"/>
      <c r="H804" s="298" t="n"/>
    </row>
    <row r="805" ht="13" customHeight="1" s="189">
      <c r="A805" s="297" t="n"/>
      <c r="B805" s="291" t="n"/>
      <c r="C805" s="298" t="n"/>
      <c r="D805" s="298" t="n"/>
      <c r="E805" s="291" t="n"/>
      <c r="F805" s="291" t="n"/>
      <c r="G805" s="297" t="n"/>
      <c r="H805" s="298" t="n"/>
    </row>
    <row r="806" ht="13" customHeight="1" s="189">
      <c r="A806" s="297" t="n"/>
      <c r="B806" s="291" t="n"/>
      <c r="C806" s="298" t="n"/>
      <c r="D806" s="298" t="n"/>
      <c r="E806" s="291" t="n"/>
      <c r="F806" s="291" t="n"/>
      <c r="G806" s="297" t="n"/>
      <c r="H806" s="298" t="n"/>
    </row>
    <row r="807" ht="13" customHeight="1" s="189">
      <c r="A807" s="297" t="n"/>
      <c r="B807" s="291" t="n"/>
      <c r="C807" s="298" t="n"/>
      <c r="D807" s="298" t="n"/>
      <c r="E807" s="291" t="n"/>
      <c r="F807" s="291" t="n"/>
      <c r="G807" s="297" t="n"/>
      <c r="H807" s="298" t="n"/>
    </row>
    <row r="808" ht="13" customHeight="1" s="189">
      <c r="A808" s="297" t="n"/>
      <c r="B808" s="291" t="n"/>
      <c r="C808" s="298" t="n"/>
      <c r="D808" s="298" t="n"/>
      <c r="E808" s="291" t="n"/>
      <c r="F808" s="291" t="n"/>
      <c r="G808" s="297" t="n"/>
      <c r="H808" s="298" t="n"/>
    </row>
    <row r="809" ht="13" customHeight="1" s="189">
      <c r="A809" s="297" t="n"/>
      <c r="B809" s="291" t="n"/>
      <c r="C809" s="298" t="n"/>
      <c r="D809" s="298" t="n"/>
      <c r="E809" s="291" t="n"/>
      <c r="F809" s="291" t="n"/>
      <c r="G809" s="297" t="n"/>
      <c r="H809" s="298" t="n"/>
    </row>
    <row r="810" ht="13" customHeight="1" s="189">
      <c r="A810" s="297" t="n"/>
      <c r="B810" s="291" t="n"/>
      <c r="C810" s="298" t="n"/>
      <c r="D810" s="298" t="n"/>
      <c r="E810" s="291" t="n"/>
      <c r="F810" s="291" t="n"/>
      <c r="G810" s="297" t="n"/>
      <c r="H810" s="298" t="n"/>
    </row>
    <row r="811" ht="13" customHeight="1" s="189">
      <c r="A811" s="297" t="n"/>
      <c r="B811" s="291" t="n"/>
      <c r="C811" s="298" t="n"/>
      <c r="D811" s="298" t="n"/>
      <c r="E811" s="291" t="n"/>
      <c r="F811" s="291" t="n"/>
      <c r="G811" s="297" t="n"/>
      <c r="H811" s="298" t="n"/>
    </row>
    <row r="812" ht="13" customHeight="1" s="189">
      <c r="A812" s="297" t="n"/>
      <c r="B812" s="291" t="n"/>
      <c r="C812" s="298" t="n"/>
      <c r="D812" s="298" t="n"/>
      <c r="E812" s="291" t="n"/>
      <c r="F812" s="291" t="n"/>
      <c r="G812" s="297" t="n"/>
      <c r="H812" s="298" t="n"/>
    </row>
    <row r="813" ht="13" customHeight="1" s="189">
      <c r="A813" s="297" t="n"/>
      <c r="B813" s="291" t="n"/>
      <c r="C813" s="298" t="n"/>
      <c r="D813" s="298" t="n"/>
      <c r="E813" s="291" t="n"/>
      <c r="F813" s="291" t="n"/>
      <c r="G813" s="297" t="n"/>
      <c r="H813" s="298" t="n"/>
    </row>
    <row r="814" ht="13" customHeight="1" s="189">
      <c r="A814" s="297" t="n"/>
      <c r="B814" s="291" t="n"/>
      <c r="C814" s="298" t="n"/>
      <c r="D814" s="298" t="n"/>
      <c r="E814" s="291" t="n"/>
      <c r="F814" s="291" t="n"/>
      <c r="G814" s="297" t="n"/>
      <c r="H814" s="298" t="n"/>
    </row>
    <row r="815" ht="13" customHeight="1" s="189">
      <c r="A815" s="297" t="n"/>
      <c r="B815" s="291" t="n"/>
      <c r="C815" s="298" t="n"/>
      <c r="D815" s="298" t="n"/>
      <c r="E815" s="291" t="n"/>
      <c r="F815" s="291" t="n"/>
      <c r="G815" s="297" t="n"/>
      <c r="H815" s="298" t="n"/>
    </row>
    <row r="816" ht="13" customHeight="1" s="189">
      <c r="A816" s="297" t="n"/>
      <c r="B816" s="291" t="n"/>
      <c r="C816" s="298" t="n"/>
      <c r="D816" s="298" t="n"/>
      <c r="E816" s="291" t="n"/>
      <c r="F816" s="291" t="n"/>
      <c r="G816" s="297" t="n"/>
      <c r="H816" s="298" t="n"/>
    </row>
    <row r="817" ht="13" customHeight="1" s="189">
      <c r="A817" s="297" t="n"/>
      <c r="B817" s="291" t="n"/>
      <c r="C817" s="298" t="n"/>
      <c r="D817" s="298" t="n"/>
      <c r="E817" s="291" t="n"/>
      <c r="F817" s="291" t="n"/>
      <c r="G817" s="297" t="n"/>
      <c r="H817" s="298" t="n"/>
    </row>
    <row r="818" ht="13" customHeight="1" s="189">
      <c r="A818" s="297" t="n"/>
      <c r="B818" s="291" t="n"/>
      <c r="C818" s="298" t="n"/>
      <c r="D818" s="298" t="n"/>
      <c r="E818" s="291" t="n"/>
      <c r="F818" s="291" t="n"/>
      <c r="G818" s="297" t="n"/>
      <c r="H818" s="298" t="n"/>
    </row>
    <row r="819" ht="13" customHeight="1" s="189">
      <c r="A819" s="297" t="n"/>
      <c r="B819" s="291" t="n"/>
      <c r="C819" s="298" t="n"/>
      <c r="D819" s="298" t="n"/>
      <c r="E819" s="291" t="n"/>
      <c r="F819" s="291" t="n"/>
      <c r="G819" s="297" t="n"/>
      <c r="H819" s="298" t="n"/>
    </row>
    <row r="820" ht="13" customHeight="1" s="189">
      <c r="A820" s="297" t="n"/>
      <c r="B820" s="291" t="n"/>
      <c r="C820" s="298" t="n"/>
      <c r="D820" s="298" t="n"/>
      <c r="E820" s="291" t="n"/>
      <c r="F820" s="291" t="n"/>
      <c r="G820" s="297" t="n"/>
      <c r="H820" s="298" t="n"/>
    </row>
    <row r="821" ht="13" customHeight="1" s="189">
      <c r="A821" s="297" t="n"/>
      <c r="B821" s="291" t="n"/>
      <c r="C821" s="298" t="n"/>
      <c r="D821" s="298" t="n"/>
      <c r="E821" s="291" t="n"/>
      <c r="F821" s="291" t="n"/>
      <c r="G821" s="297" t="n"/>
      <c r="H821" s="298" t="n"/>
    </row>
    <row r="822" ht="13" customHeight="1" s="189">
      <c r="A822" s="297" t="n"/>
      <c r="B822" s="291" t="n"/>
      <c r="C822" s="298" t="n"/>
      <c r="D822" s="298" t="n"/>
      <c r="E822" s="291" t="n"/>
      <c r="F822" s="291" t="n"/>
      <c r="G822" s="297" t="n"/>
      <c r="H822" s="298" t="n"/>
    </row>
    <row r="823" ht="13" customHeight="1" s="189">
      <c r="A823" s="297" t="n"/>
      <c r="B823" s="291" t="n"/>
      <c r="C823" s="298" t="n"/>
      <c r="D823" s="298" t="n"/>
      <c r="E823" s="291" t="n"/>
      <c r="F823" s="291" t="n"/>
      <c r="G823" s="297" t="n"/>
      <c r="H823" s="298" t="n"/>
    </row>
    <row r="824" ht="13" customHeight="1" s="189">
      <c r="A824" s="297" t="n"/>
      <c r="B824" s="291" t="n"/>
      <c r="C824" s="298" t="n"/>
      <c r="D824" s="298" t="n"/>
      <c r="E824" s="291" t="n"/>
      <c r="F824" s="291" t="n"/>
      <c r="G824" s="297" t="n"/>
      <c r="H824" s="298" t="n"/>
    </row>
    <row r="825" ht="13" customHeight="1" s="189">
      <c r="A825" s="297" t="n"/>
      <c r="B825" s="291" t="n"/>
      <c r="C825" s="298" t="n"/>
      <c r="D825" s="298" t="n"/>
      <c r="E825" s="291" t="n"/>
      <c r="F825" s="291" t="n"/>
      <c r="G825" s="297" t="n"/>
      <c r="H825" s="298" t="n"/>
    </row>
    <row r="826" ht="13" customHeight="1" s="189">
      <c r="A826" s="297" t="n"/>
      <c r="B826" s="291" t="n"/>
      <c r="C826" s="298" t="n"/>
      <c r="D826" s="298" t="n"/>
      <c r="E826" s="291" t="n"/>
      <c r="F826" s="291" t="n"/>
      <c r="G826" s="297" t="n"/>
      <c r="H826" s="298" t="n"/>
    </row>
    <row r="827" ht="13" customHeight="1" s="189">
      <c r="A827" s="297" t="n"/>
      <c r="B827" s="291" t="n"/>
      <c r="C827" s="298" t="n"/>
      <c r="D827" s="298" t="n"/>
      <c r="E827" s="291" t="n"/>
      <c r="F827" s="291" t="n"/>
      <c r="G827" s="297" t="n"/>
      <c r="H827" s="298" t="n"/>
    </row>
    <row r="828" ht="13" customHeight="1" s="189">
      <c r="A828" s="297" t="n"/>
      <c r="B828" s="291" t="n"/>
      <c r="C828" s="298" t="n"/>
      <c r="D828" s="298" t="n"/>
      <c r="E828" s="291" t="n"/>
      <c r="F828" s="291" t="n"/>
      <c r="G828" s="297" t="n"/>
      <c r="H828" s="298" t="n"/>
    </row>
    <row r="829" ht="13" customHeight="1" s="189">
      <c r="A829" s="297" t="n"/>
      <c r="B829" s="291" t="n"/>
      <c r="C829" s="298" t="n"/>
      <c r="D829" s="298" t="n"/>
      <c r="E829" s="291" t="n"/>
      <c r="F829" s="291" t="n"/>
      <c r="G829" s="297" t="n"/>
      <c r="H829" s="298" t="n"/>
    </row>
    <row r="830" ht="13" customHeight="1" s="189">
      <c r="A830" s="297" t="n"/>
      <c r="B830" s="291" t="n"/>
      <c r="C830" s="298" t="n"/>
      <c r="D830" s="298" t="n"/>
      <c r="E830" s="291" t="n"/>
      <c r="F830" s="291" t="n"/>
      <c r="G830" s="297" t="n"/>
      <c r="H830" s="298" t="n"/>
    </row>
    <row r="831" ht="13" customHeight="1" s="189">
      <c r="A831" s="297" t="n"/>
      <c r="B831" s="291" t="n"/>
      <c r="C831" s="298" t="n"/>
      <c r="D831" s="298" t="n"/>
      <c r="E831" s="291" t="n"/>
      <c r="F831" s="291" t="n"/>
      <c r="G831" s="297" t="n"/>
      <c r="H831" s="298" t="n"/>
    </row>
    <row r="832" ht="13" customHeight="1" s="189">
      <c r="A832" s="297" t="n"/>
      <c r="B832" s="291" t="n"/>
      <c r="C832" s="298" t="n"/>
      <c r="D832" s="298" t="n"/>
      <c r="E832" s="291" t="n"/>
      <c r="F832" s="291" t="n"/>
      <c r="G832" s="297" t="n"/>
      <c r="H832" s="298" t="n"/>
    </row>
    <row r="833" ht="13" customHeight="1" s="189">
      <c r="A833" s="297" t="n"/>
      <c r="B833" s="291" t="n"/>
      <c r="C833" s="298" t="n"/>
      <c r="D833" s="298" t="n"/>
      <c r="E833" s="291" t="n"/>
      <c r="F833" s="291" t="n"/>
      <c r="G833" s="297" t="n"/>
      <c r="H833" s="298" t="n"/>
    </row>
    <row r="834" ht="13" customHeight="1" s="189">
      <c r="A834" s="297" t="n"/>
      <c r="B834" s="291" t="n"/>
      <c r="C834" s="298" t="n"/>
      <c r="D834" s="298" t="n"/>
      <c r="E834" s="291" t="n"/>
      <c r="F834" s="291" t="n"/>
      <c r="G834" s="297" t="n"/>
      <c r="H834" s="298" t="n"/>
    </row>
    <row r="835" ht="13" customHeight="1" s="189">
      <c r="A835" s="297" t="n"/>
      <c r="B835" s="291" t="n"/>
      <c r="C835" s="298" t="n"/>
      <c r="D835" s="298" t="n"/>
      <c r="E835" s="291" t="n"/>
      <c r="F835" s="291" t="n"/>
      <c r="G835" s="297" t="n"/>
      <c r="H835" s="298" t="n"/>
    </row>
    <row r="836" ht="13" customHeight="1" s="189">
      <c r="A836" s="297" t="n"/>
      <c r="B836" s="291" t="n"/>
      <c r="C836" s="298" t="n"/>
      <c r="D836" s="298" t="n"/>
      <c r="E836" s="291" t="n"/>
      <c r="F836" s="291" t="n"/>
      <c r="G836" s="297" t="n"/>
      <c r="H836" s="298" t="n"/>
    </row>
    <row r="837" ht="13" customHeight="1" s="189">
      <c r="A837" s="297" t="n"/>
      <c r="B837" s="291" t="n"/>
      <c r="C837" s="298" t="n"/>
      <c r="D837" s="298" t="n"/>
      <c r="E837" s="291" t="n"/>
      <c r="F837" s="291" t="n"/>
      <c r="G837" s="297" t="n"/>
      <c r="H837" s="298" t="n"/>
    </row>
    <row r="838" ht="13" customHeight="1" s="189">
      <c r="A838" s="297" t="n"/>
      <c r="B838" s="291" t="n"/>
      <c r="C838" s="298" t="n"/>
      <c r="D838" s="298" t="n"/>
      <c r="E838" s="291" t="n"/>
      <c r="F838" s="291" t="n"/>
      <c r="G838" s="297" t="n"/>
      <c r="H838" s="298" t="n"/>
    </row>
    <row r="839" ht="13" customHeight="1" s="189">
      <c r="A839" s="297" t="n"/>
      <c r="B839" s="291" t="n"/>
      <c r="C839" s="298" t="n"/>
      <c r="D839" s="298" t="n"/>
      <c r="E839" s="291" t="n"/>
      <c r="F839" s="291" t="n"/>
      <c r="G839" s="297" t="n"/>
      <c r="H839" s="298" t="n"/>
    </row>
    <row r="840" ht="13" customHeight="1" s="189">
      <c r="A840" s="297" t="n"/>
      <c r="B840" s="291" t="n"/>
      <c r="C840" s="298" t="n"/>
      <c r="D840" s="298" t="n"/>
      <c r="E840" s="291" t="n"/>
      <c r="F840" s="291" t="n"/>
      <c r="G840" s="297" t="n"/>
      <c r="H840" s="298" t="n"/>
    </row>
    <row r="841" ht="13" customHeight="1" s="189">
      <c r="A841" s="297" t="n"/>
      <c r="B841" s="291" t="n"/>
      <c r="C841" s="298" t="n"/>
      <c r="D841" s="298" t="n"/>
      <c r="E841" s="291" t="n"/>
      <c r="F841" s="291" t="n"/>
      <c r="G841" s="297" t="n"/>
      <c r="H841" s="298" t="n"/>
    </row>
    <row r="842" ht="13" customHeight="1" s="189">
      <c r="A842" s="297" t="n"/>
      <c r="B842" s="291" t="n"/>
      <c r="C842" s="298" t="n"/>
      <c r="D842" s="298" t="n"/>
      <c r="E842" s="291" t="n"/>
      <c r="F842" s="291" t="n"/>
      <c r="G842" s="297" t="n"/>
      <c r="H842" s="298" t="n"/>
    </row>
    <row r="843" ht="13" customHeight="1" s="189">
      <c r="A843" s="297" t="n"/>
      <c r="B843" s="291" t="n"/>
      <c r="C843" s="298" t="n"/>
      <c r="D843" s="298" t="n"/>
      <c r="E843" s="291" t="n"/>
      <c r="F843" s="291" t="n"/>
      <c r="G843" s="297" t="n"/>
      <c r="H843" s="298" t="n"/>
    </row>
    <row r="844" ht="13" customHeight="1" s="189">
      <c r="A844" s="297" t="n"/>
      <c r="B844" s="291" t="n"/>
      <c r="C844" s="298" t="n"/>
      <c r="D844" s="298" t="n"/>
      <c r="E844" s="291" t="n"/>
      <c r="F844" s="291" t="n"/>
      <c r="G844" s="297" t="n"/>
      <c r="H844" s="298" t="n"/>
    </row>
    <row r="845" ht="13" customHeight="1" s="189">
      <c r="A845" s="297" t="n"/>
      <c r="B845" s="291" t="n"/>
      <c r="C845" s="298" t="n"/>
      <c r="D845" s="298" t="n"/>
      <c r="E845" s="291" t="n"/>
      <c r="F845" s="291" t="n"/>
      <c r="G845" s="297" t="n"/>
      <c r="H845" s="298" t="n"/>
    </row>
    <row r="846" ht="13" customHeight="1" s="189">
      <c r="A846" s="297" t="n"/>
      <c r="B846" s="291" t="n"/>
      <c r="C846" s="298" t="n"/>
      <c r="D846" s="298" t="n"/>
      <c r="E846" s="291" t="n"/>
      <c r="F846" s="291" t="n"/>
      <c r="G846" s="297" t="n"/>
      <c r="H846" s="298" t="n"/>
    </row>
    <row r="847" ht="13" customHeight="1" s="189">
      <c r="A847" s="297" t="n"/>
      <c r="B847" s="291" t="n"/>
      <c r="C847" s="298" t="n"/>
      <c r="D847" s="298" t="n"/>
      <c r="E847" s="291" t="n"/>
      <c r="F847" s="291" t="n"/>
      <c r="G847" s="297" t="n"/>
      <c r="H847" s="298" t="n"/>
    </row>
    <row r="848" ht="13" customHeight="1" s="189">
      <c r="A848" s="297" t="n"/>
      <c r="B848" s="291" t="n"/>
      <c r="C848" s="298" t="n"/>
      <c r="D848" s="298" t="n"/>
      <c r="E848" s="291" t="n"/>
      <c r="F848" s="291" t="n"/>
      <c r="G848" s="297" t="n"/>
      <c r="H848" s="298" t="n"/>
    </row>
    <row r="849" ht="13" customHeight="1" s="189">
      <c r="A849" s="297" t="n"/>
      <c r="B849" s="291" t="n"/>
      <c r="C849" s="298" t="n"/>
      <c r="D849" s="298" t="n"/>
      <c r="E849" s="291" t="n"/>
      <c r="F849" s="291" t="n"/>
      <c r="G849" s="297" t="n"/>
      <c r="H849" s="298" t="n"/>
    </row>
    <row r="850" ht="13" customHeight="1" s="189">
      <c r="A850" s="297" t="n"/>
      <c r="B850" s="291" t="n"/>
      <c r="C850" s="298" t="n"/>
      <c r="D850" s="298" t="n"/>
      <c r="E850" s="291" t="n"/>
      <c r="F850" s="291" t="n"/>
      <c r="G850" s="297" t="n"/>
      <c r="H850" s="298" t="n"/>
    </row>
    <row r="851" ht="13" customHeight="1" s="189">
      <c r="A851" s="297" t="n"/>
      <c r="B851" s="291" t="n"/>
      <c r="C851" s="298" t="n"/>
      <c r="D851" s="298" t="n"/>
      <c r="E851" s="291" t="n"/>
      <c r="F851" s="291" t="n"/>
      <c r="G851" s="297" t="n"/>
      <c r="H851" s="298" t="n"/>
    </row>
    <row r="852" ht="13" customHeight="1" s="189">
      <c r="A852" s="297" t="n"/>
      <c r="B852" s="291" t="n"/>
      <c r="C852" s="298" t="n"/>
      <c r="D852" s="298" t="n"/>
      <c r="E852" s="291" t="n"/>
      <c r="F852" s="291" t="n"/>
      <c r="G852" s="297" t="n"/>
      <c r="H852" s="298" t="n"/>
    </row>
    <row r="853" ht="13" customHeight="1" s="189">
      <c r="A853" s="297" t="n"/>
      <c r="B853" s="291" t="n"/>
      <c r="C853" s="298" t="n"/>
      <c r="D853" s="298" t="n"/>
      <c r="E853" s="291" t="n"/>
      <c r="F853" s="291" t="n"/>
      <c r="G853" s="297" t="n"/>
      <c r="H853" s="298" t="n"/>
    </row>
    <row r="854" ht="13" customHeight="1" s="189">
      <c r="A854" s="297" t="n"/>
      <c r="B854" s="291" t="n"/>
      <c r="C854" s="298" t="n"/>
      <c r="D854" s="298" t="n"/>
      <c r="E854" s="291" t="n"/>
      <c r="F854" s="291" t="n"/>
      <c r="G854" s="297" t="n"/>
      <c r="H854" s="298" t="n"/>
    </row>
    <row r="855" ht="13" customHeight="1" s="189">
      <c r="A855" s="297" t="n"/>
      <c r="B855" s="291" t="n"/>
      <c r="C855" s="298" t="n"/>
      <c r="D855" s="298" t="n"/>
      <c r="E855" s="291" t="n"/>
      <c r="F855" s="291" t="n"/>
      <c r="G855" s="297" t="n"/>
      <c r="H855" s="298" t="n"/>
    </row>
    <row r="856" ht="13" customHeight="1" s="189">
      <c r="A856" s="297" t="n"/>
      <c r="B856" s="291" t="n"/>
      <c r="C856" s="298" t="n"/>
      <c r="D856" s="298" t="n"/>
      <c r="E856" s="291" t="n"/>
      <c r="F856" s="291" t="n"/>
      <c r="G856" s="297" t="n"/>
      <c r="H856" s="298" t="n"/>
    </row>
    <row r="857" ht="13" customHeight="1" s="189">
      <c r="A857" s="297" t="n"/>
      <c r="B857" s="291" t="n"/>
      <c r="C857" s="298" t="n"/>
      <c r="D857" s="298" t="n"/>
      <c r="E857" s="291" t="n"/>
      <c r="F857" s="291" t="n"/>
      <c r="G857" s="297" t="n"/>
      <c r="H857" s="298" t="n"/>
    </row>
    <row r="858" ht="13" customHeight="1" s="189">
      <c r="A858" s="297" t="n"/>
      <c r="B858" s="291" t="n"/>
      <c r="C858" s="298" t="n"/>
      <c r="D858" s="298" t="n"/>
      <c r="E858" s="291" t="n"/>
      <c r="F858" s="291" t="n"/>
      <c r="G858" s="297" t="n"/>
      <c r="H858" s="298" t="n"/>
    </row>
    <row r="859" ht="13" customHeight="1" s="189">
      <c r="A859" s="297" t="n"/>
      <c r="B859" s="291" t="n"/>
      <c r="C859" s="298" t="n"/>
      <c r="D859" s="298" t="n"/>
      <c r="E859" s="291" t="n"/>
      <c r="F859" s="291" t="n"/>
      <c r="G859" s="297" t="n"/>
      <c r="H859" s="298" t="n"/>
    </row>
    <row r="860" ht="13" customHeight="1" s="189">
      <c r="A860" s="297" t="n"/>
      <c r="B860" s="291" t="n"/>
      <c r="C860" s="298" t="n"/>
      <c r="D860" s="298" t="n"/>
      <c r="E860" s="291" t="n"/>
      <c r="F860" s="291" t="n"/>
      <c r="G860" s="297" t="n"/>
      <c r="H860" s="298" t="n"/>
    </row>
    <row r="861" ht="13" customHeight="1" s="189">
      <c r="A861" s="297" t="n"/>
      <c r="B861" s="291" t="n"/>
      <c r="C861" s="298" t="n"/>
      <c r="D861" s="298" t="n"/>
      <c r="E861" s="291" t="n"/>
      <c r="F861" s="291" t="n"/>
      <c r="G861" s="297" t="n"/>
      <c r="H861" s="298" t="n"/>
    </row>
    <row r="862" ht="13" customHeight="1" s="189">
      <c r="A862" s="297" t="n"/>
      <c r="B862" s="291" t="n"/>
      <c r="C862" s="298" t="n"/>
      <c r="D862" s="298" t="n"/>
      <c r="E862" s="291" t="n"/>
      <c r="F862" s="291" t="n"/>
      <c r="G862" s="297" t="n"/>
      <c r="H862" s="298" t="n"/>
    </row>
    <row r="863" ht="13" customHeight="1" s="189">
      <c r="A863" s="297" t="n"/>
      <c r="B863" s="291" t="n"/>
      <c r="C863" s="298" t="n"/>
      <c r="D863" s="298" t="n"/>
      <c r="E863" s="291" t="n"/>
      <c r="F863" s="291" t="n"/>
      <c r="G863" s="297" t="n"/>
      <c r="H863" s="298" t="n"/>
    </row>
    <row r="864" ht="13" customHeight="1" s="189">
      <c r="A864" s="297" t="n"/>
      <c r="B864" s="291" t="n"/>
      <c r="C864" s="298" t="n"/>
      <c r="D864" s="298" t="n"/>
      <c r="E864" s="291" t="n"/>
      <c r="F864" s="291" t="n"/>
      <c r="G864" s="297" t="n"/>
      <c r="H864" s="298" t="n"/>
    </row>
    <row r="865" ht="13" customHeight="1" s="189">
      <c r="A865" s="297" t="n"/>
      <c r="B865" s="291" t="n"/>
      <c r="C865" s="298" t="n"/>
      <c r="D865" s="298" t="n"/>
      <c r="E865" s="291" t="n"/>
      <c r="F865" s="291" t="n"/>
      <c r="G865" s="297" t="n"/>
      <c r="H865" s="298" t="n"/>
    </row>
    <row r="866" ht="13" customHeight="1" s="189">
      <c r="A866" s="297" t="n"/>
      <c r="B866" s="291" t="n"/>
      <c r="C866" s="298" t="n"/>
      <c r="D866" s="298" t="n"/>
      <c r="E866" s="291" t="n"/>
      <c r="F866" s="291" t="n"/>
      <c r="G866" s="297" t="n"/>
      <c r="H866" s="298" t="n"/>
    </row>
    <row r="867" ht="13" customHeight="1" s="189">
      <c r="A867" s="297" t="n"/>
      <c r="B867" s="291" t="n"/>
      <c r="C867" s="298" t="n"/>
      <c r="D867" s="298" t="n"/>
      <c r="E867" s="291" t="n"/>
      <c r="F867" s="291" t="n"/>
      <c r="G867" s="297" t="n"/>
      <c r="H867" s="298" t="n"/>
    </row>
    <row r="868" ht="13" customHeight="1" s="189">
      <c r="A868" s="297" t="n"/>
      <c r="B868" s="291" t="n"/>
      <c r="C868" s="298" t="n"/>
      <c r="D868" s="298" t="n"/>
      <c r="E868" s="291" t="n"/>
      <c r="F868" s="291" t="n"/>
      <c r="G868" s="297" t="n"/>
      <c r="H868" s="298" t="n"/>
    </row>
    <row r="869" ht="13" customHeight="1" s="189">
      <c r="A869" s="297" t="n"/>
      <c r="B869" s="291" t="n"/>
      <c r="C869" s="298" t="n"/>
      <c r="D869" s="298" t="n"/>
      <c r="E869" s="291" t="n"/>
      <c r="F869" s="291" t="n"/>
      <c r="G869" s="297" t="n"/>
      <c r="H869" s="298" t="n"/>
    </row>
    <row r="870" ht="13" customHeight="1" s="189">
      <c r="A870" s="297" t="n"/>
      <c r="B870" s="291" t="n"/>
      <c r="C870" s="298" t="n"/>
      <c r="D870" s="298" t="n"/>
      <c r="E870" s="291" t="n"/>
      <c r="F870" s="291" t="n"/>
      <c r="G870" s="297" t="n"/>
      <c r="H870" s="298" t="n"/>
    </row>
    <row r="871" ht="13" customHeight="1" s="189">
      <c r="A871" s="297" t="n"/>
      <c r="B871" s="291" t="n"/>
      <c r="C871" s="298" t="n"/>
      <c r="D871" s="298" t="n"/>
      <c r="E871" s="291" t="n"/>
      <c r="F871" s="291" t="n"/>
      <c r="G871" s="297" t="n"/>
      <c r="H871" s="298" t="n"/>
    </row>
    <row r="872" ht="13" customHeight="1" s="189">
      <c r="A872" s="297" t="n"/>
      <c r="B872" s="291" t="n"/>
      <c r="C872" s="298" t="n"/>
      <c r="D872" s="298" t="n"/>
      <c r="E872" s="291" t="n"/>
      <c r="F872" s="291" t="n"/>
      <c r="G872" s="297" t="n"/>
      <c r="H872" s="298" t="n"/>
    </row>
    <row r="873" ht="13" customHeight="1" s="189">
      <c r="A873" s="297" t="n"/>
      <c r="B873" s="291" t="n"/>
      <c r="C873" s="298" t="n"/>
      <c r="D873" s="298" t="n"/>
      <c r="E873" s="291" t="n"/>
      <c r="F873" s="291" t="n"/>
      <c r="G873" s="297" t="n"/>
      <c r="H873" s="298" t="n"/>
    </row>
    <row r="874" ht="13" customHeight="1" s="189">
      <c r="A874" s="297" t="n"/>
      <c r="B874" s="291" t="n"/>
      <c r="C874" s="298" t="n"/>
      <c r="D874" s="298" t="n"/>
      <c r="E874" s="291" t="n"/>
      <c r="F874" s="291" t="n"/>
      <c r="G874" s="297" t="n"/>
      <c r="H874" s="298" t="n"/>
    </row>
    <row r="875" ht="13" customHeight="1" s="189">
      <c r="A875" s="297" t="n"/>
      <c r="B875" s="291" t="n"/>
      <c r="C875" s="298" t="n"/>
      <c r="D875" s="298" t="n"/>
      <c r="E875" s="291" t="n"/>
      <c r="F875" s="291" t="n"/>
      <c r="G875" s="297" t="n"/>
      <c r="H875" s="298" t="n"/>
    </row>
    <row r="876" ht="13" customHeight="1" s="189">
      <c r="A876" s="297" t="n"/>
      <c r="B876" s="291" t="n"/>
      <c r="C876" s="298" t="n"/>
      <c r="D876" s="298" t="n"/>
      <c r="E876" s="291" t="n"/>
      <c r="F876" s="291" t="n"/>
      <c r="G876" s="297" t="n"/>
      <c r="H876" s="298" t="n"/>
    </row>
    <row r="877" ht="13" customHeight="1" s="189">
      <c r="A877" s="297" t="n"/>
      <c r="B877" s="291" t="n"/>
      <c r="C877" s="298" t="n"/>
      <c r="D877" s="298" t="n"/>
      <c r="E877" s="291" t="n"/>
      <c r="F877" s="291" t="n"/>
      <c r="G877" s="297" t="n"/>
      <c r="H877" s="298" t="n"/>
    </row>
    <row r="878" ht="13" customHeight="1" s="189">
      <c r="A878" s="297" t="n"/>
      <c r="B878" s="291" t="n"/>
      <c r="C878" s="298" t="n"/>
      <c r="D878" s="298" t="n"/>
      <c r="E878" s="291" t="n"/>
      <c r="F878" s="291" t="n"/>
      <c r="G878" s="297" t="n"/>
      <c r="H878" s="298" t="n"/>
    </row>
    <row r="879" ht="13" customHeight="1" s="189">
      <c r="A879" s="297" t="n"/>
      <c r="B879" s="291" t="n"/>
      <c r="C879" s="298" t="n"/>
      <c r="D879" s="298" t="n"/>
      <c r="E879" s="291" t="n"/>
      <c r="F879" s="291" t="n"/>
      <c r="G879" s="297" t="n"/>
      <c r="H879" s="298" t="n"/>
    </row>
    <row r="880" ht="13" customHeight="1" s="189">
      <c r="A880" s="297" t="n"/>
      <c r="B880" s="291" t="n"/>
      <c r="C880" s="298" t="n"/>
      <c r="D880" s="298" t="n"/>
      <c r="E880" s="291" t="n"/>
      <c r="F880" s="291" t="n"/>
      <c r="G880" s="297" t="n"/>
      <c r="H880" s="298" t="n"/>
    </row>
    <row r="881" ht="13" customHeight="1" s="189">
      <c r="A881" s="297" t="n"/>
      <c r="B881" s="291" t="n"/>
      <c r="C881" s="298" t="n"/>
      <c r="D881" s="298" t="n"/>
      <c r="E881" s="291" t="n"/>
      <c r="F881" s="291" t="n"/>
      <c r="G881" s="297" t="n"/>
      <c r="H881" s="298" t="n"/>
    </row>
    <row r="882" ht="13" customHeight="1" s="189">
      <c r="A882" s="297" t="n"/>
      <c r="B882" s="291" t="n"/>
      <c r="C882" s="298" t="n"/>
      <c r="D882" s="298" t="n"/>
      <c r="E882" s="291" t="n"/>
      <c r="F882" s="291" t="n"/>
      <c r="G882" s="297" t="n"/>
      <c r="H882" s="298" t="n"/>
    </row>
    <row r="883" ht="13" customHeight="1" s="189">
      <c r="A883" s="297" t="n"/>
      <c r="B883" s="291" t="n"/>
      <c r="C883" s="298" t="n"/>
      <c r="D883" s="298" t="n"/>
      <c r="E883" s="291" t="n"/>
      <c r="F883" s="291" t="n"/>
      <c r="G883" s="297" t="n"/>
      <c r="H883" s="298" t="n"/>
    </row>
    <row r="884" ht="13" customHeight="1" s="189">
      <c r="A884" s="297" t="n"/>
      <c r="B884" s="291" t="n"/>
      <c r="C884" s="298" t="n"/>
      <c r="D884" s="298" t="n"/>
      <c r="E884" s="291" t="n"/>
      <c r="F884" s="291" t="n"/>
      <c r="G884" s="297" t="n"/>
      <c r="H884" s="298" t="n"/>
    </row>
    <row r="885" ht="13" customHeight="1" s="189">
      <c r="A885" s="297" t="n"/>
      <c r="B885" s="291" t="n"/>
      <c r="C885" s="298" t="n"/>
      <c r="D885" s="298" t="n"/>
      <c r="E885" s="291" t="n"/>
      <c r="F885" s="291" t="n"/>
      <c r="G885" s="297" t="n"/>
      <c r="H885" s="298" t="n"/>
    </row>
    <row r="886" ht="13" customHeight="1" s="189">
      <c r="A886" s="297" t="n"/>
      <c r="B886" s="291" t="n"/>
      <c r="C886" s="298" t="n"/>
      <c r="D886" s="298" t="n"/>
      <c r="E886" s="291" t="n"/>
      <c r="F886" s="291" t="n"/>
      <c r="G886" s="297" t="n"/>
      <c r="H886" s="298" t="n"/>
    </row>
    <row r="887" ht="13" customHeight="1" s="189">
      <c r="A887" s="297" t="n"/>
      <c r="B887" s="291" t="n"/>
      <c r="C887" s="298" t="n"/>
      <c r="D887" s="298" t="n"/>
      <c r="E887" s="291" t="n"/>
      <c r="F887" s="291" t="n"/>
      <c r="G887" s="297" t="n"/>
      <c r="H887" s="298" t="n"/>
    </row>
    <row r="888" ht="13" customHeight="1" s="189">
      <c r="A888" s="297" t="n"/>
      <c r="B888" s="291" t="n"/>
      <c r="C888" s="298" t="n"/>
      <c r="D888" s="298" t="n"/>
      <c r="E888" s="291" t="n"/>
      <c r="F888" s="291" t="n"/>
      <c r="G888" s="297" t="n"/>
      <c r="H888" s="298" t="n"/>
    </row>
    <row r="889" ht="13" customHeight="1" s="189">
      <c r="A889" s="297" t="n"/>
      <c r="B889" s="291" t="n"/>
      <c r="C889" s="298" t="n"/>
      <c r="D889" s="298" t="n"/>
      <c r="E889" s="291" t="n"/>
      <c r="F889" s="291" t="n"/>
      <c r="G889" s="297" t="n"/>
      <c r="H889" s="298" t="n"/>
    </row>
    <row r="890" ht="13" customHeight="1" s="189">
      <c r="A890" s="297" t="n"/>
      <c r="B890" s="291" t="n"/>
      <c r="C890" s="298" t="n"/>
      <c r="D890" s="298" t="n"/>
      <c r="E890" s="291" t="n"/>
      <c r="F890" s="291" t="n"/>
      <c r="G890" s="297" t="n"/>
      <c r="H890" s="298" t="n"/>
    </row>
    <row r="891" ht="13" customHeight="1" s="189">
      <c r="A891" s="297" t="n"/>
      <c r="B891" s="291" t="n"/>
      <c r="C891" s="298" t="n"/>
      <c r="D891" s="298" t="n"/>
      <c r="E891" s="291" t="n"/>
      <c r="F891" s="291" t="n"/>
      <c r="G891" s="297" t="n"/>
      <c r="H891" s="298" t="n"/>
    </row>
    <row r="892" ht="13" customHeight="1" s="189">
      <c r="A892" s="297" t="n"/>
      <c r="B892" s="291" t="n"/>
      <c r="C892" s="298" t="n"/>
      <c r="D892" s="298" t="n"/>
      <c r="E892" s="291" t="n"/>
      <c r="F892" s="291" t="n"/>
      <c r="G892" s="297" t="n"/>
      <c r="H892" s="298" t="n"/>
    </row>
    <row r="893" ht="13" customHeight="1" s="189">
      <c r="A893" s="297" t="n"/>
      <c r="B893" s="291" t="n"/>
      <c r="C893" s="298" t="n"/>
      <c r="D893" s="298" t="n"/>
      <c r="E893" s="291" t="n"/>
      <c r="F893" s="291" t="n"/>
      <c r="G893" s="297" t="n"/>
      <c r="H893" s="298" t="n"/>
    </row>
    <row r="894" ht="13" customHeight="1" s="189">
      <c r="A894" s="297" t="n"/>
      <c r="B894" s="291" t="n"/>
      <c r="C894" s="298" t="n"/>
      <c r="D894" s="298" t="n"/>
      <c r="E894" s="291" t="n"/>
      <c r="F894" s="291" t="n"/>
      <c r="G894" s="297" t="n"/>
      <c r="H894" s="298" t="n"/>
    </row>
    <row r="895" ht="13" customHeight="1" s="189">
      <c r="A895" s="297" t="n"/>
      <c r="B895" s="291" t="n"/>
      <c r="C895" s="298" t="n"/>
      <c r="D895" s="298" t="n"/>
      <c r="E895" s="291" t="n"/>
      <c r="F895" s="291" t="n"/>
      <c r="G895" s="297" t="n"/>
      <c r="H895" s="298" t="n"/>
    </row>
    <row r="896" ht="13" customHeight="1" s="189">
      <c r="A896" s="297" t="n"/>
      <c r="B896" s="291" t="n"/>
      <c r="C896" s="298" t="n"/>
      <c r="D896" s="298" t="n"/>
      <c r="E896" s="291" t="n"/>
      <c r="F896" s="291" t="n"/>
      <c r="G896" s="297" t="n"/>
      <c r="H896" s="298" t="n"/>
    </row>
    <row r="897" ht="13" customHeight="1" s="189">
      <c r="A897" s="297" t="n"/>
      <c r="B897" s="291" t="n"/>
      <c r="C897" s="298" t="n"/>
      <c r="D897" s="298" t="n"/>
      <c r="E897" s="291" t="n"/>
      <c r="F897" s="291" t="n"/>
      <c r="G897" s="297" t="n"/>
      <c r="H897" s="298" t="n"/>
    </row>
    <row r="898" ht="13" customHeight="1" s="189">
      <c r="A898" s="297" t="n"/>
      <c r="B898" s="291" t="n"/>
      <c r="C898" s="298" t="n"/>
      <c r="D898" s="298" t="n"/>
      <c r="E898" s="291" t="n"/>
      <c r="F898" s="291" t="n"/>
      <c r="G898" s="297" t="n"/>
      <c r="H898" s="298" t="n"/>
    </row>
    <row r="899" ht="13" customHeight="1" s="189">
      <c r="A899" s="297" t="n"/>
      <c r="B899" s="291" t="n"/>
      <c r="C899" s="298" t="n"/>
      <c r="D899" s="298" t="n"/>
      <c r="E899" s="291" t="n"/>
      <c r="F899" s="291" t="n"/>
      <c r="G899" s="297" t="n"/>
      <c r="H899" s="298" t="n"/>
    </row>
    <row r="900" ht="13" customHeight="1" s="189">
      <c r="A900" s="297" t="n"/>
      <c r="B900" s="291" t="n"/>
      <c r="C900" s="298" t="n"/>
      <c r="D900" s="298" t="n"/>
      <c r="E900" s="291" t="n"/>
      <c r="F900" s="291" t="n"/>
      <c r="G900" s="297" t="n"/>
      <c r="H900" s="298" t="n"/>
    </row>
    <row r="901" ht="13" customHeight="1" s="189">
      <c r="A901" s="297" t="n"/>
      <c r="B901" s="291" t="n"/>
      <c r="C901" s="298" t="n"/>
      <c r="D901" s="298" t="n"/>
      <c r="E901" s="291" t="n"/>
      <c r="F901" s="291" t="n"/>
      <c r="G901" s="297" t="n"/>
      <c r="H901" s="298" t="n"/>
    </row>
    <row r="902" ht="13" customHeight="1" s="189">
      <c r="A902" s="297" t="n"/>
      <c r="B902" s="291" t="n"/>
      <c r="C902" s="298" t="n"/>
      <c r="D902" s="298" t="n"/>
      <c r="E902" s="291" t="n"/>
      <c r="F902" s="291" t="n"/>
      <c r="G902" s="297" t="n"/>
      <c r="H902" s="298" t="n"/>
    </row>
    <row r="903" ht="13" customHeight="1" s="189">
      <c r="A903" s="297" t="n"/>
      <c r="B903" s="291" t="n"/>
      <c r="C903" s="298" t="n"/>
      <c r="D903" s="298" t="n"/>
      <c r="E903" s="291" t="n"/>
      <c r="F903" s="291" t="n"/>
      <c r="G903" s="297" t="n"/>
      <c r="H903" s="298" t="n"/>
    </row>
    <row r="904" ht="13" customHeight="1" s="189">
      <c r="A904" s="297" t="n"/>
      <c r="B904" s="291" t="n"/>
      <c r="C904" s="298" t="n"/>
      <c r="D904" s="298" t="n"/>
      <c r="E904" s="291" t="n"/>
      <c r="F904" s="291" t="n"/>
      <c r="G904" s="297" t="n"/>
      <c r="H904" s="298" t="n"/>
    </row>
    <row r="905" ht="13" customHeight="1" s="189">
      <c r="A905" s="297" t="n"/>
      <c r="B905" s="291" t="n"/>
      <c r="C905" s="298" t="n"/>
      <c r="D905" s="298" t="n"/>
      <c r="E905" s="291" t="n"/>
      <c r="F905" s="291" t="n"/>
      <c r="G905" s="297" t="n"/>
      <c r="H905" s="298" t="n"/>
    </row>
    <row r="906" ht="13" customHeight="1" s="189">
      <c r="A906" s="297" t="n"/>
      <c r="B906" s="291" t="n"/>
      <c r="C906" s="298" t="n"/>
      <c r="D906" s="298" t="n"/>
      <c r="E906" s="291" t="n"/>
      <c r="F906" s="291" t="n"/>
      <c r="G906" s="297" t="n"/>
      <c r="H906" s="298" t="n"/>
    </row>
    <row r="907" ht="13" customHeight="1" s="189">
      <c r="A907" s="297" t="n"/>
      <c r="B907" s="291" t="n"/>
      <c r="C907" s="298" t="n"/>
      <c r="D907" s="298" t="n"/>
      <c r="E907" s="291" t="n"/>
      <c r="F907" s="291" t="n"/>
      <c r="G907" s="297" t="n"/>
      <c r="H907" s="298" t="n"/>
    </row>
    <row r="908" ht="13" customHeight="1" s="189">
      <c r="A908" s="297" t="n"/>
      <c r="B908" s="291" t="n"/>
      <c r="C908" s="298" t="n"/>
      <c r="D908" s="298" t="n"/>
      <c r="E908" s="291" t="n"/>
      <c r="F908" s="291" t="n"/>
      <c r="G908" s="297" t="n"/>
      <c r="H908" s="298" t="n"/>
    </row>
    <row r="909" ht="13" customHeight="1" s="189">
      <c r="A909" s="297" t="n"/>
      <c r="B909" s="291" t="n"/>
      <c r="C909" s="298" t="n"/>
      <c r="D909" s="298" t="n"/>
      <c r="E909" s="291" t="n"/>
      <c r="F909" s="291" t="n"/>
      <c r="G909" s="297" t="n"/>
      <c r="H909" s="298" t="n"/>
    </row>
    <row r="910" ht="13" customHeight="1" s="189">
      <c r="A910" s="297" t="n"/>
      <c r="B910" s="291" t="n"/>
      <c r="C910" s="298" t="n"/>
      <c r="D910" s="298" t="n"/>
      <c r="E910" s="291" t="n"/>
      <c r="F910" s="291" t="n"/>
      <c r="G910" s="297" t="n"/>
      <c r="H910" s="298" t="n"/>
    </row>
    <row r="911" ht="13" customHeight="1" s="189">
      <c r="A911" s="297" t="n"/>
      <c r="B911" s="291" t="n"/>
      <c r="C911" s="298" t="n"/>
      <c r="D911" s="298" t="n"/>
      <c r="E911" s="291" t="n"/>
      <c r="F911" s="291" t="n"/>
      <c r="G911" s="297" t="n"/>
      <c r="H911" s="298" t="n"/>
    </row>
    <row r="912" ht="13" customHeight="1" s="189">
      <c r="A912" s="297" t="n"/>
      <c r="B912" s="291" t="n"/>
      <c r="C912" s="298" t="n"/>
      <c r="D912" s="298" t="n"/>
      <c r="E912" s="291" t="n"/>
      <c r="F912" s="291" t="n"/>
      <c r="G912" s="297" t="n"/>
      <c r="H912" s="298" t="n"/>
    </row>
    <row r="913" ht="13" customHeight="1" s="189">
      <c r="A913" s="297" t="n"/>
      <c r="B913" s="291" t="n"/>
      <c r="C913" s="298" t="n"/>
      <c r="D913" s="298" t="n"/>
      <c r="E913" s="291" t="n"/>
      <c r="F913" s="291" t="n"/>
      <c r="G913" s="297" t="n"/>
      <c r="H913" s="298" t="n"/>
    </row>
    <row r="914" ht="13" customHeight="1" s="189">
      <c r="A914" s="297" t="n"/>
      <c r="B914" s="291" t="n"/>
      <c r="C914" s="298" t="n"/>
      <c r="D914" s="298" t="n"/>
      <c r="E914" s="291" t="n"/>
      <c r="F914" s="291" t="n"/>
      <c r="G914" s="297" t="n"/>
      <c r="H914" s="298" t="n"/>
    </row>
    <row r="915" ht="13" customHeight="1" s="189">
      <c r="A915" s="297" t="n"/>
      <c r="B915" s="291" t="n"/>
      <c r="C915" s="298" t="n"/>
      <c r="D915" s="298" t="n"/>
      <c r="E915" s="291" t="n"/>
      <c r="F915" s="291" t="n"/>
      <c r="G915" s="297" t="n"/>
      <c r="H915" s="298" t="n"/>
    </row>
    <row r="916" ht="13" customHeight="1" s="189">
      <c r="A916" s="297" t="n"/>
      <c r="B916" s="291" t="n"/>
      <c r="C916" s="298" t="n"/>
      <c r="D916" s="298" t="n"/>
      <c r="E916" s="291" t="n"/>
      <c r="F916" s="291" t="n"/>
      <c r="G916" s="297" t="n"/>
      <c r="H916" s="298" t="n"/>
    </row>
    <row r="917" ht="13" customHeight="1" s="189">
      <c r="A917" s="297" t="n"/>
      <c r="B917" s="291" t="n"/>
      <c r="C917" s="298" t="n"/>
      <c r="D917" s="298" t="n"/>
      <c r="E917" s="291" t="n"/>
      <c r="F917" s="291" t="n"/>
      <c r="G917" s="297" t="n"/>
      <c r="H917" s="298" t="n"/>
    </row>
    <row r="918" ht="13" customHeight="1" s="189">
      <c r="A918" s="297" t="n"/>
      <c r="B918" s="291" t="n"/>
      <c r="C918" s="298" t="n"/>
      <c r="D918" s="298" t="n"/>
      <c r="E918" s="291" t="n"/>
      <c r="F918" s="291" t="n"/>
      <c r="G918" s="297" t="n"/>
      <c r="H918" s="298" t="n"/>
    </row>
    <row r="919" ht="13" customHeight="1" s="189">
      <c r="A919" s="297" t="n"/>
      <c r="B919" s="291" t="n"/>
      <c r="C919" s="298" t="n"/>
      <c r="D919" s="298" t="n"/>
      <c r="E919" s="291" t="n"/>
      <c r="F919" s="291" t="n"/>
      <c r="G919" s="297" t="n"/>
      <c r="H919" s="298" t="n"/>
    </row>
    <row r="920" ht="13" customHeight="1" s="189">
      <c r="A920" s="297" t="n"/>
      <c r="B920" s="291" t="n"/>
      <c r="C920" s="298" t="n"/>
      <c r="D920" s="298" t="n"/>
      <c r="E920" s="291" t="n"/>
      <c r="F920" s="291" t="n"/>
      <c r="G920" s="297" t="n"/>
      <c r="H920" s="298" t="n"/>
    </row>
    <row r="921" ht="13" customHeight="1" s="189">
      <c r="A921" s="297" t="n"/>
      <c r="B921" s="291" t="n"/>
      <c r="C921" s="298" t="n"/>
      <c r="D921" s="298" t="n"/>
      <c r="E921" s="291" t="n"/>
      <c r="F921" s="291" t="n"/>
      <c r="G921" s="297" t="n"/>
      <c r="H921" s="298" t="n"/>
    </row>
    <row r="922" ht="13" customHeight="1" s="189">
      <c r="A922" s="297" t="n"/>
      <c r="B922" s="291" t="n"/>
      <c r="C922" s="298" t="n"/>
      <c r="D922" s="298" t="n"/>
      <c r="E922" s="291" t="n"/>
      <c r="F922" s="291" t="n"/>
      <c r="G922" s="297" t="n"/>
      <c r="H922" s="298" t="n"/>
    </row>
    <row r="923" ht="13" customHeight="1" s="189">
      <c r="A923" s="297" t="n"/>
      <c r="B923" s="291" t="n"/>
      <c r="C923" s="298" t="n"/>
      <c r="D923" s="298" t="n"/>
      <c r="E923" s="291" t="n"/>
      <c r="F923" s="291" t="n"/>
      <c r="G923" s="297" t="n"/>
      <c r="H923" s="298" t="n"/>
    </row>
    <row r="924" ht="13" customHeight="1" s="189">
      <c r="A924" s="297" t="n"/>
      <c r="B924" s="291" t="n"/>
      <c r="C924" s="298" t="n"/>
      <c r="D924" s="298" t="n"/>
      <c r="E924" s="291" t="n"/>
      <c r="F924" s="291" t="n"/>
      <c r="G924" s="297" t="n"/>
      <c r="H924" s="298" t="n"/>
    </row>
    <row r="925" ht="13" customHeight="1" s="189">
      <c r="A925" s="297" t="n"/>
      <c r="B925" s="291" t="n"/>
      <c r="C925" s="298" t="n"/>
      <c r="D925" s="298" t="n"/>
      <c r="E925" s="291" t="n"/>
      <c r="F925" s="291" t="n"/>
      <c r="G925" s="297" t="n"/>
      <c r="H925" s="298" t="n"/>
    </row>
    <row r="926" ht="13" customHeight="1" s="189">
      <c r="A926" s="297" t="n"/>
      <c r="B926" s="291" t="n"/>
      <c r="C926" s="298" t="n"/>
      <c r="D926" s="298" t="n"/>
      <c r="E926" s="291" t="n"/>
      <c r="F926" s="291" t="n"/>
      <c r="G926" s="297" t="n"/>
      <c r="H926" s="298" t="n"/>
    </row>
    <row r="927" ht="13" customHeight="1" s="189">
      <c r="A927" s="297" t="n"/>
      <c r="B927" s="291" t="n"/>
      <c r="C927" s="298" t="n"/>
      <c r="D927" s="298" t="n"/>
      <c r="E927" s="291" t="n"/>
      <c r="F927" s="291" t="n"/>
      <c r="G927" s="297" t="n"/>
      <c r="H927" s="298" t="n"/>
    </row>
    <row r="928" ht="13" customHeight="1" s="189">
      <c r="A928" s="297" t="n"/>
      <c r="B928" s="291" t="n"/>
      <c r="C928" s="298" t="n"/>
      <c r="D928" s="298" t="n"/>
      <c r="E928" s="291" t="n"/>
      <c r="F928" s="291" t="n"/>
      <c r="G928" s="297" t="n"/>
      <c r="H928" s="298" t="n"/>
    </row>
    <row r="929" ht="13" customHeight="1" s="189">
      <c r="A929" s="297" t="n"/>
      <c r="B929" s="291" t="n"/>
      <c r="C929" s="298" t="n"/>
      <c r="D929" s="298" t="n"/>
      <c r="E929" s="291" t="n"/>
      <c r="F929" s="291" t="n"/>
      <c r="G929" s="297" t="n"/>
      <c r="H929" s="298" t="n"/>
    </row>
    <row r="930" ht="13" customHeight="1" s="189">
      <c r="A930" s="297" t="n"/>
      <c r="B930" s="291" t="n"/>
      <c r="C930" s="298" t="n"/>
      <c r="D930" s="298" t="n"/>
      <c r="E930" s="291" t="n"/>
      <c r="F930" s="291" t="n"/>
      <c r="G930" s="297" t="n"/>
      <c r="H930" s="298" t="n"/>
    </row>
    <row r="931" ht="13" customHeight="1" s="189">
      <c r="A931" s="297" t="n"/>
      <c r="B931" s="291" t="n"/>
      <c r="C931" s="298" t="n"/>
      <c r="D931" s="298" t="n"/>
      <c r="E931" s="291" t="n"/>
      <c r="F931" s="291" t="n"/>
      <c r="G931" s="297" t="n"/>
      <c r="H931" s="298" t="n"/>
    </row>
    <row r="932" ht="13" customHeight="1" s="189">
      <c r="A932" s="297" t="n"/>
      <c r="B932" s="291" t="n"/>
      <c r="C932" s="298" t="n"/>
      <c r="D932" s="298" t="n"/>
      <c r="E932" s="291" t="n"/>
      <c r="F932" s="291" t="n"/>
      <c r="G932" s="297" t="n"/>
      <c r="H932" s="298" t="n"/>
    </row>
    <row r="933" ht="13" customHeight="1" s="189">
      <c r="A933" s="297" t="n"/>
      <c r="B933" s="291" t="n"/>
      <c r="C933" s="298" t="n"/>
      <c r="D933" s="298" t="n"/>
      <c r="E933" s="291" t="n"/>
      <c r="F933" s="291" t="n"/>
      <c r="G933" s="297" t="n"/>
      <c r="H933" s="298" t="n"/>
    </row>
    <row r="934" ht="13" customHeight="1" s="189">
      <c r="A934" s="297" t="n"/>
      <c r="B934" s="291" t="n"/>
      <c r="C934" s="298" t="n"/>
      <c r="D934" s="298" t="n"/>
      <c r="E934" s="291" t="n"/>
      <c r="F934" s="291" t="n"/>
      <c r="G934" s="297" t="n"/>
      <c r="H934" s="298" t="n"/>
    </row>
    <row r="935" ht="13" customHeight="1" s="189">
      <c r="A935" s="297" t="n"/>
      <c r="B935" s="291" t="n"/>
      <c r="C935" s="298" t="n"/>
      <c r="D935" s="298" t="n"/>
      <c r="E935" s="291" t="n"/>
      <c r="F935" s="291" t="n"/>
      <c r="G935" s="297" t="n"/>
      <c r="H935" s="298" t="n"/>
    </row>
    <row r="936" ht="13" customHeight="1" s="189">
      <c r="A936" s="297" t="n"/>
      <c r="B936" s="291" t="n"/>
      <c r="C936" s="298" t="n"/>
      <c r="D936" s="298" t="n"/>
      <c r="E936" s="291" t="n"/>
      <c r="F936" s="291" t="n"/>
      <c r="G936" s="297" t="n"/>
      <c r="H936" s="298" t="n"/>
    </row>
    <row r="937" ht="13" customHeight="1" s="189">
      <c r="A937" s="297" t="n"/>
      <c r="B937" s="291" t="n"/>
      <c r="C937" s="298" t="n"/>
      <c r="D937" s="298" t="n"/>
      <c r="E937" s="291" t="n"/>
      <c r="F937" s="291" t="n"/>
      <c r="G937" s="297" t="n"/>
      <c r="H937" s="298" t="n"/>
    </row>
    <row r="938" ht="13" customHeight="1" s="189">
      <c r="A938" s="297" t="n"/>
      <c r="B938" s="291" t="n"/>
      <c r="C938" s="298" t="n"/>
      <c r="D938" s="298" t="n"/>
      <c r="E938" s="291" t="n"/>
      <c r="F938" s="291" t="n"/>
      <c r="G938" s="297" t="n"/>
      <c r="H938" s="298" t="n"/>
    </row>
    <row r="939" ht="13" customHeight="1" s="189">
      <c r="A939" s="297" t="n"/>
      <c r="B939" s="291" t="n"/>
      <c r="C939" s="298" t="n"/>
      <c r="D939" s="298" t="n"/>
      <c r="E939" s="291" t="n"/>
      <c r="F939" s="291" t="n"/>
      <c r="G939" s="297" t="n"/>
      <c r="H939" s="298" t="n"/>
    </row>
    <row r="940" ht="13" customHeight="1" s="189">
      <c r="A940" s="297" t="n"/>
      <c r="B940" s="291" t="n"/>
      <c r="C940" s="298" t="n"/>
      <c r="D940" s="298" t="n"/>
      <c r="E940" s="291" t="n"/>
      <c r="F940" s="291" t="n"/>
      <c r="G940" s="297" t="n"/>
      <c r="H940" s="298" t="n"/>
    </row>
    <row r="941" ht="13" customHeight="1" s="189">
      <c r="A941" s="297" t="n"/>
      <c r="B941" s="291" t="n"/>
      <c r="C941" s="298" t="n"/>
      <c r="D941" s="298" t="n"/>
      <c r="E941" s="291" t="n"/>
      <c r="F941" s="291" t="n"/>
      <c r="G941" s="297" t="n"/>
      <c r="H941" s="298" t="n"/>
    </row>
    <row r="942" ht="13" customHeight="1" s="189">
      <c r="A942" s="297" t="n"/>
      <c r="B942" s="291" t="n"/>
      <c r="C942" s="298" t="n"/>
      <c r="D942" s="298" t="n"/>
      <c r="E942" s="291" t="n"/>
      <c r="F942" s="291" t="n"/>
      <c r="G942" s="297" t="n"/>
      <c r="H942" s="298" t="n"/>
    </row>
    <row r="943" ht="13" customHeight="1" s="189">
      <c r="A943" s="297" t="n"/>
      <c r="B943" s="291" t="n"/>
      <c r="C943" s="298" t="n"/>
      <c r="D943" s="298" t="n"/>
      <c r="E943" s="291" t="n"/>
      <c r="F943" s="291" t="n"/>
      <c r="G943" s="297" t="n"/>
      <c r="H943" s="298" t="n"/>
    </row>
    <row r="944" ht="13" customHeight="1" s="189">
      <c r="A944" s="297" t="n"/>
      <c r="B944" s="291" t="n"/>
      <c r="C944" s="298" t="n"/>
      <c r="D944" s="298" t="n"/>
      <c r="E944" s="291" t="n"/>
      <c r="F944" s="291" t="n"/>
      <c r="G944" s="297" t="n"/>
      <c r="H944" s="298" t="n"/>
    </row>
    <row r="945" ht="13" customHeight="1" s="189">
      <c r="A945" s="297" t="n"/>
      <c r="B945" s="291" t="n"/>
      <c r="C945" s="298" t="n"/>
      <c r="D945" s="298" t="n"/>
      <c r="E945" s="291" t="n"/>
      <c r="F945" s="291" t="n"/>
      <c r="G945" s="297" t="n"/>
      <c r="H945" s="298" t="n"/>
    </row>
    <row r="946" ht="13" customHeight="1" s="189">
      <c r="A946" s="297" t="n"/>
      <c r="B946" s="291" t="n"/>
      <c r="C946" s="298" t="n"/>
      <c r="D946" s="298" t="n"/>
      <c r="E946" s="291" t="n"/>
      <c r="F946" s="291" t="n"/>
      <c r="G946" s="297" t="n"/>
      <c r="H946" s="298" t="n"/>
    </row>
    <row r="947" ht="13" customHeight="1" s="189">
      <c r="A947" s="297" t="n"/>
      <c r="B947" s="291" t="n"/>
      <c r="C947" s="298" t="n"/>
      <c r="D947" s="298" t="n"/>
      <c r="E947" s="291" t="n"/>
      <c r="F947" s="291" t="n"/>
      <c r="G947" s="297" t="n"/>
      <c r="H947" s="298" t="n"/>
    </row>
    <row r="948" ht="13" customHeight="1" s="189">
      <c r="A948" s="297" t="n"/>
      <c r="B948" s="291" t="n"/>
      <c r="C948" s="298" t="n"/>
      <c r="D948" s="298" t="n"/>
      <c r="E948" s="291" t="n"/>
      <c r="F948" s="291" t="n"/>
      <c r="G948" s="297" t="n"/>
      <c r="H948" s="298" t="n"/>
    </row>
    <row r="949" ht="13" customHeight="1" s="189">
      <c r="A949" s="297" t="n"/>
      <c r="B949" s="291" t="n"/>
      <c r="C949" s="298" t="n"/>
      <c r="D949" s="298" t="n"/>
      <c r="E949" s="291" t="n"/>
      <c r="F949" s="291" t="n"/>
      <c r="G949" s="297" t="n"/>
      <c r="H949" s="298" t="n"/>
    </row>
    <row r="950" ht="13" customHeight="1" s="189">
      <c r="A950" s="297" t="n"/>
      <c r="B950" s="291" t="n"/>
      <c r="C950" s="298" t="n"/>
      <c r="D950" s="298" t="n"/>
      <c r="E950" s="291" t="n"/>
      <c r="F950" s="291" t="n"/>
      <c r="G950" s="297" t="n"/>
      <c r="H950" s="298" t="n"/>
    </row>
    <row r="951" ht="13" customHeight="1" s="189">
      <c r="A951" s="297" t="n"/>
      <c r="B951" s="291" t="n"/>
      <c r="C951" s="298" t="n"/>
      <c r="D951" s="298" t="n"/>
      <c r="E951" s="291" t="n"/>
      <c r="F951" s="291" t="n"/>
      <c r="G951" s="297" t="n"/>
      <c r="H951" s="298" t="n"/>
    </row>
    <row r="952" ht="13" customHeight="1" s="189">
      <c r="A952" s="297" t="n"/>
      <c r="B952" s="291" t="n"/>
      <c r="C952" s="298" t="n"/>
      <c r="D952" s="298" t="n"/>
      <c r="E952" s="291" t="n"/>
      <c r="F952" s="291" t="n"/>
      <c r="G952" s="297" t="n"/>
      <c r="H952" s="298" t="n"/>
    </row>
    <row r="953" ht="13" customHeight="1" s="189">
      <c r="A953" s="297" t="n"/>
      <c r="B953" s="291" t="n"/>
      <c r="C953" s="298" t="n"/>
      <c r="D953" s="298" t="n"/>
      <c r="E953" s="291" t="n"/>
      <c r="F953" s="291" t="n"/>
      <c r="G953" s="297" t="n"/>
      <c r="H953" s="298" t="n"/>
    </row>
    <row r="954" ht="13" customHeight="1" s="189">
      <c r="A954" s="297" t="n"/>
      <c r="B954" s="291" t="n"/>
      <c r="C954" s="298" t="n"/>
      <c r="D954" s="298" t="n"/>
      <c r="E954" s="291" t="n"/>
      <c r="F954" s="291" t="n"/>
      <c r="G954" s="297" t="n"/>
      <c r="H954" s="298" t="n"/>
    </row>
    <row r="955" ht="13" customHeight="1" s="189">
      <c r="A955" s="297" t="n"/>
      <c r="B955" s="291" t="n"/>
      <c r="C955" s="298" t="n"/>
      <c r="D955" s="298" t="n"/>
      <c r="E955" s="291" t="n"/>
      <c r="F955" s="291" t="n"/>
      <c r="G955" s="297" t="n"/>
      <c r="H955" s="298" t="n"/>
    </row>
    <row r="956" ht="13" customHeight="1" s="189">
      <c r="A956" s="297" t="n"/>
      <c r="B956" s="291" t="n"/>
      <c r="C956" s="298" t="n"/>
      <c r="D956" s="298" t="n"/>
      <c r="E956" s="291" t="n"/>
      <c r="F956" s="291" t="n"/>
      <c r="G956" s="297" t="n"/>
      <c r="H956" s="298" t="n"/>
    </row>
    <row r="957" ht="13" customHeight="1" s="189">
      <c r="A957" s="297" t="n"/>
      <c r="B957" s="291" t="n"/>
      <c r="C957" s="298" t="n"/>
      <c r="D957" s="298" t="n"/>
      <c r="E957" s="291" t="n"/>
      <c r="F957" s="291" t="n"/>
      <c r="G957" s="297" t="n"/>
      <c r="H957" s="298" t="n"/>
    </row>
    <row r="958" ht="13" customHeight="1" s="189">
      <c r="A958" s="297" t="n"/>
      <c r="B958" s="291" t="n"/>
      <c r="C958" s="298" t="n"/>
      <c r="D958" s="298" t="n"/>
      <c r="E958" s="291" t="n"/>
      <c r="F958" s="291" t="n"/>
      <c r="G958" s="297" t="n"/>
      <c r="H958" s="298" t="n"/>
    </row>
    <row r="959" ht="13" customHeight="1" s="189">
      <c r="A959" s="297" t="n"/>
      <c r="B959" s="291" t="n"/>
      <c r="C959" s="298" t="n"/>
      <c r="D959" s="298" t="n"/>
      <c r="E959" s="291" t="n"/>
      <c r="F959" s="291" t="n"/>
      <c r="G959" s="297" t="n"/>
      <c r="H959" s="298" t="n"/>
    </row>
    <row r="960" ht="13" customHeight="1" s="189">
      <c r="A960" s="297" t="n"/>
      <c r="B960" s="291" t="n"/>
      <c r="C960" s="298" t="n"/>
      <c r="D960" s="298" t="n"/>
      <c r="E960" s="291" t="n"/>
      <c r="F960" s="291" t="n"/>
      <c r="G960" s="297" t="n"/>
      <c r="H960" s="298" t="n"/>
    </row>
    <row r="961" ht="13" customHeight="1" s="189">
      <c r="A961" s="297" t="n"/>
      <c r="B961" s="291" t="n"/>
      <c r="C961" s="298" t="n"/>
      <c r="D961" s="298" t="n"/>
      <c r="E961" s="291" t="n"/>
      <c r="F961" s="291" t="n"/>
      <c r="G961" s="297" t="n"/>
      <c r="H961" s="298" t="n"/>
    </row>
    <row r="962" ht="13" customHeight="1" s="189">
      <c r="A962" s="297" t="n"/>
      <c r="B962" s="291" t="n"/>
      <c r="C962" s="298" t="n"/>
      <c r="D962" s="298" t="n"/>
      <c r="E962" s="291" t="n"/>
      <c r="F962" s="291" t="n"/>
      <c r="G962" s="297" t="n"/>
      <c r="H962" s="298" t="n"/>
    </row>
    <row r="963" ht="13" customHeight="1" s="189">
      <c r="A963" s="297" t="n"/>
      <c r="B963" s="291" t="n"/>
      <c r="C963" s="298" t="n"/>
      <c r="D963" s="298" t="n"/>
      <c r="E963" s="291" t="n"/>
      <c r="F963" s="291" t="n"/>
      <c r="G963" s="297" t="n"/>
      <c r="H963" s="298" t="n"/>
    </row>
    <row r="964" ht="13" customHeight="1" s="189">
      <c r="A964" s="297" t="n"/>
      <c r="B964" s="291" t="n"/>
      <c r="C964" s="298" t="n"/>
      <c r="D964" s="298" t="n"/>
      <c r="E964" s="291" t="n"/>
      <c r="F964" s="291" t="n"/>
      <c r="G964" s="297" t="n"/>
      <c r="H964" s="298" t="n"/>
    </row>
    <row r="965" ht="13" customHeight="1" s="189">
      <c r="A965" s="297" t="n"/>
      <c r="B965" s="291" t="n"/>
      <c r="C965" s="298" t="n"/>
      <c r="D965" s="298" t="n"/>
      <c r="E965" s="291" t="n"/>
      <c r="F965" s="291" t="n"/>
      <c r="G965" s="297" t="n"/>
      <c r="H965" s="298" t="n"/>
    </row>
    <row r="966" ht="13" customHeight="1" s="189">
      <c r="A966" s="297" t="n"/>
      <c r="B966" s="291" t="n"/>
      <c r="C966" s="298" t="n"/>
      <c r="D966" s="298" t="n"/>
      <c r="E966" s="291" t="n"/>
      <c r="F966" s="291" t="n"/>
      <c r="G966" s="297" t="n"/>
      <c r="H966" s="298" t="n"/>
    </row>
    <row r="967" ht="13" customHeight="1" s="189">
      <c r="A967" s="297" t="n"/>
      <c r="B967" s="291" t="n"/>
      <c r="C967" s="298" t="n"/>
      <c r="D967" s="298" t="n"/>
      <c r="E967" s="291" t="n"/>
      <c r="F967" s="291" t="n"/>
      <c r="G967" s="297" t="n"/>
      <c r="H967" s="298" t="n"/>
    </row>
    <row r="968" ht="13" customHeight="1" s="189">
      <c r="A968" s="297" t="n"/>
      <c r="B968" s="291" t="n"/>
      <c r="C968" s="298" t="n"/>
      <c r="D968" s="298" t="n"/>
      <c r="E968" s="291" t="n"/>
      <c r="F968" s="291" t="n"/>
      <c r="G968" s="297" t="n"/>
      <c r="H968" s="298" t="n"/>
    </row>
    <row r="969" ht="13" customHeight="1" s="189">
      <c r="A969" s="297" t="n"/>
      <c r="B969" s="291" t="n"/>
      <c r="C969" s="298" t="n"/>
      <c r="D969" s="298" t="n"/>
      <c r="E969" s="291" t="n"/>
      <c r="F969" s="291" t="n"/>
      <c r="G969" s="297" t="n"/>
      <c r="H969" s="298" t="n"/>
    </row>
    <row r="970" ht="13" customHeight="1" s="189">
      <c r="A970" s="297" t="n"/>
      <c r="B970" s="291" t="n"/>
      <c r="C970" s="298" t="n"/>
      <c r="D970" s="298" t="n"/>
      <c r="E970" s="291" t="n"/>
      <c r="F970" s="291" t="n"/>
      <c r="G970" s="297" t="n"/>
      <c r="H970" s="298" t="n"/>
    </row>
    <row r="971" ht="13" customHeight="1" s="189">
      <c r="A971" s="297" t="n"/>
      <c r="B971" s="291" t="n"/>
      <c r="C971" s="298" t="n"/>
      <c r="D971" s="298" t="n"/>
      <c r="E971" s="291" t="n"/>
      <c r="F971" s="291" t="n"/>
      <c r="G971" s="297" t="n"/>
      <c r="H971" s="298" t="n"/>
    </row>
    <row r="972" ht="13" customHeight="1" s="189">
      <c r="A972" s="297" t="n"/>
      <c r="B972" s="291" t="n"/>
      <c r="C972" s="298" t="n"/>
      <c r="D972" s="298" t="n"/>
      <c r="E972" s="291" t="n"/>
      <c r="F972" s="291" t="n"/>
      <c r="G972" s="297" t="n"/>
      <c r="H972" s="298" t="n"/>
    </row>
    <row r="973" ht="13" customHeight="1" s="189">
      <c r="A973" s="297" t="n"/>
      <c r="B973" s="291" t="n"/>
      <c r="C973" s="298" t="n"/>
      <c r="D973" s="298" t="n"/>
      <c r="E973" s="291" t="n"/>
      <c r="F973" s="291" t="n"/>
      <c r="G973" s="297" t="n"/>
      <c r="H973" s="298" t="n"/>
    </row>
    <row r="974" ht="13" customHeight="1" s="189">
      <c r="A974" s="297" t="n"/>
      <c r="B974" s="291" t="n"/>
      <c r="C974" s="298" t="n"/>
      <c r="D974" s="298" t="n"/>
      <c r="E974" s="291" t="n"/>
      <c r="F974" s="291" t="n"/>
      <c r="G974" s="297" t="n"/>
      <c r="H974" s="298" t="n"/>
    </row>
    <row r="975" ht="13" customHeight="1" s="189">
      <c r="A975" s="297" t="n"/>
      <c r="B975" s="291" t="n"/>
      <c r="C975" s="298" t="n"/>
      <c r="D975" s="298" t="n"/>
      <c r="E975" s="291" t="n"/>
      <c r="F975" s="291" t="n"/>
      <c r="G975" s="297" t="n"/>
      <c r="H975" s="298" t="n"/>
    </row>
    <row r="976" ht="13" customHeight="1" s="189">
      <c r="A976" s="297" t="n"/>
      <c r="B976" s="291" t="n"/>
      <c r="C976" s="298" t="n"/>
      <c r="D976" s="298" t="n"/>
      <c r="E976" s="291" t="n"/>
      <c r="F976" s="291" t="n"/>
      <c r="G976" s="297" t="n"/>
      <c r="H976" s="298" t="n"/>
    </row>
    <row r="977" ht="13" customHeight="1" s="189">
      <c r="A977" s="297" t="n"/>
      <c r="B977" s="291" t="n"/>
      <c r="C977" s="298" t="n"/>
      <c r="D977" s="298" t="n"/>
      <c r="E977" s="291" t="n"/>
      <c r="F977" s="291" t="n"/>
      <c r="G977" s="297" t="n"/>
      <c r="H977" s="298" t="n"/>
    </row>
    <row r="978" ht="13" customHeight="1" s="189">
      <c r="A978" s="297" t="n"/>
      <c r="B978" s="291" t="n"/>
      <c r="C978" s="298" t="n"/>
      <c r="D978" s="298" t="n"/>
      <c r="E978" s="291" t="n"/>
      <c r="F978" s="291" t="n"/>
      <c r="G978" s="297" t="n"/>
      <c r="H978" s="298" t="n"/>
    </row>
    <row r="979" ht="13" customHeight="1" s="189">
      <c r="A979" s="297" t="n"/>
      <c r="B979" s="291" t="n"/>
      <c r="C979" s="298" t="n"/>
      <c r="D979" s="298" t="n"/>
      <c r="E979" s="291" t="n"/>
      <c r="F979" s="291" t="n"/>
      <c r="G979" s="297" t="n"/>
      <c r="H979" s="298" t="n"/>
    </row>
    <row r="980" ht="13" customHeight="1" s="189">
      <c r="A980" s="297" t="n"/>
      <c r="B980" s="291" t="n"/>
      <c r="C980" s="298" t="n"/>
      <c r="D980" s="298" t="n"/>
      <c r="E980" s="291" t="n"/>
      <c r="F980" s="291" t="n"/>
      <c r="G980" s="297" t="n"/>
      <c r="H980" s="298" t="n"/>
    </row>
    <row r="981" ht="13" customHeight="1" s="189">
      <c r="A981" s="297" t="n"/>
      <c r="B981" s="291" t="n"/>
      <c r="C981" s="298" t="n"/>
      <c r="D981" s="298" t="n"/>
      <c r="E981" s="291" t="n"/>
      <c r="F981" s="291" t="n"/>
      <c r="G981" s="297" t="n"/>
      <c r="H981" s="298" t="n"/>
    </row>
    <row r="982" ht="13" customHeight="1" s="189">
      <c r="A982" s="297" t="n"/>
      <c r="B982" s="291" t="n"/>
      <c r="C982" s="298" t="n"/>
      <c r="D982" s="298" t="n"/>
      <c r="E982" s="291" t="n"/>
      <c r="F982" s="291" t="n"/>
      <c r="G982" s="297" t="n"/>
      <c r="H982" s="298" t="n"/>
    </row>
    <row r="983" ht="13" customHeight="1" s="189">
      <c r="A983" s="297" t="n"/>
      <c r="B983" s="291" t="n"/>
      <c r="C983" s="298" t="n"/>
      <c r="D983" s="298" t="n"/>
      <c r="E983" s="291" t="n"/>
      <c r="F983" s="291" t="n"/>
      <c r="G983" s="297" t="n"/>
      <c r="H983" s="298" t="n"/>
    </row>
    <row r="984" ht="13" customHeight="1" s="189">
      <c r="A984" s="297" t="n"/>
      <c r="B984" s="291" t="n"/>
      <c r="C984" s="298" t="n"/>
      <c r="D984" s="298" t="n"/>
      <c r="E984" s="291" t="n"/>
      <c r="F984" s="291" t="n"/>
      <c r="G984" s="297" t="n"/>
      <c r="H984" s="298" t="n"/>
    </row>
    <row r="985" ht="13" customHeight="1" s="189">
      <c r="A985" s="297" t="n"/>
      <c r="B985" s="291" t="n"/>
      <c r="C985" s="298" t="n"/>
      <c r="D985" s="298" t="n"/>
      <c r="E985" s="291" t="n"/>
      <c r="F985" s="291" t="n"/>
      <c r="G985" s="297" t="n"/>
      <c r="H985" s="298" t="n"/>
    </row>
    <row r="986" ht="13" customHeight="1" s="189">
      <c r="A986" s="297" t="n"/>
      <c r="B986" s="291" t="n"/>
      <c r="C986" s="298" t="n"/>
      <c r="D986" s="298" t="n"/>
      <c r="E986" s="291" t="n"/>
      <c r="F986" s="291" t="n"/>
      <c r="G986" s="297" t="n"/>
      <c r="H986" s="298" t="n"/>
    </row>
    <row r="987" ht="13" customHeight="1" s="189">
      <c r="A987" s="297" t="n"/>
      <c r="B987" s="291" t="n"/>
      <c r="C987" s="298" t="n"/>
      <c r="D987" s="298" t="n"/>
      <c r="E987" s="291" t="n"/>
      <c r="F987" s="291" t="n"/>
      <c r="G987" s="297" t="n"/>
      <c r="H987" s="298" t="n"/>
    </row>
    <row r="988" ht="13" customHeight="1" s="189">
      <c r="A988" s="297" t="n"/>
      <c r="B988" s="291" t="n"/>
      <c r="C988" s="298" t="n"/>
      <c r="D988" s="298" t="n"/>
      <c r="E988" s="291" t="n"/>
      <c r="F988" s="291" t="n"/>
      <c r="G988" s="297" t="n"/>
      <c r="H988" s="298" t="n"/>
    </row>
    <row r="989" ht="13" customHeight="1" s="189">
      <c r="A989" s="297" t="n"/>
      <c r="B989" s="291" t="n"/>
      <c r="C989" s="298" t="n"/>
      <c r="D989" s="298" t="n"/>
      <c r="E989" s="291" t="n"/>
      <c r="F989" s="291" t="n"/>
      <c r="G989" s="297" t="n"/>
      <c r="H989" s="298" t="n"/>
    </row>
    <row r="990" ht="13" customHeight="1" s="189">
      <c r="A990" s="297" t="n"/>
      <c r="B990" s="291" t="n"/>
      <c r="C990" s="298" t="n"/>
      <c r="D990" s="298" t="n"/>
      <c r="E990" s="291" t="n"/>
      <c r="F990" s="291" t="n"/>
      <c r="G990" s="297" t="n"/>
      <c r="H990" s="298" t="n"/>
    </row>
    <row r="991" ht="13" customHeight="1" s="189">
      <c r="A991" s="297" t="n"/>
      <c r="B991" s="291" t="n"/>
      <c r="C991" s="298" t="n"/>
      <c r="D991" s="298" t="n"/>
      <c r="E991" s="291" t="n"/>
      <c r="F991" s="291" t="n"/>
      <c r="G991" s="297" t="n"/>
      <c r="H991" s="298" t="n"/>
    </row>
    <row r="992" ht="13" customHeight="1" s="189">
      <c r="A992" s="297" t="n"/>
      <c r="B992" s="291" t="n"/>
      <c r="C992" s="298" t="n"/>
      <c r="D992" s="298" t="n"/>
      <c r="E992" s="291" t="n"/>
      <c r="F992" s="291" t="n"/>
      <c r="G992" s="297" t="n"/>
      <c r="H992" s="298" t="n"/>
    </row>
    <row r="993" ht="13" customHeight="1" s="189">
      <c r="A993" s="297" t="n"/>
      <c r="B993" s="291" t="n"/>
      <c r="C993" s="298" t="n"/>
      <c r="D993" s="298" t="n"/>
      <c r="E993" s="291" t="n"/>
      <c r="F993" s="291" t="n"/>
      <c r="G993" s="297" t="n"/>
      <c r="H993" s="298" t="n"/>
    </row>
    <row r="994" ht="13" customHeight="1" s="189">
      <c r="A994" s="297" t="n"/>
      <c r="B994" s="291" t="n"/>
      <c r="C994" s="298" t="n"/>
      <c r="D994" s="298" t="n"/>
      <c r="E994" s="291" t="n"/>
      <c r="F994" s="291" t="n"/>
      <c r="G994" s="297" t="n"/>
      <c r="H994" s="298" t="n"/>
    </row>
    <row r="995" ht="13" customHeight="1" s="189">
      <c r="A995" s="297" t="n"/>
      <c r="B995" s="291" t="n"/>
      <c r="C995" s="298" t="n"/>
      <c r="D995" s="298" t="n"/>
      <c r="E995" s="291" t="n"/>
      <c r="F995" s="291" t="n"/>
      <c r="G995" s="297" t="n"/>
      <c r="H995" s="298" t="n"/>
    </row>
    <row r="996" ht="13" customHeight="1" s="189">
      <c r="A996" s="297" t="n"/>
      <c r="B996" s="291" t="n"/>
      <c r="C996" s="298" t="n"/>
      <c r="D996" s="298" t="n"/>
      <c r="E996" s="291" t="n"/>
      <c r="F996" s="291" t="n"/>
      <c r="G996" s="297" t="n"/>
      <c r="H996" s="298" t="n"/>
    </row>
    <row r="997" ht="13" customHeight="1" s="189">
      <c r="A997" s="297" t="n"/>
      <c r="B997" s="291" t="n"/>
      <c r="C997" s="298" t="n"/>
      <c r="D997" s="298" t="n"/>
      <c r="E997" s="291" t="n"/>
      <c r="F997" s="291" t="n"/>
      <c r="G997" s="297" t="n"/>
      <c r="H997" s="298" t="n"/>
    </row>
    <row r="998" ht="13" customHeight="1" s="189">
      <c r="A998" s="297" t="n"/>
      <c r="B998" s="291" t="n"/>
      <c r="C998" s="298" t="n"/>
      <c r="D998" s="298" t="n"/>
      <c r="E998" s="291" t="n"/>
      <c r="F998" s="291" t="n"/>
      <c r="G998" s="297" t="n"/>
      <c r="H998" s="298" t="n"/>
    </row>
    <row r="999" ht="13" customHeight="1" s="189">
      <c r="A999" s="297" t="n"/>
      <c r="B999" s="291" t="n"/>
      <c r="C999" s="298" t="n"/>
      <c r="D999" s="298" t="n"/>
      <c r="E999" s="291" t="n"/>
      <c r="F999" s="291" t="n"/>
      <c r="G999" s="297" t="n"/>
      <c r="H999" s="298" t="n"/>
    </row>
    <row r="1000" ht="13" customHeight="1" s="189">
      <c r="A1000" s="297" t="n"/>
      <c r="B1000" s="291" t="n"/>
      <c r="C1000" s="298" t="n"/>
      <c r="D1000" s="298" t="n"/>
      <c r="E1000" s="291" t="n"/>
      <c r="F1000" s="291" t="n"/>
      <c r="G1000" s="297" t="n"/>
      <c r="H1000" s="298" t="n"/>
    </row>
    <row r="1001" ht="13" customHeight="1" s="189">
      <c r="A1001" s="297" t="n"/>
      <c r="B1001" s="291" t="n"/>
      <c r="C1001" s="298" t="n"/>
      <c r="D1001" s="298" t="n"/>
      <c r="E1001" s="291" t="n"/>
      <c r="F1001" s="291" t="n"/>
      <c r="G1001" s="297" t="n"/>
      <c r="H1001" s="298" t="n"/>
    </row>
    <row r="1002" ht="13" customHeight="1" s="189">
      <c r="A1002" s="297" t="n"/>
      <c r="B1002" s="291" t="n"/>
      <c r="C1002" s="298" t="n"/>
      <c r="D1002" s="298" t="n"/>
      <c r="E1002" s="291" t="n"/>
      <c r="F1002" s="291" t="n"/>
      <c r="G1002" s="297" t="n"/>
      <c r="H1002" s="298" t="n"/>
    </row>
    <row r="1003" ht="13" customHeight="1" s="189">
      <c r="A1003" s="297" t="n"/>
      <c r="B1003" s="291" t="n"/>
      <c r="C1003" s="298" t="n"/>
      <c r="D1003" s="298" t="n"/>
      <c r="E1003" s="291" t="n"/>
      <c r="F1003" s="291" t="n"/>
      <c r="G1003" s="297" t="n"/>
      <c r="H1003" s="298" t="n"/>
    </row>
    <row r="1004" ht="13" customHeight="1" s="189">
      <c r="A1004" s="297" t="n"/>
      <c r="B1004" s="291" t="n"/>
      <c r="C1004" s="298" t="n"/>
      <c r="D1004" s="298" t="n"/>
      <c r="E1004" s="291" t="n"/>
      <c r="F1004" s="291" t="n"/>
      <c r="G1004" s="297" t="n"/>
      <c r="H1004" s="298" t="n"/>
    </row>
    <row r="1005" ht="13" customHeight="1" s="189">
      <c r="A1005" s="297" t="n"/>
      <c r="B1005" s="291" t="n"/>
      <c r="C1005" s="298" t="n"/>
      <c r="D1005" s="298" t="n"/>
      <c r="E1005" s="291" t="n"/>
      <c r="F1005" s="291" t="n"/>
      <c r="G1005" s="297" t="n"/>
      <c r="H1005" s="298" t="n"/>
    </row>
    <row r="1006" ht="13" customHeight="1" s="189">
      <c r="A1006" s="297" t="n"/>
      <c r="B1006" s="291" t="n"/>
      <c r="C1006" s="298" t="n"/>
      <c r="D1006" s="298" t="n"/>
      <c r="E1006" s="291" t="n"/>
      <c r="F1006" s="291" t="n"/>
      <c r="G1006" s="297" t="n"/>
      <c r="H1006" s="298" t="n"/>
    </row>
    <row r="1007" ht="13" customHeight="1" s="189">
      <c r="A1007" s="297" t="n"/>
      <c r="B1007" s="291" t="n"/>
      <c r="C1007" s="298" t="n"/>
      <c r="D1007" s="298" t="n"/>
      <c r="E1007" s="291" t="n"/>
      <c r="F1007" s="291" t="n"/>
      <c r="G1007" s="297" t="n"/>
      <c r="H1007" s="298" t="n"/>
    </row>
    <row r="1008" ht="13" customHeight="1" s="189">
      <c r="A1008" s="297" t="n"/>
      <c r="B1008" s="291" t="n"/>
      <c r="C1008" s="298" t="n"/>
      <c r="D1008" s="298" t="n"/>
      <c r="E1008" s="291" t="n"/>
      <c r="F1008" s="291" t="n"/>
      <c r="G1008" s="297" t="n"/>
      <c r="H1008" s="298" t="n"/>
    </row>
    <row r="1009" ht="13" customHeight="1" s="189">
      <c r="A1009" s="297" t="n"/>
      <c r="B1009" s="291" t="n"/>
      <c r="C1009" s="298" t="n"/>
      <c r="D1009" s="298" t="n"/>
      <c r="E1009" s="291" t="n"/>
      <c r="F1009" s="291" t="n"/>
      <c r="G1009" s="297" t="n"/>
      <c r="H1009" s="298" t="n"/>
    </row>
    <row r="1010" ht="13" customHeight="1" s="189">
      <c r="A1010" s="297" t="n"/>
      <c r="B1010" s="291" t="n"/>
      <c r="C1010" s="298" t="n"/>
      <c r="D1010" s="298" t="n"/>
      <c r="E1010" s="291" t="n"/>
      <c r="F1010" s="291" t="n"/>
      <c r="G1010" s="297" t="n"/>
      <c r="H1010" s="298" t="n"/>
    </row>
    <row r="1011" ht="13" customHeight="1" s="189">
      <c r="A1011" s="297" t="n"/>
      <c r="B1011" s="291" t="n"/>
      <c r="C1011" s="298" t="n"/>
      <c r="D1011" s="298" t="n"/>
      <c r="E1011" s="291" t="n"/>
      <c r="F1011" s="291" t="n"/>
      <c r="G1011" s="297" t="n"/>
      <c r="H1011" s="298" t="n"/>
    </row>
    <row r="1012" ht="13" customHeight="1" s="189">
      <c r="A1012" s="297" t="n"/>
      <c r="B1012" s="291" t="n"/>
      <c r="C1012" s="298" t="n"/>
      <c r="D1012" s="298" t="n"/>
      <c r="E1012" s="291" t="n"/>
      <c r="F1012" s="291" t="n"/>
      <c r="G1012" s="297" t="n"/>
      <c r="H1012" s="298" t="n"/>
    </row>
    <row r="1013" ht="13" customHeight="1" s="189">
      <c r="A1013" s="297" t="n"/>
      <c r="B1013" s="291" t="n"/>
      <c r="C1013" s="298" t="n"/>
      <c r="D1013" s="298" t="n"/>
      <c r="E1013" s="291" t="n"/>
      <c r="F1013" s="291" t="n"/>
      <c r="G1013" s="297" t="n"/>
      <c r="H1013" s="298" t="n"/>
    </row>
    <row r="1014" ht="13" customHeight="1" s="189">
      <c r="A1014" s="297" t="n"/>
      <c r="B1014" s="291" t="n"/>
      <c r="C1014" s="298" t="n"/>
      <c r="D1014" s="298" t="n"/>
      <c r="E1014" s="291" t="n"/>
      <c r="F1014" s="291" t="n"/>
      <c r="G1014" s="297" t="n"/>
      <c r="H1014" s="298" t="n"/>
    </row>
    <row r="1015" ht="13" customHeight="1" s="189">
      <c r="A1015" s="297" t="n"/>
      <c r="B1015" s="291" t="n"/>
      <c r="C1015" s="298" t="n"/>
      <c r="D1015" s="298" t="n"/>
      <c r="E1015" s="291" t="n"/>
      <c r="F1015" s="291" t="n"/>
      <c r="G1015" s="297" t="n"/>
      <c r="H1015" s="298" t="n"/>
    </row>
    <row r="1016" ht="13" customHeight="1" s="189">
      <c r="A1016" s="297" t="n"/>
      <c r="B1016" s="291" t="n"/>
      <c r="C1016" s="298" t="n"/>
      <c r="D1016" s="298" t="n"/>
      <c r="E1016" s="291" t="n"/>
      <c r="F1016" s="291" t="n"/>
      <c r="G1016" s="297" t="n"/>
      <c r="H1016" s="298" t="n"/>
    </row>
    <row r="1017" ht="13" customHeight="1" s="189">
      <c r="A1017" s="297" t="n"/>
      <c r="B1017" s="291" t="n"/>
      <c r="C1017" s="298" t="n"/>
      <c r="D1017" s="298" t="n"/>
      <c r="E1017" s="291" t="n"/>
      <c r="F1017" s="291" t="n"/>
      <c r="G1017" s="297" t="n"/>
      <c r="H1017" s="298" t="n"/>
    </row>
    <row r="1018" ht="13" customHeight="1" s="189">
      <c r="A1018" s="297" t="n"/>
      <c r="B1018" s="291" t="n"/>
      <c r="C1018" s="298" t="n"/>
      <c r="D1018" s="298" t="n"/>
      <c r="E1018" s="291" t="n"/>
      <c r="F1018" s="291" t="n"/>
      <c r="G1018" s="297" t="n"/>
      <c r="H1018" s="298" t="n"/>
    </row>
    <row r="1019" ht="13" customHeight="1" s="189">
      <c r="A1019" s="297" t="n"/>
      <c r="B1019" s="291" t="n"/>
      <c r="C1019" s="298" t="n"/>
      <c r="D1019" s="298" t="n"/>
      <c r="E1019" s="291" t="n"/>
      <c r="F1019" s="291" t="n"/>
      <c r="G1019" s="297" t="n"/>
      <c r="H1019" s="298" t="n"/>
    </row>
    <row r="1020" ht="13" customHeight="1" s="189">
      <c r="A1020" s="297" t="n"/>
      <c r="B1020" s="291" t="n"/>
      <c r="C1020" s="298" t="n"/>
      <c r="D1020" s="298" t="n"/>
      <c r="E1020" s="291" t="n"/>
      <c r="F1020" s="291" t="n"/>
      <c r="G1020" s="297" t="n"/>
      <c r="H1020" s="298" t="n"/>
    </row>
    <row r="1021" ht="13" customHeight="1" s="189">
      <c r="A1021" s="297" t="n"/>
      <c r="B1021" s="291" t="n"/>
      <c r="C1021" s="298" t="n"/>
      <c r="D1021" s="298" t="n"/>
      <c r="E1021" s="291" t="n"/>
      <c r="F1021" s="291" t="n"/>
      <c r="G1021" s="297" t="n"/>
      <c r="H1021" s="298" t="n"/>
    </row>
    <row r="1022" ht="13" customHeight="1" s="189">
      <c r="A1022" s="297" t="n"/>
      <c r="B1022" s="291" t="n"/>
      <c r="C1022" s="298" t="n"/>
      <c r="D1022" s="298" t="n"/>
      <c r="E1022" s="291" t="n"/>
      <c r="F1022" s="291" t="n"/>
      <c r="G1022" s="297" t="n"/>
      <c r="H1022" s="298" t="n"/>
    </row>
    <row r="1023" ht="13" customHeight="1" s="189">
      <c r="A1023" s="297" t="n"/>
      <c r="B1023" s="291" t="n"/>
      <c r="C1023" s="298" t="n"/>
      <c r="D1023" s="298" t="n"/>
      <c r="E1023" s="291" t="n"/>
      <c r="F1023" s="291" t="n"/>
      <c r="G1023" s="297" t="n"/>
      <c r="H1023" s="298" t="n"/>
    </row>
    <row r="1024" ht="13" customHeight="1" s="189">
      <c r="A1024" s="297" t="n"/>
      <c r="B1024" s="291" t="n"/>
      <c r="C1024" s="298" t="n"/>
      <c r="D1024" s="298" t="n"/>
      <c r="E1024" s="291" t="n"/>
      <c r="F1024" s="291" t="n"/>
      <c r="G1024" s="297" t="n"/>
      <c r="H1024" s="298" t="n"/>
    </row>
    <row r="1025" ht="13" customHeight="1" s="189">
      <c r="A1025" s="297" t="n"/>
      <c r="B1025" s="291" t="n"/>
      <c r="C1025" s="298" t="n"/>
      <c r="D1025" s="298" t="n"/>
      <c r="E1025" s="291" t="n"/>
      <c r="F1025" s="291" t="n"/>
      <c r="G1025" s="297" t="n"/>
      <c r="H1025" s="298" t="n"/>
    </row>
    <row r="1026" ht="13" customHeight="1" s="189">
      <c r="A1026" s="297" t="n"/>
      <c r="B1026" s="291" t="n"/>
      <c r="C1026" s="298" t="n"/>
      <c r="D1026" s="298" t="n"/>
      <c r="E1026" s="291" t="n"/>
      <c r="F1026" s="291" t="n"/>
      <c r="G1026" s="297" t="n"/>
      <c r="H1026" s="298" t="n"/>
    </row>
    <row r="1027" ht="13" customHeight="1" s="189">
      <c r="A1027" s="297" t="n"/>
      <c r="B1027" s="291" t="n"/>
      <c r="C1027" s="298" t="n"/>
      <c r="D1027" s="298" t="n"/>
      <c r="E1027" s="291" t="n"/>
      <c r="F1027" s="291" t="n"/>
      <c r="G1027" s="297" t="n"/>
      <c r="H1027" s="298" t="n"/>
    </row>
    <row r="1028" ht="13" customHeight="1" s="189">
      <c r="A1028" s="297" t="n"/>
      <c r="B1028" s="291" t="n"/>
      <c r="C1028" s="298" t="n"/>
      <c r="D1028" s="298" t="n"/>
      <c r="E1028" s="291" t="n"/>
      <c r="F1028" s="291" t="n"/>
      <c r="G1028" s="297" t="n"/>
      <c r="H1028" s="298" t="n"/>
    </row>
    <row r="1029" ht="13" customHeight="1" s="189">
      <c r="A1029" s="297" t="n"/>
      <c r="B1029" s="291" t="n"/>
      <c r="C1029" s="298" t="n"/>
      <c r="D1029" s="298" t="n"/>
      <c r="E1029" s="291" t="n"/>
      <c r="F1029" s="291" t="n"/>
      <c r="G1029" s="297" t="n"/>
      <c r="H1029" s="298" t="n"/>
    </row>
    <row r="1030" ht="13" customHeight="1" s="189">
      <c r="A1030" s="297" t="n"/>
      <c r="B1030" s="291" t="n"/>
      <c r="C1030" s="298" t="n"/>
      <c r="D1030" s="298" t="n"/>
      <c r="E1030" s="291" t="n"/>
      <c r="F1030" s="291" t="n"/>
      <c r="G1030" s="297" t="n"/>
      <c r="H1030" s="298" t="n"/>
    </row>
    <row r="1031" ht="13" customHeight="1" s="189">
      <c r="A1031" s="297" t="n"/>
      <c r="B1031" s="291" t="n"/>
      <c r="C1031" s="298" t="n"/>
      <c r="D1031" s="298" t="n"/>
      <c r="E1031" s="291" t="n"/>
      <c r="F1031" s="291" t="n"/>
      <c r="G1031" s="297" t="n"/>
      <c r="H1031" s="298" t="n"/>
    </row>
    <row r="1032" ht="13" customHeight="1" s="189">
      <c r="A1032" s="297" t="n"/>
      <c r="B1032" s="291" t="n"/>
      <c r="C1032" s="298" t="n"/>
      <c r="D1032" s="298" t="n"/>
      <c r="E1032" s="291" t="n"/>
      <c r="F1032" s="291" t="n"/>
      <c r="G1032" s="297" t="n"/>
      <c r="H1032" s="298" t="n"/>
    </row>
    <row r="1033" ht="13" customHeight="1" s="189">
      <c r="A1033" s="297" t="n"/>
      <c r="B1033" s="291" t="n"/>
      <c r="C1033" s="298" t="n"/>
      <c r="D1033" s="298" t="n"/>
      <c r="E1033" s="291" t="n"/>
      <c r="F1033" s="291" t="n"/>
      <c r="G1033" s="297" t="n"/>
      <c r="H1033" s="298" t="n"/>
    </row>
    <row r="1034" ht="13" customHeight="1" s="189">
      <c r="A1034" s="297" t="n"/>
      <c r="B1034" s="291" t="n"/>
      <c r="C1034" s="298" t="n"/>
      <c r="D1034" s="298" t="n"/>
      <c r="E1034" s="291" t="n"/>
      <c r="F1034" s="291" t="n"/>
      <c r="G1034" s="297" t="n"/>
      <c r="H1034" s="298" t="n"/>
    </row>
    <row r="1035" ht="13" customHeight="1" s="189">
      <c r="A1035" s="297" t="n"/>
      <c r="B1035" s="291" t="n"/>
      <c r="C1035" s="298" t="n"/>
      <c r="D1035" s="298" t="n"/>
      <c r="E1035" s="291" t="n"/>
      <c r="F1035" s="291" t="n"/>
      <c r="G1035" s="297" t="n"/>
      <c r="H1035" s="298" t="n"/>
    </row>
    <row r="1036" ht="13" customHeight="1" s="189">
      <c r="A1036" s="297" t="n"/>
      <c r="B1036" s="291" t="n"/>
      <c r="C1036" s="298" t="n"/>
      <c r="D1036" s="298" t="n"/>
      <c r="E1036" s="291" t="n"/>
      <c r="F1036" s="291" t="n"/>
      <c r="G1036" s="297" t="n"/>
      <c r="H1036" s="298" t="n"/>
    </row>
    <row r="1037" ht="13" customHeight="1" s="189"/>
    <row r="1038" ht="13" customHeight="1" s="189"/>
    <row r="1039" ht="13" customHeight="1" s="189"/>
    <row r="1040" ht="13" customHeight="1" s="189"/>
    <row r="1041" ht="13" customHeight="1" s="189"/>
    <row r="1042" ht="13" customHeight="1" s="189"/>
    <row r="1043" ht="13" customHeight="1" s="189"/>
    <row r="1044" ht="13" customHeight="1" s="189"/>
    <row r="1045" ht="13" customHeight="1" s="189"/>
    <row r="1046" ht="13" customHeight="1" s="189"/>
    <row r="1047" ht="13" customHeight="1" s="189"/>
    <row r="1048" ht="13" customHeight="1" s="189"/>
    <row r="1049" ht="13" customHeight="1" s="189"/>
    <row r="1050" ht="13" customHeight="1" s="189"/>
    <row r="1051" ht="13" customHeight="1" s="189"/>
    <row r="1052" ht="13" customHeight="1" s="189"/>
    <row r="1053" ht="13" customHeight="1" s="189"/>
    <row r="1054" ht="13" customHeight="1" s="189"/>
    <row r="1055" ht="13" customHeight="1" s="189"/>
    <row r="1056" ht="13" customHeight="1" s="189"/>
    <row r="1057" ht="13" customHeight="1" s="189"/>
    <row r="1058" ht="13" customHeight="1" s="189"/>
    <row r="1059" ht="13" customHeight="1" s="189"/>
    <row r="1060" ht="13" customHeight="1" s="189"/>
    <row r="1061" ht="13" customHeight="1" s="189"/>
    <row r="1062" ht="13" customHeight="1" s="189"/>
    <row r="1063" ht="13" customHeight="1" s="189"/>
    <row r="1064" ht="13" customHeight="1" s="189"/>
    <row r="1065" ht="13" customHeight="1" s="189"/>
    <row r="1066" ht="13" customHeight="1" s="189"/>
    <row r="1067" ht="13" customHeight="1" s="189"/>
    <row r="1068" ht="13" customHeight="1" s="189"/>
    <row r="1069" ht="13" customHeight="1" s="189"/>
    <row r="1070" ht="13" customHeight="1" s="189"/>
    <row r="1071" ht="13" customHeight="1" s="189"/>
    <row r="1072" ht="13" customHeight="1" s="189"/>
    <row r="1073" ht="13" customHeight="1" s="189"/>
    <row r="1074" ht="13" customHeight="1" s="189"/>
    <row r="1075" ht="13" customHeight="1" s="189"/>
    <row r="1076" ht="13" customHeight="1" s="189"/>
    <row r="1077" ht="13" customHeight="1" s="189"/>
    <row r="1078" ht="13" customHeight="1" s="189"/>
    <row r="1079" ht="13" customHeight="1" s="189"/>
    <row r="1080" ht="13" customHeight="1" s="189"/>
    <row r="1081" ht="13" customHeight="1" s="189"/>
    <row r="1082" ht="13" customHeight="1" s="189"/>
    <row r="1083" ht="13" customHeight="1" s="189"/>
    <row r="1084" ht="13" customHeight="1" s="189"/>
    <row r="1085" ht="13" customHeight="1" s="189"/>
    <row r="1086" ht="13" customHeight="1" s="189"/>
    <row r="1087" ht="13" customHeight="1" s="189"/>
    <row r="1088" ht="13" customHeight="1" s="189"/>
    <row r="1089" ht="13" customHeight="1" s="189"/>
    <row r="1090" ht="13" customHeight="1" s="189"/>
    <row r="1091" ht="13" customHeight="1" s="189"/>
    <row r="1092" ht="13" customHeight="1" s="189"/>
    <row r="1093" ht="13" customHeight="1" s="189"/>
    <row r="1094" ht="13" customHeight="1" s="189"/>
    <row r="1095" ht="13" customHeight="1" s="189"/>
    <row r="1096" ht="13" customHeight="1" s="189"/>
    <row r="1097" ht="13" customHeight="1" s="189"/>
    <row r="1098" ht="13" customHeight="1" s="189"/>
    <row r="1099" ht="13" customHeight="1" s="189"/>
    <row r="1100" ht="13" customHeight="1" s="189"/>
    <row r="1101" ht="13" customHeight="1" s="189"/>
    <row r="1102" ht="13" customHeight="1" s="189"/>
    <row r="1103" ht="13" customHeight="1" s="189"/>
    <row r="1104" ht="13" customHeight="1" s="189"/>
    <row r="1105" ht="13" customHeight="1" s="189"/>
    <row r="1106" ht="13" customHeight="1" s="189"/>
    <row r="1107" ht="13" customHeight="1" s="189"/>
    <row r="1108" ht="13" customHeight="1" s="189"/>
    <row r="1109" ht="13" customHeight="1" s="189"/>
    <row r="1110" ht="13" customHeight="1" s="189"/>
    <row r="1111" ht="13" customHeight="1" s="189"/>
    <row r="1112" ht="13" customHeight="1" s="189"/>
    <row r="1113" ht="13" customHeight="1" s="189"/>
    <row r="1114" ht="13" customHeight="1" s="189"/>
    <row r="1115" ht="13" customHeight="1" s="189"/>
    <row r="1116" ht="13" customHeight="1" s="189"/>
    <row r="1117" ht="13" customHeight="1" s="189"/>
    <row r="1118" ht="13" customHeight="1" s="189"/>
    <row r="1119" ht="13" customHeight="1" s="189"/>
    <row r="1120" ht="13" customHeight="1" s="189"/>
    <row r="1121" ht="13" customHeight="1" s="189"/>
    <row r="1122" ht="13" customHeight="1" s="189"/>
    <row r="1123" ht="13" customHeight="1" s="189"/>
    <row r="1124" ht="13" customHeight="1" s="189"/>
    <row r="1125" ht="13" customHeight="1" s="189"/>
    <row r="1126" ht="13" customHeight="1" s="189"/>
    <row r="1127" ht="13" customHeight="1" s="189"/>
    <row r="1128" ht="13" customHeight="1" s="189"/>
    <row r="1129" ht="13" customHeight="1" s="189"/>
    <row r="1130" ht="13" customHeight="1" s="189"/>
    <row r="1131" ht="13" customHeight="1" s="189"/>
    <row r="1132" ht="13" customHeight="1" s="189"/>
    <row r="1133" ht="13" customHeight="1" s="189"/>
    <row r="1134" ht="13" customHeight="1" s="189"/>
    <row r="1135" ht="13" customHeight="1" s="189"/>
    <row r="1136" ht="13" customHeight="1" s="189"/>
    <row r="1137" ht="13" customHeight="1" s="189"/>
    <row r="1138" ht="13" customHeight="1" s="189"/>
    <row r="1139" ht="13" customHeight="1" s="189"/>
    <row r="1140" ht="13" customHeight="1" s="189"/>
    <row r="1141" ht="13" customHeight="1" s="189"/>
    <row r="1142" ht="13" customHeight="1" s="189"/>
    <row r="1143" ht="13" customHeight="1" s="189"/>
    <row r="1144" ht="13" customHeight="1" s="189"/>
    <row r="1145" ht="13" customHeight="1" s="189"/>
    <row r="1146" ht="13" customHeight="1" s="189"/>
    <row r="1147" ht="13" customHeight="1" s="189"/>
    <row r="1148" ht="13" customHeight="1" s="189"/>
    <row r="1149" ht="13" customHeight="1" s="189"/>
    <row r="1150" ht="13" customHeight="1" s="189"/>
    <row r="1151" ht="13" customHeight="1" s="189"/>
    <row r="1152" ht="13" customHeight="1" s="189"/>
    <row r="1153" ht="13" customHeight="1" s="189"/>
    <row r="1154" ht="13" customHeight="1" s="189"/>
    <row r="1155" ht="13" customHeight="1" s="189"/>
    <row r="1156" ht="13" customHeight="1" s="189"/>
    <row r="1157" ht="13" customHeight="1" s="189"/>
    <row r="1158" ht="13" customHeight="1" s="189"/>
    <row r="1159" ht="13" customHeight="1" s="189"/>
    <row r="1160" ht="13" customHeight="1" s="189"/>
    <row r="1161" ht="13" customHeight="1" s="189"/>
    <row r="1162" ht="13" customHeight="1" s="189"/>
    <row r="1163" ht="13" customHeight="1" s="189"/>
    <row r="1164" ht="13" customHeight="1" s="189"/>
    <row r="1165" ht="13" customHeight="1" s="189"/>
    <row r="1166" ht="13" customHeight="1" s="189"/>
    <row r="1167" ht="13" customHeight="1" s="189"/>
    <row r="1168" ht="13" customHeight="1" s="189"/>
    <row r="1169" ht="13" customHeight="1" s="189"/>
    <row r="1170" ht="13" customHeight="1" s="189"/>
    <row r="1171" ht="13" customHeight="1" s="189"/>
    <row r="1172" ht="13" customHeight="1" s="189"/>
    <row r="1173" ht="13" customHeight="1" s="189"/>
    <row r="1174" ht="13" customHeight="1" s="189"/>
    <row r="1175" ht="13" customHeight="1" s="189"/>
    <row r="1176" ht="13" customHeight="1" s="189"/>
    <row r="1177" ht="13" customHeight="1" s="189"/>
    <row r="1178" ht="13" customHeight="1" s="189"/>
    <row r="1179" ht="13" customHeight="1" s="189"/>
    <row r="1180" ht="13" customHeight="1" s="189"/>
    <row r="1181" ht="13" customHeight="1" s="189"/>
    <row r="1182" ht="13" customHeight="1" s="189"/>
    <row r="1183" ht="13" customHeight="1" s="189"/>
    <row r="1184" ht="13" customHeight="1" s="189"/>
    <row r="1185" ht="13" customHeight="1" s="189"/>
    <row r="1186" ht="13" customHeight="1" s="189"/>
    <row r="1187" ht="13" customHeight="1" s="189"/>
    <row r="1188" ht="13" customHeight="1" s="189"/>
    <row r="1189" ht="13" customHeight="1" s="189"/>
    <row r="1190" ht="13" customHeight="1" s="189"/>
    <row r="1191" ht="13" customHeight="1" s="189"/>
    <row r="1192" ht="13" customHeight="1" s="189"/>
    <row r="1193" ht="13" customHeight="1" s="189"/>
    <row r="1194" ht="13" customHeight="1" s="189"/>
    <row r="1195" ht="13" customHeight="1" s="189"/>
    <row r="1196" ht="13" customHeight="1" s="189"/>
    <row r="1197" ht="13" customHeight="1" s="189"/>
    <row r="1198" ht="13" customHeight="1" s="189"/>
    <row r="1199" ht="13" customHeight="1" s="189"/>
    <row r="1200" ht="13" customHeight="1" s="189"/>
    <row r="1201" ht="13" customHeight="1" s="189"/>
    <row r="1202" ht="13" customHeight="1" s="189"/>
    <row r="1203" ht="13" customHeight="1" s="189"/>
    <row r="1204" ht="13" customHeight="1" s="189"/>
    <row r="1205" ht="13" customHeight="1" s="189"/>
    <row r="1206" ht="13" customHeight="1" s="189"/>
    <row r="1207" ht="13" customHeight="1" s="189"/>
    <row r="1208" ht="13" customHeight="1" s="189"/>
    <row r="1209" ht="13" customHeight="1" s="189"/>
    <row r="1210" ht="13" customHeight="1" s="189"/>
    <row r="1211" ht="13" customHeight="1" s="189"/>
    <row r="1212" ht="13" customHeight="1" s="189"/>
    <row r="1213" ht="13" customHeight="1" s="189"/>
    <row r="1214" ht="13" customHeight="1" s="189"/>
    <row r="1215" ht="13" customHeight="1" s="189"/>
    <row r="1216" ht="13" customHeight="1" s="189"/>
    <row r="1217" ht="13" customHeight="1" s="189"/>
    <row r="1218" ht="13" customHeight="1" s="189"/>
    <row r="1219" ht="13" customHeight="1" s="189"/>
    <row r="1220" ht="13" customHeight="1" s="189"/>
    <row r="1221" ht="13" customHeight="1" s="189"/>
    <row r="1222" ht="13" customHeight="1" s="189"/>
    <row r="1223" ht="13" customHeight="1" s="189"/>
    <row r="1224" ht="13" customHeight="1" s="189"/>
    <row r="1225" ht="13" customHeight="1" s="189"/>
    <row r="1226" ht="13" customHeight="1" s="189"/>
    <row r="1227" ht="13" customHeight="1" s="189"/>
    <row r="1228" ht="13" customHeight="1" s="189"/>
    <row r="1229" ht="13" customHeight="1" s="189"/>
    <row r="1230" ht="13" customHeight="1" s="189"/>
    <row r="1231" ht="13" customHeight="1" s="189"/>
    <row r="1232" ht="13" customHeight="1" s="189"/>
    <row r="1233" ht="13" customHeight="1" s="189"/>
    <row r="1234" ht="13" customHeight="1" s="189"/>
    <row r="1235" ht="13" customHeight="1" s="189"/>
    <row r="1236" ht="13" customHeight="1" s="189"/>
    <row r="1237" ht="13" customHeight="1" s="189"/>
    <row r="1238" ht="13" customHeight="1" s="189"/>
    <row r="1239" ht="13" customHeight="1" s="189"/>
    <row r="1240" ht="13" customHeight="1" s="189"/>
    <row r="1241" ht="13" customHeight="1" s="189"/>
    <row r="1242" ht="13" customHeight="1" s="189"/>
    <row r="1243" ht="13" customHeight="1" s="189"/>
    <row r="1244" ht="13" customHeight="1" s="189"/>
    <row r="1245" ht="13" customHeight="1" s="189"/>
    <row r="1246" ht="13" customHeight="1" s="189"/>
    <row r="1247" ht="13" customHeight="1" s="189"/>
    <row r="1248" ht="13" customHeight="1" s="189"/>
    <row r="1249" ht="13" customHeight="1" s="189"/>
    <row r="1250" ht="13" customHeight="1" s="189"/>
    <row r="1251" ht="13" customHeight="1" s="189"/>
    <row r="1252" ht="13" customHeight="1" s="189"/>
    <row r="1253" ht="13" customHeight="1" s="189"/>
    <row r="1254" ht="13" customHeight="1" s="189"/>
    <row r="1255" ht="13" customHeight="1" s="189"/>
    <row r="1256" ht="13" customHeight="1" s="189"/>
    <row r="1257" ht="13" customHeight="1" s="189"/>
    <row r="1258" ht="13" customHeight="1" s="189"/>
    <row r="1259" ht="13" customHeight="1" s="189"/>
    <row r="1260" ht="13" customHeight="1" s="189"/>
    <row r="1261" ht="13" customHeight="1" s="189"/>
    <row r="1262" ht="13" customHeight="1" s="189"/>
    <row r="1263" ht="13" customHeight="1" s="189"/>
    <row r="1264" ht="13" customHeight="1" s="189"/>
    <row r="1265" ht="13" customHeight="1" s="189"/>
    <row r="1266" ht="13" customHeight="1" s="189"/>
    <row r="1267" ht="13" customHeight="1" s="189"/>
    <row r="1268" ht="13" customHeight="1" s="189"/>
    <row r="1269" ht="13" customHeight="1" s="189"/>
    <row r="1270" ht="13" customHeight="1" s="189"/>
    <row r="1271" ht="13" customHeight="1" s="189"/>
    <row r="1272" ht="13" customHeight="1" s="189"/>
    <row r="1273" ht="13" customHeight="1" s="189"/>
    <row r="1274" ht="13" customHeight="1" s="189"/>
    <row r="1275" ht="13" customHeight="1" s="189"/>
    <row r="1276" ht="13" customHeight="1" s="189"/>
    <row r="1277" ht="13" customHeight="1" s="189"/>
    <row r="1278" ht="13" customHeight="1" s="189"/>
    <row r="1279" ht="13" customHeight="1" s="189"/>
    <row r="1280" ht="13" customHeight="1" s="189"/>
    <row r="1281" ht="13" customHeight="1" s="189"/>
    <row r="1282" ht="13" customHeight="1" s="189"/>
    <row r="1283" ht="13" customHeight="1" s="189"/>
    <row r="1284" ht="13" customHeight="1" s="189"/>
    <row r="1285" ht="13" customHeight="1" s="189"/>
    <row r="1286" ht="13" customHeight="1" s="189"/>
    <row r="1287" ht="13" customHeight="1" s="189"/>
    <row r="1288" ht="13" customHeight="1" s="189"/>
    <row r="1289" ht="13" customHeight="1" s="189"/>
    <row r="1290" ht="13" customHeight="1" s="189"/>
    <row r="1291" ht="13" customHeight="1" s="189"/>
    <row r="1292" ht="13" customHeight="1" s="189"/>
    <row r="1293" ht="13" customHeight="1" s="189"/>
    <row r="1294" ht="13" customHeight="1" s="189"/>
    <row r="1295" ht="13" customHeight="1" s="189"/>
    <row r="1296" ht="13" customHeight="1" s="189"/>
    <row r="1297" ht="13" customHeight="1" s="189"/>
    <row r="1298" ht="13" customHeight="1" s="189"/>
    <row r="1299" ht="13" customHeight="1" s="189"/>
    <row r="1300" ht="13" customHeight="1" s="189"/>
    <row r="1301" ht="13" customHeight="1" s="189"/>
    <row r="1302" ht="13" customHeight="1" s="189"/>
    <row r="1303" ht="13" customHeight="1" s="189"/>
    <row r="1304" ht="13" customHeight="1" s="189"/>
    <row r="1305" ht="13" customHeight="1" s="189"/>
    <row r="1306" ht="13" customHeight="1" s="189"/>
    <row r="1307" ht="13" customHeight="1" s="189"/>
    <row r="1308" ht="13" customHeight="1" s="189"/>
    <row r="1309" ht="13" customHeight="1" s="189"/>
    <row r="1310" ht="13" customHeight="1" s="189"/>
    <row r="1311" ht="13" customHeight="1" s="189"/>
    <row r="1312" ht="13" customHeight="1" s="189"/>
    <row r="1313" ht="13" customHeight="1" s="189"/>
    <row r="1314" ht="13" customHeight="1" s="189"/>
    <row r="1315" ht="13" customHeight="1" s="189"/>
    <row r="1316" ht="13" customHeight="1" s="189"/>
    <row r="1317" ht="13" customHeight="1" s="189"/>
    <row r="1318" ht="13" customHeight="1" s="189"/>
    <row r="1319" ht="13" customHeight="1" s="189"/>
    <row r="1320" ht="13" customHeight="1" s="189"/>
    <row r="1321" ht="13" customHeight="1" s="189"/>
    <row r="1322" ht="13" customHeight="1" s="189"/>
    <row r="1323" ht="13" customHeight="1" s="189"/>
    <row r="1324" ht="13" customHeight="1" s="189"/>
    <row r="1325" ht="13" customHeight="1" s="189"/>
    <row r="1326" ht="13" customHeight="1" s="189"/>
    <row r="1327" ht="13" customHeight="1" s="189"/>
    <row r="1328" ht="13" customHeight="1" s="189"/>
    <row r="1329" ht="13" customHeight="1" s="189"/>
    <row r="1330" ht="13" customHeight="1" s="189"/>
    <row r="1331" ht="13" customHeight="1" s="189"/>
    <row r="1332" ht="13" customHeight="1" s="189"/>
    <row r="1333" ht="13" customHeight="1" s="189"/>
    <row r="1334" ht="13" customHeight="1" s="189"/>
    <row r="1335" ht="13" customHeight="1" s="189"/>
    <row r="1336" ht="13" customHeight="1" s="189"/>
    <row r="1337" ht="13" customHeight="1" s="189"/>
    <row r="1338" ht="13" customHeight="1" s="189"/>
    <row r="1339" ht="13" customHeight="1" s="189"/>
    <row r="1340" ht="13" customHeight="1" s="189"/>
    <row r="1341" ht="13" customHeight="1" s="189"/>
    <row r="1342" ht="13" customHeight="1" s="189"/>
    <row r="1343" ht="13" customHeight="1" s="189"/>
    <row r="1344" ht="13" customHeight="1" s="189"/>
    <row r="1345" ht="13" customHeight="1" s="189"/>
    <row r="1346" ht="13" customHeight="1" s="189"/>
    <row r="1347" ht="13" customHeight="1" s="189"/>
    <row r="1348" ht="13" customHeight="1" s="189"/>
    <row r="1349" ht="13" customHeight="1" s="189"/>
    <row r="1350" ht="13" customHeight="1" s="189"/>
    <row r="1351" ht="13" customHeight="1" s="189"/>
    <row r="1352" ht="13" customHeight="1" s="189"/>
    <row r="1353" ht="13" customHeight="1" s="189"/>
    <row r="1354" ht="13" customHeight="1" s="189"/>
    <row r="1355" ht="13" customHeight="1" s="189"/>
    <row r="1356" ht="13" customHeight="1" s="189"/>
    <row r="1357" ht="13" customHeight="1" s="189"/>
    <row r="1358" ht="13" customHeight="1" s="189"/>
    <row r="1359" ht="13" customHeight="1" s="189"/>
    <row r="1360" ht="13" customHeight="1" s="189"/>
    <row r="1361" ht="13" customHeight="1" s="189"/>
    <row r="1362" ht="13" customHeight="1" s="189"/>
    <row r="1363" ht="13" customHeight="1" s="189"/>
    <row r="1364" ht="13" customHeight="1" s="189"/>
    <row r="1365" ht="13" customHeight="1" s="189"/>
    <row r="1366" ht="13" customHeight="1" s="189"/>
    <row r="1367" ht="13" customHeight="1" s="189"/>
    <row r="1368" ht="13" customHeight="1" s="189"/>
    <row r="1369" ht="13" customHeight="1" s="189"/>
    <row r="1370" ht="13" customHeight="1" s="189"/>
    <row r="1371" ht="13" customHeight="1" s="189"/>
    <row r="1372" ht="13" customHeight="1" s="189"/>
    <row r="1373" ht="13" customHeight="1" s="189"/>
    <row r="1374" ht="13" customHeight="1" s="189"/>
    <row r="1375" ht="13" customHeight="1" s="189"/>
    <row r="1376" ht="13" customHeight="1" s="189"/>
    <row r="1377" ht="13" customHeight="1" s="189"/>
    <row r="1378" ht="13" customHeight="1" s="189"/>
    <row r="1379" ht="13" customHeight="1" s="189"/>
    <row r="1380" ht="13" customHeight="1" s="189"/>
    <row r="1381" ht="13" customHeight="1" s="189"/>
    <row r="1382" ht="13" customHeight="1" s="189"/>
    <row r="1383" ht="13" customHeight="1" s="189"/>
    <row r="1384" ht="13" customHeight="1" s="189"/>
    <row r="1385" ht="13" customHeight="1" s="189"/>
    <row r="1386" ht="13" customHeight="1" s="189"/>
    <row r="1387" ht="13" customHeight="1" s="189"/>
    <row r="1388" ht="13" customHeight="1" s="189"/>
    <row r="1389" ht="13" customHeight="1" s="189"/>
    <row r="1390" ht="13" customHeight="1" s="189"/>
    <row r="1391" ht="13" customHeight="1" s="189"/>
    <row r="1392" ht="13" customHeight="1" s="189"/>
    <row r="1393" ht="13" customHeight="1" s="189"/>
    <row r="1394" ht="13" customHeight="1" s="189"/>
    <row r="1395" ht="13" customHeight="1" s="189"/>
    <row r="1396" ht="13" customHeight="1" s="189"/>
    <row r="1397" ht="13" customHeight="1" s="189"/>
    <row r="1398" ht="13" customHeight="1" s="189"/>
    <row r="1399" ht="13" customHeight="1" s="189"/>
    <row r="1400" ht="13" customHeight="1" s="189"/>
    <row r="1401" ht="13" customHeight="1" s="189"/>
    <row r="1402" ht="13" customHeight="1" s="189"/>
    <row r="1403" ht="13" customHeight="1" s="189"/>
    <row r="1404" ht="13" customHeight="1" s="189"/>
    <row r="1405" ht="13" customHeight="1" s="189"/>
    <row r="1406" ht="13" customHeight="1" s="189"/>
    <row r="1407" ht="13" customHeight="1" s="189"/>
    <row r="1408" ht="13" customHeight="1" s="189"/>
    <row r="1409" ht="13" customHeight="1" s="189"/>
    <row r="1410" ht="13" customHeight="1" s="189"/>
    <row r="1411" ht="13" customHeight="1" s="189"/>
    <row r="1412" ht="13" customHeight="1" s="189"/>
    <row r="1413" ht="13" customHeight="1" s="189"/>
    <row r="1414" ht="13" customHeight="1" s="189"/>
    <row r="1415" ht="13" customHeight="1" s="189"/>
    <row r="1416" ht="13" customHeight="1" s="189"/>
    <row r="1417" ht="13" customHeight="1" s="189"/>
    <row r="1418" ht="13" customHeight="1" s="189"/>
    <row r="1419" ht="13" customHeight="1" s="189"/>
    <row r="1420" ht="13" customHeight="1" s="189"/>
    <row r="1421" ht="13" customHeight="1" s="189"/>
    <row r="1422" ht="13" customHeight="1" s="189"/>
    <row r="1423" ht="13" customHeight="1" s="189"/>
    <row r="1424" ht="13" customHeight="1" s="189"/>
    <row r="1425" ht="13" customHeight="1" s="189"/>
    <row r="1426" ht="13" customHeight="1" s="189"/>
    <row r="1427" ht="13" customHeight="1" s="189"/>
    <row r="1428" ht="13" customHeight="1" s="189"/>
    <row r="1429" ht="13" customHeight="1" s="189"/>
    <row r="1430" ht="13" customHeight="1" s="189"/>
    <row r="1431" ht="13" customHeight="1" s="189"/>
    <row r="1432" ht="13" customHeight="1" s="189"/>
    <row r="1433" ht="13" customHeight="1" s="189"/>
    <row r="1434" ht="13" customHeight="1" s="189"/>
    <row r="1435" ht="13" customHeight="1" s="189"/>
    <row r="1436" ht="13" customHeight="1" s="189"/>
    <row r="1437" ht="13" customHeight="1" s="189"/>
    <row r="1438" ht="13" customHeight="1" s="189"/>
    <row r="1439" ht="13" customHeight="1" s="189"/>
    <row r="1440" ht="13" customHeight="1" s="189"/>
    <row r="1441" ht="13" customHeight="1" s="189"/>
    <row r="1442" ht="13" customHeight="1" s="189"/>
    <row r="1443" ht="13" customHeight="1" s="189"/>
    <row r="1444" ht="13" customHeight="1" s="189"/>
    <row r="1445" ht="13" customHeight="1" s="189"/>
    <row r="1446" ht="13" customHeight="1" s="189"/>
    <row r="1447" ht="13" customHeight="1" s="189"/>
    <row r="1448" ht="13" customHeight="1" s="189"/>
    <row r="1449" ht="13" customHeight="1" s="189"/>
    <row r="1450" ht="13" customHeight="1" s="189"/>
    <row r="1451" ht="13" customHeight="1" s="189"/>
    <row r="1452" ht="13" customHeight="1" s="189"/>
    <row r="1453" ht="13" customHeight="1" s="189"/>
    <row r="1454" ht="13" customHeight="1" s="189"/>
    <row r="1455" ht="13" customHeight="1" s="189"/>
    <row r="1456" ht="13" customHeight="1" s="189"/>
    <row r="1457" ht="13" customHeight="1" s="189"/>
    <row r="1458" ht="13" customHeight="1" s="189"/>
    <row r="1459" ht="13" customHeight="1" s="189"/>
    <row r="1460" ht="13" customHeight="1" s="189"/>
    <row r="1461" ht="13" customHeight="1" s="189"/>
    <row r="1462" ht="13" customHeight="1" s="189"/>
    <row r="1463" ht="13" customHeight="1" s="189"/>
    <row r="1464" ht="13" customHeight="1" s="189"/>
    <row r="1465" ht="13" customHeight="1" s="189"/>
    <row r="1466" ht="13" customHeight="1" s="189"/>
    <row r="1467" ht="13" customHeight="1" s="189"/>
    <row r="1468" ht="13" customHeight="1" s="189"/>
    <row r="1469" ht="13" customHeight="1" s="189"/>
    <row r="1470" ht="13" customHeight="1" s="189"/>
    <row r="1471" ht="13" customHeight="1" s="189"/>
    <row r="1472" ht="13" customHeight="1" s="189"/>
    <row r="1473" ht="13" customHeight="1" s="189"/>
    <row r="1474" ht="13" customHeight="1" s="189"/>
    <row r="1475" ht="13" customHeight="1" s="189"/>
    <row r="1476" ht="13" customHeight="1" s="189"/>
    <row r="1477" ht="13" customHeight="1" s="189"/>
    <row r="1478" ht="13" customHeight="1" s="189"/>
    <row r="1479" ht="13" customHeight="1" s="189"/>
    <row r="1480" ht="13" customHeight="1" s="189"/>
    <row r="1481" ht="13" customHeight="1" s="189"/>
    <row r="1482" ht="13" customHeight="1" s="189"/>
    <row r="1483" ht="13" customHeight="1" s="189"/>
    <row r="1484" ht="13" customHeight="1" s="189"/>
    <row r="1485" ht="13" customHeight="1" s="189"/>
    <row r="1486" ht="13" customHeight="1" s="189"/>
    <row r="1487" ht="13" customHeight="1" s="189"/>
    <row r="1488" ht="13" customHeight="1" s="189"/>
    <row r="1489" ht="13" customHeight="1" s="189"/>
    <row r="1490" ht="13" customHeight="1" s="189"/>
    <row r="1491" ht="13" customHeight="1" s="189"/>
    <row r="1492" ht="13" customHeight="1" s="189"/>
    <row r="1493" ht="13" customHeight="1" s="189"/>
    <row r="1494" ht="13" customHeight="1" s="189"/>
    <row r="1495" ht="13" customHeight="1" s="189"/>
    <row r="1496" ht="13" customHeight="1" s="189"/>
    <row r="1497" ht="13" customHeight="1" s="189"/>
    <row r="1498" ht="13" customHeight="1" s="189"/>
    <row r="1499" ht="13" customHeight="1" s="189"/>
    <row r="1500" ht="13" customHeight="1" s="189"/>
    <row r="1501" ht="13" customHeight="1" s="189"/>
    <row r="1502" ht="13" customHeight="1" s="189"/>
    <row r="1503" ht="13" customHeight="1" s="189"/>
    <row r="1504" ht="13" customHeight="1" s="189"/>
    <row r="1505" ht="13" customHeight="1" s="189"/>
    <row r="1506" ht="13" customHeight="1" s="189"/>
    <row r="1507" ht="13" customHeight="1" s="189"/>
    <row r="1508" ht="13" customHeight="1" s="189"/>
    <row r="1509" ht="13" customHeight="1" s="189"/>
    <row r="1510" ht="13" customHeight="1" s="189"/>
    <row r="1511" ht="13" customHeight="1" s="189"/>
    <row r="1512" ht="13" customHeight="1" s="189"/>
    <row r="1513" ht="13" customHeight="1" s="189"/>
    <row r="1514" ht="13" customHeight="1" s="189"/>
    <row r="1515" ht="13" customHeight="1" s="189"/>
    <row r="1516" ht="13" customHeight="1" s="189"/>
    <row r="1517" ht="13" customHeight="1" s="189"/>
    <row r="1518" ht="13" customHeight="1" s="189"/>
    <row r="1519" ht="13" customHeight="1" s="189"/>
    <row r="1520" ht="13" customHeight="1" s="189"/>
    <row r="1521" ht="13" customHeight="1" s="189"/>
    <row r="1522" ht="13" customHeight="1" s="189"/>
    <row r="1523" ht="13" customHeight="1" s="189"/>
    <row r="1524" ht="13" customHeight="1" s="189"/>
    <row r="1525" ht="13" customHeight="1" s="189"/>
    <row r="1526" ht="13" customHeight="1" s="189"/>
    <row r="1527" ht="13" customHeight="1" s="189"/>
    <row r="1528" ht="13" customHeight="1" s="189"/>
    <row r="1529" ht="13" customHeight="1" s="189"/>
    <row r="1530" ht="13" customHeight="1" s="189"/>
    <row r="1531" ht="13" customHeight="1" s="189"/>
    <row r="1532" ht="13" customHeight="1" s="189"/>
    <row r="1533" ht="13" customHeight="1" s="189"/>
    <row r="1534" ht="13" customHeight="1" s="189"/>
    <row r="1535" ht="13" customHeight="1" s="189"/>
    <row r="1536" ht="13" customHeight="1" s="189"/>
    <row r="1537" ht="13" customHeight="1" s="189"/>
    <row r="1538" ht="13" customHeight="1" s="189"/>
    <row r="1539" ht="13" customHeight="1" s="189"/>
    <row r="1540" ht="13" customHeight="1" s="189"/>
    <row r="1541" ht="13" customHeight="1" s="189"/>
    <row r="1542" ht="13" customHeight="1" s="189"/>
    <row r="1543" ht="13" customHeight="1" s="189"/>
    <row r="1544" ht="13" customHeight="1" s="189"/>
    <row r="1545" ht="13" customHeight="1" s="189"/>
    <row r="1546" ht="13" customHeight="1" s="189"/>
    <row r="1547" ht="13" customHeight="1" s="189"/>
    <row r="1548" ht="13" customHeight="1" s="189"/>
    <row r="1549" ht="13" customHeight="1" s="189"/>
    <row r="1550" ht="13" customHeight="1" s="189"/>
    <row r="1551" ht="13" customHeight="1" s="189"/>
    <row r="1552" ht="13" customHeight="1" s="189"/>
    <row r="1553" ht="13" customHeight="1" s="189"/>
    <row r="1554" ht="13" customHeight="1" s="189"/>
    <row r="1555" ht="13" customHeight="1" s="189"/>
    <row r="1556" ht="13" customHeight="1" s="189"/>
    <row r="1557" ht="13" customHeight="1" s="189"/>
    <row r="1558" ht="13" customHeight="1" s="189"/>
    <row r="1559" ht="13" customHeight="1" s="189"/>
    <row r="1560" ht="13" customHeight="1" s="189"/>
    <row r="1561" ht="13" customHeight="1" s="189"/>
    <row r="1562" ht="13" customHeight="1" s="189"/>
    <row r="1563" ht="13" customHeight="1" s="189"/>
    <row r="1564" ht="13" customHeight="1" s="189"/>
    <row r="1565" ht="13" customHeight="1" s="189"/>
    <row r="1566" ht="13" customHeight="1" s="189"/>
    <row r="1567" ht="13" customHeight="1" s="189"/>
    <row r="1568" ht="13" customHeight="1" s="189"/>
    <row r="1569" ht="13" customHeight="1" s="189"/>
    <row r="1570" ht="13" customHeight="1" s="189"/>
    <row r="1571" ht="13" customHeight="1" s="189"/>
    <row r="1572" ht="13" customHeight="1" s="189"/>
    <row r="1573" ht="13" customHeight="1" s="189"/>
    <row r="1574" ht="13" customHeight="1" s="189"/>
    <row r="1575" ht="13" customHeight="1" s="189"/>
    <row r="1576" ht="13" customHeight="1" s="189"/>
    <row r="1577" ht="13" customHeight="1" s="189"/>
    <row r="1578" ht="13" customHeight="1" s="189"/>
    <row r="1579" ht="13" customHeight="1" s="189"/>
    <row r="1580" ht="13" customHeight="1" s="189"/>
    <row r="1581" ht="13" customHeight="1" s="189"/>
    <row r="1582" ht="13" customHeight="1" s="189"/>
    <row r="1583" ht="13" customHeight="1" s="189"/>
    <row r="1584" ht="13" customHeight="1" s="189"/>
    <row r="1585" ht="13" customHeight="1" s="189"/>
    <row r="1586" ht="13" customHeight="1" s="189"/>
    <row r="1587" ht="13" customHeight="1" s="189"/>
    <row r="1588" ht="13" customHeight="1" s="189"/>
    <row r="1589" ht="13" customHeight="1" s="189"/>
    <row r="1590" ht="13" customHeight="1" s="189"/>
    <row r="1591" ht="13" customHeight="1" s="189"/>
    <row r="1592" ht="13" customHeight="1" s="189"/>
    <row r="1593" ht="13" customHeight="1" s="189"/>
    <row r="1594" ht="13" customHeight="1" s="189"/>
    <row r="1595" ht="13" customHeight="1" s="189"/>
    <row r="1596" ht="13" customHeight="1" s="189"/>
    <row r="1597" ht="13" customHeight="1" s="189"/>
    <row r="1598" ht="13" customHeight="1" s="189"/>
    <row r="1599" ht="13" customHeight="1" s="189"/>
    <row r="1600" ht="13" customHeight="1" s="189"/>
    <row r="1601" ht="13" customHeight="1" s="189"/>
    <row r="1602" ht="13" customHeight="1" s="189"/>
    <row r="1603" ht="13" customHeight="1" s="189"/>
    <row r="1604" ht="13" customHeight="1" s="189"/>
    <row r="1605" ht="13" customHeight="1" s="189"/>
    <row r="1606" ht="13" customHeight="1" s="189"/>
    <row r="1607" ht="13" customHeight="1" s="189"/>
    <row r="1608" ht="13" customHeight="1" s="189"/>
    <row r="1609" ht="13" customHeight="1" s="189"/>
    <row r="1610" ht="13" customHeight="1" s="189"/>
    <row r="1611" ht="13" customHeight="1" s="189"/>
    <row r="1612" ht="13" customHeight="1" s="189"/>
    <row r="1613" ht="13" customHeight="1" s="189"/>
    <row r="1614" ht="13" customHeight="1" s="189"/>
    <row r="1615" ht="13" customHeight="1" s="189"/>
    <row r="1616" ht="13" customHeight="1" s="189"/>
    <row r="1617" ht="13" customHeight="1" s="189"/>
    <row r="1618" ht="13" customHeight="1" s="189"/>
    <row r="1619" ht="13" customHeight="1" s="189"/>
    <row r="1620" ht="13" customHeight="1" s="189"/>
    <row r="1621" ht="13" customHeight="1" s="189"/>
    <row r="1622" ht="13" customHeight="1" s="189"/>
    <row r="1623" ht="13" customHeight="1" s="189"/>
    <row r="1624" ht="13" customHeight="1" s="189"/>
    <row r="1625" ht="13" customHeight="1" s="189"/>
    <row r="1626" ht="13" customHeight="1" s="189"/>
    <row r="1627" ht="13" customHeight="1" s="189"/>
    <row r="1628" ht="13" customHeight="1" s="189"/>
    <row r="1629" ht="13" customHeight="1" s="189"/>
    <row r="1630" ht="13" customHeight="1" s="189"/>
    <row r="1631" ht="13" customHeight="1" s="189"/>
    <row r="1632" ht="13" customHeight="1" s="189"/>
    <row r="1633" ht="13" customHeight="1" s="189"/>
    <row r="1634" ht="13" customHeight="1" s="189"/>
    <row r="1635" ht="13" customHeight="1" s="189"/>
    <row r="1636" ht="13" customHeight="1" s="189"/>
    <row r="1637" ht="13" customHeight="1" s="189"/>
    <row r="1638" ht="13" customHeight="1" s="189"/>
    <row r="1639" ht="13" customHeight="1" s="189"/>
    <row r="1640" ht="13" customHeight="1" s="189"/>
    <row r="1641" ht="13" customHeight="1" s="189"/>
    <row r="1642" ht="13" customHeight="1" s="189"/>
    <row r="1643" ht="13" customHeight="1" s="189"/>
    <row r="1644" ht="13" customHeight="1" s="189"/>
    <row r="1645" ht="13" customHeight="1" s="189"/>
    <row r="1646" ht="13" customHeight="1" s="189"/>
    <row r="1647" ht="13" customHeight="1" s="189"/>
    <row r="1648" ht="13" customHeight="1" s="189"/>
    <row r="1649" ht="13" customHeight="1" s="189"/>
    <row r="1650" ht="13" customHeight="1" s="189"/>
    <row r="1651" ht="13" customHeight="1" s="189"/>
    <row r="1652" ht="13" customHeight="1" s="189"/>
    <row r="1653" ht="13" customHeight="1" s="189"/>
    <row r="1654" ht="13" customHeight="1" s="189"/>
    <row r="1655" ht="13" customHeight="1" s="189"/>
    <row r="1656" ht="13" customHeight="1" s="189"/>
    <row r="1657" ht="13" customHeight="1" s="189"/>
    <row r="1658" ht="13" customHeight="1" s="189"/>
    <row r="1659" ht="13" customHeight="1" s="189"/>
    <row r="1660" ht="13" customHeight="1" s="189"/>
    <row r="1661" ht="13" customHeight="1" s="189"/>
    <row r="1662" ht="13" customHeight="1" s="189"/>
    <row r="1663" ht="13" customHeight="1" s="189"/>
    <row r="1664" ht="13" customHeight="1" s="189"/>
    <row r="1665" ht="13" customHeight="1" s="189"/>
    <row r="1666" ht="13" customHeight="1" s="189"/>
    <row r="1667" ht="13" customHeight="1" s="189"/>
    <row r="1668" ht="13" customHeight="1" s="189"/>
    <row r="1669" ht="13" customHeight="1" s="189"/>
    <row r="1670" ht="13" customHeight="1" s="189"/>
    <row r="1671" ht="13" customHeight="1" s="189"/>
    <row r="1672" ht="13" customHeight="1" s="189"/>
    <row r="1673" ht="13" customHeight="1" s="189"/>
    <row r="1674" ht="13" customHeight="1" s="189"/>
    <row r="1675" ht="13" customHeight="1" s="189"/>
    <row r="1676" ht="13" customHeight="1" s="189"/>
    <row r="1677" ht="13" customHeight="1" s="189"/>
    <row r="1678" ht="13" customHeight="1" s="189"/>
    <row r="1679" ht="13" customHeight="1" s="189"/>
    <row r="1680" ht="13" customHeight="1" s="189"/>
    <row r="1681" ht="13" customHeight="1" s="189"/>
    <row r="1682" ht="13" customHeight="1" s="189"/>
    <row r="1683" ht="13" customHeight="1" s="189"/>
    <row r="1684" ht="13" customHeight="1" s="189"/>
    <row r="1685" ht="13" customHeight="1" s="189"/>
    <row r="1686" ht="13" customHeight="1" s="189"/>
    <row r="1687" ht="13" customHeight="1" s="189"/>
    <row r="1688" ht="13" customHeight="1" s="189"/>
    <row r="1689" ht="13" customHeight="1" s="189"/>
    <row r="1690" ht="13" customHeight="1" s="189"/>
    <row r="1691" ht="13" customHeight="1" s="189"/>
    <row r="1692" ht="13" customHeight="1" s="189"/>
    <row r="1693" ht="13" customHeight="1" s="189"/>
    <row r="1694" ht="13" customHeight="1" s="189"/>
    <row r="1695" ht="13" customHeight="1" s="189"/>
    <row r="1696" ht="13" customHeight="1" s="189"/>
    <row r="1697" ht="13" customHeight="1" s="189"/>
    <row r="1698" ht="13" customHeight="1" s="189"/>
    <row r="1699" ht="13" customHeight="1" s="189"/>
    <row r="1700" ht="13" customHeight="1" s="189"/>
    <row r="1701" ht="13" customHeight="1" s="189"/>
    <row r="1702" ht="13" customHeight="1" s="189"/>
    <row r="1703" ht="13" customHeight="1" s="189"/>
    <row r="1704" ht="13" customHeight="1" s="189"/>
    <row r="1705" ht="13" customHeight="1" s="189"/>
    <row r="1706" ht="13" customHeight="1" s="189"/>
    <row r="1707" ht="13" customHeight="1" s="189"/>
    <row r="1708" ht="13" customHeight="1" s="189"/>
    <row r="1709" ht="13" customHeight="1" s="189"/>
    <row r="1710" ht="13" customHeight="1" s="189"/>
    <row r="1711" ht="13" customHeight="1" s="189"/>
    <row r="1712" ht="13" customHeight="1" s="189"/>
    <row r="1713" ht="13" customHeight="1" s="189"/>
    <row r="1714" ht="13" customHeight="1" s="189"/>
    <row r="1715" ht="13" customHeight="1" s="189"/>
    <row r="1716" ht="13" customHeight="1" s="189"/>
    <row r="1717" ht="13" customHeight="1" s="189"/>
    <row r="1718" ht="13" customHeight="1" s="189"/>
    <row r="1719" ht="13" customHeight="1" s="189"/>
    <row r="1720" ht="13" customHeight="1" s="189"/>
    <row r="1721" ht="13" customHeight="1" s="189"/>
    <row r="1722" ht="13" customHeight="1" s="189"/>
    <row r="1723" ht="13" customHeight="1" s="189"/>
    <row r="1724" ht="13" customHeight="1" s="189"/>
    <row r="1725" ht="13" customHeight="1" s="189"/>
    <row r="1726" ht="13" customHeight="1" s="189"/>
    <row r="1727" ht="13" customHeight="1" s="189"/>
    <row r="1728" ht="13" customHeight="1" s="189"/>
    <row r="1729" ht="13" customHeight="1" s="189"/>
    <row r="1730" ht="13" customHeight="1" s="189"/>
    <row r="1731" ht="13" customHeight="1" s="189"/>
    <row r="1732" ht="13" customHeight="1" s="189"/>
    <row r="1733" ht="13" customHeight="1" s="189"/>
    <row r="1734" ht="13" customHeight="1" s="189"/>
    <row r="1735" ht="13" customHeight="1" s="189"/>
    <row r="1736" ht="13" customHeight="1" s="189"/>
    <row r="1737" ht="13" customHeight="1" s="189"/>
    <row r="1738" ht="13" customHeight="1" s="189"/>
    <row r="1739" ht="13" customHeight="1" s="189"/>
    <row r="1740" ht="13" customHeight="1" s="189"/>
    <row r="1741" ht="13" customHeight="1" s="189"/>
    <row r="1742" ht="13" customHeight="1" s="189"/>
    <row r="1743" ht="13" customHeight="1" s="189"/>
    <row r="1744" ht="13" customHeight="1" s="189"/>
    <row r="1745" ht="13" customHeight="1" s="189"/>
    <row r="1746" ht="13" customHeight="1" s="189"/>
    <row r="1747" ht="13" customHeight="1" s="189"/>
    <row r="1748" ht="13" customHeight="1" s="189"/>
    <row r="1749" ht="13" customHeight="1" s="189"/>
    <row r="1750" ht="13" customHeight="1" s="189"/>
    <row r="1751" ht="13" customHeight="1" s="189"/>
    <row r="1752" ht="13" customHeight="1" s="189"/>
    <row r="1753" ht="13" customHeight="1" s="189"/>
    <row r="1754" ht="13" customHeight="1" s="189"/>
    <row r="1755" ht="13" customHeight="1" s="189"/>
    <row r="1756" ht="13" customHeight="1" s="189"/>
    <row r="1757" ht="13" customHeight="1" s="189"/>
    <row r="1758" ht="13" customHeight="1" s="189"/>
    <row r="1759" ht="13" customHeight="1" s="189"/>
    <row r="1760" ht="13" customHeight="1" s="189"/>
    <row r="1761" ht="13" customHeight="1" s="189"/>
    <row r="1762" ht="13" customHeight="1" s="189"/>
    <row r="1763" ht="13" customHeight="1" s="189"/>
    <row r="1764" ht="13" customHeight="1" s="189"/>
    <row r="1765" ht="13" customHeight="1" s="189"/>
    <row r="1766" ht="13" customHeight="1" s="189"/>
    <row r="1767" ht="13" customHeight="1" s="189"/>
    <row r="1768" ht="13" customHeight="1" s="189"/>
    <row r="1769" ht="13" customHeight="1" s="189"/>
    <row r="1770" ht="13" customHeight="1" s="189"/>
    <row r="1771" ht="13" customHeight="1" s="189"/>
    <row r="1772" ht="13" customHeight="1" s="189"/>
    <row r="1773" ht="13" customHeight="1" s="189"/>
    <row r="1774" ht="13" customHeight="1" s="189"/>
    <row r="1775" ht="13" customHeight="1" s="189"/>
    <row r="1776" ht="13" customHeight="1" s="189"/>
    <row r="1777" ht="13" customHeight="1" s="189"/>
    <row r="1778" ht="13" customHeight="1" s="189"/>
    <row r="1779" ht="13" customHeight="1" s="189"/>
    <row r="1780" ht="13" customHeight="1" s="189"/>
    <row r="1781" ht="13" customHeight="1" s="189"/>
    <row r="1782" ht="13" customHeight="1" s="189"/>
    <row r="1783" ht="13" customHeight="1" s="189"/>
    <row r="1784" ht="13" customHeight="1" s="189"/>
    <row r="1785" ht="13" customHeight="1" s="189"/>
    <row r="1786" ht="13" customHeight="1" s="189"/>
    <row r="1787" ht="13" customHeight="1" s="189"/>
    <row r="1788" ht="13" customHeight="1" s="189"/>
    <row r="1789" ht="13" customHeight="1" s="189"/>
    <row r="1790" ht="13" customHeight="1" s="189"/>
    <row r="1791" ht="13" customHeight="1" s="189"/>
    <row r="1792" ht="13" customHeight="1" s="189"/>
    <row r="1793" ht="13" customHeight="1" s="189"/>
    <row r="1794" ht="13" customHeight="1" s="189"/>
    <row r="1795" ht="13" customHeight="1" s="189"/>
    <row r="1796" ht="13" customHeight="1" s="189"/>
    <row r="1797" ht="13" customHeight="1" s="189"/>
    <row r="1798" ht="13" customHeight="1" s="189"/>
    <row r="1799" ht="13" customHeight="1" s="189"/>
    <row r="1800" ht="13" customHeight="1" s="189"/>
    <row r="1801" ht="13" customHeight="1" s="189"/>
    <row r="1802" ht="13" customHeight="1" s="189"/>
    <row r="1803" ht="13" customHeight="1" s="189"/>
    <row r="1804" ht="13" customHeight="1" s="189"/>
    <row r="1805" ht="13" customHeight="1" s="189"/>
    <row r="1806" ht="13" customHeight="1" s="189"/>
    <row r="1807" ht="13" customHeight="1" s="189"/>
    <row r="1808" ht="13" customHeight="1" s="189"/>
    <row r="1809" ht="13" customHeight="1" s="189"/>
    <row r="1810" ht="13" customHeight="1" s="189"/>
    <row r="1811" ht="13" customHeight="1" s="189"/>
    <row r="1812" ht="13" customHeight="1" s="189"/>
    <row r="1813" ht="13" customHeight="1" s="189"/>
    <row r="1814" ht="13" customHeight="1" s="189"/>
    <row r="1815" ht="13" customHeight="1" s="189"/>
    <row r="1816" ht="13" customHeight="1" s="189"/>
    <row r="1817" ht="13" customHeight="1" s="189"/>
    <row r="1818" ht="13" customHeight="1" s="189"/>
    <row r="1819" ht="13" customHeight="1" s="189"/>
    <row r="1820" ht="13" customHeight="1" s="189"/>
    <row r="1821" ht="13" customHeight="1" s="189"/>
    <row r="1822" ht="13" customHeight="1" s="189"/>
    <row r="1823" ht="13" customHeight="1" s="189"/>
    <row r="1824" ht="13" customHeight="1" s="189"/>
    <row r="1825" ht="13" customHeight="1" s="189"/>
    <row r="1826" ht="13" customHeight="1" s="189"/>
    <row r="1827" ht="13" customHeight="1" s="189"/>
    <row r="1828" ht="13" customHeight="1" s="189"/>
    <row r="1829" ht="13" customHeight="1" s="189"/>
    <row r="1830" ht="13" customHeight="1" s="189"/>
    <row r="1831" ht="13" customHeight="1" s="189"/>
    <row r="1832" ht="13" customHeight="1" s="189"/>
    <row r="1833" ht="13" customHeight="1" s="189"/>
    <row r="1834" ht="13" customHeight="1" s="189"/>
    <row r="1835" ht="13" customHeight="1" s="189"/>
    <row r="1836" ht="13" customHeight="1" s="189"/>
    <row r="1837" ht="13" customHeight="1" s="189"/>
    <row r="1838" ht="13" customHeight="1" s="189"/>
    <row r="1839" ht="13" customHeight="1" s="189"/>
    <row r="1840" ht="13" customHeight="1" s="189"/>
    <row r="1841" ht="13" customHeight="1" s="189"/>
    <row r="1842" ht="13" customHeight="1" s="189"/>
    <row r="1843" ht="13" customHeight="1" s="189"/>
    <row r="1844" ht="13" customHeight="1" s="189"/>
    <row r="1845" ht="13" customHeight="1" s="189"/>
    <row r="1846" ht="13" customHeight="1" s="189"/>
    <row r="1847" ht="13" customHeight="1" s="189"/>
    <row r="1848" ht="13" customHeight="1" s="189"/>
    <row r="1849" ht="13" customHeight="1" s="189"/>
    <row r="1850" ht="13" customHeight="1" s="189"/>
    <row r="1851" ht="13" customHeight="1" s="189"/>
    <row r="1852" ht="13" customHeight="1" s="189"/>
    <row r="1853" ht="13" customHeight="1" s="189"/>
    <row r="1854" ht="13" customHeight="1" s="189"/>
    <row r="1855" ht="13" customHeight="1" s="189"/>
    <row r="1856" ht="13" customHeight="1" s="189"/>
    <row r="1857" ht="13" customHeight="1" s="189"/>
    <row r="1858" ht="13" customHeight="1" s="189"/>
    <row r="1859" ht="13" customHeight="1" s="189"/>
    <row r="1860" ht="13" customHeight="1" s="189"/>
    <row r="1861" ht="13" customHeight="1" s="189"/>
    <row r="1862" ht="13" customHeight="1" s="189"/>
    <row r="1863" ht="13" customHeight="1" s="189"/>
    <row r="1864" ht="13" customHeight="1" s="189"/>
    <row r="1865" ht="13" customHeight="1" s="189"/>
    <row r="1866" ht="13" customHeight="1" s="189"/>
    <row r="1867" ht="13" customHeight="1" s="189"/>
    <row r="1868" ht="13" customHeight="1" s="189"/>
    <row r="1869" ht="13" customHeight="1" s="189"/>
    <row r="1870" ht="13" customHeight="1" s="189"/>
    <row r="1871" ht="13" customHeight="1" s="189"/>
    <row r="1872" ht="13" customHeight="1" s="189"/>
    <row r="1873" ht="13" customHeight="1" s="189"/>
    <row r="1874" ht="13" customHeight="1" s="189"/>
    <row r="1875" ht="13" customHeight="1" s="189"/>
  </sheetData>
  <mergeCells count="8">
    <mergeCell ref="G4:H4"/>
    <mergeCell ref="B4:E4"/>
    <mergeCell ref="G2:H2"/>
    <mergeCell ref="B3:E3"/>
    <mergeCell ref="B2:E2"/>
    <mergeCell ref="A1:H1"/>
    <mergeCell ref="G3:H3"/>
    <mergeCell ref="A5:G5"/>
  </mergeCells>
  <printOptions horizontalCentered="0" verticalCentered="0" headings="0" gridLines="1"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H1024"/>
  <sheetViews>
    <sheetView showFormulas="0" showGridLines="1" showRowColHeaders="1" showZeros="1" rightToLeft="0" tabSelected="0" showOutlineSymbols="1" defaultGridColor="1" view="normal" topLeftCell="A10" colorId="64" zoomScale="100" zoomScaleNormal="100" zoomScalePageLayoutView="100" workbookViewId="0">
      <selection pane="topLeft" activeCell="H24" activeCellId="0" sqref="H24"/>
    </sheetView>
  </sheetViews>
  <sheetFormatPr baseColWidth="8" defaultColWidth="9.0546875" defaultRowHeight="12.5" zeroHeight="0" outlineLevelRow="0"/>
  <cols>
    <col width="18.72" customWidth="1" style="188" min="1" max="1"/>
    <col width="10.72" customWidth="1" style="293" min="2" max="2"/>
    <col width="3.53" customWidth="1" style="293" min="3" max="3"/>
    <col width="17.99" customWidth="1" style="293" min="4" max="6"/>
    <col width="17.99" customWidth="1" style="188" min="7" max="8"/>
  </cols>
  <sheetData>
    <row r="1" ht="15.5" customHeight="1" s="189">
      <c r="A1" s="243" t="inlineStr">
        <is>
          <t>Roles and Responsibilities</t>
        </is>
      </c>
      <c r="B1" s="213" t="n"/>
      <c r="C1" s="213" t="n"/>
      <c r="D1" s="213" t="n"/>
      <c r="E1" s="213" t="n"/>
      <c r="F1" s="213" t="n"/>
      <c r="G1" s="213" t="n"/>
      <c r="H1" s="214" t="n"/>
    </row>
    <row r="2" ht="13" customHeight="1" s="189">
      <c r="A2" s="207" t="inlineStr">
        <is>
          <t>Project</t>
        </is>
      </c>
      <c r="B2" s="294">
        <f>Data!B1</f>
        <v/>
      </c>
      <c r="C2" s="213" t="n"/>
      <c r="D2" s="213" t="n"/>
      <c r="E2" s="214" t="n"/>
      <c r="F2" s="266" t="inlineStr">
        <is>
          <t>Project #</t>
        </is>
      </c>
      <c r="G2" s="294">
        <f>Data!B2</f>
        <v/>
      </c>
      <c r="H2" s="214" t="n"/>
    </row>
    <row r="3" ht="13" customHeight="1" s="189">
      <c r="A3" s="207" t="inlineStr">
        <is>
          <t>Project manager</t>
        </is>
      </c>
      <c r="B3" s="294">
        <f>Data!B3</f>
        <v/>
      </c>
      <c r="C3" s="213" t="n"/>
      <c r="D3" s="213" t="n"/>
      <c r="E3" s="214" t="n"/>
      <c r="F3" s="266" t="inlineStr">
        <is>
          <t>Sponsor</t>
        </is>
      </c>
      <c r="G3" s="294">
        <f>Data!B4</f>
        <v/>
      </c>
      <c r="H3" s="214" t="n"/>
    </row>
    <row r="4" ht="13" customHeight="1" s="189">
      <c r="A4" s="207" t="inlineStr">
        <is>
          <t>Project artifacts</t>
        </is>
      </c>
      <c r="B4" s="294">
        <f>Data!B5</f>
        <v/>
      </c>
      <c r="C4" s="213" t="n"/>
      <c r="D4" s="213" t="n"/>
      <c r="E4" s="214" t="n"/>
      <c r="F4" s="266" t="inlineStr">
        <is>
          <t>Updated</t>
        </is>
      </c>
      <c r="G4" s="294">
        <f>Data!B6</f>
        <v/>
      </c>
      <c r="H4" s="214" t="n"/>
    </row>
    <row r="5" ht="12.5" customHeight="1" s="189">
      <c r="A5" s="222" t="n"/>
      <c r="B5" s="213" t="n"/>
      <c r="C5" s="213" t="n"/>
      <c r="D5" s="213" t="n"/>
      <c r="E5" s="213" t="n"/>
      <c r="F5" s="213" t="n"/>
      <c r="G5" s="214" t="n"/>
      <c r="H5" s="222" t="n"/>
    </row>
    <row r="6" ht="66.75" customHeight="1" s="189">
      <c r="A6" s="198" t="inlineStr">
        <is>
          <t>Name</t>
        </is>
      </c>
      <c r="B6" s="281" t="inlineStr">
        <is>
          <t>Core/ Extended Team</t>
        </is>
      </c>
      <c r="C6" s="282" t="inlineStr">
        <is>
          <t>% Assigned</t>
        </is>
      </c>
      <c r="D6" s="220" t="inlineStr">
        <is>
          <t>Deliverables Leading</t>
        </is>
      </c>
      <c r="E6" s="281" t="inlineStr">
        <is>
          <t>Deliverables Participating On</t>
        </is>
      </c>
      <c r="F6" s="220" t="inlineStr">
        <is>
          <t>Project Role</t>
        </is>
      </c>
      <c r="G6" s="281" t="inlineStr">
        <is>
          <t>Responsibility</t>
        </is>
      </c>
      <c r="H6" s="281" t="inlineStr">
        <is>
          <t>Other Project Assignments</t>
        </is>
      </c>
    </row>
    <row r="7" ht="21.75" customHeight="1" s="189">
      <c r="A7" s="284" t="n"/>
      <c r="B7" s="285" t="n"/>
      <c r="C7" s="272" t="n"/>
      <c r="D7" s="223" t="n"/>
      <c r="E7" s="285" t="n"/>
      <c r="F7" s="285" t="n"/>
      <c r="G7" s="284" t="n"/>
      <c r="H7" s="223" t="n"/>
    </row>
    <row r="8" ht="21.75" customHeight="1" s="189">
      <c r="A8" s="284" t="n"/>
      <c r="B8" s="285" t="n"/>
      <c r="C8" s="272" t="n"/>
      <c r="D8" s="223" t="n"/>
      <c r="E8" s="272" t="n"/>
      <c r="F8" s="285" t="n"/>
      <c r="G8" s="284" t="n"/>
      <c r="H8" s="223" t="n"/>
    </row>
    <row r="9" ht="21.75" customHeight="1" s="189">
      <c r="A9" s="284" t="n"/>
      <c r="B9" s="285" t="n"/>
      <c r="C9" s="272" t="n"/>
      <c r="D9" s="223" t="n"/>
      <c r="E9" s="285" t="n"/>
      <c r="F9" s="285" t="n"/>
      <c r="G9" s="284" t="n"/>
      <c r="H9" s="223" t="n"/>
    </row>
    <row r="10" ht="21.75" customHeight="1" s="189">
      <c r="A10" s="284" t="n"/>
      <c r="B10" s="285" t="n"/>
      <c r="C10" s="272" t="n"/>
      <c r="D10" s="223" t="n"/>
      <c r="E10" s="285" t="n"/>
      <c r="F10" s="285" t="n"/>
      <c r="G10" s="284" t="n"/>
      <c r="H10" s="223" t="n"/>
    </row>
    <row r="11" ht="21.75" customHeight="1" s="189">
      <c r="A11" s="284" t="n"/>
      <c r="B11" s="285" t="n"/>
      <c r="C11" s="272" t="n"/>
      <c r="D11" s="223" t="n"/>
      <c r="E11" s="285" t="n"/>
      <c r="F11" s="285" t="n"/>
      <c r="G11" s="284" t="n"/>
      <c r="H11" s="223" t="n"/>
    </row>
    <row r="12" ht="21.75" customHeight="1" s="189">
      <c r="A12" s="284" t="n"/>
      <c r="B12" s="285" t="n"/>
      <c r="C12" s="272" t="n"/>
      <c r="D12" s="223" t="n"/>
      <c r="E12" s="285" t="n"/>
      <c r="F12" s="285" t="n"/>
      <c r="G12" s="284" t="n"/>
      <c r="H12" s="223" t="n"/>
    </row>
    <row r="13" ht="21.75" customHeight="1" s="189">
      <c r="A13" s="284" t="n"/>
      <c r="B13" s="285" t="n"/>
      <c r="C13" s="272" t="n"/>
      <c r="D13" s="223" t="n"/>
      <c r="E13" s="285" t="n"/>
      <c r="F13" s="285" t="n"/>
      <c r="G13" s="284" t="n"/>
      <c r="H13" s="223" t="n"/>
    </row>
    <row r="14" ht="21.75" customHeight="1" s="189">
      <c r="A14" s="284" t="n"/>
      <c r="B14" s="285" t="n"/>
      <c r="C14" s="272" t="n"/>
      <c r="D14" s="223" t="n"/>
      <c r="E14" s="285" t="n"/>
      <c r="F14" s="285" t="n"/>
      <c r="G14" s="284" t="n"/>
      <c r="H14" s="223" t="n"/>
    </row>
    <row r="15" ht="21.75" customHeight="1" s="189">
      <c r="A15" s="284" t="n"/>
      <c r="B15" s="285" t="n"/>
      <c r="C15" s="272" t="n"/>
      <c r="D15" s="223" t="n"/>
      <c r="E15" s="285" t="n"/>
      <c r="F15" s="285" t="n"/>
      <c r="G15" s="284" t="n"/>
      <c r="H15" s="223" t="n"/>
    </row>
    <row r="16" ht="21.75" customHeight="1" s="189">
      <c r="A16" s="284" t="n"/>
      <c r="B16" s="285" t="n"/>
      <c r="C16" s="272" t="n"/>
      <c r="D16" s="223" t="n"/>
      <c r="E16" s="285" t="n"/>
      <c r="F16" s="285" t="n"/>
      <c r="G16" s="284" t="n"/>
      <c r="H16" s="223" t="n"/>
    </row>
    <row r="17" ht="21.75" customHeight="1" s="189">
      <c r="A17" s="284" t="n"/>
      <c r="B17" s="285" t="n"/>
      <c r="C17" s="272" t="n"/>
      <c r="D17" s="223" t="n"/>
      <c r="E17" s="285" t="n"/>
      <c r="F17" s="285" t="n"/>
      <c r="G17" s="284" t="n"/>
      <c r="H17" s="223" t="n"/>
    </row>
    <row r="18" ht="21.75" customHeight="1" s="189">
      <c r="A18" s="284" t="n"/>
      <c r="B18" s="285" t="n"/>
      <c r="C18" s="272" t="n"/>
      <c r="D18" s="223" t="n"/>
      <c r="E18" s="285" t="n"/>
      <c r="F18" s="285" t="n"/>
      <c r="G18" s="284" t="n"/>
      <c r="H18" s="223" t="n"/>
    </row>
    <row r="19" ht="21.75" customHeight="1" s="189">
      <c r="A19" s="284" t="n"/>
      <c r="B19" s="285" t="n"/>
      <c r="C19" s="272" t="n"/>
      <c r="D19" s="223" t="n"/>
      <c r="E19" s="285" t="n"/>
      <c r="F19" s="285" t="n"/>
      <c r="G19" s="284" t="n"/>
      <c r="H19" s="223" t="n"/>
    </row>
    <row r="20" ht="21.75" customHeight="1" s="189">
      <c r="A20" s="284" t="n"/>
      <c r="B20" s="285" t="n"/>
      <c r="C20" s="272" t="n"/>
      <c r="D20" s="223" t="n"/>
      <c r="E20" s="285" t="n"/>
      <c r="F20" s="285" t="n"/>
      <c r="G20" s="284" t="n"/>
      <c r="H20" s="223" t="n"/>
    </row>
    <row r="21" ht="21.75" customHeight="1" s="189">
      <c r="A21" s="284" t="n"/>
      <c r="B21" s="285" t="n"/>
      <c r="C21" s="272" t="n"/>
      <c r="D21" s="223" t="n"/>
      <c r="E21" s="285" t="n"/>
      <c r="F21" s="285" t="n"/>
      <c r="G21" s="284" t="n"/>
      <c r="H21" s="223" t="n"/>
    </row>
    <row r="22" ht="21.75" customHeight="1" s="189">
      <c r="A22" s="284" t="n"/>
      <c r="B22" s="285" t="n"/>
      <c r="C22" s="272" t="n"/>
      <c r="D22" s="223" t="n"/>
      <c r="E22" s="285" t="n"/>
      <c r="F22" s="285" t="n"/>
      <c r="G22" s="284" t="n"/>
      <c r="H22" s="223" t="n"/>
    </row>
    <row r="23" ht="21.75" customHeight="1" s="189">
      <c r="A23" s="297" t="n"/>
      <c r="B23" s="291" t="n"/>
      <c r="C23" s="289" t="n"/>
      <c r="D23" s="298" t="n"/>
      <c r="E23" s="291" t="n"/>
      <c r="F23" s="291" t="n"/>
      <c r="G23" s="297" t="n"/>
      <c r="H23" s="298" t="n"/>
    </row>
    <row r="24" ht="13" customHeight="1" s="189">
      <c r="A24" s="297" t="n"/>
      <c r="B24" s="291" t="n"/>
      <c r="C24" s="289" t="n"/>
      <c r="D24" s="298" t="n"/>
      <c r="E24" s="291" t="n"/>
      <c r="F24" s="291" t="n"/>
      <c r="G24" s="297" t="n"/>
      <c r="H24" s="201" t="inlineStr">
        <is>
          <t>© Global Knowledge Training LLC</t>
        </is>
      </c>
    </row>
    <row r="25" ht="21.75" customHeight="1" s="189">
      <c r="A25" s="297" t="n"/>
      <c r="B25" s="291" t="n"/>
      <c r="C25" s="289" t="n"/>
      <c r="D25" s="298" t="n"/>
      <c r="E25" s="291" t="n"/>
      <c r="F25" s="291" t="n"/>
      <c r="G25" s="297" t="n"/>
      <c r="H25" s="298" t="n"/>
    </row>
    <row r="26" ht="21.75" customHeight="1" s="189">
      <c r="A26" s="297" t="n"/>
      <c r="B26" s="291" t="n"/>
      <c r="C26" s="289" t="n"/>
      <c r="D26" s="298" t="n"/>
      <c r="E26" s="291" t="n"/>
      <c r="F26" s="291" t="n"/>
      <c r="G26" s="297" t="n"/>
      <c r="H26" s="298" t="n"/>
    </row>
    <row r="27" ht="21.75" customHeight="1" s="189">
      <c r="A27" s="297" t="n"/>
      <c r="B27" s="291" t="n"/>
      <c r="C27" s="289" t="n"/>
      <c r="D27" s="298" t="n"/>
      <c r="E27" s="291" t="n"/>
      <c r="F27" s="291" t="n"/>
      <c r="G27" s="297" t="n"/>
      <c r="H27" s="298" t="n"/>
    </row>
    <row r="28" ht="21.75" customHeight="1" s="189">
      <c r="A28" s="297" t="n"/>
      <c r="B28" s="291" t="n"/>
      <c r="C28" s="289" t="n"/>
      <c r="D28" s="298" t="n"/>
      <c r="E28" s="291" t="n"/>
      <c r="F28" s="291" t="n"/>
      <c r="G28" s="297" t="n"/>
      <c r="H28" s="298" t="n"/>
    </row>
    <row r="29" ht="21.75" customHeight="1" s="189">
      <c r="A29" s="297" t="n"/>
      <c r="B29" s="291" t="n"/>
      <c r="C29" s="289" t="n"/>
      <c r="D29" s="298" t="n"/>
      <c r="E29" s="291" t="n"/>
      <c r="F29" s="291" t="n"/>
      <c r="G29" s="297" t="n"/>
      <c r="H29" s="298" t="n"/>
    </row>
    <row r="30" ht="21.75" customHeight="1" s="189">
      <c r="A30" s="297" t="n"/>
      <c r="B30" s="291" t="n"/>
      <c r="C30" s="289" t="n"/>
      <c r="D30" s="298" t="n"/>
      <c r="E30" s="291" t="n"/>
      <c r="F30" s="291" t="n"/>
      <c r="G30" s="297" t="n"/>
      <c r="H30" s="298" t="n"/>
    </row>
    <row r="31" ht="21.75" customHeight="1" s="189">
      <c r="A31" s="297" t="n"/>
      <c r="B31" s="291" t="n"/>
      <c r="C31" s="289" t="n"/>
      <c r="D31" s="298" t="n"/>
      <c r="E31" s="291" t="n"/>
      <c r="F31" s="291" t="n"/>
      <c r="G31" s="297" t="n"/>
      <c r="H31" s="298" t="n"/>
    </row>
    <row r="32" ht="21.75" customHeight="1" s="189">
      <c r="A32" s="297" t="n"/>
      <c r="B32" s="291" t="n"/>
      <c r="C32" s="289" t="n"/>
      <c r="D32" s="298" t="n"/>
      <c r="E32" s="291" t="n"/>
      <c r="F32" s="291" t="n"/>
      <c r="G32" s="297" t="n"/>
      <c r="H32" s="298" t="n"/>
    </row>
    <row r="33" ht="21.75" customHeight="1" s="189">
      <c r="A33" s="297" t="n"/>
      <c r="B33" s="291" t="n"/>
      <c r="C33" s="289" t="n"/>
      <c r="D33" s="298" t="n"/>
      <c r="E33" s="291" t="n"/>
      <c r="F33" s="291" t="n"/>
      <c r="G33" s="297" t="n"/>
      <c r="H33" s="298" t="n"/>
    </row>
    <row r="34" ht="13" customHeight="1" s="189">
      <c r="A34" s="297" t="n"/>
      <c r="B34" s="291" t="n"/>
      <c r="C34" s="289" t="n"/>
      <c r="D34" s="298" t="n"/>
      <c r="E34" s="291" t="n"/>
      <c r="F34" s="291" t="n"/>
      <c r="G34" s="297" t="n"/>
      <c r="H34" s="298" t="n"/>
    </row>
    <row r="35" ht="13" customHeight="1" s="189">
      <c r="A35" s="297" t="n"/>
      <c r="B35" s="291" t="n"/>
      <c r="C35" s="289" t="n"/>
      <c r="D35" s="298" t="n"/>
      <c r="E35" s="291" t="n"/>
      <c r="F35" s="291" t="n"/>
      <c r="G35" s="297" t="n"/>
      <c r="H35" s="298" t="n"/>
    </row>
    <row r="36" ht="13" customHeight="1" s="189">
      <c r="A36" s="297" t="n"/>
      <c r="B36" s="291" t="n"/>
      <c r="C36" s="289" t="n"/>
      <c r="D36" s="298" t="n"/>
      <c r="E36" s="291" t="n"/>
      <c r="F36" s="291" t="n"/>
      <c r="G36" s="297" t="n"/>
      <c r="H36" s="298" t="n"/>
    </row>
    <row r="37" ht="13" customHeight="1" s="189">
      <c r="A37" s="297" t="n"/>
      <c r="B37" s="291" t="n"/>
      <c r="C37" s="289" t="n"/>
      <c r="D37" s="298" t="n"/>
      <c r="E37" s="291" t="n"/>
      <c r="F37" s="291" t="n"/>
      <c r="G37" s="297" t="n"/>
      <c r="H37" s="298" t="n"/>
    </row>
    <row r="38" ht="13" customHeight="1" s="189">
      <c r="A38" s="297" t="n"/>
      <c r="B38" s="291" t="n"/>
      <c r="C38" s="289" t="n"/>
      <c r="D38" s="298" t="n"/>
      <c r="E38" s="291" t="n"/>
      <c r="F38" s="291" t="n"/>
      <c r="G38" s="297" t="n"/>
      <c r="H38" s="298" t="n"/>
    </row>
    <row r="39" ht="13" customHeight="1" s="189">
      <c r="A39" s="297" t="n"/>
      <c r="B39" s="291" t="n"/>
      <c r="C39" s="289" t="n"/>
      <c r="D39" s="298" t="n"/>
      <c r="E39" s="291" t="n"/>
      <c r="F39" s="291" t="n"/>
      <c r="G39" s="297" t="n"/>
      <c r="H39" s="298" t="n"/>
    </row>
    <row r="40" ht="13" customHeight="1" s="189">
      <c r="A40" s="297" t="n"/>
      <c r="B40" s="291" t="n"/>
      <c r="C40" s="289" t="n"/>
      <c r="D40" s="298" t="n"/>
      <c r="E40" s="291" t="n"/>
      <c r="F40" s="291" t="n"/>
      <c r="G40" s="297" t="n"/>
      <c r="H40" s="298" t="n"/>
    </row>
    <row r="41" ht="13" customHeight="1" s="189">
      <c r="A41" s="297" t="n"/>
      <c r="B41" s="291" t="n"/>
      <c r="C41" s="289" t="n"/>
      <c r="D41" s="298" t="n"/>
      <c r="E41" s="291" t="n"/>
      <c r="F41" s="291" t="n"/>
      <c r="G41" s="297" t="n"/>
      <c r="H41" s="298" t="n"/>
    </row>
    <row r="42" ht="13" customHeight="1" s="189">
      <c r="A42" s="297" t="n"/>
      <c r="B42" s="291" t="n"/>
      <c r="C42" s="289" t="n"/>
      <c r="D42" s="298" t="n"/>
      <c r="E42" s="291" t="n"/>
      <c r="F42" s="291" t="n"/>
      <c r="G42" s="297" t="n"/>
      <c r="H42" s="298" t="n"/>
    </row>
    <row r="43" ht="13" customHeight="1" s="189">
      <c r="A43" s="297" t="n"/>
      <c r="B43" s="291" t="n"/>
      <c r="C43" s="289" t="n"/>
      <c r="D43" s="298" t="n"/>
      <c r="E43" s="291" t="n"/>
      <c r="F43" s="291" t="n"/>
      <c r="G43" s="297" t="n"/>
      <c r="H43" s="298" t="n"/>
    </row>
    <row r="44" ht="13" customHeight="1" s="189">
      <c r="A44" s="297" t="n"/>
      <c r="B44" s="291" t="n"/>
      <c r="C44" s="289" t="n"/>
      <c r="D44" s="298" t="n"/>
      <c r="E44" s="291" t="n"/>
      <c r="F44" s="291" t="n"/>
      <c r="G44" s="297" t="n"/>
      <c r="H44" s="298" t="n"/>
    </row>
    <row r="45" ht="13" customHeight="1" s="189">
      <c r="A45" s="297" t="n"/>
      <c r="B45" s="291" t="n"/>
      <c r="C45" s="289" t="n"/>
      <c r="D45" s="298" t="n"/>
      <c r="E45" s="291" t="n"/>
      <c r="F45" s="291" t="n"/>
      <c r="G45" s="297" t="n"/>
      <c r="H45" s="298" t="n"/>
    </row>
    <row r="46" ht="13" customHeight="1" s="189">
      <c r="A46" s="297" t="n"/>
      <c r="B46" s="291" t="n"/>
      <c r="C46" s="289" t="n"/>
      <c r="D46" s="298" t="n"/>
      <c r="E46" s="291" t="n"/>
      <c r="F46" s="291" t="n"/>
      <c r="G46" s="297" t="n"/>
      <c r="H46" s="298" t="n"/>
    </row>
    <row r="47" ht="13" customHeight="1" s="189">
      <c r="A47" s="297" t="n"/>
      <c r="B47" s="291" t="n"/>
      <c r="C47" s="289" t="n"/>
      <c r="D47" s="298" t="n"/>
      <c r="E47" s="291" t="n"/>
      <c r="F47" s="291" t="n"/>
      <c r="G47" s="297" t="n"/>
      <c r="H47" s="298" t="n"/>
    </row>
    <row r="48" ht="13" customHeight="1" s="189">
      <c r="A48" s="297" t="n"/>
      <c r="B48" s="291" t="n"/>
      <c r="C48" s="289" t="n"/>
      <c r="D48" s="298" t="n"/>
      <c r="E48" s="291" t="n"/>
      <c r="F48" s="291" t="n"/>
      <c r="G48" s="297" t="n"/>
      <c r="H48" s="298" t="n"/>
    </row>
    <row r="49" ht="13" customHeight="1" s="189">
      <c r="A49" s="297" t="n"/>
      <c r="B49" s="291" t="n"/>
      <c r="C49" s="289" t="n"/>
      <c r="D49" s="298" t="n"/>
      <c r="E49" s="291" t="n"/>
      <c r="F49" s="291" t="n"/>
      <c r="G49" s="297" t="n"/>
      <c r="H49" s="298" t="n"/>
    </row>
    <row r="50" ht="13" customHeight="1" s="189">
      <c r="A50" s="297" t="n"/>
      <c r="B50" s="291" t="n"/>
      <c r="C50" s="289" t="n"/>
      <c r="D50" s="298" t="n"/>
      <c r="E50" s="291" t="n"/>
      <c r="F50" s="291" t="n"/>
      <c r="G50" s="297" t="n"/>
      <c r="H50" s="298" t="n"/>
    </row>
    <row r="51" ht="13" customHeight="1" s="189">
      <c r="A51" s="297" t="n"/>
      <c r="B51" s="291" t="n"/>
      <c r="C51" s="289" t="n"/>
      <c r="D51" s="298" t="n"/>
      <c r="E51" s="291" t="n"/>
      <c r="F51" s="291" t="n"/>
      <c r="G51" s="297" t="n"/>
      <c r="H51" s="298" t="n"/>
    </row>
    <row r="52" ht="13" customHeight="1" s="189">
      <c r="A52" s="297" t="n"/>
      <c r="B52" s="291" t="n"/>
      <c r="C52" s="289" t="n"/>
      <c r="D52" s="298" t="n"/>
      <c r="E52" s="291" t="n"/>
      <c r="F52" s="291" t="n"/>
      <c r="G52" s="297" t="n"/>
      <c r="H52" s="298" t="n"/>
    </row>
    <row r="53" ht="13" customHeight="1" s="189">
      <c r="A53" s="297" t="n"/>
      <c r="B53" s="291" t="n"/>
      <c r="C53" s="289" t="n"/>
      <c r="D53" s="298" t="n"/>
      <c r="E53" s="291" t="n"/>
      <c r="F53" s="291" t="n"/>
      <c r="G53" s="297" t="n"/>
      <c r="H53" s="298" t="n"/>
    </row>
    <row r="54" ht="13" customHeight="1" s="189">
      <c r="A54" s="297" t="n"/>
      <c r="B54" s="291" t="n"/>
      <c r="C54" s="289" t="n"/>
      <c r="D54" s="298" t="n"/>
      <c r="E54" s="291" t="n"/>
      <c r="F54" s="291" t="n"/>
      <c r="G54" s="297" t="n"/>
      <c r="H54" s="298" t="n"/>
    </row>
    <row r="55" ht="13" customHeight="1" s="189">
      <c r="A55" s="297" t="n"/>
      <c r="B55" s="291" t="n"/>
      <c r="C55" s="289" t="n"/>
      <c r="D55" s="298" t="n"/>
      <c r="E55" s="291" t="n"/>
      <c r="F55" s="291" t="n"/>
      <c r="G55" s="297" t="n"/>
      <c r="H55" s="298" t="n"/>
    </row>
    <row r="56" ht="13" customHeight="1" s="189">
      <c r="A56" s="297" t="n"/>
      <c r="B56" s="291" t="n"/>
      <c r="C56" s="289" t="n"/>
      <c r="D56" s="298" t="n"/>
      <c r="E56" s="291" t="n"/>
      <c r="F56" s="291" t="n"/>
      <c r="G56" s="297" t="n"/>
      <c r="H56" s="298" t="n"/>
    </row>
    <row r="57" ht="13" customHeight="1" s="189">
      <c r="A57" s="297" t="n"/>
      <c r="B57" s="291" t="n"/>
      <c r="C57" s="289" t="n"/>
      <c r="D57" s="298" t="n"/>
      <c r="E57" s="291" t="n"/>
      <c r="F57" s="291" t="n"/>
      <c r="G57" s="297" t="n"/>
      <c r="H57" s="298" t="n"/>
    </row>
    <row r="58" ht="13" customHeight="1" s="189">
      <c r="A58" s="297" t="n"/>
      <c r="B58" s="291" t="n"/>
      <c r="C58" s="289" t="n"/>
      <c r="D58" s="298" t="n"/>
      <c r="E58" s="291" t="n"/>
      <c r="F58" s="291" t="n"/>
      <c r="G58" s="297" t="n"/>
      <c r="H58" s="298" t="n"/>
    </row>
    <row r="59" ht="13" customHeight="1" s="189">
      <c r="A59" s="297" t="n"/>
      <c r="B59" s="291" t="n"/>
      <c r="C59" s="289" t="n"/>
      <c r="D59" s="298" t="n"/>
      <c r="E59" s="291" t="n"/>
      <c r="F59" s="291" t="n"/>
      <c r="G59" s="297" t="n"/>
      <c r="H59" s="298" t="n"/>
    </row>
    <row r="60" ht="13" customHeight="1" s="189">
      <c r="A60" s="297" t="n"/>
      <c r="B60" s="291" t="n"/>
      <c r="C60" s="289" t="n"/>
      <c r="D60" s="298" t="n"/>
      <c r="E60" s="291" t="n"/>
      <c r="F60" s="291" t="n"/>
      <c r="G60" s="297" t="n"/>
      <c r="H60" s="298" t="n"/>
    </row>
    <row r="61" ht="13" customHeight="1" s="189">
      <c r="A61" s="297" t="n"/>
      <c r="B61" s="291" t="n"/>
      <c r="C61" s="289" t="n"/>
      <c r="D61" s="298" t="n"/>
      <c r="E61" s="291" t="n"/>
      <c r="F61" s="291" t="n"/>
      <c r="G61" s="297" t="n"/>
      <c r="H61" s="298" t="n"/>
    </row>
    <row r="62" ht="13" customHeight="1" s="189">
      <c r="A62" s="297" t="n"/>
      <c r="B62" s="291" t="n"/>
      <c r="C62" s="289" t="n"/>
      <c r="D62" s="298" t="n"/>
      <c r="E62" s="291" t="n"/>
      <c r="F62" s="291" t="n"/>
      <c r="G62" s="297" t="n"/>
      <c r="H62" s="298" t="n"/>
    </row>
    <row r="63" ht="13" customHeight="1" s="189">
      <c r="A63" s="297" t="n"/>
      <c r="B63" s="291" t="n"/>
      <c r="C63" s="289" t="n"/>
      <c r="D63" s="298" t="n"/>
      <c r="E63" s="291" t="n"/>
      <c r="F63" s="291" t="n"/>
      <c r="G63" s="297" t="n"/>
      <c r="H63" s="298" t="n"/>
    </row>
    <row r="64" ht="13" customHeight="1" s="189">
      <c r="A64" s="297" t="n"/>
      <c r="B64" s="291" t="n"/>
      <c r="C64" s="289" t="n"/>
      <c r="D64" s="298" t="n"/>
      <c r="E64" s="291" t="n"/>
      <c r="F64" s="291" t="n"/>
      <c r="G64" s="297" t="n"/>
      <c r="H64" s="298" t="n"/>
    </row>
    <row r="65" ht="13" customHeight="1" s="189">
      <c r="A65" s="297" t="n"/>
      <c r="B65" s="291" t="n"/>
      <c r="C65" s="289" t="n"/>
      <c r="D65" s="298" t="n"/>
      <c r="E65" s="291" t="n"/>
      <c r="F65" s="291" t="n"/>
      <c r="G65" s="297" t="n"/>
      <c r="H65" s="298" t="n"/>
    </row>
    <row r="66" ht="13" customHeight="1" s="189">
      <c r="A66" s="297" t="n"/>
      <c r="B66" s="291" t="n"/>
      <c r="C66" s="289" t="n"/>
      <c r="D66" s="298" t="n"/>
      <c r="E66" s="291" t="n"/>
      <c r="F66" s="291" t="n"/>
      <c r="G66" s="297" t="n"/>
      <c r="H66" s="298" t="n"/>
    </row>
    <row r="67" ht="13" customHeight="1" s="189">
      <c r="A67" s="297" t="n"/>
      <c r="B67" s="291" t="n"/>
      <c r="C67" s="289" t="n"/>
      <c r="D67" s="298" t="n"/>
      <c r="E67" s="291" t="n"/>
      <c r="F67" s="291" t="n"/>
      <c r="G67" s="297" t="n"/>
      <c r="H67" s="298" t="n"/>
    </row>
    <row r="68" ht="13" customHeight="1" s="189">
      <c r="A68" s="297" t="n"/>
      <c r="B68" s="291" t="n"/>
      <c r="C68" s="289" t="n"/>
      <c r="D68" s="298" t="n"/>
      <c r="E68" s="291" t="n"/>
      <c r="F68" s="291" t="n"/>
      <c r="G68" s="297" t="n"/>
      <c r="H68" s="298" t="n"/>
    </row>
    <row r="69" ht="13" customHeight="1" s="189">
      <c r="A69" s="297" t="n"/>
      <c r="B69" s="291" t="n"/>
      <c r="C69" s="289" t="n"/>
      <c r="D69" s="298" t="n"/>
      <c r="E69" s="291" t="n"/>
      <c r="F69" s="291" t="n"/>
      <c r="G69" s="297" t="n"/>
      <c r="H69" s="298" t="n"/>
    </row>
    <row r="70" ht="13" customHeight="1" s="189">
      <c r="A70" s="297" t="n"/>
      <c r="B70" s="291" t="n"/>
      <c r="C70" s="289" t="n"/>
      <c r="D70" s="298" t="n"/>
      <c r="E70" s="291" t="n"/>
      <c r="F70" s="291" t="n"/>
      <c r="G70" s="297" t="n"/>
      <c r="H70" s="298" t="n"/>
    </row>
    <row r="71" ht="13" customHeight="1" s="189">
      <c r="A71" s="297" t="n"/>
      <c r="B71" s="291" t="n"/>
      <c r="C71" s="289" t="n"/>
      <c r="D71" s="298" t="n"/>
      <c r="E71" s="291" t="n"/>
      <c r="F71" s="291" t="n"/>
      <c r="G71" s="297" t="n"/>
      <c r="H71" s="298" t="n"/>
    </row>
    <row r="72" ht="13" customHeight="1" s="189">
      <c r="A72" s="297" t="n"/>
      <c r="B72" s="291" t="n"/>
      <c r="C72" s="289" t="n"/>
      <c r="D72" s="298" t="n"/>
      <c r="E72" s="291" t="n"/>
      <c r="F72" s="291" t="n"/>
      <c r="G72" s="297" t="n"/>
      <c r="H72" s="298" t="n"/>
    </row>
    <row r="73" ht="13" customHeight="1" s="189">
      <c r="A73" s="297" t="n"/>
      <c r="B73" s="291" t="n"/>
      <c r="C73" s="289" t="n"/>
      <c r="D73" s="298" t="n"/>
      <c r="E73" s="291" t="n"/>
      <c r="F73" s="291" t="n"/>
      <c r="G73" s="297" t="n"/>
      <c r="H73" s="298" t="n"/>
    </row>
    <row r="74" ht="13" customHeight="1" s="189">
      <c r="A74" s="297" t="n"/>
      <c r="B74" s="291" t="n"/>
      <c r="C74" s="289" t="n"/>
      <c r="D74" s="298" t="n"/>
      <c r="E74" s="291" t="n"/>
      <c r="F74" s="291" t="n"/>
      <c r="G74" s="297" t="n"/>
      <c r="H74" s="298" t="n"/>
    </row>
    <row r="75" ht="13" customHeight="1" s="189">
      <c r="A75" s="297" t="n"/>
      <c r="B75" s="291" t="n"/>
      <c r="C75" s="289" t="n"/>
      <c r="D75" s="298" t="n"/>
      <c r="E75" s="291" t="n"/>
      <c r="F75" s="291" t="n"/>
      <c r="G75" s="297" t="n"/>
      <c r="H75" s="298" t="n"/>
    </row>
    <row r="76" ht="13" customHeight="1" s="189">
      <c r="A76" s="297" t="n"/>
      <c r="B76" s="291" t="n"/>
      <c r="C76" s="289" t="n"/>
      <c r="D76" s="298" t="n"/>
      <c r="E76" s="291" t="n"/>
      <c r="F76" s="291" t="n"/>
      <c r="G76" s="297" t="n"/>
      <c r="H76" s="298" t="n"/>
    </row>
    <row r="77" ht="13" customHeight="1" s="189">
      <c r="A77" s="297" t="n"/>
      <c r="B77" s="291" t="n"/>
      <c r="C77" s="289" t="n"/>
      <c r="D77" s="298" t="n"/>
      <c r="E77" s="291" t="n"/>
      <c r="F77" s="291" t="n"/>
      <c r="G77" s="297" t="n"/>
      <c r="H77" s="298" t="n"/>
    </row>
    <row r="78" ht="13" customHeight="1" s="189">
      <c r="A78" s="297" t="n"/>
      <c r="B78" s="291" t="n"/>
      <c r="C78" s="289" t="n"/>
      <c r="D78" s="298" t="n"/>
      <c r="E78" s="291" t="n"/>
      <c r="F78" s="291" t="n"/>
      <c r="G78" s="297" t="n"/>
      <c r="H78" s="298" t="n"/>
    </row>
    <row r="79" ht="13" customHeight="1" s="189">
      <c r="A79" s="297" t="n"/>
      <c r="B79" s="291" t="n"/>
      <c r="C79" s="289" t="n"/>
      <c r="D79" s="298" t="n"/>
      <c r="E79" s="291" t="n"/>
      <c r="F79" s="291" t="n"/>
      <c r="G79" s="297" t="n"/>
      <c r="H79" s="298" t="n"/>
    </row>
    <row r="80" ht="13" customHeight="1" s="189">
      <c r="A80" s="297" t="n"/>
      <c r="B80" s="291" t="n"/>
      <c r="C80" s="289" t="n"/>
      <c r="D80" s="298" t="n"/>
      <c r="E80" s="291" t="n"/>
      <c r="F80" s="291" t="n"/>
      <c r="G80" s="297" t="n"/>
      <c r="H80" s="298" t="n"/>
    </row>
    <row r="81" ht="13" customHeight="1" s="189">
      <c r="A81" s="297" t="n"/>
      <c r="B81" s="291" t="n"/>
      <c r="C81" s="289" t="n"/>
      <c r="D81" s="298" t="n"/>
      <c r="E81" s="291" t="n"/>
      <c r="F81" s="291" t="n"/>
      <c r="G81" s="297" t="n"/>
      <c r="H81" s="298" t="n"/>
    </row>
    <row r="82" ht="13" customHeight="1" s="189">
      <c r="A82" s="297" t="n"/>
      <c r="B82" s="291" t="n"/>
      <c r="C82" s="289" t="n"/>
      <c r="D82" s="298" t="n"/>
      <c r="E82" s="291" t="n"/>
      <c r="F82" s="291" t="n"/>
      <c r="G82" s="297" t="n"/>
      <c r="H82" s="298" t="n"/>
    </row>
    <row r="83" ht="13" customHeight="1" s="189">
      <c r="A83" s="297" t="n"/>
      <c r="B83" s="291" t="n"/>
      <c r="C83" s="289" t="n"/>
      <c r="D83" s="298" t="n"/>
      <c r="E83" s="291" t="n"/>
      <c r="F83" s="291" t="n"/>
      <c r="G83" s="297" t="n"/>
      <c r="H83" s="298" t="n"/>
    </row>
    <row r="84" ht="13" customHeight="1" s="189">
      <c r="A84" s="297" t="n"/>
      <c r="B84" s="291" t="n"/>
      <c r="C84" s="289" t="n"/>
      <c r="D84" s="298" t="n"/>
      <c r="E84" s="291" t="n"/>
      <c r="F84" s="291" t="n"/>
      <c r="G84" s="297" t="n"/>
      <c r="H84" s="298" t="n"/>
    </row>
    <row r="85" ht="13" customHeight="1" s="189">
      <c r="A85" s="297" t="n"/>
      <c r="B85" s="291" t="n"/>
      <c r="C85" s="289" t="n"/>
      <c r="D85" s="298" t="n"/>
      <c r="E85" s="291" t="n"/>
      <c r="F85" s="291" t="n"/>
      <c r="G85" s="297" t="n"/>
      <c r="H85" s="298" t="n"/>
    </row>
    <row r="86" ht="13" customHeight="1" s="189">
      <c r="A86" s="297" t="n"/>
      <c r="B86" s="291" t="n"/>
      <c r="C86" s="289" t="n"/>
      <c r="D86" s="298" t="n"/>
      <c r="E86" s="291" t="n"/>
      <c r="F86" s="291" t="n"/>
      <c r="G86" s="297" t="n"/>
      <c r="H86" s="298" t="n"/>
    </row>
    <row r="87" ht="13" customHeight="1" s="189">
      <c r="A87" s="297" t="n"/>
      <c r="B87" s="291" t="n"/>
      <c r="C87" s="289" t="n"/>
      <c r="D87" s="298" t="n"/>
      <c r="E87" s="291" t="n"/>
      <c r="F87" s="291" t="n"/>
      <c r="G87" s="297" t="n"/>
      <c r="H87" s="298" t="n"/>
    </row>
    <row r="88" ht="13" customHeight="1" s="189">
      <c r="A88" s="297" t="n"/>
      <c r="B88" s="291" t="n"/>
      <c r="C88" s="289" t="n"/>
      <c r="D88" s="298" t="n"/>
      <c r="E88" s="291" t="n"/>
      <c r="F88" s="291" t="n"/>
      <c r="G88" s="297" t="n"/>
      <c r="H88" s="298" t="n"/>
    </row>
    <row r="89" ht="13" customHeight="1" s="189">
      <c r="A89" s="297" t="n"/>
      <c r="B89" s="291" t="n"/>
      <c r="C89" s="289" t="n"/>
      <c r="D89" s="298" t="n"/>
      <c r="E89" s="291" t="n"/>
      <c r="F89" s="291" t="n"/>
      <c r="G89" s="297" t="n"/>
      <c r="H89" s="298" t="n"/>
    </row>
    <row r="90" ht="13" customHeight="1" s="189">
      <c r="A90" s="297" t="n"/>
      <c r="B90" s="291" t="n"/>
      <c r="C90" s="289" t="n"/>
      <c r="D90" s="298" t="n"/>
      <c r="E90" s="291" t="n"/>
      <c r="F90" s="291" t="n"/>
      <c r="G90" s="297" t="n"/>
      <c r="H90" s="298" t="n"/>
    </row>
    <row r="91" ht="13" customHeight="1" s="189">
      <c r="A91" s="297" t="n"/>
      <c r="B91" s="291" t="n"/>
      <c r="C91" s="289" t="n"/>
      <c r="D91" s="298" t="n"/>
      <c r="E91" s="291" t="n"/>
      <c r="F91" s="291" t="n"/>
      <c r="G91" s="297" t="n"/>
      <c r="H91" s="298" t="n"/>
    </row>
    <row r="92" ht="13" customHeight="1" s="189">
      <c r="A92" s="297" t="n"/>
      <c r="B92" s="291" t="n"/>
      <c r="C92" s="289" t="n"/>
      <c r="D92" s="298" t="n"/>
      <c r="E92" s="291" t="n"/>
      <c r="F92" s="291" t="n"/>
      <c r="G92" s="297" t="n"/>
      <c r="H92" s="298" t="n"/>
    </row>
    <row r="93" ht="13" customHeight="1" s="189">
      <c r="A93" s="297" t="n"/>
      <c r="B93" s="291" t="n"/>
      <c r="C93" s="289" t="n"/>
      <c r="D93" s="298" t="n"/>
      <c r="E93" s="291" t="n"/>
      <c r="F93" s="291" t="n"/>
      <c r="G93" s="297" t="n"/>
      <c r="H93" s="298" t="n"/>
    </row>
    <row r="94" ht="13" customHeight="1" s="189">
      <c r="A94" s="297" t="n"/>
      <c r="B94" s="291" t="n"/>
      <c r="C94" s="289" t="n"/>
      <c r="D94" s="298" t="n"/>
      <c r="E94" s="291" t="n"/>
      <c r="F94" s="291" t="n"/>
      <c r="G94" s="297" t="n"/>
      <c r="H94" s="298" t="n"/>
    </row>
    <row r="95" ht="13" customHeight="1" s="189">
      <c r="A95" s="297" t="n"/>
      <c r="B95" s="291" t="n"/>
      <c r="C95" s="289" t="n"/>
      <c r="D95" s="298" t="n"/>
      <c r="E95" s="291" t="n"/>
      <c r="F95" s="291" t="n"/>
      <c r="G95" s="297" t="n"/>
      <c r="H95" s="298" t="n"/>
    </row>
    <row r="96" ht="13" customHeight="1" s="189">
      <c r="A96" s="297" t="n"/>
      <c r="B96" s="291" t="n"/>
      <c r="C96" s="289" t="n"/>
      <c r="D96" s="298" t="n"/>
      <c r="E96" s="291" t="n"/>
      <c r="F96" s="291" t="n"/>
      <c r="G96" s="297" t="n"/>
      <c r="H96" s="298" t="n"/>
    </row>
    <row r="97" ht="13" customHeight="1" s="189">
      <c r="A97" s="297" t="n"/>
      <c r="B97" s="291" t="n"/>
      <c r="C97" s="289" t="n"/>
      <c r="D97" s="298" t="n"/>
      <c r="E97" s="291" t="n"/>
      <c r="F97" s="291" t="n"/>
      <c r="G97" s="297" t="n"/>
      <c r="H97" s="298" t="n"/>
    </row>
    <row r="98" ht="13" customHeight="1" s="189">
      <c r="A98" s="297" t="n"/>
      <c r="B98" s="291" t="n"/>
      <c r="C98" s="289" t="n"/>
      <c r="D98" s="298" t="n"/>
      <c r="E98" s="291" t="n"/>
      <c r="F98" s="291" t="n"/>
      <c r="G98" s="297" t="n"/>
      <c r="H98" s="298" t="n"/>
    </row>
    <row r="99" ht="13" customHeight="1" s="189">
      <c r="A99" s="297" t="n"/>
      <c r="B99" s="291" t="n"/>
      <c r="C99" s="289" t="n"/>
      <c r="D99" s="298" t="n"/>
      <c r="E99" s="291" t="n"/>
      <c r="F99" s="291" t="n"/>
      <c r="G99" s="297" t="n"/>
      <c r="H99" s="298" t="n"/>
    </row>
    <row r="100" ht="13" customHeight="1" s="189">
      <c r="A100" s="297" t="n"/>
      <c r="B100" s="291" t="n"/>
      <c r="C100" s="289" t="n"/>
      <c r="D100" s="298" t="n"/>
      <c r="E100" s="291" t="n"/>
      <c r="F100" s="291" t="n"/>
      <c r="G100" s="297" t="n"/>
      <c r="H100" s="298" t="n"/>
    </row>
    <row r="101" ht="13" customHeight="1" s="189">
      <c r="A101" s="297" t="n"/>
      <c r="B101" s="291" t="n"/>
      <c r="C101" s="289" t="n"/>
      <c r="D101" s="298" t="n"/>
      <c r="E101" s="291" t="n"/>
      <c r="F101" s="291" t="n"/>
      <c r="G101" s="297" t="n"/>
      <c r="H101" s="298" t="n"/>
    </row>
    <row r="102" ht="13" customHeight="1" s="189">
      <c r="A102" s="297" t="n"/>
      <c r="B102" s="291" t="n"/>
      <c r="C102" s="289" t="n"/>
      <c r="D102" s="298" t="n"/>
      <c r="E102" s="291" t="n"/>
      <c r="F102" s="291" t="n"/>
      <c r="G102" s="297" t="n"/>
      <c r="H102" s="298" t="n"/>
    </row>
    <row r="103" ht="13" customHeight="1" s="189">
      <c r="A103" s="297" t="n"/>
      <c r="B103" s="291" t="n"/>
      <c r="C103" s="289" t="n"/>
      <c r="D103" s="298" t="n"/>
      <c r="E103" s="291" t="n"/>
      <c r="F103" s="291" t="n"/>
      <c r="G103" s="297" t="n"/>
      <c r="H103" s="298" t="n"/>
    </row>
    <row r="104" ht="13" customHeight="1" s="189">
      <c r="A104" s="297" t="n"/>
      <c r="B104" s="291" t="n"/>
      <c r="C104" s="289" t="n"/>
      <c r="D104" s="298" t="n"/>
      <c r="E104" s="291" t="n"/>
      <c r="F104" s="291" t="n"/>
      <c r="G104" s="297" t="n"/>
      <c r="H104" s="298" t="n"/>
    </row>
    <row r="105" ht="13" customHeight="1" s="189">
      <c r="A105" s="297" t="n"/>
      <c r="B105" s="291" t="n"/>
      <c r="C105" s="289" t="n"/>
      <c r="D105" s="298" t="n"/>
      <c r="E105" s="291" t="n"/>
      <c r="F105" s="291" t="n"/>
      <c r="G105" s="297" t="n"/>
      <c r="H105" s="298" t="n"/>
    </row>
    <row r="106" ht="13" customHeight="1" s="189">
      <c r="A106" s="297" t="n"/>
      <c r="B106" s="291" t="n"/>
      <c r="C106" s="289" t="n"/>
      <c r="D106" s="298" t="n"/>
      <c r="E106" s="291" t="n"/>
      <c r="F106" s="291" t="n"/>
      <c r="G106" s="297" t="n"/>
      <c r="H106" s="298" t="n"/>
    </row>
    <row r="107" ht="13" customHeight="1" s="189">
      <c r="A107" s="297" t="n"/>
      <c r="B107" s="291" t="n"/>
      <c r="C107" s="289" t="n"/>
      <c r="D107" s="298" t="n"/>
      <c r="E107" s="291" t="n"/>
      <c r="F107" s="291" t="n"/>
      <c r="G107" s="297" t="n"/>
      <c r="H107" s="298" t="n"/>
    </row>
    <row r="108" ht="13" customHeight="1" s="189">
      <c r="A108" s="297" t="n"/>
      <c r="B108" s="291" t="n"/>
      <c r="C108" s="289" t="n"/>
      <c r="D108" s="298" t="n"/>
      <c r="E108" s="291" t="n"/>
      <c r="F108" s="291" t="n"/>
      <c r="G108" s="297" t="n"/>
      <c r="H108" s="298" t="n"/>
    </row>
    <row r="109" ht="13" customHeight="1" s="189">
      <c r="A109" s="297" t="n"/>
      <c r="B109" s="291" t="n"/>
      <c r="C109" s="289" t="n"/>
      <c r="D109" s="298" t="n"/>
      <c r="E109" s="291" t="n"/>
      <c r="F109" s="291" t="n"/>
      <c r="G109" s="297" t="n"/>
      <c r="H109" s="298" t="n"/>
    </row>
    <row r="110" ht="13" customHeight="1" s="189">
      <c r="A110" s="297" t="n"/>
      <c r="B110" s="291" t="n"/>
      <c r="C110" s="289" t="n"/>
      <c r="D110" s="298" t="n"/>
      <c r="E110" s="291" t="n"/>
      <c r="F110" s="291" t="n"/>
      <c r="G110" s="297" t="n"/>
      <c r="H110" s="298" t="n"/>
    </row>
    <row r="111" ht="13" customHeight="1" s="189">
      <c r="A111" s="297" t="n"/>
      <c r="B111" s="291" t="n"/>
      <c r="C111" s="289" t="n"/>
      <c r="D111" s="298" t="n"/>
      <c r="E111" s="291" t="n"/>
      <c r="F111" s="291" t="n"/>
      <c r="G111" s="297" t="n"/>
      <c r="H111" s="298" t="n"/>
    </row>
    <row r="112" ht="13" customHeight="1" s="189">
      <c r="A112" s="297" t="n"/>
      <c r="B112" s="291" t="n"/>
      <c r="C112" s="289" t="n"/>
      <c r="D112" s="298" t="n"/>
      <c r="E112" s="291" t="n"/>
      <c r="F112" s="291" t="n"/>
      <c r="G112" s="297" t="n"/>
      <c r="H112" s="298" t="n"/>
    </row>
    <row r="113" ht="13" customHeight="1" s="189">
      <c r="A113" s="297" t="n"/>
      <c r="B113" s="291" t="n"/>
      <c r="C113" s="289" t="n"/>
      <c r="D113" s="298" t="n"/>
      <c r="E113" s="291" t="n"/>
      <c r="F113" s="291" t="n"/>
      <c r="G113" s="297" t="n"/>
      <c r="H113" s="298" t="n"/>
    </row>
    <row r="114" ht="13" customHeight="1" s="189">
      <c r="A114" s="297" t="n"/>
      <c r="B114" s="291" t="n"/>
      <c r="C114" s="289" t="n"/>
      <c r="D114" s="298" t="n"/>
      <c r="E114" s="291" t="n"/>
      <c r="F114" s="291" t="n"/>
      <c r="G114" s="297" t="n"/>
      <c r="H114" s="298" t="n"/>
    </row>
    <row r="115" ht="13" customHeight="1" s="189">
      <c r="A115" s="297" t="n"/>
      <c r="B115" s="291" t="n"/>
      <c r="C115" s="289" t="n"/>
      <c r="D115" s="298" t="n"/>
      <c r="E115" s="291" t="n"/>
      <c r="F115" s="291" t="n"/>
      <c r="G115" s="297" t="n"/>
      <c r="H115" s="298" t="n"/>
    </row>
    <row r="116" ht="13" customHeight="1" s="189">
      <c r="A116" s="297" t="n"/>
      <c r="B116" s="291" t="n"/>
      <c r="C116" s="289" t="n"/>
      <c r="D116" s="298" t="n"/>
      <c r="E116" s="291" t="n"/>
      <c r="F116" s="291" t="n"/>
      <c r="G116" s="297" t="n"/>
      <c r="H116" s="298" t="n"/>
    </row>
    <row r="117" ht="13" customHeight="1" s="189">
      <c r="A117" s="297" t="n"/>
      <c r="B117" s="291" t="n"/>
      <c r="C117" s="289" t="n"/>
      <c r="D117" s="298" t="n"/>
      <c r="E117" s="291" t="n"/>
      <c r="F117" s="291" t="n"/>
      <c r="G117" s="297" t="n"/>
      <c r="H117" s="298" t="n"/>
    </row>
    <row r="118" ht="13" customHeight="1" s="189">
      <c r="A118" s="297" t="n"/>
      <c r="B118" s="291" t="n"/>
      <c r="C118" s="289" t="n"/>
      <c r="D118" s="298" t="n"/>
      <c r="E118" s="291" t="n"/>
      <c r="F118" s="291" t="n"/>
      <c r="G118" s="297" t="n"/>
      <c r="H118" s="298" t="n"/>
    </row>
    <row r="119" ht="13" customHeight="1" s="189">
      <c r="A119" s="297" t="n"/>
      <c r="B119" s="291" t="n"/>
      <c r="C119" s="289" t="n"/>
      <c r="D119" s="298" t="n"/>
      <c r="E119" s="291" t="n"/>
      <c r="F119" s="291" t="n"/>
      <c r="G119" s="297" t="n"/>
      <c r="H119" s="298" t="n"/>
    </row>
    <row r="120" ht="13" customHeight="1" s="189">
      <c r="A120" s="297" t="n"/>
      <c r="B120" s="291" t="n"/>
      <c r="C120" s="289" t="n"/>
      <c r="D120" s="298" t="n"/>
      <c r="E120" s="291" t="n"/>
      <c r="F120" s="291" t="n"/>
      <c r="G120" s="297" t="n"/>
      <c r="H120" s="298" t="n"/>
    </row>
    <row r="121" ht="13" customHeight="1" s="189">
      <c r="A121" s="297" t="n"/>
      <c r="B121" s="291" t="n"/>
      <c r="C121" s="289" t="n"/>
      <c r="D121" s="298" t="n"/>
      <c r="E121" s="291" t="n"/>
      <c r="F121" s="291" t="n"/>
      <c r="G121" s="297" t="n"/>
      <c r="H121" s="298" t="n"/>
    </row>
    <row r="122" ht="13" customHeight="1" s="189">
      <c r="A122" s="297" t="n"/>
      <c r="B122" s="291" t="n"/>
      <c r="C122" s="289" t="n"/>
      <c r="D122" s="298" t="n"/>
      <c r="E122" s="291" t="n"/>
      <c r="F122" s="291" t="n"/>
      <c r="G122" s="297" t="n"/>
      <c r="H122" s="298" t="n"/>
    </row>
    <row r="123" ht="13" customHeight="1" s="189">
      <c r="A123" s="297" t="n"/>
      <c r="B123" s="291" t="n"/>
      <c r="C123" s="289" t="n"/>
      <c r="D123" s="298" t="n"/>
      <c r="E123" s="291" t="n"/>
      <c r="F123" s="291" t="n"/>
      <c r="G123" s="297" t="n"/>
      <c r="H123" s="298" t="n"/>
    </row>
    <row r="124" ht="13" customHeight="1" s="189">
      <c r="A124" s="297" t="n"/>
      <c r="B124" s="291" t="n"/>
      <c r="C124" s="289" t="n"/>
      <c r="D124" s="298" t="n"/>
      <c r="E124" s="291" t="n"/>
      <c r="F124" s="291" t="n"/>
      <c r="G124" s="297" t="n"/>
      <c r="H124" s="298" t="n"/>
    </row>
    <row r="125" ht="13" customHeight="1" s="189">
      <c r="A125" s="297" t="n"/>
      <c r="B125" s="291" t="n"/>
      <c r="C125" s="289" t="n"/>
      <c r="D125" s="298" t="n"/>
      <c r="E125" s="291" t="n"/>
      <c r="F125" s="291" t="n"/>
      <c r="G125" s="297" t="n"/>
      <c r="H125" s="298" t="n"/>
    </row>
    <row r="126" ht="13" customHeight="1" s="189">
      <c r="A126" s="297" t="n"/>
      <c r="B126" s="291" t="n"/>
      <c r="C126" s="289" t="n"/>
      <c r="D126" s="298" t="n"/>
      <c r="E126" s="291" t="n"/>
      <c r="F126" s="291" t="n"/>
      <c r="G126" s="297" t="n"/>
      <c r="H126" s="298" t="n"/>
    </row>
    <row r="127" ht="13" customHeight="1" s="189">
      <c r="A127" s="297" t="n"/>
      <c r="B127" s="291" t="n"/>
      <c r="C127" s="289" t="n"/>
      <c r="D127" s="298" t="n"/>
      <c r="E127" s="291" t="n"/>
      <c r="F127" s="291" t="n"/>
      <c r="G127" s="297" t="n"/>
      <c r="H127" s="298" t="n"/>
    </row>
    <row r="128" ht="13" customHeight="1" s="189">
      <c r="A128" s="297" t="n"/>
      <c r="B128" s="291" t="n"/>
      <c r="C128" s="289" t="n"/>
      <c r="D128" s="298" t="n"/>
      <c r="E128" s="291" t="n"/>
      <c r="F128" s="291" t="n"/>
      <c r="G128" s="297" t="n"/>
      <c r="H128" s="298" t="n"/>
    </row>
    <row r="129" ht="13" customHeight="1" s="189">
      <c r="A129" s="297" t="n"/>
      <c r="B129" s="291" t="n"/>
      <c r="C129" s="289" t="n"/>
      <c r="D129" s="298" t="n"/>
      <c r="E129" s="291" t="n"/>
      <c r="F129" s="291" t="n"/>
      <c r="G129" s="297" t="n"/>
      <c r="H129" s="298" t="n"/>
    </row>
    <row r="130" ht="13" customHeight="1" s="189">
      <c r="A130" s="297" t="n"/>
      <c r="B130" s="291" t="n"/>
      <c r="C130" s="289" t="n"/>
      <c r="D130" s="298" t="n"/>
      <c r="E130" s="291" t="n"/>
      <c r="F130" s="291" t="n"/>
      <c r="G130" s="297" t="n"/>
      <c r="H130" s="298" t="n"/>
    </row>
    <row r="131" ht="13" customHeight="1" s="189">
      <c r="A131" s="297" t="n"/>
      <c r="B131" s="291" t="n"/>
      <c r="C131" s="289" t="n"/>
      <c r="D131" s="298" t="n"/>
      <c r="E131" s="291" t="n"/>
      <c r="F131" s="291" t="n"/>
      <c r="G131" s="297" t="n"/>
      <c r="H131" s="298" t="n"/>
    </row>
    <row r="132" ht="13" customHeight="1" s="189">
      <c r="A132" s="297" t="n"/>
      <c r="B132" s="291" t="n"/>
      <c r="C132" s="289" t="n"/>
      <c r="D132" s="298" t="n"/>
      <c r="E132" s="291" t="n"/>
      <c r="F132" s="291" t="n"/>
      <c r="G132" s="297" t="n"/>
      <c r="H132" s="298" t="n"/>
    </row>
    <row r="133" ht="13" customHeight="1" s="189">
      <c r="A133" s="297" t="n"/>
      <c r="B133" s="291" t="n"/>
      <c r="C133" s="289" t="n"/>
      <c r="D133" s="298" t="n"/>
      <c r="E133" s="291" t="n"/>
      <c r="F133" s="291" t="n"/>
      <c r="G133" s="297" t="n"/>
      <c r="H133" s="298" t="n"/>
    </row>
    <row r="134" ht="13" customHeight="1" s="189">
      <c r="A134" s="297" t="n"/>
      <c r="B134" s="291" t="n"/>
      <c r="C134" s="289" t="n"/>
      <c r="D134" s="298" t="n"/>
      <c r="E134" s="291" t="n"/>
      <c r="F134" s="291" t="n"/>
      <c r="G134" s="297" t="n"/>
      <c r="H134" s="298" t="n"/>
    </row>
    <row r="135" ht="13" customHeight="1" s="189">
      <c r="A135" s="297" t="n"/>
      <c r="B135" s="291" t="n"/>
      <c r="C135" s="289" t="n"/>
      <c r="D135" s="298" t="n"/>
      <c r="E135" s="291" t="n"/>
      <c r="F135" s="291" t="n"/>
      <c r="G135" s="297" t="n"/>
      <c r="H135" s="298" t="n"/>
    </row>
    <row r="136" ht="13" customHeight="1" s="189">
      <c r="A136" s="297" t="n"/>
      <c r="B136" s="291" t="n"/>
      <c r="C136" s="289" t="n"/>
      <c r="D136" s="298" t="n"/>
      <c r="E136" s="291" t="n"/>
      <c r="F136" s="291" t="n"/>
      <c r="G136" s="297" t="n"/>
      <c r="H136" s="298" t="n"/>
    </row>
    <row r="137" ht="13" customHeight="1" s="189">
      <c r="A137" s="297" t="n"/>
      <c r="B137" s="291" t="n"/>
      <c r="C137" s="289" t="n"/>
      <c r="D137" s="298" t="n"/>
      <c r="E137" s="291" t="n"/>
      <c r="F137" s="291" t="n"/>
      <c r="G137" s="297" t="n"/>
      <c r="H137" s="298" t="n"/>
    </row>
    <row r="138" ht="13" customHeight="1" s="189">
      <c r="A138" s="297" t="n"/>
      <c r="B138" s="291" t="n"/>
      <c r="C138" s="289" t="n"/>
      <c r="D138" s="298" t="n"/>
      <c r="E138" s="291" t="n"/>
      <c r="F138" s="291" t="n"/>
      <c r="G138" s="297" t="n"/>
      <c r="H138" s="298" t="n"/>
    </row>
    <row r="139" ht="13" customHeight="1" s="189">
      <c r="A139" s="297" t="n"/>
      <c r="B139" s="291" t="n"/>
      <c r="C139" s="289" t="n"/>
      <c r="D139" s="298" t="n"/>
      <c r="E139" s="291" t="n"/>
      <c r="F139" s="291" t="n"/>
      <c r="G139" s="297" t="n"/>
      <c r="H139" s="298" t="n"/>
    </row>
    <row r="140" ht="13" customHeight="1" s="189">
      <c r="A140" s="297" t="n"/>
      <c r="B140" s="291" t="n"/>
      <c r="C140" s="289" t="n"/>
      <c r="D140" s="298" t="n"/>
      <c r="E140" s="291" t="n"/>
      <c r="F140" s="291" t="n"/>
      <c r="G140" s="297" t="n"/>
      <c r="H140" s="298" t="n"/>
    </row>
    <row r="141" ht="13" customHeight="1" s="189">
      <c r="A141" s="297" t="n"/>
      <c r="B141" s="291" t="n"/>
      <c r="C141" s="289" t="n"/>
      <c r="D141" s="298" t="n"/>
      <c r="E141" s="291" t="n"/>
      <c r="F141" s="291" t="n"/>
      <c r="G141" s="297" t="n"/>
      <c r="H141" s="298" t="n"/>
    </row>
    <row r="142" ht="13" customHeight="1" s="189">
      <c r="A142" s="297" t="n"/>
      <c r="B142" s="291" t="n"/>
      <c r="C142" s="289" t="n"/>
      <c r="D142" s="298" t="n"/>
      <c r="E142" s="291" t="n"/>
      <c r="F142" s="291" t="n"/>
      <c r="G142" s="297" t="n"/>
      <c r="H142" s="298" t="n"/>
    </row>
    <row r="143" ht="13" customHeight="1" s="189">
      <c r="A143" s="297" t="n"/>
      <c r="B143" s="291" t="n"/>
      <c r="C143" s="289" t="n"/>
      <c r="D143" s="298" t="n"/>
      <c r="E143" s="291" t="n"/>
      <c r="F143" s="291" t="n"/>
      <c r="G143" s="297" t="n"/>
      <c r="H143" s="298" t="n"/>
    </row>
    <row r="144" ht="13" customHeight="1" s="189">
      <c r="A144" s="297" t="n"/>
      <c r="B144" s="291" t="n"/>
      <c r="C144" s="289" t="n"/>
      <c r="D144" s="298" t="n"/>
      <c r="E144" s="291" t="n"/>
      <c r="F144" s="291" t="n"/>
      <c r="G144" s="297" t="n"/>
      <c r="H144" s="298" t="n"/>
    </row>
    <row r="145" ht="13" customHeight="1" s="189">
      <c r="A145" s="297" t="n"/>
      <c r="B145" s="291" t="n"/>
      <c r="C145" s="289" t="n"/>
      <c r="D145" s="298" t="n"/>
      <c r="E145" s="291" t="n"/>
      <c r="F145" s="291" t="n"/>
      <c r="G145" s="297" t="n"/>
      <c r="H145" s="298" t="n"/>
    </row>
    <row r="146" ht="13" customHeight="1" s="189">
      <c r="A146" s="297" t="n"/>
      <c r="B146" s="291" t="n"/>
      <c r="C146" s="289" t="n"/>
      <c r="D146" s="298" t="n"/>
      <c r="E146" s="291" t="n"/>
      <c r="F146" s="291" t="n"/>
      <c r="G146" s="297" t="n"/>
      <c r="H146" s="298" t="n"/>
    </row>
    <row r="147" ht="13" customHeight="1" s="189">
      <c r="A147" s="297" t="n"/>
      <c r="B147" s="291" t="n"/>
      <c r="C147" s="289" t="n"/>
      <c r="D147" s="298" t="n"/>
      <c r="E147" s="291" t="n"/>
      <c r="F147" s="291" t="n"/>
      <c r="G147" s="297" t="n"/>
      <c r="H147" s="298" t="n"/>
    </row>
    <row r="148" ht="13" customHeight="1" s="189">
      <c r="A148" s="297" t="n"/>
      <c r="B148" s="291" t="n"/>
      <c r="C148" s="289" t="n"/>
      <c r="D148" s="298" t="n"/>
      <c r="E148" s="291" t="n"/>
      <c r="F148" s="291" t="n"/>
      <c r="G148" s="297" t="n"/>
      <c r="H148" s="298" t="n"/>
    </row>
    <row r="149" ht="13" customHeight="1" s="189">
      <c r="A149" s="297" t="n"/>
      <c r="B149" s="291" t="n"/>
      <c r="C149" s="289" t="n"/>
      <c r="D149" s="298" t="n"/>
      <c r="E149" s="291" t="n"/>
      <c r="F149" s="291" t="n"/>
      <c r="G149" s="297" t="n"/>
      <c r="H149" s="298" t="n"/>
    </row>
    <row r="150" ht="13" customHeight="1" s="189">
      <c r="A150" s="297" t="n"/>
      <c r="B150" s="291" t="n"/>
      <c r="C150" s="289" t="n"/>
      <c r="D150" s="298" t="n"/>
      <c r="E150" s="291" t="n"/>
      <c r="F150" s="291" t="n"/>
      <c r="G150" s="297" t="n"/>
      <c r="H150" s="298" t="n"/>
    </row>
    <row r="151" ht="13" customHeight="1" s="189">
      <c r="A151" s="297" t="n"/>
      <c r="B151" s="291" t="n"/>
      <c r="C151" s="289" t="n"/>
      <c r="D151" s="298" t="n"/>
      <c r="E151" s="291" t="n"/>
      <c r="F151" s="291" t="n"/>
      <c r="G151" s="297" t="n"/>
      <c r="H151" s="298" t="n"/>
    </row>
    <row r="152" ht="13" customHeight="1" s="189">
      <c r="A152" s="297" t="n"/>
      <c r="B152" s="291" t="n"/>
      <c r="C152" s="289" t="n"/>
      <c r="D152" s="298" t="n"/>
      <c r="E152" s="291" t="n"/>
      <c r="F152" s="291" t="n"/>
      <c r="G152" s="297" t="n"/>
      <c r="H152" s="298" t="n"/>
    </row>
    <row r="153" ht="13" customHeight="1" s="189">
      <c r="A153" s="297" t="n"/>
      <c r="B153" s="291" t="n"/>
      <c r="C153" s="289" t="n"/>
      <c r="D153" s="298" t="n"/>
      <c r="E153" s="291" t="n"/>
      <c r="F153" s="291" t="n"/>
      <c r="G153" s="297" t="n"/>
      <c r="H153" s="298" t="n"/>
    </row>
    <row r="154" ht="13" customHeight="1" s="189">
      <c r="A154" s="297" t="n"/>
      <c r="B154" s="291" t="n"/>
      <c r="C154" s="289" t="n"/>
      <c r="D154" s="298" t="n"/>
      <c r="E154" s="291" t="n"/>
      <c r="F154" s="291" t="n"/>
      <c r="G154" s="297" t="n"/>
      <c r="H154" s="298" t="n"/>
    </row>
    <row r="155" ht="13" customHeight="1" s="189">
      <c r="A155" s="297" t="n"/>
      <c r="B155" s="291" t="n"/>
      <c r="C155" s="289" t="n"/>
      <c r="D155" s="298" t="n"/>
      <c r="E155" s="291" t="n"/>
      <c r="F155" s="291" t="n"/>
      <c r="G155" s="297" t="n"/>
      <c r="H155" s="298" t="n"/>
    </row>
    <row r="156" ht="13" customHeight="1" s="189">
      <c r="A156" s="297" t="n"/>
      <c r="B156" s="291" t="n"/>
      <c r="C156" s="289" t="n"/>
      <c r="D156" s="298" t="n"/>
      <c r="E156" s="291" t="n"/>
      <c r="F156" s="291" t="n"/>
      <c r="G156" s="297" t="n"/>
      <c r="H156" s="298" t="n"/>
    </row>
    <row r="157" ht="13" customHeight="1" s="189">
      <c r="A157" s="297" t="n"/>
      <c r="B157" s="291" t="n"/>
      <c r="C157" s="289" t="n"/>
      <c r="D157" s="298" t="n"/>
      <c r="E157" s="291" t="n"/>
      <c r="F157" s="291" t="n"/>
      <c r="G157" s="297" t="n"/>
      <c r="H157" s="298" t="n"/>
    </row>
    <row r="158" ht="13" customHeight="1" s="189">
      <c r="A158" s="297" t="n"/>
      <c r="B158" s="291" t="n"/>
      <c r="C158" s="289" t="n"/>
      <c r="D158" s="298" t="n"/>
      <c r="E158" s="291" t="n"/>
      <c r="F158" s="291" t="n"/>
      <c r="G158" s="297" t="n"/>
      <c r="H158" s="298" t="n"/>
    </row>
    <row r="159" ht="13" customHeight="1" s="189">
      <c r="A159" s="297" t="n"/>
      <c r="B159" s="291" t="n"/>
      <c r="C159" s="289" t="n"/>
      <c r="D159" s="298" t="n"/>
      <c r="E159" s="291" t="n"/>
      <c r="F159" s="291" t="n"/>
      <c r="G159" s="297" t="n"/>
      <c r="H159" s="298" t="n"/>
    </row>
    <row r="160" ht="13" customHeight="1" s="189">
      <c r="A160" s="297" t="n"/>
      <c r="B160" s="291" t="n"/>
      <c r="C160" s="289" t="n"/>
      <c r="D160" s="298" t="n"/>
      <c r="E160" s="291" t="n"/>
      <c r="F160" s="291" t="n"/>
      <c r="G160" s="297" t="n"/>
      <c r="H160" s="298" t="n"/>
    </row>
    <row r="161" ht="13" customHeight="1" s="189">
      <c r="A161" s="297" t="n"/>
      <c r="B161" s="291" t="n"/>
      <c r="C161" s="289" t="n"/>
      <c r="D161" s="298" t="n"/>
      <c r="E161" s="291" t="n"/>
      <c r="F161" s="291" t="n"/>
      <c r="G161" s="297" t="n"/>
      <c r="H161" s="298" t="n"/>
    </row>
    <row r="162" ht="13" customHeight="1" s="189">
      <c r="A162" s="297" t="n"/>
      <c r="B162" s="291" t="n"/>
      <c r="C162" s="289" t="n"/>
      <c r="D162" s="298" t="n"/>
      <c r="E162" s="291" t="n"/>
      <c r="F162" s="291" t="n"/>
      <c r="G162" s="297" t="n"/>
      <c r="H162" s="298" t="n"/>
    </row>
    <row r="163" ht="13" customHeight="1" s="189">
      <c r="A163" s="297" t="n"/>
      <c r="B163" s="291" t="n"/>
      <c r="C163" s="289" t="n"/>
      <c r="D163" s="298" t="n"/>
      <c r="E163" s="291" t="n"/>
      <c r="F163" s="291" t="n"/>
      <c r="G163" s="297" t="n"/>
      <c r="H163" s="298" t="n"/>
    </row>
    <row r="164" ht="13" customHeight="1" s="189">
      <c r="A164" s="297" t="n"/>
      <c r="B164" s="291" t="n"/>
      <c r="C164" s="289" t="n"/>
      <c r="D164" s="298" t="n"/>
      <c r="E164" s="291" t="n"/>
      <c r="F164" s="291" t="n"/>
      <c r="G164" s="297" t="n"/>
      <c r="H164" s="298" t="n"/>
    </row>
    <row r="165" ht="13" customHeight="1" s="189">
      <c r="A165" s="297" t="n"/>
      <c r="B165" s="291" t="n"/>
      <c r="C165" s="289" t="n"/>
      <c r="D165" s="298" t="n"/>
      <c r="E165" s="291" t="n"/>
      <c r="F165" s="291" t="n"/>
      <c r="G165" s="297" t="n"/>
      <c r="H165" s="298" t="n"/>
    </row>
    <row r="166" ht="13" customHeight="1" s="189">
      <c r="A166" s="297" t="n"/>
      <c r="B166" s="291" t="n"/>
      <c r="C166" s="289" t="n"/>
      <c r="D166" s="298" t="n"/>
      <c r="E166" s="291" t="n"/>
      <c r="F166" s="291" t="n"/>
      <c r="G166" s="297" t="n"/>
      <c r="H166" s="298" t="n"/>
    </row>
    <row r="167" ht="13" customHeight="1" s="189">
      <c r="A167" s="297" t="n"/>
      <c r="B167" s="291" t="n"/>
      <c r="C167" s="289" t="n"/>
      <c r="D167" s="298" t="n"/>
      <c r="E167" s="291" t="n"/>
      <c r="F167" s="291" t="n"/>
      <c r="G167" s="297" t="n"/>
      <c r="H167" s="298" t="n"/>
    </row>
    <row r="168" ht="13" customHeight="1" s="189">
      <c r="A168" s="297" t="n"/>
      <c r="B168" s="291" t="n"/>
      <c r="C168" s="289" t="n"/>
      <c r="D168" s="298" t="n"/>
      <c r="E168" s="291" t="n"/>
      <c r="F168" s="291" t="n"/>
      <c r="G168" s="297" t="n"/>
      <c r="H168" s="298" t="n"/>
    </row>
    <row r="169" ht="13" customHeight="1" s="189">
      <c r="A169" s="297" t="n"/>
      <c r="B169" s="291" t="n"/>
      <c r="C169" s="289" t="n"/>
      <c r="D169" s="298" t="n"/>
      <c r="E169" s="291" t="n"/>
      <c r="F169" s="291" t="n"/>
      <c r="G169" s="297" t="n"/>
      <c r="H169" s="298" t="n"/>
    </row>
    <row r="170" ht="13" customHeight="1" s="189">
      <c r="A170" s="297" t="n"/>
      <c r="B170" s="291" t="n"/>
      <c r="C170" s="289" t="n"/>
      <c r="D170" s="298" t="n"/>
      <c r="E170" s="291" t="n"/>
      <c r="F170" s="291" t="n"/>
      <c r="G170" s="297" t="n"/>
      <c r="H170" s="298" t="n"/>
    </row>
    <row r="171" ht="13" customHeight="1" s="189">
      <c r="A171" s="297" t="n"/>
      <c r="B171" s="291" t="n"/>
      <c r="C171" s="289" t="n"/>
      <c r="D171" s="298" t="n"/>
      <c r="E171" s="291" t="n"/>
      <c r="F171" s="291" t="n"/>
      <c r="G171" s="297" t="n"/>
      <c r="H171" s="298" t="n"/>
    </row>
    <row r="172" ht="13" customHeight="1" s="189">
      <c r="A172" s="297" t="n"/>
      <c r="B172" s="291" t="n"/>
      <c r="C172" s="289" t="n"/>
      <c r="D172" s="298" t="n"/>
      <c r="E172" s="291" t="n"/>
      <c r="F172" s="291" t="n"/>
      <c r="G172" s="297" t="n"/>
      <c r="H172" s="298" t="n"/>
    </row>
    <row r="173" ht="13" customHeight="1" s="189">
      <c r="A173" s="297" t="n"/>
      <c r="B173" s="291" t="n"/>
      <c r="C173" s="289" t="n"/>
      <c r="D173" s="298" t="n"/>
      <c r="E173" s="291" t="n"/>
      <c r="F173" s="291" t="n"/>
      <c r="G173" s="297" t="n"/>
      <c r="H173" s="298" t="n"/>
    </row>
    <row r="174" ht="13" customHeight="1" s="189">
      <c r="A174" s="297" t="n"/>
      <c r="B174" s="291" t="n"/>
      <c r="C174" s="289" t="n"/>
      <c r="D174" s="298" t="n"/>
      <c r="E174" s="291" t="n"/>
      <c r="F174" s="291" t="n"/>
      <c r="G174" s="297" t="n"/>
      <c r="H174" s="298" t="n"/>
    </row>
    <row r="175" ht="13" customHeight="1" s="189">
      <c r="A175" s="297" t="n"/>
      <c r="B175" s="291" t="n"/>
      <c r="C175" s="289" t="n"/>
      <c r="D175" s="298" t="n"/>
      <c r="E175" s="291" t="n"/>
      <c r="F175" s="291" t="n"/>
      <c r="G175" s="297" t="n"/>
      <c r="H175" s="298" t="n"/>
    </row>
    <row r="176" ht="13" customHeight="1" s="189">
      <c r="A176" s="297" t="n"/>
      <c r="B176" s="291" t="n"/>
      <c r="C176" s="289" t="n"/>
      <c r="D176" s="298" t="n"/>
      <c r="E176" s="291" t="n"/>
      <c r="F176" s="291" t="n"/>
      <c r="G176" s="297" t="n"/>
      <c r="H176" s="298" t="n"/>
    </row>
    <row r="177" ht="13" customHeight="1" s="189">
      <c r="A177" s="297" t="n"/>
      <c r="B177" s="291" t="n"/>
      <c r="C177" s="289" t="n"/>
      <c r="D177" s="298" t="n"/>
      <c r="E177" s="291" t="n"/>
      <c r="F177" s="291" t="n"/>
      <c r="G177" s="297" t="n"/>
      <c r="H177" s="298" t="n"/>
    </row>
    <row r="178" ht="13" customHeight="1" s="189">
      <c r="A178" s="297" t="n"/>
      <c r="B178" s="291" t="n"/>
      <c r="C178" s="289" t="n"/>
      <c r="D178" s="298" t="n"/>
      <c r="E178" s="291" t="n"/>
      <c r="F178" s="291" t="n"/>
      <c r="G178" s="297" t="n"/>
      <c r="H178" s="298" t="n"/>
    </row>
    <row r="179" ht="13" customHeight="1" s="189">
      <c r="A179" s="297" t="n"/>
      <c r="B179" s="291" t="n"/>
      <c r="C179" s="289" t="n"/>
      <c r="D179" s="298" t="n"/>
      <c r="E179" s="291" t="n"/>
      <c r="F179" s="291" t="n"/>
      <c r="G179" s="297" t="n"/>
      <c r="H179" s="298" t="n"/>
    </row>
    <row r="180" ht="13" customHeight="1" s="189">
      <c r="A180" s="297" t="n"/>
      <c r="B180" s="291" t="n"/>
      <c r="C180" s="289" t="n"/>
      <c r="D180" s="298" t="n"/>
      <c r="E180" s="291" t="n"/>
      <c r="F180" s="291" t="n"/>
      <c r="G180" s="297" t="n"/>
      <c r="H180" s="298" t="n"/>
    </row>
    <row r="181" ht="13" customHeight="1" s="189">
      <c r="A181" s="297" t="n"/>
      <c r="B181" s="291" t="n"/>
      <c r="C181" s="289" t="n"/>
      <c r="D181" s="298" t="n"/>
      <c r="E181" s="291" t="n"/>
      <c r="F181" s="291" t="n"/>
      <c r="G181" s="297" t="n"/>
      <c r="H181" s="298" t="n"/>
    </row>
    <row r="182" ht="13" customHeight="1" s="189">
      <c r="A182" s="297" t="n"/>
      <c r="B182" s="291" t="n"/>
      <c r="C182" s="289" t="n"/>
      <c r="D182" s="298" t="n"/>
      <c r="E182" s="291" t="n"/>
      <c r="F182" s="291" t="n"/>
      <c r="G182" s="297" t="n"/>
      <c r="H182" s="298" t="n"/>
    </row>
    <row r="183" ht="13" customHeight="1" s="189">
      <c r="A183" s="297" t="n"/>
      <c r="B183" s="291" t="n"/>
      <c r="C183" s="289" t="n"/>
      <c r="D183" s="298" t="n"/>
      <c r="E183" s="291" t="n"/>
      <c r="F183" s="291" t="n"/>
      <c r="G183" s="297" t="n"/>
      <c r="H183" s="298" t="n"/>
    </row>
    <row r="184" ht="13" customHeight="1" s="189">
      <c r="A184" s="297" t="n"/>
      <c r="B184" s="291" t="n"/>
      <c r="C184" s="289" t="n"/>
      <c r="D184" s="298" t="n"/>
      <c r="E184" s="291" t="n"/>
      <c r="F184" s="291" t="n"/>
      <c r="G184" s="297" t="n"/>
      <c r="H184" s="298" t="n"/>
    </row>
    <row r="185" ht="13" customHeight="1" s="189">
      <c r="A185" s="297" t="n"/>
      <c r="B185" s="291" t="n"/>
      <c r="C185" s="289" t="n"/>
      <c r="D185" s="298" t="n"/>
      <c r="E185" s="291" t="n"/>
      <c r="F185" s="291" t="n"/>
      <c r="G185" s="297" t="n"/>
      <c r="H185" s="298" t="n"/>
    </row>
    <row r="186" ht="13" customHeight="1" s="189">
      <c r="A186" s="297" t="n"/>
      <c r="B186" s="291" t="n"/>
      <c r="C186" s="289" t="n"/>
      <c r="D186" s="298" t="n"/>
      <c r="E186" s="291" t="n"/>
      <c r="F186" s="291" t="n"/>
      <c r="G186" s="297" t="n"/>
      <c r="H186" s="298" t="n"/>
    </row>
    <row r="187" ht="13" customHeight="1" s="189">
      <c r="A187" s="297" t="n"/>
      <c r="B187" s="291" t="n"/>
      <c r="C187" s="289" t="n"/>
      <c r="D187" s="298" t="n"/>
      <c r="E187" s="291" t="n"/>
      <c r="F187" s="291" t="n"/>
      <c r="G187" s="297" t="n"/>
      <c r="H187" s="298" t="n"/>
    </row>
    <row r="188" ht="13" customHeight="1" s="189">
      <c r="A188" s="297" t="n"/>
      <c r="B188" s="291" t="n"/>
      <c r="C188" s="289" t="n"/>
      <c r="D188" s="298" t="n"/>
      <c r="E188" s="291" t="n"/>
      <c r="F188" s="291" t="n"/>
      <c r="G188" s="297" t="n"/>
      <c r="H188" s="298" t="n"/>
    </row>
    <row r="189" ht="13" customHeight="1" s="189">
      <c r="A189" s="297" t="n"/>
      <c r="B189" s="291" t="n"/>
      <c r="C189" s="289" t="n"/>
      <c r="D189" s="298" t="n"/>
      <c r="E189" s="291" t="n"/>
      <c r="F189" s="291" t="n"/>
      <c r="G189" s="297" t="n"/>
      <c r="H189" s="298" t="n"/>
    </row>
    <row r="190" ht="13" customHeight="1" s="189">
      <c r="A190" s="297" t="n"/>
      <c r="B190" s="291" t="n"/>
      <c r="C190" s="289" t="n"/>
      <c r="D190" s="298" t="n"/>
      <c r="E190" s="291" t="n"/>
      <c r="F190" s="291" t="n"/>
      <c r="G190" s="297" t="n"/>
      <c r="H190" s="298" t="n"/>
    </row>
    <row r="191" ht="13" customHeight="1" s="189">
      <c r="A191" s="297" t="n"/>
      <c r="B191" s="291" t="n"/>
      <c r="C191" s="289" t="n"/>
      <c r="D191" s="298" t="n"/>
      <c r="E191" s="291" t="n"/>
      <c r="F191" s="291" t="n"/>
      <c r="G191" s="297" t="n"/>
      <c r="H191" s="298" t="n"/>
    </row>
    <row r="192" ht="13" customHeight="1" s="189">
      <c r="A192" s="297" t="n"/>
      <c r="B192" s="291" t="n"/>
      <c r="C192" s="289" t="n"/>
      <c r="D192" s="298" t="n"/>
      <c r="E192" s="291" t="n"/>
      <c r="F192" s="291" t="n"/>
      <c r="G192" s="297" t="n"/>
      <c r="H192" s="298" t="n"/>
    </row>
    <row r="193" ht="13" customHeight="1" s="189">
      <c r="A193" s="297" t="n"/>
      <c r="B193" s="291" t="n"/>
      <c r="C193" s="289" t="n"/>
      <c r="D193" s="298" t="n"/>
      <c r="E193" s="291" t="n"/>
      <c r="F193" s="291" t="n"/>
      <c r="G193" s="297" t="n"/>
      <c r="H193" s="298" t="n"/>
    </row>
    <row r="194" ht="13" customHeight="1" s="189">
      <c r="A194" s="297" t="n"/>
      <c r="B194" s="291" t="n"/>
      <c r="C194" s="289" t="n"/>
      <c r="D194" s="298" t="n"/>
      <c r="E194" s="291" t="n"/>
      <c r="F194" s="291" t="n"/>
      <c r="G194" s="297" t="n"/>
      <c r="H194" s="298" t="n"/>
    </row>
    <row r="195" ht="13" customHeight="1" s="189">
      <c r="A195" s="297" t="n"/>
      <c r="B195" s="291" t="n"/>
      <c r="C195" s="289" t="n"/>
      <c r="D195" s="298" t="n"/>
      <c r="E195" s="291" t="n"/>
      <c r="F195" s="291" t="n"/>
      <c r="G195" s="297" t="n"/>
      <c r="H195" s="298" t="n"/>
    </row>
    <row r="196" ht="13" customHeight="1" s="189">
      <c r="A196" s="297" t="n"/>
      <c r="B196" s="291" t="n"/>
      <c r="C196" s="289" t="n"/>
      <c r="D196" s="298" t="n"/>
      <c r="E196" s="291" t="n"/>
      <c r="F196" s="291" t="n"/>
      <c r="G196" s="297" t="n"/>
      <c r="H196" s="298" t="n"/>
    </row>
    <row r="197" ht="13" customHeight="1" s="189">
      <c r="A197" s="297" t="n"/>
      <c r="B197" s="291" t="n"/>
      <c r="C197" s="289" t="n"/>
      <c r="D197" s="298" t="n"/>
      <c r="E197" s="291" t="n"/>
      <c r="F197" s="291" t="n"/>
      <c r="G197" s="297" t="n"/>
      <c r="H197" s="298" t="n"/>
    </row>
    <row r="198" ht="13" customHeight="1" s="189">
      <c r="A198" s="297" t="n"/>
      <c r="B198" s="291" t="n"/>
      <c r="C198" s="289" t="n"/>
      <c r="D198" s="298" t="n"/>
      <c r="E198" s="291" t="n"/>
      <c r="F198" s="291" t="n"/>
      <c r="G198" s="297" t="n"/>
      <c r="H198" s="298" t="n"/>
    </row>
    <row r="199" ht="13" customHeight="1" s="189">
      <c r="A199" s="297" t="n"/>
      <c r="B199" s="291" t="n"/>
      <c r="C199" s="289" t="n"/>
      <c r="D199" s="298" t="n"/>
      <c r="E199" s="291" t="n"/>
      <c r="F199" s="291" t="n"/>
      <c r="G199" s="297" t="n"/>
      <c r="H199" s="298" t="n"/>
    </row>
    <row r="200" ht="13" customHeight="1" s="189">
      <c r="A200" s="297" t="n"/>
      <c r="B200" s="291" t="n"/>
      <c r="C200" s="289" t="n"/>
      <c r="D200" s="298" t="n"/>
      <c r="E200" s="291" t="n"/>
      <c r="F200" s="291" t="n"/>
      <c r="G200" s="297" t="n"/>
      <c r="H200" s="298" t="n"/>
    </row>
    <row r="201" ht="13" customHeight="1" s="189">
      <c r="A201" s="297" t="n"/>
      <c r="B201" s="291" t="n"/>
      <c r="C201" s="289" t="n"/>
      <c r="D201" s="298" t="n"/>
      <c r="E201" s="291" t="n"/>
      <c r="F201" s="291" t="n"/>
      <c r="G201" s="297" t="n"/>
      <c r="H201" s="298" t="n"/>
    </row>
    <row r="202" ht="13" customHeight="1" s="189">
      <c r="A202" s="297" t="n"/>
      <c r="B202" s="291" t="n"/>
      <c r="C202" s="289" t="n"/>
      <c r="D202" s="298" t="n"/>
      <c r="E202" s="291" t="n"/>
      <c r="F202" s="291" t="n"/>
      <c r="G202" s="297" t="n"/>
      <c r="H202" s="298" t="n"/>
    </row>
    <row r="203" ht="13" customHeight="1" s="189">
      <c r="A203" s="297" t="n"/>
      <c r="B203" s="291" t="n"/>
      <c r="C203" s="289" t="n"/>
      <c r="D203" s="298" t="n"/>
      <c r="E203" s="291" t="n"/>
      <c r="F203" s="291" t="n"/>
      <c r="G203" s="297" t="n"/>
      <c r="H203" s="298" t="n"/>
    </row>
    <row r="204" ht="13" customHeight="1" s="189">
      <c r="A204" s="297" t="n"/>
      <c r="B204" s="291" t="n"/>
      <c r="C204" s="289" t="n"/>
      <c r="D204" s="298" t="n"/>
      <c r="E204" s="291" t="n"/>
      <c r="F204" s="291" t="n"/>
      <c r="G204" s="297" t="n"/>
      <c r="H204" s="298" t="n"/>
    </row>
    <row r="205" ht="13" customHeight="1" s="189">
      <c r="A205" s="297" t="n"/>
      <c r="B205" s="291" t="n"/>
      <c r="C205" s="289" t="n"/>
      <c r="D205" s="298" t="n"/>
      <c r="E205" s="291" t="n"/>
      <c r="F205" s="291" t="n"/>
      <c r="G205" s="297" t="n"/>
      <c r="H205" s="298" t="n"/>
    </row>
    <row r="206" ht="13" customHeight="1" s="189">
      <c r="A206" s="297" t="n"/>
      <c r="B206" s="291" t="n"/>
      <c r="C206" s="289" t="n"/>
      <c r="D206" s="298" t="n"/>
      <c r="E206" s="291" t="n"/>
      <c r="F206" s="291" t="n"/>
      <c r="G206" s="297" t="n"/>
      <c r="H206" s="298" t="n"/>
    </row>
    <row r="207" ht="13" customHeight="1" s="189">
      <c r="A207" s="297" t="n"/>
      <c r="B207" s="291" t="n"/>
      <c r="C207" s="289" t="n"/>
      <c r="D207" s="298" t="n"/>
      <c r="E207" s="291" t="n"/>
      <c r="F207" s="291" t="n"/>
      <c r="G207" s="297" t="n"/>
      <c r="H207" s="298" t="n"/>
    </row>
    <row r="208" ht="13" customHeight="1" s="189">
      <c r="A208" s="297" t="n"/>
      <c r="B208" s="291" t="n"/>
      <c r="C208" s="289" t="n"/>
      <c r="D208" s="298" t="n"/>
      <c r="E208" s="291" t="n"/>
      <c r="F208" s="291" t="n"/>
      <c r="G208" s="297" t="n"/>
      <c r="H208" s="298" t="n"/>
    </row>
    <row r="209" ht="13" customHeight="1" s="189">
      <c r="A209" s="297" t="n"/>
      <c r="B209" s="291" t="n"/>
      <c r="C209" s="289" t="n"/>
      <c r="D209" s="298" t="n"/>
      <c r="E209" s="291" t="n"/>
      <c r="F209" s="291" t="n"/>
      <c r="G209" s="297" t="n"/>
      <c r="H209" s="298" t="n"/>
    </row>
    <row r="210" ht="13" customHeight="1" s="189">
      <c r="A210" s="297" t="n"/>
      <c r="B210" s="291" t="n"/>
      <c r="C210" s="289" t="n"/>
      <c r="D210" s="298" t="n"/>
      <c r="E210" s="291" t="n"/>
      <c r="F210" s="291" t="n"/>
      <c r="G210" s="297" t="n"/>
      <c r="H210" s="298" t="n"/>
    </row>
    <row r="211" ht="13" customHeight="1" s="189">
      <c r="A211" s="297" t="n"/>
      <c r="B211" s="291" t="n"/>
      <c r="C211" s="289" t="n"/>
      <c r="D211" s="298" t="n"/>
      <c r="E211" s="291" t="n"/>
      <c r="F211" s="291" t="n"/>
      <c r="G211" s="297" t="n"/>
      <c r="H211" s="298" t="n"/>
    </row>
    <row r="212" ht="13" customHeight="1" s="189">
      <c r="A212" s="297" t="n"/>
      <c r="B212" s="291" t="n"/>
      <c r="C212" s="289" t="n"/>
      <c r="D212" s="298" t="n"/>
      <c r="E212" s="291" t="n"/>
      <c r="F212" s="291" t="n"/>
      <c r="G212" s="297" t="n"/>
      <c r="H212" s="298" t="n"/>
    </row>
    <row r="213" ht="13" customHeight="1" s="189">
      <c r="A213" s="297" t="n"/>
      <c r="B213" s="291" t="n"/>
      <c r="C213" s="289" t="n"/>
      <c r="D213" s="298" t="n"/>
      <c r="E213" s="291" t="n"/>
      <c r="F213" s="291" t="n"/>
      <c r="G213" s="297" t="n"/>
      <c r="H213" s="298" t="n"/>
    </row>
    <row r="214" ht="13" customHeight="1" s="189">
      <c r="A214" s="297" t="n"/>
      <c r="B214" s="291" t="n"/>
      <c r="C214" s="289" t="n"/>
      <c r="D214" s="298" t="n"/>
      <c r="E214" s="291" t="n"/>
      <c r="F214" s="291" t="n"/>
      <c r="G214" s="297" t="n"/>
      <c r="H214" s="298" t="n"/>
    </row>
    <row r="215" ht="13" customHeight="1" s="189">
      <c r="A215" s="297" t="n"/>
      <c r="B215" s="291" t="n"/>
      <c r="C215" s="289" t="n"/>
      <c r="D215" s="298" t="n"/>
      <c r="E215" s="291" t="n"/>
      <c r="F215" s="291" t="n"/>
      <c r="G215" s="297" t="n"/>
      <c r="H215" s="298" t="n"/>
    </row>
    <row r="216" ht="13" customHeight="1" s="189">
      <c r="A216" s="297" t="n"/>
      <c r="B216" s="291" t="n"/>
      <c r="C216" s="289" t="n"/>
      <c r="D216" s="298" t="n"/>
      <c r="E216" s="291" t="n"/>
      <c r="F216" s="291" t="n"/>
      <c r="G216" s="297" t="n"/>
      <c r="H216" s="298" t="n"/>
    </row>
    <row r="217" ht="13" customHeight="1" s="189">
      <c r="A217" s="297" t="n"/>
      <c r="B217" s="291" t="n"/>
      <c r="C217" s="289" t="n"/>
      <c r="D217" s="298" t="n"/>
      <c r="E217" s="291" t="n"/>
      <c r="F217" s="291" t="n"/>
      <c r="G217" s="297" t="n"/>
      <c r="H217" s="298" t="n"/>
    </row>
    <row r="218" ht="13" customHeight="1" s="189">
      <c r="A218" s="297" t="n"/>
      <c r="B218" s="291" t="n"/>
      <c r="C218" s="289" t="n"/>
      <c r="D218" s="298" t="n"/>
      <c r="E218" s="291" t="n"/>
      <c r="F218" s="291" t="n"/>
      <c r="G218" s="297" t="n"/>
      <c r="H218" s="298" t="n"/>
    </row>
    <row r="219" ht="13" customHeight="1" s="189">
      <c r="A219" s="297" t="n"/>
      <c r="B219" s="291" t="n"/>
      <c r="C219" s="289" t="n"/>
      <c r="D219" s="298" t="n"/>
      <c r="E219" s="291" t="n"/>
      <c r="F219" s="291" t="n"/>
      <c r="G219" s="297" t="n"/>
      <c r="H219" s="298" t="n"/>
    </row>
    <row r="220" ht="13" customHeight="1" s="189">
      <c r="A220" s="297" t="n"/>
      <c r="B220" s="291" t="n"/>
      <c r="C220" s="289" t="n"/>
      <c r="D220" s="298" t="n"/>
      <c r="E220" s="291" t="n"/>
      <c r="F220" s="291" t="n"/>
      <c r="G220" s="297" t="n"/>
      <c r="H220" s="298" t="n"/>
    </row>
    <row r="221" ht="13" customHeight="1" s="189">
      <c r="A221" s="297" t="n"/>
      <c r="B221" s="291" t="n"/>
      <c r="C221" s="289" t="n"/>
      <c r="D221" s="298" t="n"/>
      <c r="E221" s="291" t="n"/>
      <c r="F221" s="291" t="n"/>
      <c r="G221" s="297" t="n"/>
      <c r="H221" s="298" t="n"/>
    </row>
    <row r="222" ht="13" customHeight="1" s="189">
      <c r="A222" s="297" t="n"/>
      <c r="B222" s="291" t="n"/>
      <c r="C222" s="289" t="n"/>
      <c r="D222" s="298" t="n"/>
      <c r="E222" s="291" t="n"/>
      <c r="F222" s="291" t="n"/>
      <c r="G222" s="297" t="n"/>
      <c r="H222" s="298" t="n"/>
    </row>
    <row r="223" ht="13" customHeight="1" s="189">
      <c r="A223" s="297" t="n"/>
      <c r="B223" s="291" t="n"/>
      <c r="C223" s="289" t="n"/>
      <c r="D223" s="298" t="n"/>
      <c r="E223" s="291" t="n"/>
      <c r="F223" s="291" t="n"/>
      <c r="G223" s="297" t="n"/>
      <c r="H223" s="298" t="n"/>
    </row>
    <row r="224" ht="13" customHeight="1" s="189">
      <c r="A224" s="297" t="n"/>
      <c r="B224" s="291" t="n"/>
      <c r="C224" s="289" t="n"/>
      <c r="D224" s="298" t="n"/>
      <c r="E224" s="291" t="n"/>
      <c r="F224" s="291" t="n"/>
      <c r="G224" s="297" t="n"/>
      <c r="H224" s="298" t="n"/>
    </row>
    <row r="225" ht="13" customHeight="1" s="189">
      <c r="A225" s="297" t="n"/>
      <c r="B225" s="291" t="n"/>
      <c r="C225" s="289" t="n"/>
      <c r="D225" s="298" t="n"/>
      <c r="E225" s="291" t="n"/>
      <c r="F225" s="291" t="n"/>
      <c r="G225" s="297" t="n"/>
      <c r="H225" s="298" t="n"/>
    </row>
    <row r="226" ht="13" customHeight="1" s="189">
      <c r="A226" s="297" t="n"/>
      <c r="B226" s="291" t="n"/>
      <c r="C226" s="289" t="n"/>
      <c r="D226" s="298" t="n"/>
      <c r="E226" s="291" t="n"/>
      <c r="F226" s="291" t="n"/>
      <c r="G226" s="297" t="n"/>
      <c r="H226" s="298" t="n"/>
    </row>
    <row r="227" ht="13" customHeight="1" s="189">
      <c r="A227" s="297" t="n"/>
      <c r="B227" s="291" t="n"/>
      <c r="C227" s="289" t="n"/>
      <c r="D227" s="298" t="n"/>
      <c r="E227" s="291" t="n"/>
      <c r="F227" s="291" t="n"/>
      <c r="G227" s="297" t="n"/>
      <c r="H227" s="298" t="n"/>
    </row>
    <row r="228" ht="13" customHeight="1" s="189">
      <c r="A228" s="297" t="n"/>
      <c r="B228" s="291" t="n"/>
      <c r="C228" s="289" t="n"/>
      <c r="D228" s="298" t="n"/>
      <c r="E228" s="291" t="n"/>
      <c r="F228" s="291" t="n"/>
      <c r="G228" s="297" t="n"/>
      <c r="H228" s="298" t="n"/>
    </row>
    <row r="229" ht="13" customHeight="1" s="189">
      <c r="A229" s="297" t="n"/>
      <c r="B229" s="291" t="n"/>
      <c r="C229" s="289" t="n"/>
      <c r="D229" s="298" t="n"/>
      <c r="E229" s="291" t="n"/>
      <c r="F229" s="291" t="n"/>
      <c r="G229" s="297" t="n"/>
      <c r="H229" s="298" t="n"/>
    </row>
    <row r="230" ht="13" customHeight="1" s="189">
      <c r="A230" s="297" t="n"/>
      <c r="B230" s="291" t="n"/>
      <c r="C230" s="289" t="n"/>
      <c r="D230" s="298" t="n"/>
      <c r="E230" s="291" t="n"/>
      <c r="F230" s="291" t="n"/>
      <c r="G230" s="297" t="n"/>
      <c r="H230" s="298" t="n"/>
    </row>
    <row r="231" ht="13" customHeight="1" s="189">
      <c r="A231" s="297" t="n"/>
      <c r="B231" s="291" t="n"/>
      <c r="C231" s="289" t="n"/>
      <c r="D231" s="298" t="n"/>
      <c r="E231" s="291" t="n"/>
      <c r="F231" s="291" t="n"/>
      <c r="G231" s="297" t="n"/>
      <c r="H231" s="298" t="n"/>
    </row>
    <row r="232" ht="13" customHeight="1" s="189">
      <c r="A232" s="297" t="n"/>
      <c r="B232" s="291" t="n"/>
      <c r="C232" s="289" t="n"/>
      <c r="D232" s="298" t="n"/>
      <c r="E232" s="291" t="n"/>
      <c r="F232" s="291" t="n"/>
      <c r="G232" s="297" t="n"/>
      <c r="H232" s="298" t="n"/>
    </row>
    <row r="233" ht="13" customHeight="1" s="189">
      <c r="A233" s="297" t="n"/>
      <c r="B233" s="291" t="n"/>
      <c r="C233" s="289" t="n"/>
      <c r="D233" s="298" t="n"/>
      <c r="E233" s="291" t="n"/>
      <c r="F233" s="291" t="n"/>
      <c r="G233" s="297" t="n"/>
      <c r="H233" s="298" t="n"/>
    </row>
    <row r="234" ht="13" customHeight="1" s="189">
      <c r="A234" s="297" t="n"/>
      <c r="B234" s="291" t="n"/>
      <c r="C234" s="289" t="n"/>
      <c r="D234" s="298" t="n"/>
      <c r="E234" s="291" t="n"/>
      <c r="F234" s="291" t="n"/>
      <c r="G234" s="297" t="n"/>
      <c r="H234" s="298" t="n"/>
    </row>
    <row r="235" ht="13" customHeight="1" s="189">
      <c r="A235" s="297" t="n"/>
      <c r="B235" s="291" t="n"/>
      <c r="C235" s="289" t="n"/>
      <c r="D235" s="298" t="n"/>
      <c r="E235" s="291" t="n"/>
      <c r="F235" s="291" t="n"/>
      <c r="G235" s="297" t="n"/>
      <c r="H235" s="298" t="n"/>
    </row>
    <row r="236" ht="13" customHeight="1" s="189">
      <c r="A236" s="297" t="n"/>
      <c r="B236" s="291" t="n"/>
      <c r="C236" s="289" t="n"/>
      <c r="D236" s="298" t="n"/>
      <c r="E236" s="291" t="n"/>
      <c r="F236" s="291" t="n"/>
      <c r="G236" s="297" t="n"/>
      <c r="H236" s="298" t="n"/>
    </row>
    <row r="237" ht="13" customHeight="1" s="189">
      <c r="A237" s="297" t="n"/>
      <c r="B237" s="291" t="n"/>
      <c r="C237" s="289" t="n"/>
      <c r="D237" s="298" t="n"/>
      <c r="E237" s="291" t="n"/>
      <c r="F237" s="291" t="n"/>
      <c r="G237" s="297" t="n"/>
      <c r="H237" s="298" t="n"/>
    </row>
    <row r="238" ht="13" customHeight="1" s="189">
      <c r="A238" s="297" t="n"/>
      <c r="B238" s="291" t="n"/>
      <c r="C238" s="289" t="n"/>
      <c r="D238" s="298" t="n"/>
      <c r="E238" s="291" t="n"/>
      <c r="F238" s="291" t="n"/>
      <c r="G238" s="297" t="n"/>
      <c r="H238" s="298" t="n"/>
    </row>
    <row r="239" ht="13" customHeight="1" s="189">
      <c r="A239" s="297" t="n"/>
      <c r="B239" s="291" t="n"/>
      <c r="C239" s="289" t="n"/>
      <c r="D239" s="298" t="n"/>
      <c r="E239" s="291" t="n"/>
      <c r="F239" s="291" t="n"/>
      <c r="G239" s="297" t="n"/>
      <c r="H239" s="298" t="n"/>
    </row>
    <row r="240" ht="13" customHeight="1" s="189">
      <c r="A240" s="297" t="n"/>
      <c r="B240" s="291" t="n"/>
      <c r="C240" s="289" t="n"/>
      <c r="D240" s="298" t="n"/>
      <c r="E240" s="291" t="n"/>
      <c r="F240" s="291" t="n"/>
      <c r="G240" s="297" t="n"/>
      <c r="H240" s="298" t="n"/>
    </row>
    <row r="241" ht="13" customHeight="1" s="189">
      <c r="A241" s="297" t="n"/>
      <c r="B241" s="291" t="n"/>
      <c r="C241" s="289" t="n"/>
      <c r="D241" s="298" t="n"/>
      <c r="E241" s="291" t="n"/>
      <c r="F241" s="291" t="n"/>
      <c r="G241" s="297" t="n"/>
      <c r="H241" s="298" t="n"/>
    </row>
    <row r="242" ht="13" customHeight="1" s="189">
      <c r="A242" s="297" t="n"/>
      <c r="B242" s="291" t="n"/>
      <c r="C242" s="289" t="n"/>
      <c r="D242" s="298" t="n"/>
      <c r="E242" s="291" t="n"/>
      <c r="F242" s="291" t="n"/>
      <c r="G242" s="297" t="n"/>
      <c r="H242" s="298" t="n"/>
    </row>
    <row r="243" ht="13" customHeight="1" s="189">
      <c r="A243" s="297" t="n"/>
      <c r="B243" s="291" t="n"/>
      <c r="C243" s="289" t="n"/>
      <c r="D243" s="298" t="n"/>
      <c r="E243" s="291" t="n"/>
      <c r="F243" s="291" t="n"/>
      <c r="G243" s="297" t="n"/>
      <c r="H243" s="298" t="n"/>
    </row>
    <row r="244" ht="13" customHeight="1" s="189">
      <c r="A244" s="297" t="n"/>
      <c r="B244" s="291" t="n"/>
      <c r="C244" s="289" t="n"/>
      <c r="D244" s="298" t="n"/>
      <c r="E244" s="291" t="n"/>
      <c r="F244" s="291" t="n"/>
      <c r="G244" s="297" t="n"/>
      <c r="H244" s="298" t="n"/>
    </row>
    <row r="245" ht="13" customHeight="1" s="189">
      <c r="A245" s="297" t="n"/>
      <c r="B245" s="291" t="n"/>
      <c r="C245" s="289" t="n"/>
      <c r="D245" s="298" t="n"/>
      <c r="E245" s="291" t="n"/>
      <c r="F245" s="291" t="n"/>
      <c r="G245" s="297" t="n"/>
      <c r="H245" s="298" t="n"/>
    </row>
    <row r="246" ht="13" customHeight="1" s="189">
      <c r="A246" s="297" t="n"/>
      <c r="B246" s="291" t="n"/>
      <c r="C246" s="289" t="n"/>
      <c r="D246" s="298" t="n"/>
      <c r="E246" s="291" t="n"/>
      <c r="F246" s="291" t="n"/>
      <c r="G246" s="297" t="n"/>
      <c r="H246" s="298" t="n"/>
    </row>
    <row r="247" ht="13" customHeight="1" s="189">
      <c r="A247" s="297" t="n"/>
      <c r="B247" s="291" t="n"/>
      <c r="C247" s="289" t="n"/>
      <c r="D247" s="298" t="n"/>
      <c r="E247" s="291" t="n"/>
      <c r="F247" s="291" t="n"/>
      <c r="G247" s="297" t="n"/>
      <c r="H247" s="298" t="n"/>
    </row>
    <row r="248" ht="13" customHeight="1" s="189">
      <c r="A248" s="297" t="n"/>
      <c r="B248" s="291" t="n"/>
      <c r="C248" s="289" t="n"/>
      <c r="D248" s="298" t="n"/>
      <c r="E248" s="291" t="n"/>
      <c r="F248" s="291" t="n"/>
      <c r="G248" s="297" t="n"/>
      <c r="H248" s="298" t="n"/>
    </row>
    <row r="249" ht="13" customHeight="1" s="189">
      <c r="A249" s="297" t="n"/>
      <c r="B249" s="291" t="n"/>
      <c r="C249" s="289" t="n"/>
      <c r="D249" s="298" t="n"/>
      <c r="E249" s="291" t="n"/>
      <c r="F249" s="291" t="n"/>
      <c r="G249" s="297" t="n"/>
      <c r="H249" s="298" t="n"/>
    </row>
    <row r="250" ht="13" customHeight="1" s="189">
      <c r="A250" s="297" t="n"/>
      <c r="B250" s="291" t="n"/>
      <c r="C250" s="289" t="n"/>
      <c r="D250" s="298" t="n"/>
      <c r="E250" s="291" t="n"/>
      <c r="F250" s="291" t="n"/>
      <c r="G250" s="297" t="n"/>
      <c r="H250" s="298" t="n"/>
    </row>
    <row r="251" ht="13" customHeight="1" s="189">
      <c r="A251" s="297" t="n"/>
      <c r="B251" s="291" t="n"/>
      <c r="C251" s="289" t="n"/>
      <c r="D251" s="298" t="n"/>
      <c r="E251" s="291" t="n"/>
      <c r="F251" s="291" t="n"/>
      <c r="G251" s="297" t="n"/>
      <c r="H251" s="298" t="n"/>
    </row>
    <row r="252" ht="13" customHeight="1" s="189">
      <c r="A252" s="297" t="n"/>
      <c r="B252" s="291" t="n"/>
      <c r="C252" s="289" t="n"/>
      <c r="D252" s="298" t="n"/>
      <c r="E252" s="291" t="n"/>
      <c r="F252" s="291" t="n"/>
      <c r="G252" s="297" t="n"/>
      <c r="H252" s="298" t="n"/>
    </row>
    <row r="253" ht="13" customHeight="1" s="189">
      <c r="A253" s="297" t="n"/>
      <c r="B253" s="291" t="n"/>
      <c r="C253" s="289" t="n"/>
      <c r="D253" s="298" t="n"/>
      <c r="E253" s="291" t="n"/>
      <c r="F253" s="291" t="n"/>
      <c r="G253" s="297" t="n"/>
      <c r="H253" s="298" t="n"/>
    </row>
    <row r="254" ht="13" customHeight="1" s="189">
      <c r="A254" s="297" t="n"/>
      <c r="B254" s="291" t="n"/>
      <c r="C254" s="289" t="n"/>
      <c r="D254" s="298" t="n"/>
      <c r="E254" s="291" t="n"/>
      <c r="F254" s="291" t="n"/>
      <c r="G254" s="297" t="n"/>
      <c r="H254" s="298" t="n"/>
    </row>
    <row r="255" ht="13" customHeight="1" s="189">
      <c r="A255" s="297" t="n"/>
      <c r="B255" s="291" t="n"/>
      <c r="C255" s="289" t="n"/>
      <c r="D255" s="298" t="n"/>
      <c r="E255" s="291" t="n"/>
      <c r="F255" s="291" t="n"/>
      <c r="G255" s="297" t="n"/>
      <c r="H255" s="298" t="n"/>
    </row>
    <row r="256" ht="13" customHeight="1" s="189">
      <c r="A256" s="297" t="n"/>
      <c r="B256" s="291" t="n"/>
      <c r="C256" s="289" t="n"/>
      <c r="D256" s="298" t="n"/>
      <c r="E256" s="291" t="n"/>
      <c r="F256" s="291" t="n"/>
      <c r="G256" s="297" t="n"/>
      <c r="H256" s="298" t="n"/>
    </row>
    <row r="257" ht="13" customHeight="1" s="189">
      <c r="A257" s="297" t="n"/>
      <c r="B257" s="291" t="n"/>
      <c r="C257" s="289" t="n"/>
      <c r="D257" s="298" t="n"/>
      <c r="E257" s="291" t="n"/>
      <c r="F257" s="291" t="n"/>
      <c r="G257" s="297" t="n"/>
      <c r="H257" s="298" t="n"/>
    </row>
    <row r="258" ht="13" customHeight="1" s="189">
      <c r="A258" s="297" t="n"/>
      <c r="B258" s="291" t="n"/>
      <c r="C258" s="289" t="n"/>
      <c r="D258" s="298" t="n"/>
      <c r="E258" s="291" t="n"/>
      <c r="F258" s="291" t="n"/>
      <c r="G258" s="297" t="n"/>
      <c r="H258" s="298" t="n"/>
    </row>
    <row r="259" ht="13" customHeight="1" s="189">
      <c r="A259" s="297" t="n"/>
      <c r="B259" s="291" t="n"/>
      <c r="C259" s="289" t="n"/>
      <c r="D259" s="298" t="n"/>
      <c r="E259" s="291" t="n"/>
      <c r="F259" s="291" t="n"/>
      <c r="G259" s="297" t="n"/>
      <c r="H259" s="298" t="n"/>
    </row>
    <row r="260" ht="13" customHeight="1" s="189">
      <c r="A260" s="297" t="n"/>
      <c r="B260" s="291" t="n"/>
      <c r="C260" s="289" t="n"/>
      <c r="D260" s="298" t="n"/>
      <c r="E260" s="291" t="n"/>
      <c r="F260" s="291" t="n"/>
      <c r="G260" s="297" t="n"/>
      <c r="H260" s="298" t="n"/>
    </row>
    <row r="261" ht="13" customHeight="1" s="189">
      <c r="A261" s="297" t="n"/>
      <c r="B261" s="291" t="n"/>
      <c r="C261" s="289" t="n"/>
      <c r="D261" s="298" t="n"/>
      <c r="E261" s="291" t="n"/>
      <c r="F261" s="291" t="n"/>
      <c r="G261" s="297" t="n"/>
      <c r="H261" s="298" t="n"/>
    </row>
    <row r="262" ht="13" customHeight="1" s="189">
      <c r="A262" s="297" t="n"/>
      <c r="B262" s="291" t="n"/>
      <c r="C262" s="289" t="n"/>
      <c r="D262" s="298" t="n"/>
      <c r="E262" s="291" t="n"/>
      <c r="F262" s="291" t="n"/>
      <c r="G262" s="297" t="n"/>
      <c r="H262" s="298" t="n"/>
    </row>
    <row r="263" ht="13" customHeight="1" s="189">
      <c r="A263" s="297" t="n"/>
      <c r="B263" s="291" t="n"/>
      <c r="C263" s="289" t="n"/>
      <c r="D263" s="298" t="n"/>
      <c r="E263" s="291" t="n"/>
      <c r="F263" s="291" t="n"/>
      <c r="G263" s="297" t="n"/>
      <c r="H263" s="298" t="n"/>
    </row>
    <row r="264" ht="13" customHeight="1" s="189">
      <c r="A264" s="297" t="n"/>
      <c r="B264" s="291" t="n"/>
      <c r="C264" s="289" t="n"/>
      <c r="D264" s="298" t="n"/>
      <c r="E264" s="291" t="n"/>
      <c r="F264" s="291" t="n"/>
      <c r="G264" s="297" t="n"/>
      <c r="H264" s="298" t="n"/>
    </row>
    <row r="265" ht="13" customHeight="1" s="189">
      <c r="A265" s="297" t="n"/>
      <c r="B265" s="291" t="n"/>
      <c r="C265" s="289" t="n"/>
      <c r="D265" s="298" t="n"/>
      <c r="E265" s="291" t="n"/>
      <c r="F265" s="291" t="n"/>
      <c r="G265" s="297" t="n"/>
      <c r="H265" s="298" t="n"/>
    </row>
    <row r="266" ht="13" customHeight="1" s="189">
      <c r="A266" s="297" t="n"/>
      <c r="B266" s="291" t="n"/>
      <c r="C266" s="289" t="n"/>
      <c r="D266" s="298" t="n"/>
      <c r="E266" s="291" t="n"/>
      <c r="F266" s="291" t="n"/>
      <c r="G266" s="297" t="n"/>
      <c r="H266" s="298" t="n"/>
    </row>
    <row r="267" ht="13" customHeight="1" s="189">
      <c r="A267" s="297" t="n"/>
      <c r="B267" s="291" t="n"/>
      <c r="C267" s="289" t="n"/>
      <c r="D267" s="298" t="n"/>
      <c r="E267" s="291" t="n"/>
      <c r="F267" s="291" t="n"/>
      <c r="G267" s="297" t="n"/>
      <c r="H267" s="298" t="n"/>
    </row>
    <row r="268" ht="13" customHeight="1" s="189">
      <c r="A268" s="297" t="n"/>
      <c r="B268" s="291" t="n"/>
      <c r="C268" s="289" t="n"/>
      <c r="D268" s="298" t="n"/>
      <c r="E268" s="291" t="n"/>
      <c r="F268" s="291" t="n"/>
      <c r="G268" s="297" t="n"/>
      <c r="H268" s="298" t="n"/>
    </row>
    <row r="269" ht="13" customHeight="1" s="189">
      <c r="A269" s="297" t="n"/>
      <c r="B269" s="291" t="n"/>
      <c r="C269" s="289" t="n"/>
      <c r="D269" s="298" t="n"/>
      <c r="E269" s="291" t="n"/>
      <c r="F269" s="291" t="n"/>
      <c r="G269" s="297" t="n"/>
      <c r="H269" s="298" t="n"/>
    </row>
    <row r="270" ht="13" customHeight="1" s="189">
      <c r="A270" s="297" t="n"/>
      <c r="B270" s="291" t="n"/>
      <c r="C270" s="289" t="n"/>
      <c r="D270" s="298" t="n"/>
      <c r="E270" s="291" t="n"/>
      <c r="F270" s="291" t="n"/>
      <c r="G270" s="297" t="n"/>
      <c r="H270" s="298" t="n"/>
    </row>
    <row r="271" ht="13" customHeight="1" s="189">
      <c r="A271" s="297" t="n"/>
      <c r="B271" s="291" t="n"/>
      <c r="C271" s="289" t="n"/>
      <c r="D271" s="298" t="n"/>
      <c r="E271" s="291" t="n"/>
      <c r="F271" s="291" t="n"/>
      <c r="G271" s="297" t="n"/>
      <c r="H271" s="298" t="n"/>
    </row>
    <row r="272" ht="13" customHeight="1" s="189">
      <c r="A272" s="297" t="n"/>
      <c r="B272" s="291" t="n"/>
      <c r="C272" s="289" t="n"/>
      <c r="D272" s="298" t="n"/>
      <c r="E272" s="291" t="n"/>
      <c r="F272" s="291" t="n"/>
      <c r="G272" s="297" t="n"/>
      <c r="H272" s="298" t="n"/>
    </row>
    <row r="273" ht="13" customHeight="1" s="189">
      <c r="A273" s="297" t="n"/>
      <c r="B273" s="291" t="n"/>
      <c r="C273" s="289" t="n"/>
      <c r="D273" s="298" t="n"/>
      <c r="E273" s="291" t="n"/>
      <c r="F273" s="291" t="n"/>
      <c r="G273" s="297" t="n"/>
      <c r="H273" s="298" t="n"/>
    </row>
    <row r="274" ht="13" customHeight="1" s="189">
      <c r="A274" s="297" t="n"/>
      <c r="B274" s="291" t="n"/>
      <c r="C274" s="289" t="n"/>
      <c r="D274" s="298" t="n"/>
      <c r="E274" s="291" t="n"/>
      <c r="F274" s="291" t="n"/>
      <c r="G274" s="297" t="n"/>
      <c r="H274" s="298" t="n"/>
    </row>
    <row r="275" ht="13" customHeight="1" s="189">
      <c r="A275" s="297" t="n"/>
      <c r="B275" s="291" t="n"/>
      <c r="C275" s="289" t="n"/>
      <c r="D275" s="298" t="n"/>
      <c r="E275" s="291" t="n"/>
      <c r="F275" s="291" t="n"/>
      <c r="G275" s="297" t="n"/>
      <c r="H275" s="298" t="n"/>
    </row>
    <row r="276" ht="13" customHeight="1" s="189">
      <c r="A276" s="297" t="n"/>
      <c r="B276" s="291" t="n"/>
      <c r="C276" s="289" t="n"/>
      <c r="D276" s="298" t="n"/>
      <c r="E276" s="291" t="n"/>
      <c r="F276" s="291" t="n"/>
      <c r="G276" s="297" t="n"/>
      <c r="H276" s="298" t="n"/>
    </row>
    <row r="277" ht="13" customHeight="1" s="189">
      <c r="A277" s="297" t="n"/>
      <c r="B277" s="291" t="n"/>
      <c r="C277" s="289" t="n"/>
      <c r="D277" s="298" t="n"/>
      <c r="E277" s="291" t="n"/>
      <c r="F277" s="291" t="n"/>
      <c r="G277" s="297" t="n"/>
      <c r="H277" s="298" t="n"/>
    </row>
    <row r="278" ht="13" customHeight="1" s="189">
      <c r="A278" s="297" t="n"/>
      <c r="B278" s="291" t="n"/>
      <c r="C278" s="289" t="n"/>
      <c r="D278" s="298" t="n"/>
      <c r="E278" s="291" t="n"/>
      <c r="F278" s="291" t="n"/>
      <c r="G278" s="297" t="n"/>
      <c r="H278" s="298" t="n"/>
    </row>
    <row r="279" ht="13" customHeight="1" s="189">
      <c r="A279" s="297" t="n"/>
      <c r="B279" s="291" t="n"/>
      <c r="C279" s="289" t="n"/>
      <c r="D279" s="298" t="n"/>
      <c r="E279" s="291" t="n"/>
      <c r="F279" s="291" t="n"/>
      <c r="G279" s="297" t="n"/>
      <c r="H279" s="298" t="n"/>
    </row>
    <row r="280" ht="13" customHeight="1" s="189">
      <c r="A280" s="297" t="n"/>
      <c r="B280" s="291" t="n"/>
      <c r="C280" s="289" t="n"/>
      <c r="D280" s="298" t="n"/>
      <c r="E280" s="291" t="n"/>
      <c r="F280" s="291" t="n"/>
      <c r="G280" s="297" t="n"/>
      <c r="H280" s="298" t="n"/>
    </row>
    <row r="281" ht="13" customHeight="1" s="189">
      <c r="A281" s="297" t="n"/>
      <c r="B281" s="291" t="n"/>
      <c r="C281" s="289" t="n"/>
      <c r="D281" s="298" t="n"/>
      <c r="E281" s="291" t="n"/>
      <c r="F281" s="291" t="n"/>
      <c r="G281" s="297" t="n"/>
      <c r="H281" s="298" t="n"/>
    </row>
    <row r="282" ht="13" customHeight="1" s="189">
      <c r="A282" s="297" t="n"/>
      <c r="B282" s="291" t="n"/>
      <c r="C282" s="289" t="n"/>
      <c r="D282" s="298" t="n"/>
      <c r="E282" s="291" t="n"/>
      <c r="F282" s="291" t="n"/>
      <c r="G282" s="297" t="n"/>
      <c r="H282" s="298" t="n"/>
    </row>
    <row r="283" ht="13" customHeight="1" s="189">
      <c r="A283" s="297" t="n"/>
      <c r="B283" s="291" t="n"/>
      <c r="C283" s="289" t="n"/>
      <c r="D283" s="298" t="n"/>
      <c r="E283" s="291" t="n"/>
      <c r="F283" s="291" t="n"/>
      <c r="G283" s="297" t="n"/>
      <c r="H283" s="298" t="n"/>
    </row>
    <row r="284" ht="13" customHeight="1" s="189">
      <c r="A284" s="297" t="n"/>
      <c r="B284" s="291" t="n"/>
      <c r="C284" s="289" t="n"/>
      <c r="D284" s="298" t="n"/>
      <c r="E284" s="291" t="n"/>
      <c r="F284" s="291" t="n"/>
      <c r="G284" s="297" t="n"/>
      <c r="H284" s="298" t="n"/>
    </row>
    <row r="285" ht="13" customHeight="1" s="189">
      <c r="A285" s="297" t="n"/>
      <c r="B285" s="291" t="n"/>
      <c r="C285" s="289" t="n"/>
      <c r="D285" s="298" t="n"/>
      <c r="E285" s="291" t="n"/>
      <c r="F285" s="291" t="n"/>
      <c r="G285" s="297" t="n"/>
      <c r="H285" s="298" t="n"/>
    </row>
    <row r="286" ht="13" customHeight="1" s="189">
      <c r="A286" s="297" t="n"/>
      <c r="B286" s="291" t="n"/>
      <c r="C286" s="289" t="n"/>
      <c r="D286" s="298" t="n"/>
      <c r="E286" s="291" t="n"/>
      <c r="F286" s="291" t="n"/>
      <c r="G286" s="297" t="n"/>
      <c r="H286" s="298" t="n"/>
    </row>
    <row r="287" ht="13" customHeight="1" s="189">
      <c r="A287" s="297" t="n"/>
      <c r="B287" s="291" t="n"/>
      <c r="C287" s="289" t="n"/>
      <c r="D287" s="298" t="n"/>
      <c r="E287" s="291" t="n"/>
      <c r="F287" s="291" t="n"/>
      <c r="G287" s="297" t="n"/>
      <c r="H287" s="298" t="n"/>
    </row>
    <row r="288" ht="13" customHeight="1" s="189">
      <c r="A288" s="297" t="n"/>
      <c r="B288" s="291" t="n"/>
      <c r="C288" s="289" t="n"/>
      <c r="D288" s="298" t="n"/>
      <c r="E288" s="291" t="n"/>
      <c r="F288" s="291" t="n"/>
      <c r="G288" s="297" t="n"/>
      <c r="H288" s="298" t="n"/>
    </row>
    <row r="289" ht="13" customHeight="1" s="189">
      <c r="A289" s="297" t="n"/>
      <c r="B289" s="291" t="n"/>
      <c r="C289" s="289" t="n"/>
      <c r="D289" s="298" t="n"/>
      <c r="E289" s="291" t="n"/>
      <c r="F289" s="291" t="n"/>
      <c r="G289" s="297" t="n"/>
      <c r="H289" s="298" t="n"/>
    </row>
    <row r="290" ht="13" customHeight="1" s="189">
      <c r="A290" s="297" t="n"/>
      <c r="B290" s="291" t="n"/>
      <c r="C290" s="289" t="n"/>
      <c r="D290" s="298" t="n"/>
      <c r="E290" s="291" t="n"/>
      <c r="F290" s="291" t="n"/>
      <c r="G290" s="297" t="n"/>
      <c r="H290" s="298" t="n"/>
    </row>
    <row r="291" ht="13" customHeight="1" s="189">
      <c r="A291" s="297" t="n"/>
      <c r="B291" s="291" t="n"/>
      <c r="C291" s="289" t="n"/>
      <c r="D291" s="298" t="n"/>
      <c r="E291" s="291" t="n"/>
      <c r="F291" s="291" t="n"/>
      <c r="G291" s="297" t="n"/>
      <c r="H291" s="298" t="n"/>
    </row>
    <row r="292" ht="13" customHeight="1" s="189">
      <c r="A292" s="297" t="n"/>
      <c r="B292" s="291" t="n"/>
      <c r="C292" s="289" t="n"/>
      <c r="D292" s="298" t="n"/>
      <c r="E292" s="291" t="n"/>
      <c r="F292" s="291" t="n"/>
      <c r="G292" s="297" t="n"/>
      <c r="H292" s="298" t="n"/>
    </row>
    <row r="293" ht="13" customHeight="1" s="189">
      <c r="A293" s="297" t="n"/>
      <c r="B293" s="291" t="n"/>
      <c r="C293" s="289" t="n"/>
      <c r="D293" s="298" t="n"/>
      <c r="E293" s="291" t="n"/>
      <c r="F293" s="291" t="n"/>
      <c r="G293" s="297" t="n"/>
      <c r="H293" s="298" t="n"/>
    </row>
    <row r="294" ht="13" customHeight="1" s="189">
      <c r="A294" s="297" t="n"/>
      <c r="B294" s="291" t="n"/>
      <c r="C294" s="289" t="n"/>
      <c r="D294" s="298" t="n"/>
      <c r="E294" s="291" t="n"/>
      <c r="F294" s="291" t="n"/>
      <c r="G294" s="297" t="n"/>
      <c r="H294" s="298" t="n"/>
    </row>
    <row r="295" ht="13" customHeight="1" s="189">
      <c r="A295" s="297" t="n"/>
      <c r="B295" s="291" t="n"/>
      <c r="C295" s="289" t="n"/>
      <c r="D295" s="298" t="n"/>
      <c r="E295" s="291" t="n"/>
      <c r="F295" s="291" t="n"/>
      <c r="G295" s="297" t="n"/>
      <c r="H295" s="298" t="n"/>
    </row>
    <row r="296" ht="13" customHeight="1" s="189">
      <c r="A296" s="297" t="n"/>
      <c r="B296" s="291" t="n"/>
      <c r="C296" s="289" t="n"/>
      <c r="D296" s="298" t="n"/>
      <c r="E296" s="291" t="n"/>
      <c r="F296" s="291" t="n"/>
      <c r="G296" s="297" t="n"/>
      <c r="H296" s="298" t="n"/>
    </row>
    <row r="297" ht="13" customHeight="1" s="189">
      <c r="A297" s="297" t="n"/>
      <c r="B297" s="291" t="n"/>
      <c r="C297" s="289" t="n"/>
      <c r="D297" s="298" t="n"/>
      <c r="E297" s="291" t="n"/>
      <c r="F297" s="291" t="n"/>
      <c r="G297" s="297" t="n"/>
      <c r="H297" s="298" t="n"/>
    </row>
    <row r="298" ht="13" customHeight="1" s="189">
      <c r="A298" s="297" t="n"/>
      <c r="B298" s="291" t="n"/>
      <c r="C298" s="289" t="n"/>
      <c r="D298" s="298" t="n"/>
      <c r="E298" s="291" t="n"/>
      <c r="F298" s="291" t="n"/>
      <c r="G298" s="297" t="n"/>
      <c r="H298" s="298" t="n"/>
    </row>
    <row r="299" ht="13" customHeight="1" s="189">
      <c r="A299" s="297" t="n"/>
      <c r="B299" s="291" t="n"/>
      <c r="C299" s="289" t="n"/>
      <c r="D299" s="298" t="n"/>
      <c r="E299" s="291" t="n"/>
      <c r="F299" s="291" t="n"/>
      <c r="G299" s="297" t="n"/>
      <c r="H299" s="298" t="n"/>
    </row>
    <row r="300" ht="13" customHeight="1" s="189">
      <c r="A300" s="297" t="n"/>
      <c r="B300" s="291" t="n"/>
      <c r="C300" s="289" t="n"/>
      <c r="D300" s="298" t="n"/>
      <c r="E300" s="291" t="n"/>
      <c r="F300" s="291" t="n"/>
      <c r="G300" s="297" t="n"/>
      <c r="H300" s="298" t="n"/>
    </row>
    <row r="301" ht="13" customHeight="1" s="189">
      <c r="A301" s="297" t="n"/>
      <c r="B301" s="291" t="n"/>
      <c r="C301" s="289" t="n"/>
      <c r="D301" s="298" t="n"/>
      <c r="E301" s="291" t="n"/>
      <c r="F301" s="291" t="n"/>
      <c r="G301" s="297" t="n"/>
      <c r="H301" s="298" t="n"/>
    </row>
    <row r="302" ht="13" customHeight="1" s="189">
      <c r="A302" s="297" t="n"/>
      <c r="B302" s="291" t="n"/>
      <c r="C302" s="289" t="n"/>
      <c r="D302" s="298" t="n"/>
      <c r="E302" s="291" t="n"/>
      <c r="F302" s="291" t="n"/>
      <c r="G302" s="297" t="n"/>
      <c r="H302" s="298" t="n"/>
    </row>
    <row r="303" ht="13" customHeight="1" s="189">
      <c r="A303" s="297" t="n"/>
      <c r="B303" s="291" t="n"/>
      <c r="C303" s="289" t="n"/>
      <c r="D303" s="298" t="n"/>
      <c r="E303" s="291" t="n"/>
      <c r="F303" s="291" t="n"/>
      <c r="G303" s="297" t="n"/>
      <c r="H303" s="298" t="n"/>
    </row>
    <row r="304" ht="13" customHeight="1" s="189">
      <c r="A304" s="297" t="n"/>
      <c r="B304" s="291" t="n"/>
      <c r="C304" s="289" t="n"/>
      <c r="D304" s="298" t="n"/>
      <c r="E304" s="291" t="n"/>
      <c r="F304" s="291" t="n"/>
      <c r="G304" s="297" t="n"/>
      <c r="H304" s="298" t="n"/>
    </row>
    <row r="305" ht="13" customHeight="1" s="189">
      <c r="A305" s="297" t="n"/>
      <c r="B305" s="291" t="n"/>
      <c r="C305" s="289" t="n"/>
      <c r="D305" s="298" t="n"/>
      <c r="E305" s="291" t="n"/>
      <c r="F305" s="291" t="n"/>
      <c r="G305" s="297" t="n"/>
      <c r="H305" s="298" t="n"/>
    </row>
    <row r="306" ht="13" customHeight="1" s="189">
      <c r="A306" s="297" t="n"/>
      <c r="B306" s="291" t="n"/>
      <c r="C306" s="289" t="n"/>
      <c r="D306" s="298" t="n"/>
      <c r="E306" s="291" t="n"/>
      <c r="F306" s="291" t="n"/>
      <c r="G306" s="297" t="n"/>
      <c r="H306" s="298" t="n"/>
    </row>
    <row r="307" ht="13" customHeight="1" s="189">
      <c r="A307" s="297" t="n"/>
      <c r="B307" s="291" t="n"/>
      <c r="C307" s="289" t="n"/>
      <c r="D307" s="298" t="n"/>
      <c r="E307" s="291" t="n"/>
      <c r="F307" s="291" t="n"/>
      <c r="G307" s="297" t="n"/>
      <c r="H307" s="298" t="n"/>
    </row>
    <row r="308" ht="13" customHeight="1" s="189">
      <c r="A308" s="297" t="n"/>
      <c r="B308" s="291" t="n"/>
      <c r="C308" s="289" t="n"/>
      <c r="D308" s="298" t="n"/>
      <c r="E308" s="291" t="n"/>
      <c r="F308" s="291" t="n"/>
      <c r="G308" s="297" t="n"/>
      <c r="H308" s="298" t="n"/>
    </row>
    <row r="309" ht="13" customHeight="1" s="189">
      <c r="A309" s="297" t="n"/>
      <c r="B309" s="291" t="n"/>
      <c r="C309" s="289" t="n"/>
      <c r="D309" s="298" t="n"/>
      <c r="E309" s="291" t="n"/>
      <c r="F309" s="291" t="n"/>
      <c r="G309" s="297" t="n"/>
      <c r="H309" s="298" t="n"/>
    </row>
    <row r="310" ht="13" customHeight="1" s="189">
      <c r="A310" s="297" t="n"/>
      <c r="B310" s="291" t="n"/>
      <c r="C310" s="289" t="n"/>
      <c r="D310" s="298" t="n"/>
      <c r="E310" s="291" t="n"/>
      <c r="F310" s="291" t="n"/>
      <c r="G310" s="297" t="n"/>
      <c r="H310" s="298" t="n"/>
    </row>
    <row r="311" ht="13" customHeight="1" s="189">
      <c r="A311" s="297" t="n"/>
      <c r="B311" s="291" t="n"/>
      <c r="C311" s="289" t="n"/>
      <c r="D311" s="298" t="n"/>
      <c r="E311" s="291" t="n"/>
      <c r="F311" s="291" t="n"/>
      <c r="G311" s="297" t="n"/>
      <c r="H311" s="298" t="n"/>
    </row>
    <row r="312" ht="13" customHeight="1" s="189">
      <c r="A312" s="297" t="n"/>
      <c r="B312" s="291" t="n"/>
      <c r="C312" s="289" t="n"/>
      <c r="D312" s="298" t="n"/>
      <c r="E312" s="291" t="n"/>
      <c r="F312" s="291" t="n"/>
      <c r="G312" s="297" t="n"/>
      <c r="H312" s="298" t="n"/>
    </row>
    <row r="313" ht="13" customHeight="1" s="189">
      <c r="A313" s="297" t="n"/>
      <c r="B313" s="291" t="n"/>
      <c r="C313" s="289" t="n"/>
      <c r="D313" s="298" t="n"/>
      <c r="E313" s="291" t="n"/>
      <c r="F313" s="291" t="n"/>
      <c r="G313" s="297" t="n"/>
      <c r="H313" s="298" t="n"/>
    </row>
    <row r="314" ht="13" customHeight="1" s="189">
      <c r="A314" s="297" t="n"/>
      <c r="B314" s="291" t="n"/>
      <c r="C314" s="289" t="n"/>
      <c r="D314" s="298" t="n"/>
      <c r="E314" s="291" t="n"/>
      <c r="F314" s="291" t="n"/>
      <c r="G314" s="297" t="n"/>
      <c r="H314" s="298" t="n"/>
    </row>
    <row r="315" ht="13" customHeight="1" s="189">
      <c r="A315" s="297" t="n"/>
      <c r="B315" s="291" t="n"/>
      <c r="C315" s="289" t="n"/>
      <c r="D315" s="298" t="n"/>
      <c r="E315" s="291" t="n"/>
      <c r="F315" s="291" t="n"/>
      <c r="G315" s="297" t="n"/>
      <c r="H315" s="298" t="n"/>
    </row>
    <row r="316" ht="13" customHeight="1" s="189">
      <c r="A316" s="297" t="n"/>
      <c r="B316" s="291" t="n"/>
      <c r="C316" s="289" t="n"/>
      <c r="D316" s="298" t="n"/>
      <c r="E316" s="291" t="n"/>
      <c r="F316" s="291" t="n"/>
      <c r="G316" s="297" t="n"/>
      <c r="H316" s="298" t="n"/>
    </row>
    <row r="317" ht="13" customHeight="1" s="189">
      <c r="A317" s="297" t="n"/>
      <c r="B317" s="291" t="n"/>
      <c r="C317" s="289" t="n"/>
      <c r="D317" s="298" t="n"/>
      <c r="E317" s="291" t="n"/>
      <c r="F317" s="291" t="n"/>
      <c r="G317" s="297" t="n"/>
      <c r="H317" s="298" t="n"/>
    </row>
    <row r="318" ht="13" customHeight="1" s="189">
      <c r="A318" s="297" t="n"/>
      <c r="B318" s="291" t="n"/>
      <c r="C318" s="289" t="n"/>
      <c r="D318" s="298" t="n"/>
      <c r="E318" s="291" t="n"/>
      <c r="F318" s="291" t="n"/>
      <c r="G318" s="297" t="n"/>
      <c r="H318" s="298" t="n"/>
    </row>
    <row r="319" ht="13" customHeight="1" s="189">
      <c r="A319" s="297" t="n"/>
      <c r="B319" s="291" t="n"/>
      <c r="C319" s="289" t="n"/>
      <c r="D319" s="298" t="n"/>
      <c r="E319" s="291" t="n"/>
      <c r="F319" s="291" t="n"/>
      <c r="G319" s="297" t="n"/>
      <c r="H319" s="298" t="n"/>
    </row>
    <row r="320" ht="13" customHeight="1" s="189">
      <c r="A320" s="297" t="n"/>
      <c r="B320" s="291" t="n"/>
      <c r="C320" s="289" t="n"/>
      <c r="D320" s="298" t="n"/>
      <c r="E320" s="291" t="n"/>
      <c r="F320" s="291" t="n"/>
      <c r="G320" s="297" t="n"/>
      <c r="H320" s="298" t="n"/>
    </row>
    <row r="321" ht="13" customHeight="1" s="189">
      <c r="A321" s="297" t="n"/>
      <c r="B321" s="291" t="n"/>
      <c r="C321" s="289" t="n"/>
      <c r="D321" s="298" t="n"/>
      <c r="E321" s="291" t="n"/>
      <c r="F321" s="291" t="n"/>
      <c r="G321" s="297" t="n"/>
      <c r="H321" s="298" t="n"/>
    </row>
    <row r="322" ht="13" customHeight="1" s="189">
      <c r="A322" s="297" t="n"/>
      <c r="B322" s="291" t="n"/>
      <c r="C322" s="289" t="n"/>
      <c r="D322" s="298" t="n"/>
      <c r="E322" s="291" t="n"/>
      <c r="F322" s="291" t="n"/>
      <c r="G322" s="297" t="n"/>
      <c r="H322" s="298" t="n"/>
    </row>
    <row r="323" ht="13" customHeight="1" s="189">
      <c r="A323" s="297" t="n"/>
      <c r="B323" s="291" t="n"/>
      <c r="C323" s="289" t="n"/>
      <c r="D323" s="298" t="n"/>
      <c r="E323" s="291" t="n"/>
      <c r="F323" s="291" t="n"/>
      <c r="G323" s="297" t="n"/>
      <c r="H323" s="298" t="n"/>
    </row>
    <row r="324" ht="13" customHeight="1" s="189">
      <c r="A324" s="297" t="n"/>
      <c r="B324" s="291" t="n"/>
      <c r="C324" s="289" t="n"/>
      <c r="D324" s="298" t="n"/>
      <c r="E324" s="291" t="n"/>
      <c r="F324" s="291" t="n"/>
      <c r="G324" s="297" t="n"/>
      <c r="H324" s="298" t="n"/>
    </row>
    <row r="325" ht="13" customHeight="1" s="189">
      <c r="A325" s="297" t="n"/>
      <c r="B325" s="291" t="n"/>
      <c r="C325" s="289" t="n"/>
      <c r="D325" s="298" t="n"/>
      <c r="E325" s="291" t="n"/>
      <c r="F325" s="291" t="n"/>
      <c r="G325" s="297" t="n"/>
      <c r="H325" s="298" t="n"/>
    </row>
    <row r="326" ht="13" customHeight="1" s="189">
      <c r="A326" s="297" t="n"/>
      <c r="B326" s="291" t="n"/>
      <c r="C326" s="289" t="n"/>
      <c r="D326" s="298" t="n"/>
      <c r="E326" s="291" t="n"/>
      <c r="F326" s="291" t="n"/>
      <c r="G326" s="297" t="n"/>
      <c r="H326" s="298" t="n"/>
    </row>
    <row r="327" ht="13" customHeight="1" s="189">
      <c r="A327" s="297" t="n"/>
      <c r="B327" s="291" t="n"/>
      <c r="C327" s="289" t="n"/>
      <c r="D327" s="298" t="n"/>
      <c r="E327" s="291" t="n"/>
      <c r="F327" s="291" t="n"/>
      <c r="G327" s="297" t="n"/>
      <c r="H327" s="298" t="n"/>
    </row>
    <row r="328" ht="13" customHeight="1" s="189">
      <c r="A328" s="297" t="n"/>
      <c r="B328" s="291" t="n"/>
      <c r="C328" s="289" t="n"/>
      <c r="D328" s="298" t="n"/>
      <c r="E328" s="291" t="n"/>
      <c r="F328" s="291" t="n"/>
      <c r="G328" s="297" t="n"/>
      <c r="H328" s="298" t="n"/>
    </row>
    <row r="329" ht="13" customHeight="1" s="189">
      <c r="A329" s="297" t="n"/>
      <c r="B329" s="291" t="n"/>
      <c r="C329" s="289" t="n"/>
      <c r="D329" s="298" t="n"/>
      <c r="E329" s="291" t="n"/>
      <c r="F329" s="291" t="n"/>
      <c r="G329" s="297" t="n"/>
      <c r="H329" s="298" t="n"/>
    </row>
    <row r="330" ht="13" customHeight="1" s="189">
      <c r="A330" s="297" t="n"/>
      <c r="B330" s="291" t="n"/>
      <c r="C330" s="289" t="n"/>
      <c r="D330" s="298" t="n"/>
      <c r="E330" s="291" t="n"/>
      <c r="F330" s="291" t="n"/>
      <c r="G330" s="297" t="n"/>
      <c r="H330" s="298" t="n"/>
    </row>
    <row r="331" ht="13" customHeight="1" s="189">
      <c r="A331" s="297" t="n"/>
      <c r="B331" s="291" t="n"/>
      <c r="C331" s="289" t="n"/>
      <c r="D331" s="298" t="n"/>
      <c r="E331" s="291" t="n"/>
      <c r="F331" s="291" t="n"/>
      <c r="G331" s="297" t="n"/>
      <c r="H331" s="298" t="n"/>
    </row>
    <row r="332" ht="13" customHeight="1" s="189">
      <c r="A332" s="297" t="n"/>
      <c r="B332" s="291" t="n"/>
      <c r="C332" s="289" t="n"/>
      <c r="D332" s="298" t="n"/>
      <c r="E332" s="291" t="n"/>
      <c r="F332" s="291" t="n"/>
      <c r="G332" s="297" t="n"/>
      <c r="H332" s="298" t="n"/>
    </row>
    <row r="333" ht="13" customHeight="1" s="189">
      <c r="A333" s="297" t="n"/>
      <c r="B333" s="291" t="n"/>
      <c r="C333" s="289" t="n"/>
      <c r="D333" s="298" t="n"/>
      <c r="E333" s="291" t="n"/>
      <c r="F333" s="291" t="n"/>
      <c r="G333" s="297" t="n"/>
      <c r="H333" s="298" t="n"/>
    </row>
    <row r="334" ht="13" customHeight="1" s="189">
      <c r="A334" s="297" t="n"/>
      <c r="B334" s="291" t="n"/>
      <c r="C334" s="289" t="n"/>
      <c r="D334" s="298" t="n"/>
      <c r="E334" s="291" t="n"/>
      <c r="F334" s="291" t="n"/>
      <c r="G334" s="297" t="n"/>
      <c r="H334" s="298" t="n"/>
    </row>
    <row r="335" ht="13" customHeight="1" s="189">
      <c r="A335" s="297" t="n"/>
      <c r="B335" s="291" t="n"/>
      <c r="C335" s="289" t="n"/>
      <c r="D335" s="298" t="n"/>
      <c r="E335" s="291" t="n"/>
      <c r="F335" s="291" t="n"/>
      <c r="G335" s="297" t="n"/>
      <c r="H335" s="298" t="n"/>
    </row>
    <row r="336" ht="13" customHeight="1" s="189">
      <c r="A336" s="297" t="n"/>
      <c r="B336" s="291" t="n"/>
      <c r="C336" s="289" t="n"/>
      <c r="D336" s="298" t="n"/>
      <c r="E336" s="291" t="n"/>
      <c r="F336" s="291" t="n"/>
      <c r="G336" s="297" t="n"/>
      <c r="H336" s="298" t="n"/>
    </row>
    <row r="337" ht="13" customHeight="1" s="189">
      <c r="A337" s="297" t="n"/>
      <c r="B337" s="291" t="n"/>
      <c r="C337" s="289" t="n"/>
      <c r="D337" s="298" t="n"/>
      <c r="E337" s="291" t="n"/>
      <c r="F337" s="291" t="n"/>
      <c r="G337" s="297" t="n"/>
      <c r="H337" s="298" t="n"/>
    </row>
    <row r="338" ht="13" customHeight="1" s="189">
      <c r="A338" s="297" t="n"/>
      <c r="B338" s="291" t="n"/>
      <c r="C338" s="289" t="n"/>
      <c r="D338" s="298" t="n"/>
      <c r="E338" s="291" t="n"/>
      <c r="F338" s="291" t="n"/>
      <c r="G338" s="297" t="n"/>
      <c r="H338" s="298" t="n"/>
    </row>
    <row r="339" ht="13" customHeight="1" s="189">
      <c r="A339" s="297" t="n"/>
      <c r="B339" s="291" t="n"/>
      <c r="C339" s="289" t="n"/>
      <c r="D339" s="298" t="n"/>
      <c r="E339" s="291" t="n"/>
      <c r="F339" s="291" t="n"/>
      <c r="G339" s="297" t="n"/>
      <c r="H339" s="298" t="n"/>
    </row>
    <row r="340" ht="13" customHeight="1" s="189">
      <c r="A340" s="297" t="n"/>
      <c r="B340" s="291" t="n"/>
      <c r="C340" s="289" t="n"/>
      <c r="D340" s="298" t="n"/>
      <c r="E340" s="291" t="n"/>
      <c r="F340" s="291" t="n"/>
      <c r="G340" s="297" t="n"/>
      <c r="H340" s="298" t="n"/>
    </row>
    <row r="341" ht="13" customHeight="1" s="189">
      <c r="A341" s="297" t="n"/>
      <c r="B341" s="291" t="n"/>
      <c r="C341" s="289" t="n"/>
      <c r="D341" s="298" t="n"/>
      <c r="E341" s="291" t="n"/>
      <c r="F341" s="291" t="n"/>
      <c r="G341" s="297" t="n"/>
      <c r="H341" s="298" t="n"/>
    </row>
    <row r="342" ht="13" customHeight="1" s="189">
      <c r="A342" s="297" t="n"/>
      <c r="B342" s="291" t="n"/>
      <c r="C342" s="289" t="n"/>
      <c r="D342" s="298" t="n"/>
      <c r="E342" s="291" t="n"/>
      <c r="F342" s="291" t="n"/>
      <c r="G342" s="297" t="n"/>
      <c r="H342" s="298" t="n"/>
    </row>
    <row r="343" ht="13" customHeight="1" s="189">
      <c r="A343" s="297" t="n"/>
      <c r="B343" s="291" t="n"/>
      <c r="C343" s="289" t="n"/>
      <c r="D343" s="298" t="n"/>
      <c r="E343" s="291" t="n"/>
      <c r="F343" s="291" t="n"/>
      <c r="G343" s="297" t="n"/>
      <c r="H343" s="298" t="n"/>
    </row>
    <row r="344" ht="13" customHeight="1" s="189">
      <c r="A344" s="297" t="n"/>
      <c r="B344" s="291" t="n"/>
      <c r="C344" s="289" t="n"/>
      <c r="D344" s="298" t="n"/>
      <c r="E344" s="291" t="n"/>
      <c r="F344" s="291" t="n"/>
      <c r="G344" s="297" t="n"/>
      <c r="H344" s="298" t="n"/>
    </row>
    <row r="345" ht="13" customHeight="1" s="189">
      <c r="A345" s="297" t="n"/>
      <c r="B345" s="291" t="n"/>
      <c r="C345" s="289" t="n"/>
      <c r="D345" s="298" t="n"/>
      <c r="E345" s="291" t="n"/>
      <c r="F345" s="291" t="n"/>
      <c r="G345" s="297" t="n"/>
      <c r="H345" s="298" t="n"/>
    </row>
    <row r="346" ht="13" customHeight="1" s="189">
      <c r="A346" s="297" t="n"/>
      <c r="B346" s="291" t="n"/>
      <c r="C346" s="289" t="n"/>
      <c r="D346" s="298" t="n"/>
      <c r="E346" s="291" t="n"/>
      <c r="F346" s="291" t="n"/>
      <c r="G346" s="297" t="n"/>
      <c r="H346" s="298" t="n"/>
    </row>
    <row r="347" ht="13" customHeight="1" s="189">
      <c r="A347" s="297" t="n"/>
      <c r="B347" s="291" t="n"/>
      <c r="C347" s="289" t="n"/>
      <c r="D347" s="298" t="n"/>
      <c r="E347" s="291" t="n"/>
      <c r="F347" s="291" t="n"/>
      <c r="G347" s="297" t="n"/>
      <c r="H347" s="298" t="n"/>
    </row>
    <row r="348" ht="13" customHeight="1" s="189">
      <c r="A348" s="297" t="n"/>
      <c r="B348" s="291" t="n"/>
      <c r="C348" s="289" t="n"/>
      <c r="D348" s="298" t="n"/>
      <c r="E348" s="291" t="n"/>
      <c r="F348" s="291" t="n"/>
      <c r="G348" s="297" t="n"/>
      <c r="H348" s="298" t="n"/>
    </row>
    <row r="349" ht="13" customHeight="1" s="189">
      <c r="A349" s="297" t="n"/>
      <c r="B349" s="291" t="n"/>
      <c r="C349" s="289" t="n"/>
      <c r="D349" s="298" t="n"/>
      <c r="E349" s="291" t="n"/>
      <c r="F349" s="291" t="n"/>
      <c r="G349" s="297" t="n"/>
      <c r="H349" s="298" t="n"/>
    </row>
    <row r="350" ht="13" customHeight="1" s="189">
      <c r="A350" s="297" t="n"/>
      <c r="B350" s="291" t="n"/>
      <c r="C350" s="289" t="n"/>
      <c r="D350" s="298" t="n"/>
      <c r="E350" s="291" t="n"/>
      <c r="F350" s="291" t="n"/>
      <c r="G350" s="297" t="n"/>
      <c r="H350" s="298" t="n"/>
    </row>
    <row r="351" ht="13" customHeight="1" s="189">
      <c r="A351" s="297" t="n"/>
      <c r="B351" s="291" t="n"/>
      <c r="C351" s="289" t="n"/>
      <c r="D351" s="298" t="n"/>
      <c r="E351" s="291" t="n"/>
      <c r="F351" s="291" t="n"/>
      <c r="G351" s="297" t="n"/>
      <c r="H351" s="298" t="n"/>
    </row>
    <row r="352" ht="13" customHeight="1" s="189">
      <c r="A352" s="297" t="n"/>
      <c r="B352" s="291" t="n"/>
      <c r="C352" s="289" t="n"/>
      <c r="D352" s="298" t="n"/>
      <c r="E352" s="291" t="n"/>
      <c r="F352" s="291" t="n"/>
      <c r="G352" s="297" t="n"/>
      <c r="H352" s="298" t="n"/>
    </row>
    <row r="353" ht="13" customHeight="1" s="189">
      <c r="A353" s="297" t="n"/>
      <c r="B353" s="291" t="n"/>
      <c r="C353" s="289" t="n"/>
      <c r="D353" s="298" t="n"/>
      <c r="E353" s="291" t="n"/>
      <c r="F353" s="291" t="n"/>
      <c r="G353" s="297" t="n"/>
      <c r="H353" s="298" t="n"/>
    </row>
    <row r="354" ht="13" customHeight="1" s="189">
      <c r="A354" s="297" t="n"/>
      <c r="B354" s="291" t="n"/>
      <c r="C354" s="289" t="n"/>
      <c r="D354" s="298" t="n"/>
      <c r="E354" s="291" t="n"/>
      <c r="F354" s="291" t="n"/>
      <c r="G354" s="297" t="n"/>
      <c r="H354" s="298" t="n"/>
    </row>
    <row r="355" ht="13" customHeight="1" s="189">
      <c r="A355" s="297" t="n"/>
      <c r="B355" s="291" t="n"/>
      <c r="C355" s="289" t="n"/>
      <c r="D355" s="298" t="n"/>
      <c r="E355" s="291" t="n"/>
      <c r="F355" s="291" t="n"/>
      <c r="G355" s="297" t="n"/>
      <c r="H355" s="298" t="n"/>
    </row>
    <row r="356" ht="13" customHeight="1" s="189">
      <c r="A356" s="297" t="n"/>
      <c r="B356" s="291" t="n"/>
      <c r="C356" s="289" t="n"/>
      <c r="D356" s="298" t="n"/>
      <c r="E356" s="291" t="n"/>
      <c r="F356" s="291" t="n"/>
      <c r="G356" s="297" t="n"/>
      <c r="H356" s="298" t="n"/>
    </row>
    <row r="357" ht="13" customHeight="1" s="189">
      <c r="A357" s="297" t="n"/>
      <c r="B357" s="291" t="n"/>
      <c r="C357" s="289" t="n"/>
      <c r="D357" s="298" t="n"/>
      <c r="E357" s="291" t="n"/>
      <c r="F357" s="291" t="n"/>
      <c r="G357" s="297" t="n"/>
      <c r="H357" s="298" t="n"/>
    </row>
    <row r="358" ht="13" customHeight="1" s="189">
      <c r="A358" s="297" t="n"/>
      <c r="B358" s="291" t="n"/>
      <c r="C358" s="289" t="n"/>
      <c r="D358" s="298" t="n"/>
      <c r="E358" s="291" t="n"/>
      <c r="F358" s="291" t="n"/>
      <c r="G358" s="297" t="n"/>
      <c r="H358" s="298" t="n"/>
    </row>
    <row r="359" ht="13" customHeight="1" s="189">
      <c r="A359" s="297" t="n"/>
      <c r="B359" s="291" t="n"/>
      <c r="C359" s="289" t="n"/>
      <c r="D359" s="298" t="n"/>
      <c r="E359" s="291" t="n"/>
      <c r="F359" s="291" t="n"/>
      <c r="G359" s="297" t="n"/>
      <c r="H359" s="298" t="n"/>
    </row>
    <row r="360" ht="13" customHeight="1" s="189">
      <c r="A360" s="297" t="n"/>
      <c r="B360" s="291" t="n"/>
      <c r="C360" s="289" t="n"/>
      <c r="D360" s="298" t="n"/>
      <c r="E360" s="291" t="n"/>
      <c r="F360" s="291" t="n"/>
      <c r="G360" s="297" t="n"/>
      <c r="H360" s="298" t="n"/>
    </row>
    <row r="361" ht="13" customHeight="1" s="189">
      <c r="A361" s="297" t="n"/>
      <c r="B361" s="291" t="n"/>
      <c r="C361" s="289" t="n"/>
      <c r="D361" s="298" t="n"/>
      <c r="E361" s="291" t="n"/>
      <c r="F361" s="291" t="n"/>
      <c r="G361" s="297" t="n"/>
      <c r="H361" s="298" t="n"/>
    </row>
    <row r="362" ht="13" customHeight="1" s="189">
      <c r="A362" s="297" t="n"/>
      <c r="B362" s="291" t="n"/>
      <c r="C362" s="289" t="n"/>
      <c r="D362" s="298" t="n"/>
      <c r="E362" s="291" t="n"/>
      <c r="F362" s="291" t="n"/>
      <c r="G362" s="297" t="n"/>
      <c r="H362" s="298" t="n"/>
    </row>
    <row r="363" ht="13" customHeight="1" s="189">
      <c r="A363" s="297" t="n"/>
      <c r="B363" s="291" t="n"/>
      <c r="C363" s="289" t="n"/>
      <c r="D363" s="298" t="n"/>
      <c r="E363" s="291" t="n"/>
      <c r="F363" s="291" t="n"/>
      <c r="G363" s="297" t="n"/>
      <c r="H363" s="298" t="n"/>
    </row>
    <row r="364" ht="13" customHeight="1" s="189">
      <c r="A364" s="297" t="n"/>
      <c r="B364" s="291" t="n"/>
      <c r="C364" s="289" t="n"/>
      <c r="D364" s="298" t="n"/>
      <c r="E364" s="291" t="n"/>
      <c r="F364" s="291" t="n"/>
      <c r="G364" s="297" t="n"/>
      <c r="H364" s="298" t="n"/>
    </row>
    <row r="365" ht="13" customHeight="1" s="189">
      <c r="A365" s="297" t="n"/>
      <c r="B365" s="291" t="n"/>
      <c r="C365" s="289" t="n"/>
      <c r="D365" s="298" t="n"/>
      <c r="E365" s="291" t="n"/>
      <c r="F365" s="291" t="n"/>
      <c r="G365" s="297" t="n"/>
      <c r="H365" s="298" t="n"/>
    </row>
    <row r="366" ht="13" customHeight="1" s="189">
      <c r="A366" s="297" t="n"/>
      <c r="B366" s="291" t="n"/>
      <c r="C366" s="289" t="n"/>
      <c r="D366" s="298" t="n"/>
      <c r="E366" s="291" t="n"/>
      <c r="F366" s="291" t="n"/>
      <c r="G366" s="297" t="n"/>
      <c r="H366" s="298" t="n"/>
    </row>
    <row r="367" ht="13" customHeight="1" s="189">
      <c r="A367" s="297" t="n"/>
      <c r="B367" s="291" t="n"/>
      <c r="C367" s="289" t="n"/>
      <c r="D367" s="298" t="n"/>
      <c r="E367" s="291" t="n"/>
      <c r="F367" s="291" t="n"/>
      <c r="G367" s="297" t="n"/>
      <c r="H367" s="298" t="n"/>
    </row>
    <row r="368" ht="13" customHeight="1" s="189">
      <c r="A368" s="297" t="n"/>
      <c r="B368" s="291" t="n"/>
      <c r="C368" s="289" t="n"/>
      <c r="D368" s="298" t="n"/>
      <c r="E368" s="291" t="n"/>
      <c r="F368" s="291" t="n"/>
      <c r="G368" s="297" t="n"/>
      <c r="H368" s="298" t="n"/>
    </row>
    <row r="369" ht="13" customHeight="1" s="189">
      <c r="A369" s="297" t="n"/>
      <c r="B369" s="291" t="n"/>
      <c r="C369" s="289" t="n"/>
      <c r="D369" s="298" t="n"/>
      <c r="E369" s="291" t="n"/>
      <c r="F369" s="291" t="n"/>
      <c r="G369" s="297" t="n"/>
      <c r="H369" s="298" t="n"/>
    </row>
    <row r="370" ht="13" customHeight="1" s="189">
      <c r="A370" s="297" t="n"/>
      <c r="B370" s="291" t="n"/>
      <c r="C370" s="289" t="n"/>
      <c r="D370" s="298" t="n"/>
      <c r="E370" s="291" t="n"/>
      <c r="F370" s="291" t="n"/>
      <c r="G370" s="297" t="n"/>
      <c r="H370" s="298" t="n"/>
    </row>
    <row r="371" ht="13" customHeight="1" s="189">
      <c r="A371" s="297" t="n"/>
      <c r="B371" s="291" t="n"/>
      <c r="C371" s="289" t="n"/>
      <c r="D371" s="298" t="n"/>
      <c r="E371" s="291" t="n"/>
      <c r="F371" s="291" t="n"/>
      <c r="G371" s="297" t="n"/>
      <c r="H371" s="298" t="n"/>
    </row>
    <row r="372" ht="13" customHeight="1" s="189">
      <c r="A372" s="297" t="n"/>
      <c r="B372" s="291" t="n"/>
      <c r="C372" s="289" t="n"/>
      <c r="D372" s="298" t="n"/>
      <c r="E372" s="291" t="n"/>
      <c r="F372" s="291" t="n"/>
      <c r="G372" s="297" t="n"/>
      <c r="H372" s="298" t="n"/>
    </row>
    <row r="373" ht="13" customHeight="1" s="189">
      <c r="A373" s="297" t="n"/>
      <c r="B373" s="291" t="n"/>
      <c r="C373" s="289" t="n"/>
      <c r="D373" s="298" t="n"/>
      <c r="E373" s="291" t="n"/>
      <c r="F373" s="291" t="n"/>
      <c r="G373" s="297" t="n"/>
      <c r="H373" s="298" t="n"/>
    </row>
    <row r="374" ht="13" customHeight="1" s="189">
      <c r="A374" s="297" t="n"/>
      <c r="B374" s="291" t="n"/>
      <c r="C374" s="289" t="n"/>
      <c r="D374" s="298" t="n"/>
      <c r="E374" s="291" t="n"/>
      <c r="F374" s="291" t="n"/>
      <c r="G374" s="297" t="n"/>
      <c r="H374" s="298" t="n"/>
    </row>
    <row r="375" ht="13" customHeight="1" s="189">
      <c r="A375" s="297" t="n"/>
      <c r="B375" s="291" t="n"/>
      <c r="C375" s="289" t="n"/>
      <c r="D375" s="298" t="n"/>
      <c r="E375" s="291" t="n"/>
      <c r="F375" s="291" t="n"/>
      <c r="G375" s="297" t="n"/>
      <c r="H375" s="298" t="n"/>
    </row>
    <row r="376" ht="13" customHeight="1" s="189">
      <c r="A376" s="297" t="n"/>
      <c r="B376" s="291" t="n"/>
      <c r="C376" s="289" t="n"/>
      <c r="D376" s="298" t="n"/>
      <c r="E376" s="291" t="n"/>
      <c r="F376" s="291" t="n"/>
      <c r="G376" s="297" t="n"/>
      <c r="H376" s="298" t="n"/>
    </row>
    <row r="377" ht="13" customHeight="1" s="189">
      <c r="A377" s="297" t="n"/>
      <c r="B377" s="291" t="n"/>
      <c r="C377" s="289" t="n"/>
      <c r="D377" s="298" t="n"/>
      <c r="E377" s="291" t="n"/>
      <c r="F377" s="291" t="n"/>
      <c r="G377" s="297" t="n"/>
      <c r="H377" s="298" t="n"/>
    </row>
    <row r="378" ht="13" customHeight="1" s="189">
      <c r="A378" s="297" t="n"/>
      <c r="B378" s="291" t="n"/>
      <c r="C378" s="289" t="n"/>
      <c r="D378" s="298" t="n"/>
      <c r="E378" s="291" t="n"/>
      <c r="F378" s="291" t="n"/>
      <c r="G378" s="297" t="n"/>
      <c r="H378" s="298" t="n"/>
    </row>
    <row r="379" ht="13" customHeight="1" s="189">
      <c r="A379" s="297" t="n"/>
      <c r="B379" s="291" t="n"/>
      <c r="C379" s="289" t="n"/>
      <c r="D379" s="298" t="n"/>
      <c r="E379" s="291" t="n"/>
      <c r="F379" s="291" t="n"/>
      <c r="G379" s="297" t="n"/>
      <c r="H379" s="298" t="n"/>
    </row>
    <row r="380" ht="13" customHeight="1" s="189">
      <c r="A380" s="297" t="n"/>
      <c r="B380" s="291" t="n"/>
      <c r="C380" s="289" t="n"/>
      <c r="D380" s="298" t="n"/>
      <c r="E380" s="291" t="n"/>
      <c r="F380" s="291" t="n"/>
      <c r="G380" s="297" t="n"/>
      <c r="H380" s="298" t="n"/>
    </row>
    <row r="381" ht="13" customHeight="1" s="189">
      <c r="A381" s="297" t="n"/>
      <c r="B381" s="291" t="n"/>
      <c r="C381" s="289" t="n"/>
      <c r="D381" s="298" t="n"/>
      <c r="E381" s="291" t="n"/>
      <c r="F381" s="291" t="n"/>
      <c r="G381" s="297" t="n"/>
      <c r="H381" s="298" t="n"/>
    </row>
    <row r="382" ht="13" customHeight="1" s="189">
      <c r="A382" s="297" t="n"/>
      <c r="B382" s="291" t="n"/>
      <c r="C382" s="289" t="n"/>
      <c r="D382" s="298" t="n"/>
      <c r="E382" s="291" t="n"/>
      <c r="F382" s="291" t="n"/>
      <c r="G382" s="297" t="n"/>
      <c r="H382" s="298" t="n"/>
    </row>
    <row r="383" ht="13" customHeight="1" s="189">
      <c r="A383" s="297" t="n"/>
      <c r="B383" s="291" t="n"/>
      <c r="C383" s="289" t="n"/>
      <c r="D383" s="298" t="n"/>
      <c r="E383" s="291" t="n"/>
      <c r="F383" s="291" t="n"/>
      <c r="G383" s="297" t="n"/>
      <c r="H383" s="298" t="n"/>
    </row>
    <row r="384" ht="13" customHeight="1" s="189">
      <c r="A384" s="297" t="n"/>
      <c r="B384" s="291" t="n"/>
      <c r="C384" s="289" t="n"/>
      <c r="D384" s="298" t="n"/>
      <c r="E384" s="291" t="n"/>
      <c r="F384" s="291" t="n"/>
      <c r="G384" s="297" t="n"/>
      <c r="H384" s="298" t="n"/>
    </row>
    <row r="385" ht="13" customHeight="1" s="189">
      <c r="A385" s="297" t="n"/>
      <c r="B385" s="291" t="n"/>
      <c r="C385" s="289" t="n"/>
      <c r="D385" s="298" t="n"/>
      <c r="E385" s="291" t="n"/>
      <c r="F385" s="291" t="n"/>
      <c r="G385" s="297" t="n"/>
      <c r="H385" s="298" t="n"/>
    </row>
    <row r="386" ht="13" customHeight="1" s="189">
      <c r="A386" s="297" t="n"/>
      <c r="B386" s="291" t="n"/>
      <c r="C386" s="289" t="n"/>
      <c r="D386" s="298" t="n"/>
      <c r="E386" s="291" t="n"/>
      <c r="F386" s="291" t="n"/>
      <c r="G386" s="297" t="n"/>
      <c r="H386" s="298" t="n"/>
    </row>
    <row r="387" ht="13" customHeight="1" s="189">
      <c r="A387" s="297" t="n"/>
      <c r="B387" s="291" t="n"/>
      <c r="C387" s="289" t="n"/>
      <c r="D387" s="298" t="n"/>
      <c r="E387" s="291" t="n"/>
      <c r="F387" s="291" t="n"/>
      <c r="G387" s="297" t="n"/>
      <c r="H387" s="298" t="n"/>
    </row>
    <row r="388" ht="13" customHeight="1" s="189">
      <c r="A388" s="297" t="n"/>
      <c r="B388" s="291" t="n"/>
      <c r="C388" s="289" t="n"/>
      <c r="D388" s="298" t="n"/>
      <c r="E388" s="291" t="n"/>
      <c r="F388" s="291" t="n"/>
      <c r="G388" s="297" t="n"/>
      <c r="H388" s="298" t="n"/>
    </row>
    <row r="389" ht="13" customHeight="1" s="189">
      <c r="A389" s="297" t="n"/>
      <c r="B389" s="291" t="n"/>
      <c r="C389" s="289" t="n"/>
      <c r="D389" s="298" t="n"/>
      <c r="E389" s="291" t="n"/>
      <c r="F389" s="291" t="n"/>
      <c r="G389" s="297" t="n"/>
      <c r="H389" s="298" t="n"/>
    </row>
    <row r="390" ht="13" customHeight="1" s="189">
      <c r="A390" s="297" t="n"/>
      <c r="B390" s="291" t="n"/>
      <c r="C390" s="289" t="n"/>
      <c r="D390" s="298" t="n"/>
      <c r="E390" s="291" t="n"/>
      <c r="F390" s="291" t="n"/>
      <c r="G390" s="297" t="n"/>
      <c r="H390" s="298" t="n"/>
    </row>
    <row r="391" ht="13" customHeight="1" s="189">
      <c r="A391" s="297" t="n"/>
      <c r="B391" s="291" t="n"/>
      <c r="C391" s="289" t="n"/>
      <c r="D391" s="298" t="n"/>
      <c r="E391" s="291" t="n"/>
      <c r="F391" s="291" t="n"/>
      <c r="G391" s="297" t="n"/>
      <c r="H391" s="298" t="n"/>
    </row>
    <row r="392" ht="13" customHeight="1" s="189">
      <c r="A392" s="297" t="n"/>
      <c r="B392" s="291" t="n"/>
      <c r="C392" s="289" t="n"/>
      <c r="D392" s="298" t="n"/>
      <c r="E392" s="291" t="n"/>
      <c r="F392" s="291" t="n"/>
      <c r="G392" s="297" t="n"/>
      <c r="H392" s="298" t="n"/>
    </row>
    <row r="393" ht="13" customHeight="1" s="189">
      <c r="A393" s="297" t="n"/>
      <c r="B393" s="291" t="n"/>
      <c r="C393" s="289" t="n"/>
      <c r="D393" s="298" t="n"/>
      <c r="E393" s="291" t="n"/>
      <c r="F393" s="291" t="n"/>
      <c r="G393" s="297" t="n"/>
      <c r="H393" s="298" t="n"/>
    </row>
    <row r="394" ht="13" customHeight="1" s="189">
      <c r="A394" s="297" t="n"/>
      <c r="B394" s="291" t="n"/>
      <c r="C394" s="289" t="n"/>
      <c r="D394" s="298" t="n"/>
      <c r="E394" s="291" t="n"/>
      <c r="F394" s="291" t="n"/>
      <c r="G394" s="297" t="n"/>
      <c r="H394" s="298" t="n"/>
    </row>
    <row r="395" ht="13" customHeight="1" s="189">
      <c r="A395" s="297" t="n"/>
      <c r="B395" s="291" t="n"/>
      <c r="C395" s="289" t="n"/>
      <c r="D395" s="298" t="n"/>
      <c r="E395" s="291" t="n"/>
      <c r="F395" s="291" t="n"/>
      <c r="G395" s="297" t="n"/>
      <c r="H395" s="298" t="n"/>
    </row>
    <row r="396" ht="13" customHeight="1" s="189">
      <c r="A396" s="297" t="n"/>
      <c r="B396" s="291" t="n"/>
      <c r="C396" s="289" t="n"/>
      <c r="D396" s="298" t="n"/>
      <c r="E396" s="291" t="n"/>
      <c r="F396" s="291" t="n"/>
      <c r="G396" s="297" t="n"/>
      <c r="H396" s="298" t="n"/>
    </row>
    <row r="397" ht="13" customHeight="1" s="189">
      <c r="A397" s="297" t="n"/>
      <c r="B397" s="291" t="n"/>
      <c r="C397" s="289" t="n"/>
      <c r="D397" s="298" t="n"/>
      <c r="E397" s="291" t="n"/>
      <c r="F397" s="291" t="n"/>
      <c r="G397" s="297" t="n"/>
      <c r="H397" s="298" t="n"/>
    </row>
    <row r="398" ht="13" customHeight="1" s="189">
      <c r="A398" s="297" t="n"/>
      <c r="B398" s="291" t="n"/>
      <c r="C398" s="289" t="n"/>
      <c r="D398" s="298" t="n"/>
      <c r="E398" s="291" t="n"/>
      <c r="F398" s="291" t="n"/>
      <c r="G398" s="297" t="n"/>
      <c r="H398" s="298" t="n"/>
    </row>
    <row r="399" ht="13" customHeight="1" s="189">
      <c r="A399" s="297" t="n"/>
      <c r="B399" s="291" t="n"/>
      <c r="C399" s="289" t="n"/>
      <c r="D399" s="298" t="n"/>
      <c r="E399" s="291" t="n"/>
      <c r="F399" s="291" t="n"/>
      <c r="G399" s="297" t="n"/>
      <c r="H399" s="298" t="n"/>
    </row>
    <row r="400" ht="13" customHeight="1" s="189">
      <c r="A400" s="297" t="n"/>
      <c r="B400" s="291" t="n"/>
      <c r="C400" s="289" t="n"/>
      <c r="D400" s="298" t="n"/>
      <c r="E400" s="291" t="n"/>
      <c r="F400" s="291" t="n"/>
      <c r="G400" s="297" t="n"/>
      <c r="H400" s="298" t="n"/>
    </row>
    <row r="401" ht="13" customHeight="1" s="189">
      <c r="A401" s="297" t="n"/>
      <c r="B401" s="291" t="n"/>
      <c r="C401" s="289" t="n"/>
      <c r="D401" s="298" t="n"/>
      <c r="E401" s="291" t="n"/>
      <c r="F401" s="291" t="n"/>
      <c r="G401" s="297" t="n"/>
      <c r="H401" s="298" t="n"/>
    </row>
    <row r="402" ht="13" customHeight="1" s="189">
      <c r="A402" s="297" t="n"/>
      <c r="B402" s="291" t="n"/>
      <c r="C402" s="289" t="n"/>
      <c r="D402" s="298" t="n"/>
      <c r="E402" s="291" t="n"/>
      <c r="F402" s="291" t="n"/>
      <c r="G402" s="297" t="n"/>
      <c r="H402" s="298" t="n"/>
    </row>
    <row r="403" ht="13" customHeight="1" s="189">
      <c r="A403" s="297" t="n"/>
      <c r="B403" s="291" t="n"/>
      <c r="C403" s="289" t="n"/>
      <c r="D403" s="298" t="n"/>
      <c r="E403" s="291" t="n"/>
      <c r="F403" s="291" t="n"/>
      <c r="G403" s="297" t="n"/>
      <c r="H403" s="298" t="n"/>
    </row>
    <row r="404" ht="13" customHeight="1" s="189">
      <c r="A404" s="297" t="n"/>
      <c r="B404" s="291" t="n"/>
      <c r="C404" s="289" t="n"/>
      <c r="D404" s="298" t="n"/>
      <c r="E404" s="291" t="n"/>
      <c r="F404" s="291" t="n"/>
      <c r="G404" s="297" t="n"/>
      <c r="H404" s="298" t="n"/>
    </row>
    <row r="405" ht="13" customHeight="1" s="189">
      <c r="A405" s="297" t="n"/>
      <c r="B405" s="291" t="n"/>
      <c r="C405" s="289" t="n"/>
      <c r="D405" s="298" t="n"/>
      <c r="E405" s="291" t="n"/>
      <c r="F405" s="291" t="n"/>
      <c r="G405" s="297" t="n"/>
      <c r="H405" s="298" t="n"/>
    </row>
    <row r="406" ht="13" customHeight="1" s="189">
      <c r="A406" s="297" t="n"/>
      <c r="B406" s="291" t="n"/>
      <c r="C406" s="289" t="n"/>
      <c r="D406" s="298" t="n"/>
      <c r="E406" s="291" t="n"/>
      <c r="F406" s="291" t="n"/>
      <c r="G406" s="297" t="n"/>
      <c r="H406" s="298" t="n"/>
    </row>
    <row r="407" ht="13" customHeight="1" s="189">
      <c r="A407" s="297" t="n"/>
      <c r="B407" s="291" t="n"/>
      <c r="C407" s="289" t="n"/>
      <c r="D407" s="298" t="n"/>
      <c r="E407" s="291" t="n"/>
      <c r="F407" s="291" t="n"/>
      <c r="G407" s="297" t="n"/>
      <c r="H407" s="298" t="n"/>
    </row>
    <row r="408" ht="13" customHeight="1" s="189">
      <c r="A408" s="297" t="n"/>
      <c r="B408" s="291" t="n"/>
      <c r="C408" s="289" t="n"/>
      <c r="D408" s="298" t="n"/>
      <c r="E408" s="291" t="n"/>
      <c r="F408" s="291" t="n"/>
      <c r="G408" s="297" t="n"/>
      <c r="H408" s="298" t="n"/>
    </row>
    <row r="409" ht="13" customHeight="1" s="189">
      <c r="A409" s="297" t="n"/>
      <c r="B409" s="291" t="n"/>
      <c r="C409" s="289" t="n"/>
      <c r="D409" s="298" t="n"/>
      <c r="E409" s="291" t="n"/>
      <c r="F409" s="291" t="n"/>
      <c r="G409" s="297" t="n"/>
      <c r="H409" s="298" t="n"/>
    </row>
    <row r="410" ht="13" customHeight="1" s="189">
      <c r="A410" s="297" t="n"/>
      <c r="B410" s="291" t="n"/>
      <c r="C410" s="289" t="n"/>
      <c r="D410" s="298" t="n"/>
      <c r="E410" s="291" t="n"/>
      <c r="F410" s="291" t="n"/>
      <c r="G410" s="297" t="n"/>
      <c r="H410" s="298" t="n"/>
    </row>
    <row r="411" ht="13" customHeight="1" s="189">
      <c r="A411" s="297" t="n"/>
      <c r="B411" s="291" t="n"/>
      <c r="C411" s="289" t="n"/>
      <c r="D411" s="298" t="n"/>
      <c r="E411" s="291" t="n"/>
      <c r="F411" s="291" t="n"/>
      <c r="G411" s="297" t="n"/>
      <c r="H411" s="298" t="n"/>
    </row>
    <row r="412" ht="13" customHeight="1" s="189">
      <c r="A412" s="297" t="n"/>
      <c r="B412" s="291" t="n"/>
      <c r="C412" s="289" t="n"/>
      <c r="D412" s="298" t="n"/>
      <c r="E412" s="291" t="n"/>
      <c r="F412" s="291" t="n"/>
      <c r="G412" s="297" t="n"/>
      <c r="H412" s="298" t="n"/>
    </row>
    <row r="413" ht="13" customHeight="1" s="189">
      <c r="A413" s="297" t="n"/>
      <c r="B413" s="291" t="n"/>
      <c r="C413" s="289" t="n"/>
      <c r="D413" s="298" t="n"/>
      <c r="E413" s="291" t="n"/>
      <c r="F413" s="291" t="n"/>
      <c r="G413" s="297" t="n"/>
      <c r="H413" s="298" t="n"/>
    </row>
    <row r="414" ht="13" customHeight="1" s="189">
      <c r="A414" s="297" t="n"/>
      <c r="B414" s="291" t="n"/>
      <c r="C414" s="289" t="n"/>
      <c r="D414" s="298" t="n"/>
      <c r="E414" s="291" t="n"/>
      <c r="F414" s="291" t="n"/>
      <c r="G414" s="297" t="n"/>
      <c r="H414" s="298" t="n"/>
    </row>
    <row r="415" ht="13" customHeight="1" s="189">
      <c r="A415" s="297" t="n"/>
      <c r="B415" s="291" t="n"/>
      <c r="C415" s="289" t="n"/>
      <c r="D415" s="298" t="n"/>
      <c r="E415" s="291" t="n"/>
      <c r="F415" s="291" t="n"/>
      <c r="G415" s="297" t="n"/>
      <c r="H415" s="298" t="n"/>
    </row>
    <row r="416" ht="13" customHeight="1" s="189">
      <c r="A416" s="297" t="n"/>
      <c r="B416" s="291" t="n"/>
      <c r="C416" s="289" t="n"/>
      <c r="D416" s="298" t="n"/>
      <c r="E416" s="291" t="n"/>
      <c r="F416" s="291" t="n"/>
      <c r="G416" s="297" t="n"/>
      <c r="H416" s="298" t="n"/>
    </row>
    <row r="417" ht="13" customHeight="1" s="189">
      <c r="A417" s="297" t="n"/>
      <c r="B417" s="291" t="n"/>
      <c r="C417" s="289" t="n"/>
      <c r="D417" s="298" t="n"/>
      <c r="E417" s="291" t="n"/>
      <c r="F417" s="291" t="n"/>
      <c r="G417" s="297" t="n"/>
      <c r="H417" s="298" t="n"/>
    </row>
    <row r="418" ht="13" customHeight="1" s="189">
      <c r="A418" s="297" t="n"/>
      <c r="B418" s="291" t="n"/>
      <c r="C418" s="289" t="n"/>
      <c r="D418" s="298" t="n"/>
      <c r="E418" s="291" t="n"/>
      <c r="F418" s="291" t="n"/>
      <c r="G418" s="297" t="n"/>
      <c r="H418" s="298" t="n"/>
    </row>
    <row r="419" ht="13" customHeight="1" s="189">
      <c r="A419" s="297" t="n"/>
      <c r="B419" s="291" t="n"/>
      <c r="C419" s="289" t="n"/>
      <c r="D419" s="298" t="n"/>
      <c r="E419" s="291" t="n"/>
      <c r="F419" s="291" t="n"/>
      <c r="G419" s="297" t="n"/>
      <c r="H419" s="298" t="n"/>
    </row>
    <row r="420" ht="13" customHeight="1" s="189">
      <c r="A420" s="297" t="n"/>
      <c r="B420" s="291" t="n"/>
      <c r="C420" s="289" t="n"/>
      <c r="D420" s="298" t="n"/>
      <c r="E420" s="291" t="n"/>
      <c r="F420" s="291" t="n"/>
      <c r="G420" s="297" t="n"/>
      <c r="H420" s="298" t="n"/>
    </row>
    <row r="421" ht="13" customHeight="1" s="189">
      <c r="A421" s="297" t="n"/>
      <c r="B421" s="291" t="n"/>
      <c r="C421" s="289" t="n"/>
      <c r="D421" s="298" t="n"/>
      <c r="E421" s="291" t="n"/>
      <c r="F421" s="291" t="n"/>
      <c r="G421" s="297" t="n"/>
      <c r="H421" s="298" t="n"/>
    </row>
    <row r="422" ht="13" customHeight="1" s="189">
      <c r="A422" s="297" t="n"/>
      <c r="B422" s="291" t="n"/>
      <c r="C422" s="289" t="n"/>
      <c r="D422" s="298" t="n"/>
      <c r="E422" s="291" t="n"/>
      <c r="F422" s="291" t="n"/>
      <c r="G422" s="297" t="n"/>
      <c r="H422" s="298" t="n"/>
    </row>
    <row r="423" ht="13" customHeight="1" s="189">
      <c r="A423" s="297" t="n"/>
      <c r="B423" s="291" t="n"/>
      <c r="C423" s="289" t="n"/>
      <c r="D423" s="298" t="n"/>
      <c r="E423" s="291" t="n"/>
      <c r="F423" s="291" t="n"/>
      <c r="G423" s="297" t="n"/>
      <c r="H423" s="298" t="n"/>
    </row>
    <row r="424" ht="13" customHeight="1" s="189">
      <c r="A424" s="297" t="n"/>
      <c r="B424" s="291" t="n"/>
      <c r="C424" s="289" t="n"/>
      <c r="D424" s="298" t="n"/>
      <c r="E424" s="291" t="n"/>
      <c r="F424" s="291" t="n"/>
      <c r="G424" s="297" t="n"/>
      <c r="H424" s="298" t="n"/>
    </row>
    <row r="425" ht="13" customHeight="1" s="189">
      <c r="A425" s="297" t="n"/>
      <c r="B425" s="291" t="n"/>
      <c r="C425" s="289" t="n"/>
      <c r="D425" s="298" t="n"/>
      <c r="E425" s="291" t="n"/>
      <c r="F425" s="291" t="n"/>
      <c r="G425" s="297" t="n"/>
      <c r="H425" s="298" t="n"/>
    </row>
    <row r="426" ht="13" customHeight="1" s="189">
      <c r="A426" s="297" t="n"/>
      <c r="B426" s="291" t="n"/>
      <c r="C426" s="289" t="n"/>
      <c r="D426" s="298" t="n"/>
      <c r="E426" s="291" t="n"/>
      <c r="F426" s="291" t="n"/>
      <c r="G426" s="297" t="n"/>
      <c r="H426" s="298" t="n"/>
    </row>
    <row r="427" ht="13" customHeight="1" s="189">
      <c r="A427" s="297" t="n"/>
      <c r="B427" s="291" t="n"/>
      <c r="C427" s="289" t="n"/>
      <c r="D427" s="298" t="n"/>
      <c r="E427" s="291" t="n"/>
      <c r="F427" s="291" t="n"/>
      <c r="G427" s="297" t="n"/>
      <c r="H427" s="298" t="n"/>
    </row>
    <row r="428" ht="13" customHeight="1" s="189">
      <c r="A428" s="297" t="n"/>
      <c r="B428" s="291" t="n"/>
      <c r="C428" s="289" t="n"/>
      <c r="D428" s="298" t="n"/>
      <c r="E428" s="291" t="n"/>
      <c r="F428" s="291" t="n"/>
      <c r="G428" s="297" t="n"/>
      <c r="H428" s="298" t="n"/>
    </row>
    <row r="429" ht="13" customHeight="1" s="189">
      <c r="A429" s="297" t="n"/>
      <c r="B429" s="291" t="n"/>
      <c r="C429" s="289" t="n"/>
      <c r="D429" s="298" t="n"/>
      <c r="E429" s="291" t="n"/>
      <c r="F429" s="291" t="n"/>
      <c r="G429" s="297" t="n"/>
      <c r="H429" s="298" t="n"/>
    </row>
    <row r="430" ht="13" customHeight="1" s="189">
      <c r="A430" s="297" t="n"/>
      <c r="B430" s="291" t="n"/>
      <c r="C430" s="289" t="n"/>
      <c r="D430" s="298" t="n"/>
      <c r="E430" s="291" t="n"/>
      <c r="F430" s="291" t="n"/>
      <c r="G430" s="297" t="n"/>
      <c r="H430" s="298" t="n"/>
    </row>
    <row r="431" ht="13" customHeight="1" s="189">
      <c r="A431" s="297" t="n"/>
      <c r="B431" s="291" t="n"/>
      <c r="C431" s="289" t="n"/>
      <c r="D431" s="298" t="n"/>
      <c r="E431" s="291" t="n"/>
      <c r="F431" s="291" t="n"/>
      <c r="G431" s="297" t="n"/>
      <c r="H431" s="298" t="n"/>
    </row>
    <row r="432" ht="13" customHeight="1" s="189">
      <c r="A432" s="297" t="n"/>
      <c r="B432" s="291" t="n"/>
      <c r="C432" s="289" t="n"/>
      <c r="D432" s="298" t="n"/>
      <c r="E432" s="291" t="n"/>
      <c r="F432" s="291" t="n"/>
      <c r="G432" s="297" t="n"/>
      <c r="H432" s="298" t="n"/>
    </row>
    <row r="433" ht="13" customHeight="1" s="189">
      <c r="A433" s="297" t="n"/>
      <c r="B433" s="291" t="n"/>
      <c r="C433" s="289" t="n"/>
      <c r="D433" s="298" t="n"/>
      <c r="E433" s="291" t="n"/>
      <c r="F433" s="291" t="n"/>
      <c r="G433" s="297" t="n"/>
      <c r="H433" s="298" t="n"/>
    </row>
    <row r="434" ht="13" customHeight="1" s="189">
      <c r="A434" s="297" t="n"/>
      <c r="B434" s="291" t="n"/>
      <c r="C434" s="289" t="n"/>
      <c r="D434" s="298" t="n"/>
      <c r="E434" s="291" t="n"/>
      <c r="F434" s="291" t="n"/>
      <c r="G434" s="297" t="n"/>
      <c r="H434" s="298" t="n"/>
    </row>
    <row r="435" ht="13" customHeight="1" s="189">
      <c r="A435" s="297" t="n"/>
      <c r="B435" s="291" t="n"/>
      <c r="C435" s="289" t="n"/>
      <c r="D435" s="298" t="n"/>
      <c r="E435" s="291" t="n"/>
      <c r="F435" s="291" t="n"/>
      <c r="G435" s="297" t="n"/>
      <c r="H435" s="298" t="n"/>
    </row>
    <row r="436" ht="13" customHeight="1" s="189">
      <c r="A436" s="297" t="n"/>
      <c r="B436" s="291" t="n"/>
      <c r="C436" s="289" t="n"/>
      <c r="D436" s="298" t="n"/>
      <c r="E436" s="291" t="n"/>
      <c r="F436" s="291" t="n"/>
      <c r="G436" s="297" t="n"/>
      <c r="H436" s="298" t="n"/>
    </row>
    <row r="437" ht="13" customHeight="1" s="189">
      <c r="A437" s="297" t="n"/>
      <c r="B437" s="291" t="n"/>
      <c r="C437" s="289" t="n"/>
      <c r="D437" s="298" t="n"/>
      <c r="E437" s="291" t="n"/>
      <c r="F437" s="291" t="n"/>
      <c r="G437" s="297" t="n"/>
      <c r="H437" s="298" t="n"/>
    </row>
    <row r="438" ht="13" customHeight="1" s="189">
      <c r="A438" s="297" t="n"/>
      <c r="B438" s="291" t="n"/>
      <c r="C438" s="289" t="n"/>
      <c r="D438" s="298" t="n"/>
      <c r="E438" s="291" t="n"/>
      <c r="F438" s="291" t="n"/>
      <c r="G438" s="297" t="n"/>
      <c r="H438" s="298" t="n"/>
    </row>
    <row r="439" ht="13" customHeight="1" s="189">
      <c r="A439" s="297" t="n"/>
      <c r="B439" s="291" t="n"/>
      <c r="C439" s="289" t="n"/>
      <c r="D439" s="298" t="n"/>
      <c r="E439" s="291" t="n"/>
      <c r="F439" s="291" t="n"/>
      <c r="G439" s="297" t="n"/>
      <c r="H439" s="298" t="n"/>
    </row>
    <row r="440" ht="13" customHeight="1" s="189">
      <c r="A440" s="297" t="n"/>
      <c r="B440" s="291" t="n"/>
      <c r="C440" s="289" t="n"/>
      <c r="D440" s="298" t="n"/>
      <c r="E440" s="291" t="n"/>
      <c r="F440" s="291" t="n"/>
      <c r="G440" s="297" t="n"/>
      <c r="H440" s="298" t="n"/>
    </row>
    <row r="441" ht="13" customHeight="1" s="189">
      <c r="A441" s="297" t="n"/>
      <c r="B441" s="291" t="n"/>
      <c r="C441" s="289" t="n"/>
      <c r="D441" s="298" t="n"/>
      <c r="E441" s="291" t="n"/>
      <c r="F441" s="291" t="n"/>
      <c r="G441" s="297" t="n"/>
      <c r="H441" s="298" t="n"/>
    </row>
    <row r="442" ht="13" customHeight="1" s="189">
      <c r="A442" s="297" t="n"/>
      <c r="B442" s="291" t="n"/>
      <c r="C442" s="289" t="n"/>
      <c r="D442" s="298" t="n"/>
      <c r="E442" s="291" t="n"/>
      <c r="F442" s="291" t="n"/>
      <c r="G442" s="297" t="n"/>
      <c r="H442" s="298" t="n"/>
    </row>
    <row r="443" ht="13" customHeight="1" s="189">
      <c r="A443" s="297" t="n"/>
      <c r="B443" s="291" t="n"/>
      <c r="C443" s="289" t="n"/>
      <c r="D443" s="298" t="n"/>
      <c r="E443" s="291" t="n"/>
      <c r="F443" s="291" t="n"/>
      <c r="G443" s="297" t="n"/>
      <c r="H443" s="298" t="n"/>
    </row>
    <row r="444" ht="13" customHeight="1" s="189">
      <c r="A444" s="297" t="n"/>
      <c r="B444" s="291" t="n"/>
      <c r="C444" s="289" t="n"/>
      <c r="D444" s="298" t="n"/>
      <c r="E444" s="291" t="n"/>
      <c r="F444" s="291" t="n"/>
      <c r="G444" s="297" t="n"/>
      <c r="H444" s="298" t="n"/>
    </row>
    <row r="445" ht="13" customHeight="1" s="189">
      <c r="A445" s="297" t="n"/>
      <c r="B445" s="291" t="n"/>
      <c r="C445" s="289" t="n"/>
      <c r="D445" s="298" t="n"/>
      <c r="E445" s="291" t="n"/>
      <c r="F445" s="291" t="n"/>
      <c r="G445" s="297" t="n"/>
      <c r="H445" s="298" t="n"/>
    </row>
    <row r="446" ht="13" customHeight="1" s="189">
      <c r="A446" s="297" t="n"/>
      <c r="B446" s="291" t="n"/>
      <c r="C446" s="289" t="n"/>
      <c r="D446" s="298" t="n"/>
      <c r="E446" s="291" t="n"/>
      <c r="F446" s="291" t="n"/>
      <c r="G446" s="297" t="n"/>
      <c r="H446" s="298" t="n"/>
    </row>
    <row r="447" ht="13" customHeight="1" s="189">
      <c r="A447" s="297" t="n"/>
      <c r="B447" s="291" t="n"/>
      <c r="C447" s="289" t="n"/>
      <c r="D447" s="298" t="n"/>
      <c r="E447" s="291" t="n"/>
      <c r="F447" s="291" t="n"/>
      <c r="G447" s="297" t="n"/>
      <c r="H447" s="298" t="n"/>
    </row>
    <row r="448" ht="13" customHeight="1" s="189">
      <c r="A448" s="297" t="n"/>
      <c r="B448" s="291" t="n"/>
      <c r="C448" s="289" t="n"/>
      <c r="D448" s="298" t="n"/>
      <c r="E448" s="291" t="n"/>
      <c r="F448" s="291" t="n"/>
      <c r="G448" s="297" t="n"/>
      <c r="H448" s="298" t="n"/>
    </row>
    <row r="449" ht="13" customHeight="1" s="189">
      <c r="A449" s="297" t="n"/>
      <c r="B449" s="291" t="n"/>
      <c r="C449" s="289" t="n"/>
      <c r="D449" s="298" t="n"/>
      <c r="E449" s="291" t="n"/>
      <c r="F449" s="291" t="n"/>
      <c r="G449" s="297" t="n"/>
      <c r="H449" s="298" t="n"/>
    </row>
    <row r="450" ht="13" customHeight="1" s="189">
      <c r="A450" s="297" t="n"/>
      <c r="B450" s="291" t="n"/>
      <c r="C450" s="289" t="n"/>
      <c r="D450" s="298" t="n"/>
      <c r="E450" s="291" t="n"/>
      <c r="F450" s="291" t="n"/>
      <c r="G450" s="297" t="n"/>
      <c r="H450" s="298" t="n"/>
    </row>
    <row r="451" ht="13" customHeight="1" s="189">
      <c r="A451" s="297" t="n"/>
      <c r="B451" s="291" t="n"/>
      <c r="C451" s="289" t="n"/>
      <c r="D451" s="298" t="n"/>
      <c r="E451" s="291" t="n"/>
      <c r="F451" s="291" t="n"/>
      <c r="G451" s="297" t="n"/>
      <c r="H451" s="298" t="n"/>
    </row>
    <row r="452" ht="13" customHeight="1" s="189">
      <c r="A452" s="297" t="n"/>
      <c r="B452" s="291" t="n"/>
      <c r="C452" s="289" t="n"/>
      <c r="D452" s="298" t="n"/>
      <c r="E452" s="291" t="n"/>
      <c r="F452" s="291" t="n"/>
      <c r="G452" s="297" t="n"/>
      <c r="H452" s="298" t="n"/>
    </row>
    <row r="453" ht="13" customHeight="1" s="189">
      <c r="A453" s="297" t="n"/>
      <c r="B453" s="291" t="n"/>
      <c r="C453" s="289" t="n"/>
      <c r="D453" s="298" t="n"/>
      <c r="E453" s="291" t="n"/>
      <c r="F453" s="291" t="n"/>
      <c r="G453" s="297" t="n"/>
      <c r="H453" s="298" t="n"/>
    </row>
    <row r="454" ht="13" customHeight="1" s="189">
      <c r="A454" s="297" t="n"/>
      <c r="B454" s="291" t="n"/>
      <c r="C454" s="289" t="n"/>
      <c r="D454" s="298" t="n"/>
      <c r="E454" s="291" t="n"/>
      <c r="F454" s="291" t="n"/>
      <c r="G454" s="297" t="n"/>
      <c r="H454" s="298" t="n"/>
    </row>
    <row r="455" ht="13" customHeight="1" s="189">
      <c r="A455" s="297" t="n"/>
      <c r="B455" s="291" t="n"/>
      <c r="C455" s="289" t="n"/>
      <c r="D455" s="298" t="n"/>
      <c r="E455" s="291" t="n"/>
      <c r="F455" s="291" t="n"/>
      <c r="G455" s="297" t="n"/>
      <c r="H455" s="298" t="n"/>
    </row>
    <row r="456" ht="13" customHeight="1" s="189">
      <c r="A456" s="297" t="n"/>
      <c r="B456" s="291" t="n"/>
      <c r="C456" s="289" t="n"/>
      <c r="D456" s="298" t="n"/>
      <c r="E456" s="291" t="n"/>
      <c r="F456" s="291" t="n"/>
      <c r="G456" s="297" t="n"/>
      <c r="H456" s="298" t="n"/>
    </row>
    <row r="457" ht="13" customHeight="1" s="189">
      <c r="A457" s="297" t="n"/>
      <c r="B457" s="291" t="n"/>
      <c r="C457" s="289" t="n"/>
      <c r="D457" s="298" t="n"/>
      <c r="E457" s="291" t="n"/>
      <c r="F457" s="291" t="n"/>
      <c r="G457" s="297" t="n"/>
      <c r="H457" s="298" t="n"/>
    </row>
    <row r="458" ht="13" customHeight="1" s="189">
      <c r="A458" s="297" t="n"/>
      <c r="B458" s="291" t="n"/>
      <c r="C458" s="289" t="n"/>
      <c r="D458" s="298" t="n"/>
      <c r="E458" s="291" t="n"/>
      <c r="F458" s="291" t="n"/>
      <c r="G458" s="297" t="n"/>
      <c r="H458" s="298" t="n"/>
    </row>
    <row r="459" ht="13" customHeight="1" s="189">
      <c r="A459" s="297" t="n"/>
      <c r="B459" s="291" t="n"/>
      <c r="C459" s="289" t="n"/>
      <c r="D459" s="298" t="n"/>
      <c r="E459" s="291" t="n"/>
      <c r="F459" s="291" t="n"/>
      <c r="G459" s="297" t="n"/>
      <c r="H459" s="298" t="n"/>
    </row>
    <row r="460" ht="13" customHeight="1" s="189">
      <c r="A460" s="297" t="n"/>
      <c r="B460" s="291" t="n"/>
      <c r="C460" s="289" t="n"/>
      <c r="D460" s="298" t="n"/>
      <c r="E460" s="291" t="n"/>
      <c r="F460" s="291" t="n"/>
      <c r="G460" s="297" t="n"/>
      <c r="H460" s="298" t="n"/>
    </row>
    <row r="461" ht="13" customHeight="1" s="189">
      <c r="A461" s="297" t="n"/>
      <c r="B461" s="291" t="n"/>
      <c r="C461" s="289" t="n"/>
      <c r="D461" s="298" t="n"/>
      <c r="E461" s="291" t="n"/>
      <c r="F461" s="291" t="n"/>
      <c r="G461" s="297" t="n"/>
      <c r="H461" s="298" t="n"/>
    </row>
    <row r="462" ht="13" customHeight="1" s="189">
      <c r="A462" s="297" t="n"/>
      <c r="B462" s="291" t="n"/>
      <c r="C462" s="289" t="n"/>
      <c r="D462" s="298" t="n"/>
      <c r="E462" s="291" t="n"/>
      <c r="F462" s="291" t="n"/>
      <c r="G462" s="297" t="n"/>
      <c r="H462" s="298" t="n"/>
    </row>
    <row r="463" ht="13" customHeight="1" s="189">
      <c r="A463" s="297" t="n"/>
      <c r="B463" s="291" t="n"/>
      <c r="C463" s="289" t="n"/>
      <c r="D463" s="298" t="n"/>
      <c r="E463" s="291" t="n"/>
      <c r="F463" s="291" t="n"/>
      <c r="G463" s="297" t="n"/>
      <c r="H463" s="298" t="n"/>
    </row>
    <row r="464" ht="13" customHeight="1" s="189">
      <c r="A464" s="297" t="n"/>
      <c r="B464" s="291" t="n"/>
      <c r="C464" s="289" t="n"/>
      <c r="D464" s="298" t="n"/>
      <c r="E464" s="291" t="n"/>
      <c r="F464" s="291" t="n"/>
      <c r="G464" s="297" t="n"/>
      <c r="H464" s="298" t="n"/>
    </row>
    <row r="465" ht="13" customHeight="1" s="189">
      <c r="A465" s="297" t="n"/>
      <c r="B465" s="291" t="n"/>
      <c r="C465" s="289" t="n"/>
      <c r="D465" s="298" t="n"/>
      <c r="E465" s="291" t="n"/>
      <c r="F465" s="291" t="n"/>
      <c r="G465" s="297" t="n"/>
      <c r="H465" s="298" t="n"/>
    </row>
    <row r="466" ht="13" customHeight="1" s="189">
      <c r="A466" s="297" t="n"/>
      <c r="B466" s="291" t="n"/>
      <c r="C466" s="289" t="n"/>
      <c r="D466" s="298" t="n"/>
      <c r="E466" s="291" t="n"/>
      <c r="F466" s="291" t="n"/>
      <c r="G466" s="297" t="n"/>
      <c r="H466" s="298" t="n"/>
    </row>
    <row r="467" ht="13" customHeight="1" s="189">
      <c r="A467" s="297" t="n"/>
      <c r="B467" s="291" t="n"/>
      <c r="C467" s="289" t="n"/>
      <c r="D467" s="298" t="n"/>
      <c r="E467" s="291" t="n"/>
      <c r="F467" s="291" t="n"/>
      <c r="G467" s="297" t="n"/>
      <c r="H467" s="298" t="n"/>
    </row>
    <row r="468" ht="13" customHeight="1" s="189">
      <c r="A468" s="297" t="n"/>
      <c r="B468" s="291" t="n"/>
      <c r="C468" s="289" t="n"/>
      <c r="D468" s="298" t="n"/>
      <c r="E468" s="291" t="n"/>
      <c r="F468" s="291" t="n"/>
      <c r="G468" s="297" t="n"/>
      <c r="H468" s="298" t="n"/>
    </row>
    <row r="469" ht="13" customHeight="1" s="189">
      <c r="A469" s="297" t="n"/>
      <c r="B469" s="291" t="n"/>
      <c r="C469" s="289" t="n"/>
      <c r="D469" s="298" t="n"/>
      <c r="E469" s="291" t="n"/>
      <c r="F469" s="291" t="n"/>
      <c r="G469" s="297" t="n"/>
      <c r="H469" s="298" t="n"/>
    </row>
    <row r="470" ht="13" customHeight="1" s="189">
      <c r="A470" s="297" t="n"/>
      <c r="B470" s="291" t="n"/>
      <c r="C470" s="289" t="n"/>
      <c r="D470" s="298" t="n"/>
      <c r="E470" s="291" t="n"/>
      <c r="F470" s="291" t="n"/>
      <c r="G470" s="297" t="n"/>
      <c r="H470" s="298" t="n"/>
    </row>
    <row r="471" ht="13" customHeight="1" s="189">
      <c r="A471" s="297" t="n"/>
      <c r="B471" s="291" t="n"/>
      <c r="C471" s="289" t="n"/>
      <c r="D471" s="298" t="n"/>
      <c r="E471" s="291" t="n"/>
      <c r="F471" s="291" t="n"/>
      <c r="G471" s="297" t="n"/>
      <c r="H471" s="298" t="n"/>
    </row>
    <row r="472" ht="13" customHeight="1" s="189">
      <c r="A472" s="297" t="n"/>
      <c r="B472" s="291" t="n"/>
      <c r="C472" s="289" t="n"/>
      <c r="D472" s="298" t="n"/>
      <c r="E472" s="291" t="n"/>
      <c r="F472" s="291" t="n"/>
      <c r="G472" s="297" t="n"/>
      <c r="H472" s="298" t="n"/>
    </row>
    <row r="473" ht="13" customHeight="1" s="189">
      <c r="A473" s="297" t="n"/>
      <c r="B473" s="291" t="n"/>
      <c r="C473" s="289" t="n"/>
      <c r="D473" s="298" t="n"/>
      <c r="E473" s="291" t="n"/>
      <c r="F473" s="291" t="n"/>
      <c r="G473" s="297" t="n"/>
      <c r="H473" s="298" t="n"/>
    </row>
    <row r="474" ht="13" customHeight="1" s="189">
      <c r="A474" s="297" t="n"/>
      <c r="B474" s="291" t="n"/>
      <c r="C474" s="289" t="n"/>
      <c r="D474" s="298" t="n"/>
      <c r="E474" s="291" t="n"/>
      <c r="F474" s="291" t="n"/>
      <c r="G474" s="297" t="n"/>
      <c r="H474" s="298" t="n"/>
    </row>
    <row r="475" ht="13" customHeight="1" s="189">
      <c r="A475" s="297" t="n"/>
      <c r="B475" s="291" t="n"/>
      <c r="C475" s="289" t="n"/>
      <c r="D475" s="298" t="n"/>
      <c r="E475" s="291" t="n"/>
      <c r="F475" s="291" t="n"/>
      <c r="G475" s="297" t="n"/>
      <c r="H475" s="298" t="n"/>
    </row>
    <row r="476" ht="13" customHeight="1" s="189">
      <c r="A476" s="297" t="n"/>
      <c r="B476" s="291" t="n"/>
      <c r="C476" s="289" t="n"/>
      <c r="D476" s="298" t="n"/>
      <c r="E476" s="291" t="n"/>
      <c r="F476" s="291" t="n"/>
      <c r="G476" s="297" t="n"/>
      <c r="H476" s="298" t="n"/>
    </row>
    <row r="477" ht="13" customHeight="1" s="189">
      <c r="A477" s="297" t="n"/>
      <c r="B477" s="291" t="n"/>
      <c r="C477" s="289" t="n"/>
      <c r="D477" s="298" t="n"/>
      <c r="E477" s="291" t="n"/>
      <c r="F477" s="291" t="n"/>
      <c r="G477" s="297" t="n"/>
      <c r="H477" s="298" t="n"/>
    </row>
    <row r="478" ht="13" customHeight="1" s="189">
      <c r="A478" s="297" t="n"/>
      <c r="B478" s="291" t="n"/>
      <c r="C478" s="289" t="n"/>
      <c r="D478" s="298" t="n"/>
      <c r="E478" s="291" t="n"/>
      <c r="F478" s="291" t="n"/>
      <c r="G478" s="297" t="n"/>
      <c r="H478" s="298" t="n"/>
    </row>
    <row r="479" ht="13" customHeight="1" s="189">
      <c r="A479" s="297" t="n"/>
      <c r="B479" s="291" t="n"/>
      <c r="C479" s="289" t="n"/>
      <c r="D479" s="298" t="n"/>
      <c r="E479" s="291" t="n"/>
      <c r="F479" s="291" t="n"/>
      <c r="G479" s="297" t="n"/>
      <c r="H479" s="298" t="n"/>
    </row>
    <row r="480" ht="13" customHeight="1" s="189">
      <c r="A480" s="297" t="n"/>
      <c r="B480" s="291" t="n"/>
      <c r="C480" s="289" t="n"/>
      <c r="D480" s="298" t="n"/>
      <c r="E480" s="291" t="n"/>
      <c r="F480" s="291" t="n"/>
      <c r="G480" s="297" t="n"/>
      <c r="H480" s="298" t="n"/>
    </row>
    <row r="481" ht="13" customHeight="1" s="189">
      <c r="A481" s="297" t="n"/>
      <c r="B481" s="291" t="n"/>
      <c r="C481" s="289" t="n"/>
      <c r="D481" s="298" t="n"/>
      <c r="E481" s="291" t="n"/>
      <c r="F481" s="291" t="n"/>
      <c r="G481" s="297" t="n"/>
      <c r="H481" s="298" t="n"/>
    </row>
    <row r="482" ht="13" customHeight="1" s="189">
      <c r="A482" s="297" t="n"/>
      <c r="B482" s="291" t="n"/>
      <c r="C482" s="289" t="n"/>
      <c r="D482" s="298" t="n"/>
      <c r="E482" s="291" t="n"/>
      <c r="F482" s="291" t="n"/>
      <c r="G482" s="297" t="n"/>
      <c r="H482" s="298" t="n"/>
    </row>
    <row r="483" ht="13" customHeight="1" s="189">
      <c r="A483" s="297" t="n"/>
      <c r="B483" s="291" t="n"/>
      <c r="C483" s="289" t="n"/>
      <c r="D483" s="298" t="n"/>
      <c r="E483" s="291" t="n"/>
      <c r="F483" s="291" t="n"/>
      <c r="G483" s="297" t="n"/>
      <c r="H483" s="298" t="n"/>
    </row>
    <row r="484" ht="13" customHeight="1" s="189">
      <c r="A484" s="297" t="n"/>
      <c r="B484" s="291" t="n"/>
      <c r="C484" s="289" t="n"/>
      <c r="D484" s="298" t="n"/>
      <c r="E484" s="291" t="n"/>
      <c r="F484" s="291" t="n"/>
      <c r="G484" s="297" t="n"/>
      <c r="H484" s="298" t="n"/>
    </row>
    <row r="485" ht="13" customHeight="1" s="189">
      <c r="A485" s="297" t="n"/>
      <c r="B485" s="291" t="n"/>
      <c r="C485" s="289" t="n"/>
      <c r="D485" s="298" t="n"/>
      <c r="E485" s="291" t="n"/>
      <c r="F485" s="291" t="n"/>
      <c r="G485" s="297" t="n"/>
      <c r="H485" s="298" t="n"/>
    </row>
    <row r="486" ht="13" customHeight="1" s="189">
      <c r="A486" s="297" t="n"/>
      <c r="B486" s="291" t="n"/>
      <c r="C486" s="289" t="n"/>
      <c r="D486" s="298" t="n"/>
      <c r="E486" s="291" t="n"/>
      <c r="F486" s="291" t="n"/>
      <c r="G486" s="297" t="n"/>
      <c r="H486" s="298" t="n"/>
    </row>
    <row r="487" ht="13" customHeight="1" s="189">
      <c r="A487" s="297" t="n"/>
      <c r="B487" s="291" t="n"/>
      <c r="C487" s="289" t="n"/>
      <c r="D487" s="298" t="n"/>
      <c r="E487" s="291" t="n"/>
      <c r="F487" s="291" t="n"/>
      <c r="G487" s="297" t="n"/>
      <c r="H487" s="298" t="n"/>
    </row>
    <row r="488" ht="13" customHeight="1" s="189">
      <c r="A488" s="297" t="n"/>
      <c r="B488" s="291" t="n"/>
      <c r="C488" s="289" t="n"/>
      <c r="D488" s="298" t="n"/>
      <c r="E488" s="291" t="n"/>
      <c r="F488" s="291" t="n"/>
      <c r="G488" s="297" t="n"/>
      <c r="H488" s="298" t="n"/>
    </row>
    <row r="489" ht="13" customHeight="1" s="189">
      <c r="A489" s="297" t="n"/>
      <c r="B489" s="291" t="n"/>
      <c r="C489" s="289" t="n"/>
      <c r="D489" s="298" t="n"/>
      <c r="E489" s="291" t="n"/>
      <c r="F489" s="291" t="n"/>
      <c r="G489" s="297" t="n"/>
      <c r="H489" s="298" t="n"/>
    </row>
    <row r="490" ht="13" customHeight="1" s="189">
      <c r="A490" s="297" t="n"/>
      <c r="B490" s="291" t="n"/>
      <c r="C490" s="289" t="n"/>
      <c r="D490" s="298" t="n"/>
      <c r="E490" s="291" t="n"/>
      <c r="F490" s="291" t="n"/>
      <c r="G490" s="297" t="n"/>
      <c r="H490" s="298" t="n"/>
    </row>
    <row r="491" ht="13" customHeight="1" s="189">
      <c r="A491" s="297" t="n"/>
      <c r="B491" s="291" t="n"/>
      <c r="C491" s="289" t="n"/>
      <c r="D491" s="298" t="n"/>
      <c r="E491" s="291" t="n"/>
      <c r="F491" s="291" t="n"/>
      <c r="G491" s="297" t="n"/>
      <c r="H491" s="298" t="n"/>
    </row>
    <row r="492" ht="13" customHeight="1" s="189">
      <c r="A492" s="297" t="n"/>
      <c r="B492" s="291" t="n"/>
      <c r="C492" s="289" t="n"/>
      <c r="D492" s="298" t="n"/>
      <c r="E492" s="291" t="n"/>
      <c r="F492" s="291" t="n"/>
      <c r="G492" s="297" t="n"/>
      <c r="H492" s="298" t="n"/>
    </row>
    <row r="493" ht="13" customHeight="1" s="189">
      <c r="A493" s="297" t="n"/>
      <c r="B493" s="291" t="n"/>
      <c r="C493" s="289" t="n"/>
      <c r="D493" s="298" t="n"/>
      <c r="E493" s="291" t="n"/>
      <c r="F493" s="291" t="n"/>
      <c r="G493" s="297" t="n"/>
      <c r="H493" s="298" t="n"/>
    </row>
    <row r="494" ht="13" customHeight="1" s="189">
      <c r="A494" s="297" t="n"/>
      <c r="B494" s="291" t="n"/>
      <c r="C494" s="289" t="n"/>
      <c r="D494" s="298" t="n"/>
      <c r="E494" s="291" t="n"/>
      <c r="F494" s="291" t="n"/>
      <c r="G494" s="297" t="n"/>
      <c r="H494" s="298" t="n"/>
    </row>
    <row r="495" ht="13" customHeight="1" s="189">
      <c r="A495" s="297" t="n"/>
      <c r="B495" s="291" t="n"/>
      <c r="C495" s="289" t="n"/>
      <c r="D495" s="298" t="n"/>
      <c r="E495" s="291" t="n"/>
      <c r="F495" s="291" t="n"/>
      <c r="G495" s="297" t="n"/>
      <c r="H495" s="298" t="n"/>
    </row>
    <row r="496" ht="13" customHeight="1" s="189">
      <c r="A496" s="297" t="n"/>
      <c r="B496" s="291" t="n"/>
      <c r="C496" s="289" t="n"/>
      <c r="D496" s="298" t="n"/>
      <c r="E496" s="291" t="n"/>
      <c r="F496" s="291" t="n"/>
      <c r="G496" s="297" t="n"/>
      <c r="H496" s="298" t="n"/>
    </row>
    <row r="497" ht="13" customHeight="1" s="189">
      <c r="A497" s="297" t="n"/>
      <c r="B497" s="291" t="n"/>
      <c r="C497" s="289" t="n"/>
      <c r="D497" s="298" t="n"/>
      <c r="E497" s="291" t="n"/>
      <c r="F497" s="291" t="n"/>
      <c r="G497" s="297" t="n"/>
      <c r="H497" s="298" t="n"/>
    </row>
    <row r="498" ht="13" customHeight="1" s="189">
      <c r="A498" s="297" t="n"/>
      <c r="B498" s="291" t="n"/>
      <c r="C498" s="289" t="n"/>
      <c r="D498" s="298" t="n"/>
      <c r="E498" s="291" t="n"/>
      <c r="F498" s="291" t="n"/>
      <c r="G498" s="297" t="n"/>
      <c r="H498" s="298" t="n"/>
    </row>
    <row r="499" ht="13" customHeight="1" s="189">
      <c r="A499" s="297" t="n"/>
      <c r="B499" s="291" t="n"/>
      <c r="C499" s="289" t="n"/>
      <c r="D499" s="298" t="n"/>
      <c r="E499" s="291" t="n"/>
      <c r="F499" s="291" t="n"/>
      <c r="G499" s="297" t="n"/>
      <c r="H499" s="298" t="n"/>
    </row>
    <row r="500" ht="13" customHeight="1" s="189">
      <c r="A500" s="297" t="n"/>
      <c r="B500" s="291" t="n"/>
      <c r="C500" s="289" t="n"/>
      <c r="D500" s="298" t="n"/>
      <c r="E500" s="291" t="n"/>
      <c r="F500" s="291" t="n"/>
      <c r="G500" s="297" t="n"/>
      <c r="H500" s="298" t="n"/>
    </row>
    <row r="501" ht="13" customHeight="1" s="189">
      <c r="A501" s="297" t="n"/>
      <c r="B501" s="291" t="n"/>
      <c r="C501" s="289" t="n"/>
      <c r="D501" s="298" t="n"/>
      <c r="E501" s="291" t="n"/>
      <c r="F501" s="291" t="n"/>
      <c r="G501" s="297" t="n"/>
      <c r="H501" s="298" t="n"/>
    </row>
    <row r="502" ht="13" customHeight="1" s="189">
      <c r="A502" s="297" t="n"/>
      <c r="B502" s="291" t="n"/>
      <c r="C502" s="289" t="n"/>
      <c r="D502" s="298" t="n"/>
      <c r="E502" s="291" t="n"/>
      <c r="F502" s="291" t="n"/>
      <c r="G502" s="297" t="n"/>
      <c r="H502" s="298" t="n"/>
    </row>
    <row r="503" ht="13" customHeight="1" s="189">
      <c r="A503" s="297" t="n"/>
      <c r="B503" s="291" t="n"/>
      <c r="C503" s="289" t="n"/>
      <c r="D503" s="298" t="n"/>
      <c r="E503" s="291" t="n"/>
      <c r="F503" s="291" t="n"/>
      <c r="G503" s="297" t="n"/>
      <c r="H503" s="298" t="n"/>
    </row>
    <row r="504" ht="13" customHeight="1" s="189">
      <c r="A504" s="297" t="n"/>
      <c r="B504" s="291" t="n"/>
      <c r="C504" s="289" t="n"/>
      <c r="D504" s="298" t="n"/>
      <c r="E504" s="291" t="n"/>
      <c r="F504" s="291" t="n"/>
      <c r="G504" s="297" t="n"/>
      <c r="H504" s="298" t="n"/>
    </row>
    <row r="505" ht="13" customHeight="1" s="189">
      <c r="A505" s="297" t="n"/>
      <c r="B505" s="291" t="n"/>
      <c r="C505" s="289" t="n"/>
      <c r="D505" s="298" t="n"/>
      <c r="E505" s="291" t="n"/>
      <c r="F505" s="291" t="n"/>
      <c r="G505" s="297" t="n"/>
      <c r="H505" s="298" t="n"/>
    </row>
    <row r="506" ht="13" customHeight="1" s="189">
      <c r="A506" s="297" t="n"/>
      <c r="B506" s="291" t="n"/>
      <c r="C506" s="289" t="n"/>
      <c r="D506" s="298" t="n"/>
      <c r="E506" s="291" t="n"/>
      <c r="F506" s="291" t="n"/>
      <c r="G506" s="297" t="n"/>
      <c r="H506" s="298" t="n"/>
    </row>
    <row r="507" ht="13" customHeight="1" s="189">
      <c r="A507" s="297" t="n"/>
      <c r="B507" s="291" t="n"/>
      <c r="C507" s="289" t="n"/>
      <c r="D507" s="298" t="n"/>
      <c r="E507" s="291" t="n"/>
      <c r="F507" s="291" t="n"/>
      <c r="G507" s="297" t="n"/>
      <c r="H507" s="298" t="n"/>
    </row>
    <row r="508" ht="13" customHeight="1" s="189">
      <c r="A508" s="297" t="n"/>
      <c r="B508" s="291" t="n"/>
      <c r="C508" s="289" t="n"/>
      <c r="D508" s="298" t="n"/>
      <c r="E508" s="291" t="n"/>
      <c r="F508" s="291" t="n"/>
      <c r="G508" s="297" t="n"/>
      <c r="H508" s="298" t="n"/>
    </row>
    <row r="509" ht="13" customHeight="1" s="189">
      <c r="A509" s="297" t="n"/>
      <c r="B509" s="291" t="n"/>
      <c r="C509" s="289" t="n"/>
      <c r="D509" s="298" t="n"/>
      <c r="E509" s="291" t="n"/>
      <c r="F509" s="291" t="n"/>
      <c r="G509" s="297" t="n"/>
      <c r="H509" s="298" t="n"/>
    </row>
    <row r="510" ht="13" customHeight="1" s="189">
      <c r="A510" s="297" t="n"/>
      <c r="B510" s="291" t="n"/>
      <c r="C510" s="289" t="n"/>
      <c r="D510" s="298" t="n"/>
      <c r="E510" s="291" t="n"/>
      <c r="F510" s="291" t="n"/>
      <c r="G510" s="297" t="n"/>
      <c r="H510" s="298" t="n"/>
    </row>
    <row r="511" ht="13" customHeight="1" s="189">
      <c r="A511" s="297" t="n"/>
      <c r="B511" s="291" t="n"/>
      <c r="C511" s="289" t="n"/>
      <c r="D511" s="298" t="n"/>
      <c r="E511" s="291" t="n"/>
      <c r="F511" s="291" t="n"/>
      <c r="G511" s="297" t="n"/>
      <c r="H511" s="298" t="n"/>
    </row>
    <row r="512" ht="13" customHeight="1" s="189">
      <c r="A512" s="297" t="n"/>
      <c r="B512" s="291" t="n"/>
      <c r="C512" s="289" t="n"/>
      <c r="D512" s="298" t="n"/>
      <c r="E512" s="291" t="n"/>
      <c r="F512" s="291" t="n"/>
      <c r="G512" s="297" t="n"/>
      <c r="H512" s="298" t="n"/>
    </row>
    <row r="513" ht="13" customHeight="1" s="189">
      <c r="A513" s="297" t="n"/>
      <c r="B513" s="291" t="n"/>
      <c r="C513" s="289" t="n"/>
      <c r="D513" s="298" t="n"/>
      <c r="E513" s="291" t="n"/>
      <c r="F513" s="291" t="n"/>
      <c r="G513" s="297" t="n"/>
      <c r="H513" s="298" t="n"/>
    </row>
    <row r="514" ht="13" customHeight="1" s="189">
      <c r="A514" s="297" t="n"/>
      <c r="B514" s="291" t="n"/>
      <c r="C514" s="289" t="n"/>
      <c r="D514" s="298" t="n"/>
      <c r="E514" s="291" t="n"/>
      <c r="F514" s="291" t="n"/>
      <c r="G514" s="297" t="n"/>
      <c r="H514" s="298" t="n"/>
    </row>
    <row r="515" ht="13" customHeight="1" s="189">
      <c r="A515" s="297" t="n"/>
      <c r="B515" s="291" t="n"/>
      <c r="C515" s="289" t="n"/>
      <c r="D515" s="298" t="n"/>
      <c r="E515" s="291" t="n"/>
      <c r="F515" s="291" t="n"/>
      <c r="G515" s="297" t="n"/>
      <c r="H515" s="298" t="n"/>
    </row>
    <row r="516" ht="13" customHeight="1" s="189">
      <c r="A516" s="297" t="n"/>
      <c r="B516" s="291" t="n"/>
      <c r="C516" s="289" t="n"/>
      <c r="D516" s="298" t="n"/>
      <c r="E516" s="291" t="n"/>
      <c r="F516" s="291" t="n"/>
      <c r="G516" s="297" t="n"/>
      <c r="H516" s="298" t="n"/>
    </row>
    <row r="517" ht="13" customHeight="1" s="189">
      <c r="A517" s="297" t="n"/>
      <c r="B517" s="291" t="n"/>
      <c r="C517" s="289" t="n"/>
      <c r="D517" s="298" t="n"/>
      <c r="E517" s="291" t="n"/>
      <c r="F517" s="291" t="n"/>
      <c r="G517" s="297" t="n"/>
      <c r="H517" s="298" t="n"/>
    </row>
    <row r="518" ht="13" customHeight="1" s="189">
      <c r="A518" s="297" t="n"/>
      <c r="B518" s="291" t="n"/>
      <c r="C518" s="289" t="n"/>
      <c r="D518" s="298" t="n"/>
      <c r="E518" s="291" t="n"/>
      <c r="F518" s="291" t="n"/>
      <c r="G518" s="297" t="n"/>
      <c r="H518" s="298" t="n"/>
    </row>
    <row r="519" ht="13" customHeight="1" s="189">
      <c r="A519" s="297" t="n"/>
      <c r="B519" s="291" t="n"/>
      <c r="C519" s="289" t="n"/>
      <c r="D519" s="298" t="n"/>
      <c r="E519" s="291" t="n"/>
      <c r="F519" s="291" t="n"/>
      <c r="G519" s="297" t="n"/>
      <c r="H519" s="298" t="n"/>
    </row>
    <row r="520" ht="13" customHeight="1" s="189">
      <c r="A520" s="297" t="n"/>
      <c r="B520" s="291" t="n"/>
      <c r="C520" s="289" t="n"/>
      <c r="D520" s="298" t="n"/>
      <c r="E520" s="291" t="n"/>
      <c r="F520" s="291" t="n"/>
      <c r="G520" s="297" t="n"/>
      <c r="H520" s="298" t="n"/>
    </row>
    <row r="521" ht="13" customHeight="1" s="189">
      <c r="A521" s="297" t="n"/>
      <c r="B521" s="291" t="n"/>
      <c r="C521" s="289" t="n"/>
      <c r="D521" s="298" t="n"/>
      <c r="E521" s="291" t="n"/>
      <c r="F521" s="291" t="n"/>
      <c r="G521" s="297" t="n"/>
      <c r="H521" s="298" t="n"/>
    </row>
    <row r="522" ht="13" customHeight="1" s="189">
      <c r="A522" s="297" t="n"/>
      <c r="B522" s="291" t="n"/>
      <c r="C522" s="289" t="n"/>
      <c r="D522" s="298" t="n"/>
      <c r="E522" s="291" t="n"/>
      <c r="F522" s="291" t="n"/>
      <c r="G522" s="297" t="n"/>
      <c r="H522" s="298" t="n"/>
    </row>
    <row r="523" ht="13" customHeight="1" s="189">
      <c r="A523" s="297" t="n"/>
      <c r="B523" s="291" t="n"/>
      <c r="C523" s="289" t="n"/>
      <c r="D523" s="298" t="n"/>
      <c r="E523" s="291" t="n"/>
      <c r="F523" s="291" t="n"/>
      <c r="G523" s="297" t="n"/>
      <c r="H523" s="298" t="n"/>
    </row>
    <row r="524" ht="13" customHeight="1" s="189">
      <c r="A524" s="297" t="n"/>
      <c r="B524" s="291" t="n"/>
      <c r="C524" s="289" t="n"/>
      <c r="D524" s="298" t="n"/>
      <c r="E524" s="291" t="n"/>
      <c r="F524" s="291" t="n"/>
      <c r="G524" s="297" t="n"/>
      <c r="H524" s="298" t="n"/>
    </row>
    <row r="525" ht="13" customHeight="1" s="189">
      <c r="A525" s="297" t="n"/>
      <c r="B525" s="291" t="n"/>
      <c r="C525" s="289" t="n"/>
      <c r="D525" s="298" t="n"/>
      <c r="E525" s="291" t="n"/>
      <c r="F525" s="291" t="n"/>
      <c r="G525" s="297" t="n"/>
      <c r="H525" s="298" t="n"/>
    </row>
    <row r="526" ht="13" customHeight="1" s="189">
      <c r="A526" s="297" t="n"/>
      <c r="B526" s="291" t="n"/>
      <c r="C526" s="289" t="n"/>
      <c r="D526" s="298" t="n"/>
      <c r="E526" s="291" t="n"/>
      <c r="F526" s="291" t="n"/>
      <c r="G526" s="297" t="n"/>
      <c r="H526" s="298" t="n"/>
    </row>
    <row r="527" ht="13" customHeight="1" s="189">
      <c r="A527" s="297" t="n"/>
      <c r="B527" s="291" t="n"/>
      <c r="C527" s="289" t="n"/>
      <c r="D527" s="298" t="n"/>
      <c r="E527" s="291" t="n"/>
      <c r="F527" s="291" t="n"/>
      <c r="G527" s="297" t="n"/>
      <c r="H527" s="298" t="n"/>
    </row>
    <row r="528" ht="13" customHeight="1" s="189">
      <c r="A528" s="297" t="n"/>
      <c r="B528" s="291" t="n"/>
      <c r="C528" s="289" t="n"/>
      <c r="D528" s="298" t="n"/>
      <c r="E528" s="291" t="n"/>
      <c r="F528" s="291" t="n"/>
      <c r="G528" s="297" t="n"/>
      <c r="H528" s="298" t="n"/>
    </row>
    <row r="529" ht="13" customHeight="1" s="189">
      <c r="A529" s="297" t="n"/>
      <c r="B529" s="291" t="n"/>
      <c r="C529" s="289" t="n"/>
      <c r="D529" s="298" t="n"/>
      <c r="E529" s="291" t="n"/>
      <c r="F529" s="291" t="n"/>
      <c r="G529" s="297" t="n"/>
      <c r="H529" s="298" t="n"/>
    </row>
    <row r="530" ht="13" customHeight="1" s="189">
      <c r="A530" s="297" t="n"/>
      <c r="B530" s="291" t="n"/>
      <c r="C530" s="289" t="n"/>
      <c r="D530" s="298" t="n"/>
      <c r="E530" s="291" t="n"/>
      <c r="F530" s="291" t="n"/>
      <c r="G530" s="297" t="n"/>
      <c r="H530" s="298" t="n"/>
    </row>
    <row r="531" ht="13" customHeight="1" s="189">
      <c r="A531" s="297" t="n"/>
      <c r="B531" s="291" t="n"/>
      <c r="C531" s="289" t="n"/>
      <c r="D531" s="298" t="n"/>
      <c r="E531" s="291" t="n"/>
      <c r="F531" s="291" t="n"/>
      <c r="G531" s="297" t="n"/>
      <c r="H531" s="298" t="n"/>
    </row>
    <row r="532" ht="13" customHeight="1" s="189">
      <c r="A532" s="297" t="n"/>
      <c r="B532" s="291" t="n"/>
      <c r="C532" s="289" t="n"/>
      <c r="D532" s="298" t="n"/>
      <c r="E532" s="291" t="n"/>
      <c r="F532" s="291" t="n"/>
      <c r="G532" s="297" t="n"/>
      <c r="H532" s="298" t="n"/>
    </row>
    <row r="533" ht="13" customHeight="1" s="189">
      <c r="A533" s="297" t="n"/>
      <c r="B533" s="291" t="n"/>
      <c r="C533" s="289" t="n"/>
      <c r="D533" s="298" t="n"/>
      <c r="E533" s="291" t="n"/>
      <c r="F533" s="291" t="n"/>
      <c r="G533" s="297" t="n"/>
      <c r="H533" s="298" t="n"/>
    </row>
    <row r="534" ht="13" customHeight="1" s="189">
      <c r="A534" s="297" t="n"/>
      <c r="B534" s="291" t="n"/>
      <c r="C534" s="289" t="n"/>
      <c r="D534" s="298" t="n"/>
      <c r="E534" s="291" t="n"/>
      <c r="F534" s="291" t="n"/>
      <c r="G534" s="297" t="n"/>
      <c r="H534" s="298" t="n"/>
    </row>
    <row r="535" ht="13" customHeight="1" s="189">
      <c r="A535" s="297" t="n"/>
      <c r="B535" s="291" t="n"/>
      <c r="C535" s="289" t="n"/>
      <c r="D535" s="298" t="n"/>
      <c r="E535" s="291" t="n"/>
      <c r="F535" s="291" t="n"/>
      <c r="G535" s="297" t="n"/>
      <c r="H535" s="298" t="n"/>
    </row>
    <row r="536" ht="13" customHeight="1" s="189">
      <c r="A536" s="297" t="n"/>
      <c r="B536" s="291" t="n"/>
      <c r="C536" s="289" t="n"/>
      <c r="D536" s="298" t="n"/>
      <c r="E536" s="291" t="n"/>
      <c r="F536" s="291" t="n"/>
      <c r="G536" s="297" t="n"/>
      <c r="H536" s="298" t="n"/>
    </row>
    <row r="537" ht="13" customHeight="1" s="189">
      <c r="A537" s="297" t="n"/>
      <c r="B537" s="291" t="n"/>
      <c r="C537" s="289" t="n"/>
      <c r="D537" s="298" t="n"/>
      <c r="E537" s="291" t="n"/>
      <c r="F537" s="291" t="n"/>
      <c r="G537" s="297" t="n"/>
      <c r="H537" s="298" t="n"/>
    </row>
    <row r="538" ht="13" customHeight="1" s="189">
      <c r="A538" s="297" t="n"/>
      <c r="B538" s="291" t="n"/>
      <c r="C538" s="289" t="n"/>
      <c r="D538" s="298" t="n"/>
      <c r="E538" s="291" t="n"/>
      <c r="F538" s="291" t="n"/>
      <c r="G538" s="297" t="n"/>
      <c r="H538" s="298" t="n"/>
    </row>
    <row r="539" ht="13" customHeight="1" s="189">
      <c r="A539" s="297" t="n"/>
      <c r="B539" s="291" t="n"/>
      <c r="C539" s="289" t="n"/>
      <c r="D539" s="298" t="n"/>
      <c r="E539" s="291" t="n"/>
      <c r="F539" s="291" t="n"/>
      <c r="G539" s="297" t="n"/>
      <c r="H539" s="298" t="n"/>
    </row>
    <row r="540" ht="13" customHeight="1" s="189">
      <c r="A540" s="297" t="n"/>
      <c r="B540" s="291" t="n"/>
      <c r="C540" s="289" t="n"/>
      <c r="D540" s="298" t="n"/>
      <c r="E540" s="291" t="n"/>
      <c r="F540" s="291" t="n"/>
      <c r="G540" s="297" t="n"/>
      <c r="H540" s="298" t="n"/>
    </row>
    <row r="541" ht="13" customHeight="1" s="189">
      <c r="A541" s="297" t="n"/>
      <c r="B541" s="291" t="n"/>
      <c r="C541" s="289" t="n"/>
      <c r="D541" s="298" t="n"/>
      <c r="E541" s="291" t="n"/>
      <c r="F541" s="291" t="n"/>
      <c r="G541" s="297" t="n"/>
      <c r="H541" s="298" t="n"/>
    </row>
    <row r="542" ht="13" customHeight="1" s="189">
      <c r="A542" s="297" t="n"/>
      <c r="B542" s="291" t="n"/>
      <c r="C542" s="289" t="n"/>
      <c r="D542" s="298" t="n"/>
      <c r="E542" s="291" t="n"/>
      <c r="F542" s="291" t="n"/>
      <c r="G542" s="297" t="n"/>
      <c r="H542" s="298" t="n"/>
    </row>
    <row r="543" ht="13" customHeight="1" s="189">
      <c r="A543" s="297" t="n"/>
      <c r="B543" s="291" t="n"/>
      <c r="C543" s="289" t="n"/>
      <c r="D543" s="298" t="n"/>
      <c r="E543" s="291" t="n"/>
      <c r="F543" s="291" t="n"/>
      <c r="G543" s="297" t="n"/>
      <c r="H543" s="298" t="n"/>
    </row>
    <row r="544" ht="13" customHeight="1" s="189">
      <c r="A544" s="297" t="n"/>
      <c r="B544" s="291" t="n"/>
      <c r="C544" s="289" t="n"/>
      <c r="D544" s="298" t="n"/>
      <c r="E544" s="291" t="n"/>
      <c r="F544" s="291" t="n"/>
      <c r="G544" s="297" t="n"/>
      <c r="H544" s="298" t="n"/>
    </row>
    <row r="545" ht="13" customHeight="1" s="189">
      <c r="A545" s="297" t="n"/>
      <c r="B545" s="291" t="n"/>
      <c r="C545" s="289" t="n"/>
      <c r="D545" s="298" t="n"/>
      <c r="E545" s="291" t="n"/>
      <c r="F545" s="291" t="n"/>
      <c r="G545" s="297" t="n"/>
      <c r="H545" s="298" t="n"/>
    </row>
    <row r="546" ht="13" customHeight="1" s="189">
      <c r="A546" s="297" t="n"/>
      <c r="B546" s="291" t="n"/>
      <c r="C546" s="289" t="n"/>
      <c r="D546" s="298" t="n"/>
      <c r="E546" s="291" t="n"/>
      <c r="F546" s="291" t="n"/>
      <c r="G546" s="297" t="n"/>
      <c r="H546" s="298" t="n"/>
    </row>
    <row r="547" ht="13" customHeight="1" s="189">
      <c r="A547" s="297" t="n"/>
      <c r="B547" s="291" t="n"/>
      <c r="C547" s="289" t="n"/>
      <c r="D547" s="298" t="n"/>
      <c r="E547" s="291" t="n"/>
      <c r="F547" s="291" t="n"/>
      <c r="G547" s="297" t="n"/>
      <c r="H547" s="298" t="n"/>
    </row>
    <row r="548" ht="13" customHeight="1" s="189">
      <c r="A548" s="297" t="n"/>
      <c r="B548" s="291" t="n"/>
      <c r="C548" s="289" t="n"/>
      <c r="D548" s="298" t="n"/>
      <c r="E548" s="291" t="n"/>
      <c r="F548" s="291" t="n"/>
      <c r="G548" s="297" t="n"/>
      <c r="H548" s="298" t="n"/>
    </row>
    <row r="549" ht="13" customHeight="1" s="189">
      <c r="A549" s="297" t="n"/>
      <c r="B549" s="291" t="n"/>
      <c r="C549" s="289" t="n"/>
      <c r="D549" s="298" t="n"/>
      <c r="E549" s="291" t="n"/>
      <c r="F549" s="291" t="n"/>
      <c r="G549" s="297" t="n"/>
      <c r="H549" s="298" t="n"/>
    </row>
    <row r="550" ht="13" customHeight="1" s="189">
      <c r="A550" s="297" t="n"/>
      <c r="B550" s="291" t="n"/>
      <c r="C550" s="289" t="n"/>
      <c r="D550" s="298" t="n"/>
      <c r="E550" s="291" t="n"/>
      <c r="F550" s="291" t="n"/>
      <c r="G550" s="297" t="n"/>
      <c r="H550" s="298" t="n"/>
    </row>
    <row r="551" ht="13" customHeight="1" s="189">
      <c r="A551" s="297" t="n"/>
      <c r="B551" s="291" t="n"/>
      <c r="C551" s="289" t="n"/>
      <c r="D551" s="298" t="n"/>
      <c r="E551" s="291" t="n"/>
      <c r="F551" s="291" t="n"/>
      <c r="G551" s="297" t="n"/>
      <c r="H551" s="298" t="n"/>
    </row>
    <row r="552" ht="13" customHeight="1" s="189">
      <c r="A552" s="297" t="n"/>
      <c r="B552" s="291" t="n"/>
      <c r="C552" s="289" t="n"/>
      <c r="D552" s="298" t="n"/>
      <c r="E552" s="291" t="n"/>
      <c r="F552" s="291" t="n"/>
      <c r="G552" s="297" t="n"/>
      <c r="H552" s="298" t="n"/>
    </row>
    <row r="553" ht="13" customHeight="1" s="189">
      <c r="A553" s="297" t="n"/>
      <c r="B553" s="291" t="n"/>
      <c r="C553" s="289" t="n"/>
      <c r="D553" s="298" t="n"/>
      <c r="E553" s="291" t="n"/>
      <c r="F553" s="291" t="n"/>
      <c r="G553" s="297" t="n"/>
      <c r="H553" s="298" t="n"/>
    </row>
    <row r="554" ht="13" customHeight="1" s="189">
      <c r="A554" s="297" t="n"/>
      <c r="B554" s="291" t="n"/>
      <c r="C554" s="289" t="n"/>
      <c r="D554" s="298" t="n"/>
      <c r="E554" s="291" t="n"/>
      <c r="F554" s="291" t="n"/>
      <c r="G554" s="297" t="n"/>
      <c r="H554" s="298" t="n"/>
    </row>
    <row r="555" ht="13" customHeight="1" s="189">
      <c r="A555" s="297" t="n"/>
      <c r="B555" s="291" t="n"/>
      <c r="C555" s="289" t="n"/>
      <c r="D555" s="298" t="n"/>
      <c r="E555" s="291" t="n"/>
      <c r="F555" s="291" t="n"/>
      <c r="G555" s="297" t="n"/>
      <c r="H555" s="298" t="n"/>
    </row>
    <row r="556" ht="13" customHeight="1" s="189">
      <c r="A556" s="297" t="n"/>
      <c r="B556" s="291" t="n"/>
      <c r="C556" s="289" t="n"/>
      <c r="D556" s="298" t="n"/>
      <c r="E556" s="291" t="n"/>
      <c r="F556" s="291" t="n"/>
      <c r="G556" s="297" t="n"/>
      <c r="H556" s="298" t="n"/>
    </row>
    <row r="557" ht="13" customHeight="1" s="189">
      <c r="A557" s="297" t="n"/>
      <c r="B557" s="291" t="n"/>
      <c r="C557" s="289" t="n"/>
      <c r="D557" s="298" t="n"/>
      <c r="E557" s="291" t="n"/>
      <c r="F557" s="291" t="n"/>
      <c r="G557" s="297" t="n"/>
      <c r="H557" s="298" t="n"/>
    </row>
    <row r="558" ht="13" customHeight="1" s="189">
      <c r="A558" s="297" t="n"/>
      <c r="B558" s="291" t="n"/>
      <c r="C558" s="289" t="n"/>
      <c r="D558" s="298" t="n"/>
      <c r="E558" s="291" t="n"/>
      <c r="F558" s="291" t="n"/>
      <c r="G558" s="297" t="n"/>
      <c r="H558" s="298" t="n"/>
    </row>
    <row r="559" ht="13" customHeight="1" s="189">
      <c r="A559" s="297" t="n"/>
      <c r="B559" s="291" t="n"/>
      <c r="C559" s="289" t="n"/>
      <c r="D559" s="298" t="n"/>
      <c r="E559" s="291" t="n"/>
      <c r="F559" s="291" t="n"/>
      <c r="G559" s="297" t="n"/>
      <c r="H559" s="298" t="n"/>
    </row>
    <row r="560" ht="13" customHeight="1" s="189">
      <c r="A560" s="297" t="n"/>
      <c r="B560" s="291" t="n"/>
      <c r="C560" s="289" t="n"/>
      <c r="D560" s="298" t="n"/>
      <c r="E560" s="291" t="n"/>
      <c r="F560" s="291" t="n"/>
      <c r="G560" s="297" t="n"/>
      <c r="H560" s="298" t="n"/>
    </row>
    <row r="561" ht="13" customHeight="1" s="189">
      <c r="A561" s="297" t="n"/>
      <c r="B561" s="291" t="n"/>
      <c r="C561" s="289" t="n"/>
      <c r="D561" s="298" t="n"/>
      <c r="E561" s="291" t="n"/>
      <c r="F561" s="291" t="n"/>
      <c r="G561" s="297" t="n"/>
      <c r="H561" s="298" t="n"/>
    </row>
    <row r="562" ht="13" customHeight="1" s="189">
      <c r="A562" s="297" t="n"/>
      <c r="B562" s="291" t="n"/>
      <c r="C562" s="289" t="n"/>
      <c r="D562" s="298" t="n"/>
      <c r="E562" s="291" t="n"/>
      <c r="F562" s="291" t="n"/>
      <c r="G562" s="297" t="n"/>
      <c r="H562" s="298" t="n"/>
    </row>
    <row r="563" ht="13" customHeight="1" s="189">
      <c r="A563" s="297" t="n"/>
      <c r="B563" s="291" t="n"/>
      <c r="C563" s="289" t="n"/>
      <c r="D563" s="298" t="n"/>
      <c r="E563" s="291" t="n"/>
      <c r="F563" s="291" t="n"/>
      <c r="G563" s="297" t="n"/>
      <c r="H563" s="298" t="n"/>
    </row>
    <row r="564" ht="13" customHeight="1" s="189">
      <c r="A564" s="297" t="n"/>
      <c r="B564" s="291" t="n"/>
      <c r="C564" s="289" t="n"/>
      <c r="D564" s="298" t="n"/>
      <c r="E564" s="291" t="n"/>
      <c r="F564" s="291" t="n"/>
      <c r="G564" s="297" t="n"/>
      <c r="H564" s="298" t="n"/>
    </row>
    <row r="565" ht="13" customHeight="1" s="189">
      <c r="A565" s="297" t="n"/>
      <c r="B565" s="291" t="n"/>
      <c r="C565" s="289" t="n"/>
      <c r="D565" s="298" t="n"/>
      <c r="E565" s="291" t="n"/>
      <c r="F565" s="291" t="n"/>
      <c r="G565" s="297" t="n"/>
      <c r="H565" s="298" t="n"/>
    </row>
    <row r="566" ht="13" customHeight="1" s="189">
      <c r="A566" s="297" t="n"/>
      <c r="B566" s="291" t="n"/>
      <c r="C566" s="289" t="n"/>
      <c r="D566" s="298" t="n"/>
      <c r="E566" s="291" t="n"/>
      <c r="F566" s="291" t="n"/>
      <c r="G566" s="297" t="n"/>
      <c r="H566" s="298" t="n"/>
    </row>
    <row r="567" ht="13" customHeight="1" s="189">
      <c r="A567" s="297" t="n"/>
      <c r="B567" s="291" t="n"/>
      <c r="C567" s="289" t="n"/>
      <c r="D567" s="298" t="n"/>
      <c r="E567" s="291" t="n"/>
      <c r="F567" s="291" t="n"/>
      <c r="G567" s="297" t="n"/>
      <c r="H567" s="298" t="n"/>
    </row>
    <row r="568" ht="13" customHeight="1" s="189">
      <c r="A568" s="297" t="n"/>
      <c r="B568" s="291" t="n"/>
      <c r="C568" s="289" t="n"/>
      <c r="D568" s="298" t="n"/>
      <c r="E568" s="291" t="n"/>
      <c r="F568" s="291" t="n"/>
      <c r="G568" s="297" t="n"/>
      <c r="H568" s="298" t="n"/>
    </row>
    <row r="569" ht="13" customHeight="1" s="189">
      <c r="A569" s="297" t="n"/>
      <c r="B569" s="291" t="n"/>
      <c r="C569" s="289" t="n"/>
      <c r="D569" s="298" t="n"/>
      <c r="E569" s="291" t="n"/>
      <c r="F569" s="291" t="n"/>
      <c r="G569" s="297" t="n"/>
      <c r="H569" s="298" t="n"/>
    </row>
    <row r="570" ht="13" customHeight="1" s="189">
      <c r="A570" s="297" t="n"/>
      <c r="B570" s="291" t="n"/>
      <c r="C570" s="289" t="n"/>
      <c r="D570" s="298" t="n"/>
      <c r="E570" s="291" t="n"/>
      <c r="F570" s="291" t="n"/>
      <c r="G570" s="297" t="n"/>
      <c r="H570" s="298" t="n"/>
    </row>
    <row r="571" ht="13" customHeight="1" s="189">
      <c r="A571" s="297" t="n"/>
      <c r="B571" s="291" t="n"/>
      <c r="C571" s="289" t="n"/>
      <c r="D571" s="298" t="n"/>
      <c r="E571" s="291" t="n"/>
      <c r="F571" s="291" t="n"/>
      <c r="G571" s="297" t="n"/>
      <c r="H571" s="298" t="n"/>
    </row>
    <row r="572" ht="13" customHeight="1" s="189">
      <c r="A572" s="297" t="n"/>
      <c r="B572" s="291" t="n"/>
      <c r="C572" s="289" t="n"/>
      <c r="D572" s="298" t="n"/>
      <c r="E572" s="291" t="n"/>
      <c r="F572" s="291" t="n"/>
      <c r="G572" s="297" t="n"/>
      <c r="H572" s="298" t="n"/>
    </row>
    <row r="573" ht="13" customHeight="1" s="189">
      <c r="A573" s="297" t="n"/>
      <c r="B573" s="291" t="n"/>
      <c r="C573" s="289" t="n"/>
      <c r="D573" s="298" t="n"/>
      <c r="E573" s="291" t="n"/>
      <c r="F573" s="291" t="n"/>
      <c r="G573" s="297" t="n"/>
      <c r="H573" s="298" t="n"/>
    </row>
    <row r="574" ht="13" customHeight="1" s="189">
      <c r="A574" s="297" t="n"/>
      <c r="B574" s="291" t="n"/>
      <c r="C574" s="289" t="n"/>
      <c r="D574" s="298" t="n"/>
      <c r="E574" s="291" t="n"/>
      <c r="F574" s="291" t="n"/>
      <c r="G574" s="297" t="n"/>
      <c r="H574" s="298" t="n"/>
    </row>
    <row r="575" ht="13" customHeight="1" s="189">
      <c r="A575" s="297" t="n"/>
      <c r="B575" s="291" t="n"/>
      <c r="C575" s="289" t="n"/>
      <c r="D575" s="298" t="n"/>
      <c r="E575" s="291" t="n"/>
      <c r="F575" s="291" t="n"/>
      <c r="G575" s="297" t="n"/>
      <c r="H575" s="298" t="n"/>
    </row>
    <row r="576" ht="13" customHeight="1" s="189">
      <c r="A576" s="297" t="n"/>
      <c r="B576" s="291" t="n"/>
      <c r="C576" s="289" t="n"/>
      <c r="D576" s="298" t="n"/>
      <c r="E576" s="291" t="n"/>
      <c r="F576" s="291" t="n"/>
      <c r="G576" s="297" t="n"/>
      <c r="H576" s="298" t="n"/>
    </row>
    <row r="577" ht="13" customHeight="1" s="189">
      <c r="A577" s="297" t="n"/>
      <c r="B577" s="291" t="n"/>
      <c r="C577" s="289" t="n"/>
      <c r="D577" s="298" t="n"/>
      <c r="E577" s="291" t="n"/>
      <c r="F577" s="291" t="n"/>
      <c r="G577" s="297" t="n"/>
      <c r="H577" s="298" t="n"/>
    </row>
    <row r="578" ht="13" customHeight="1" s="189">
      <c r="A578" s="297" t="n"/>
      <c r="B578" s="291" t="n"/>
      <c r="C578" s="289" t="n"/>
      <c r="D578" s="298" t="n"/>
      <c r="E578" s="291" t="n"/>
      <c r="F578" s="291" t="n"/>
      <c r="G578" s="297" t="n"/>
      <c r="H578" s="298" t="n"/>
    </row>
    <row r="579" ht="13" customHeight="1" s="189">
      <c r="A579" s="297" t="n"/>
      <c r="B579" s="291" t="n"/>
      <c r="C579" s="289" t="n"/>
      <c r="D579" s="298" t="n"/>
      <c r="E579" s="291" t="n"/>
      <c r="F579" s="291" t="n"/>
      <c r="G579" s="297" t="n"/>
      <c r="H579" s="298" t="n"/>
    </row>
    <row r="580" ht="13" customHeight="1" s="189">
      <c r="A580" s="297" t="n"/>
      <c r="B580" s="291" t="n"/>
      <c r="C580" s="289" t="n"/>
      <c r="D580" s="298" t="n"/>
      <c r="E580" s="291" t="n"/>
      <c r="F580" s="291" t="n"/>
      <c r="G580" s="297" t="n"/>
      <c r="H580" s="298" t="n"/>
    </row>
    <row r="581" ht="13" customHeight="1" s="189">
      <c r="A581" s="297" t="n"/>
      <c r="B581" s="291" t="n"/>
      <c r="C581" s="289" t="n"/>
      <c r="D581" s="298" t="n"/>
      <c r="E581" s="291" t="n"/>
      <c r="F581" s="291" t="n"/>
      <c r="G581" s="297" t="n"/>
      <c r="H581" s="298" t="n"/>
    </row>
    <row r="582" ht="13" customHeight="1" s="189">
      <c r="A582" s="297" t="n"/>
      <c r="B582" s="291" t="n"/>
      <c r="C582" s="289" t="n"/>
      <c r="D582" s="298" t="n"/>
      <c r="E582" s="291" t="n"/>
      <c r="F582" s="291" t="n"/>
      <c r="G582" s="297" t="n"/>
      <c r="H582" s="298" t="n"/>
    </row>
    <row r="583" ht="13" customHeight="1" s="189">
      <c r="A583" s="297" t="n"/>
      <c r="B583" s="291" t="n"/>
      <c r="C583" s="289" t="n"/>
      <c r="D583" s="298" t="n"/>
      <c r="E583" s="291" t="n"/>
      <c r="F583" s="291" t="n"/>
      <c r="G583" s="297" t="n"/>
      <c r="H583" s="298" t="n"/>
    </row>
    <row r="584" ht="13" customHeight="1" s="189">
      <c r="A584" s="297" t="n"/>
      <c r="B584" s="291" t="n"/>
      <c r="C584" s="289" t="n"/>
      <c r="D584" s="298" t="n"/>
      <c r="E584" s="291" t="n"/>
      <c r="F584" s="291" t="n"/>
      <c r="G584" s="297" t="n"/>
      <c r="H584" s="298" t="n"/>
    </row>
    <row r="585" ht="13" customHeight="1" s="189">
      <c r="A585" s="297" t="n"/>
      <c r="B585" s="291" t="n"/>
      <c r="C585" s="289" t="n"/>
      <c r="D585" s="298" t="n"/>
      <c r="E585" s="291" t="n"/>
      <c r="F585" s="291" t="n"/>
      <c r="G585" s="297" t="n"/>
      <c r="H585" s="298" t="n"/>
    </row>
    <row r="586" ht="13" customHeight="1" s="189">
      <c r="A586" s="297" t="n"/>
      <c r="B586" s="291" t="n"/>
      <c r="C586" s="289" t="n"/>
      <c r="D586" s="298" t="n"/>
      <c r="E586" s="291" t="n"/>
      <c r="F586" s="291" t="n"/>
      <c r="G586" s="297" t="n"/>
      <c r="H586" s="298" t="n"/>
    </row>
    <row r="587" ht="13" customHeight="1" s="189">
      <c r="A587" s="297" t="n"/>
      <c r="B587" s="291" t="n"/>
      <c r="C587" s="289" t="n"/>
      <c r="D587" s="298" t="n"/>
      <c r="E587" s="291" t="n"/>
      <c r="F587" s="291" t="n"/>
      <c r="G587" s="297" t="n"/>
      <c r="H587" s="298" t="n"/>
    </row>
    <row r="588" ht="13" customHeight="1" s="189">
      <c r="A588" s="297" t="n"/>
      <c r="B588" s="291" t="n"/>
      <c r="C588" s="289" t="n"/>
      <c r="D588" s="298" t="n"/>
      <c r="E588" s="291" t="n"/>
      <c r="F588" s="291" t="n"/>
      <c r="G588" s="297" t="n"/>
      <c r="H588" s="298" t="n"/>
    </row>
    <row r="589" ht="13" customHeight="1" s="189">
      <c r="A589" s="297" t="n"/>
      <c r="B589" s="291" t="n"/>
      <c r="C589" s="289" t="n"/>
      <c r="D589" s="298" t="n"/>
      <c r="E589" s="291" t="n"/>
      <c r="F589" s="291" t="n"/>
      <c r="G589" s="297" t="n"/>
      <c r="H589" s="298" t="n"/>
    </row>
    <row r="590" ht="13" customHeight="1" s="189">
      <c r="A590" s="297" t="n"/>
      <c r="B590" s="291" t="n"/>
      <c r="C590" s="289" t="n"/>
      <c r="D590" s="298" t="n"/>
      <c r="E590" s="291" t="n"/>
      <c r="F590" s="291" t="n"/>
      <c r="G590" s="297" t="n"/>
      <c r="H590" s="298" t="n"/>
    </row>
    <row r="591" ht="13" customHeight="1" s="189">
      <c r="A591" s="297" t="n"/>
      <c r="B591" s="291" t="n"/>
      <c r="C591" s="289" t="n"/>
      <c r="D591" s="298" t="n"/>
      <c r="E591" s="291" t="n"/>
      <c r="F591" s="291" t="n"/>
      <c r="G591" s="297" t="n"/>
      <c r="H591" s="298" t="n"/>
    </row>
    <row r="592" ht="13" customHeight="1" s="189">
      <c r="A592" s="297" t="n"/>
      <c r="B592" s="291" t="n"/>
      <c r="C592" s="289" t="n"/>
      <c r="D592" s="298" t="n"/>
      <c r="E592" s="291" t="n"/>
      <c r="F592" s="291" t="n"/>
      <c r="G592" s="297" t="n"/>
      <c r="H592" s="298" t="n"/>
    </row>
    <row r="593" ht="13" customHeight="1" s="189">
      <c r="A593" s="297" t="n"/>
      <c r="B593" s="291" t="n"/>
      <c r="C593" s="289" t="n"/>
      <c r="D593" s="298" t="n"/>
      <c r="E593" s="291" t="n"/>
      <c r="F593" s="291" t="n"/>
      <c r="G593" s="297" t="n"/>
      <c r="H593" s="298" t="n"/>
    </row>
    <row r="594" ht="13" customHeight="1" s="189">
      <c r="A594" s="297" t="n"/>
      <c r="B594" s="291" t="n"/>
      <c r="C594" s="289" t="n"/>
      <c r="D594" s="298" t="n"/>
      <c r="E594" s="291" t="n"/>
      <c r="F594" s="291" t="n"/>
      <c r="G594" s="297" t="n"/>
      <c r="H594" s="298" t="n"/>
    </row>
    <row r="595" ht="13" customHeight="1" s="189">
      <c r="A595" s="297" t="n"/>
      <c r="B595" s="291" t="n"/>
      <c r="C595" s="289" t="n"/>
      <c r="D595" s="298" t="n"/>
      <c r="E595" s="291" t="n"/>
      <c r="F595" s="291" t="n"/>
      <c r="G595" s="297" t="n"/>
      <c r="H595" s="298" t="n"/>
    </row>
    <row r="596" ht="13" customHeight="1" s="189">
      <c r="A596" s="297" t="n"/>
      <c r="B596" s="291" t="n"/>
      <c r="C596" s="289" t="n"/>
      <c r="D596" s="298" t="n"/>
      <c r="E596" s="291" t="n"/>
      <c r="F596" s="291" t="n"/>
      <c r="G596" s="297" t="n"/>
      <c r="H596" s="298" t="n"/>
    </row>
    <row r="597" ht="13" customHeight="1" s="189">
      <c r="A597" s="297" t="n"/>
      <c r="B597" s="291" t="n"/>
      <c r="C597" s="289" t="n"/>
      <c r="D597" s="298" t="n"/>
      <c r="E597" s="291" t="n"/>
      <c r="F597" s="291" t="n"/>
      <c r="G597" s="297" t="n"/>
      <c r="H597" s="298" t="n"/>
    </row>
    <row r="598" ht="13" customHeight="1" s="189">
      <c r="A598" s="297" t="n"/>
      <c r="B598" s="291" t="n"/>
      <c r="C598" s="289" t="n"/>
      <c r="D598" s="298" t="n"/>
      <c r="E598" s="291" t="n"/>
      <c r="F598" s="291" t="n"/>
      <c r="G598" s="297" t="n"/>
      <c r="H598" s="298" t="n"/>
    </row>
    <row r="599" ht="13" customHeight="1" s="189">
      <c r="A599" s="297" t="n"/>
      <c r="B599" s="291" t="n"/>
      <c r="C599" s="289" t="n"/>
      <c r="D599" s="298" t="n"/>
      <c r="E599" s="291" t="n"/>
      <c r="F599" s="291" t="n"/>
      <c r="G599" s="297" t="n"/>
      <c r="H599" s="298" t="n"/>
    </row>
    <row r="600" ht="13" customHeight="1" s="189">
      <c r="A600" s="297" t="n"/>
      <c r="B600" s="291" t="n"/>
      <c r="C600" s="289" t="n"/>
      <c r="D600" s="298" t="n"/>
      <c r="E600" s="291" t="n"/>
      <c r="F600" s="291" t="n"/>
      <c r="G600" s="297" t="n"/>
      <c r="H600" s="298" t="n"/>
    </row>
    <row r="601" ht="13" customHeight="1" s="189">
      <c r="A601" s="297" t="n"/>
      <c r="B601" s="291" t="n"/>
      <c r="C601" s="289" t="n"/>
      <c r="D601" s="298" t="n"/>
      <c r="E601" s="291" t="n"/>
      <c r="F601" s="291" t="n"/>
      <c r="G601" s="297" t="n"/>
      <c r="H601" s="298" t="n"/>
    </row>
    <row r="602" ht="13" customHeight="1" s="189">
      <c r="A602" s="297" t="n"/>
      <c r="B602" s="291" t="n"/>
      <c r="C602" s="289" t="n"/>
      <c r="D602" s="298" t="n"/>
      <c r="E602" s="291" t="n"/>
      <c r="F602" s="291" t="n"/>
      <c r="G602" s="297" t="n"/>
      <c r="H602" s="298" t="n"/>
    </row>
    <row r="603" ht="13" customHeight="1" s="189">
      <c r="A603" s="297" t="n"/>
      <c r="B603" s="291" t="n"/>
      <c r="C603" s="289" t="n"/>
      <c r="D603" s="298" t="n"/>
      <c r="E603" s="291" t="n"/>
      <c r="F603" s="291" t="n"/>
      <c r="G603" s="297" t="n"/>
      <c r="H603" s="298" t="n"/>
    </row>
    <row r="604" ht="13" customHeight="1" s="189">
      <c r="A604" s="297" t="n"/>
      <c r="B604" s="291" t="n"/>
      <c r="C604" s="289" t="n"/>
      <c r="D604" s="298" t="n"/>
      <c r="E604" s="291" t="n"/>
      <c r="F604" s="291" t="n"/>
      <c r="G604" s="297" t="n"/>
      <c r="H604" s="298" t="n"/>
    </row>
    <row r="605" ht="13" customHeight="1" s="189">
      <c r="A605" s="297" t="n"/>
      <c r="B605" s="291" t="n"/>
      <c r="C605" s="289" t="n"/>
      <c r="D605" s="298" t="n"/>
      <c r="E605" s="291" t="n"/>
      <c r="F605" s="291" t="n"/>
      <c r="G605" s="297" t="n"/>
      <c r="H605" s="298" t="n"/>
    </row>
    <row r="606" ht="13" customHeight="1" s="189">
      <c r="A606" s="297" t="n"/>
      <c r="B606" s="291" t="n"/>
      <c r="C606" s="289" t="n"/>
      <c r="D606" s="298" t="n"/>
      <c r="E606" s="291" t="n"/>
      <c r="F606" s="291" t="n"/>
      <c r="G606" s="297" t="n"/>
      <c r="H606" s="298" t="n"/>
    </row>
    <row r="607" ht="13" customHeight="1" s="189">
      <c r="A607" s="297" t="n"/>
      <c r="B607" s="291" t="n"/>
      <c r="C607" s="289" t="n"/>
      <c r="D607" s="298" t="n"/>
      <c r="E607" s="291" t="n"/>
      <c r="F607" s="291" t="n"/>
      <c r="G607" s="297" t="n"/>
      <c r="H607" s="298" t="n"/>
    </row>
    <row r="608" ht="13" customHeight="1" s="189">
      <c r="A608" s="297" t="n"/>
      <c r="B608" s="291" t="n"/>
      <c r="C608" s="289" t="n"/>
      <c r="D608" s="298" t="n"/>
      <c r="E608" s="291" t="n"/>
      <c r="F608" s="291" t="n"/>
      <c r="G608" s="297" t="n"/>
      <c r="H608" s="298" t="n"/>
    </row>
    <row r="609" ht="13" customHeight="1" s="189">
      <c r="A609" s="297" t="n"/>
      <c r="B609" s="291" t="n"/>
      <c r="C609" s="289" t="n"/>
      <c r="D609" s="298" t="n"/>
      <c r="E609" s="291" t="n"/>
      <c r="F609" s="291" t="n"/>
      <c r="G609" s="297" t="n"/>
      <c r="H609" s="298" t="n"/>
    </row>
    <row r="610" ht="13" customHeight="1" s="189">
      <c r="A610" s="297" t="n"/>
      <c r="B610" s="291" t="n"/>
      <c r="C610" s="289" t="n"/>
      <c r="D610" s="298" t="n"/>
      <c r="E610" s="291" t="n"/>
      <c r="F610" s="291" t="n"/>
      <c r="G610" s="297" t="n"/>
      <c r="H610" s="298" t="n"/>
    </row>
    <row r="611" ht="13" customHeight="1" s="189">
      <c r="A611" s="297" t="n"/>
      <c r="B611" s="291" t="n"/>
      <c r="C611" s="289" t="n"/>
      <c r="D611" s="298" t="n"/>
      <c r="E611" s="291" t="n"/>
      <c r="F611" s="291" t="n"/>
      <c r="G611" s="297" t="n"/>
      <c r="H611" s="298" t="n"/>
    </row>
    <row r="612" ht="13" customHeight="1" s="189">
      <c r="A612" s="297" t="n"/>
      <c r="B612" s="291" t="n"/>
      <c r="C612" s="289" t="n"/>
      <c r="D612" s="298" t="n"/>
      <c r="E612" s="291" t="n"/>
      <c r="F612" s="291" t="n"/>
      <c r="G612" s="297" t="n"/>
      <c r="H612" s="298" t="n"/>
    </row>
    <row r="613" ht="13" customHeight="1" s="189">
      <c r="A613" s="297" t="n"/>
      <c r="B613" s="291" t="n"/>
      <c r="C613" s="289" t="n"/>
      <c r="D613" s="298" t="n"/>
      <c r="E613" s="291" t="n"/>
      <c r="F613" s="291" t="n"/>
      <c r="G613" s="297" t="n"/>
      <c r="H613" s="298" t="n"/>
    </row>
    <row r="614" ht="13" customHeight="1" s="189">
      <c r="A614" s="297" t="n"/>
      <c r="B614" s="291" t="n"/>
      <c r="C614" s="289" t="n"/>
      <c r="D614" s="298" t="n"/>
      <c r="E614" s="291" t="n"/>
      <c r="F614" s="291" t="n"/>
      <c r="G614" s="297" t="n"/>
      <c r="H614" s="298" t="n"/>
    </row>
    <row r="615" ht="13" customHeight="1" s="189">
      <c r="A615" s="297" t="n"/>
      <c r="B615" s="291" t="n"/>
      <c r="C615" s="289" t="n"/>
      <c r="D615" s="298" t="n"/>
      <c r="E615" s="291" t="n"/>
      <c r="F615" s="291" t="n"/>
      <c r="G615" s="297" t="n"/>
      <c r="H615" s="298" t="n"/>
    </row>
    <row r="616" ht="13" customHeight="1" s="189">
      <c r="A616" s="297" t="n"/>
      <c r="B616" s="291" t="n"/>
      <c r="C616" s="289" t="n"/>
      <c r="D616" s="298" t="n"/>
      <c r="E616" s="291" t="n"/>
      <c r="F616" s="291" t="n"/>
      <c r="G616" s="297" t="n"/>
      <c r="H616" s="298" t="n"/>
    </row>
    <row r="617" ht="13" customHeight="1" s="189">
      <c r="A617" s="297" t="n"/>
      <c r="B617" s="291" t="n"/>
      <c r="C617" s="289" t="n"/>
      <c r="D617" s="298" t="n"/>
      <c r="E617" s="291" t="n"/>
      <c r="F617" s="291" t="n"/>
      <c r="G617" s="297" t="n"/>
      <c r="H617" s="298" t="n"/>
    </row>
    <row r="618" ht="13" customHeight="1" s="189">
      <c r="A618" s="297" t="n"/>
      <c r="B618" s="291" t="n"/>
      <c r="C618" s="289" t="n"/>
      <c r="D618" s="298" t="n"/>
      <c r="E618" s="291" t="n"/>
      <c r="F618" s="291" t="n"/>
      <c r="G618" s="297" t="n"/>
      <c r="H618" s="298" t="n"/>
    </row>
    <row r="619" ht="13" customHeight="1" s="189">
      <c r="A619" s="297" t="n"/>
      <c r="B619" s="291" t="n"/>
      <c r="C619" s="289" t="n"/>
      <c r="D619" s="298" t="n"/>
      <c r="E619" s="291" t="n"/>
      <c r="F619" s="291" t="n"/>
      <c r="G619" s="297" t="n"/>
      <c r="H619" s="298" t="n"/>
    </row>
    <row r="620" ht="13" customHeight="1" s="189">
      <c r="A620" s="297" t="n"/>
      <c r="B620" s="291" t="n"/>
      <c r="C620" s="289" t="n"/>
      <c r="D620" s="298" t="n"/>
      <c r="E620" s="291" t="n"/>
      <c r="F620" s="291" t="n"/>
      <c r="G620" s="297" t="n"/>
      <c r="H620" s="298" t="n"/>
    </row>
    <row r="621" ht="13" customHeight="1" s="189">
      <c r="A621" s="297" t="n"/>
      <c r="B621" s="291" t="n"/>
      <c r="C621" s="289" t="n"/>
      <c r="D621" s="298" t="n"/>
      <c r="E621" s="291" t="n"/>
      <c r="F621" s="291" t="n"/>
      <c r="G621" s="297" t="n"/>
      <c r="H621" s="298" t="n"/>
    </row>
    <row r="622" ht="13" customHeight="1" s="189">
      <c r="A622" s="297" t="n"/>
      <c r="B622" s="291" t="n"/>
      <c r="C622" s="289" t="n"/>
      <c r="D622" s="298" t="n"/>
      <c r="E622" s="291" t="n"/>
      <c r="F622" s="291" t="n"/>
      <c r="G622" s="297" t="n"/>
      <c r="H622" s="298" t="n"/>
    </row>
    <row r="623" ht="13" customHeight="1" s="189">
      <c r="A623" s="297" t="n"/>
      <c r="B623" s="291" t="n"/>
      <c r="C623" s="289" t="n"/>
      <c r="D623" s="298" t="n"/>
      <c r="E623" s="291" t="n"/>
      <c r="F623" s="291" t="n"/>
      <c r="G623" s="297" t="n"/>
      <c r="H623" s="298" t="n"/>
    </row>
    <row r="624" ht="13" customHeight="1" s="189">
      <c r="A624" s="297" t="n"/>
      <c r="B624" s="291" t="n"/>
      <c r="C624" s="289" t="n"/>
      <c r="D624" s="298" t="n"/>
      <c r="E624" s="291" t="n"/>
      <c r="F624" s="291" t="n"/>
      <c r="G624" s="297" t="n"/>
      <c r="H624" s="298" t="n"/>
    </row>
    <row r="625" ht="13" customHeight="1" s="189">
      <c r="A625" s="297" t="n"/>
      <c r="B625" s="291" t="n"/>
      <c r="C625" s="289" t="n"/>
      <c r="D625" s="298" t="n"/>
      <c r="E625" s="291" t="n"/>
      <c r="F625" s="291" t="n"/>
      <c r="G625" s="297" t="n"/>
      <c r="H625" s="298" t="n"/>
    </row>
    <row r="626" ht="13" customHeight="1" s="189">
      <c r="A626" s="297" t="n"/>
      <c r="B626" s="291" t="n"/>
      <c r="C626" s="289" t="n"/>
      <c r="D626" s="298" t="n"/>
      <c r="E626" s="291" t="n"/>
      <c r="F626" s="291" t="n"/>
      <c r="G626" s="297" t="n"/>
      <c r="H626" s="298" t="n"/>
    </row>
    <row r="627" ht="13" customHeight="1" s="189">
      <c r="A627" s="297" t="n"/>
      <c r="B627" s="291" t="n"/>
      <c r="C627" s="289" t="n"/>
      <c r="D627" s="298" t="n"/>
      <c r="E627" s="291" t="n"/>
      <c r="F627" s="291" t="n"/>
      <c r="G627" s="297" t="n"/>
      <c r="H627" s="298" t="n"/>
    </row>
    <row r="628" ht="13" customHeight="1" s="189">
      <c r="A628" s="297" t="n"/>
      <c r="B628" s="291" t="n"/>
      <c r="C628" s="289" t="n"/>
      <c r="D628" s="298" t="n"/>
      <c r="E628" s="291" t="n"/>
      <c r="F628" s="291" t="n"/>
      <c r="G628" s="297" t="n"/>
      <c r="H628" s="298" t="n"/>
    </row>
    <row r="629" ht="13" customHeight="1" s="189">
      <c r="A629" s="297" t="n"/>
      <c r="B629" s="291" t="n"/>
      <c r="C629" s="289" t="n"/>
      <c r="D629" s="298" t="n"/>
      <c r="E629" s="291" t="n"/>
      <c r="F629" s="291" t="n"/>
      <c r="G629" s="297" t="n"/>
      <c r="H629" s="298" t="n"/>
    </row>
    <row r="630" ht="13" customHeight="1" s="189">
      <c r="A630" s="297" t="n"/>
      <c r="B630" s="291" t="n"/>
      <c r="C630" s="289" t="n"/>
      <c r="D630" s="298" t="n"/>
      <c r="E630" s="291" t="n"/>
      <c r="F630" s="291" t="n"/>
      <c r="G630" s="297" t="n"/>
      <c r="H630" s="298" t="n"/>
    </row>
    <row r="631" ht="13" customHeight="1" s="189">
      <c r="A631" s="297" t="n"/>
      <c r="B631" s="291" t="n"/>
      <c r="C631" s="289" t="n"/>
      <c r="D631" s="298" t="n"/>
      <c r="E631" s="291" t="n"/>
      <c r="F631" s="291" t="n"/>
      <c r="G631" s="297" t="n"/>
      <c r="H631" s="298" t="n"/>
    </row>
    <row r="632" ht="13" customHeight="1" s="189">
      <c r="A632" s="297" t="n"/>
      <c r="B632" s="291" t="n"/>
      <c r="C632" s="289" t="n"/>
      <c r="D632" s="298" t="n"/>
      <c r="E632" s="291" t="n"/>
      <c r="F632" s="291" t="n"/>
      <c r="G632" s="297" t="n"/>
      <c r="H632" s="298" t="n"/>
    </row>
    <row r="633" ht="13" customHeight="1" s="189">
      <c r="A633" s="297" t="n"/>
      <c r="B633" s="291" t="n"/>
      <c r="C633" s="289" t="n"/>
      <c r="D633" s="298" t="n"/>
      <c r="E633" s="291" t="n"/>
      <c r="F633" s="291" t="n"/>
      <c r="G633" s="297" t="n"/>
      <c r="H633" s="298" t="n"/>
    </row>
    <row r="634" ht="13" customHeight="1" s="189">
      <c r="A634" s="297" t="n"/>
      <c r="B634" s="291" t="n"/>
      <c r="C634" s="289" t="n"/>
      <c r="D634" s="298" t="n"/>
      <c r="E634" s="291" t="n"/>
      <c r="F634" s="291" t="n"/>
      <c r="G634" s="297" t="n"/>
      <c r="H634" s="298" t="n"/>
    </row>
    <row r="635" ht="13" customHeight="1" s="189">
      <c r="A635" s="297" t="n"/>
      <c r="B635" s="291" t="n"/>
      <c r="C635" s="289" t="n"/>
      <c r="D635" s="298" t="n"/>
      <c r="E635" s="291" t="n"/>
      <c r="F635" s="291" t="n"/>
      <c r="G635" s="297" t="n"/>
      <c r="H635" s="298" t="n"/>
    </row>
    <row r="636" ht="13" customHeight="1" s="189">
      <c r="A636" s="297" t="n"/>
      <c r="B636" s="291" t="n"/>
      <c r="C636" s="289" t="n"/>
      <c r="D636" s="298" t="n"/>
      <c r="E636" s="291" t="n"/>
      <c r="F636" s="291" t="n"/>
      <c r="G636" s="297" t="n"/>
      <c r="H636" s="298" t="n"/>
    </row>
    <row r="637" ht="13" customHeight="1" s="189">
      <c r="A637" s="297" t="n"/>
      <c r="B637" s="291" t="n"/>
      <c r="C637" s="289" t="n"/>
      <c r="D637" s="298" t="n"/>
      <c r="E637" s="291" t="n"/>
      <c r="F637" s="291" t="n"/>
      <c r="G637" s="297" t="n"/>
      <c r="H637" s="298" t="n"/>
    </row>
    <row r="638" ht="13" customHeight="1" s="189">
      <c r="A638" s="297" t="n"/>
      <c r="B638" s="291" t="n"/>
      <c r="C638" s="289" t="n"/>
      <c r="D638" s="298" t="n"/>
      <c r="E638" s="291" t="n"/>
      <c r="F638" s="291" t="n"/>
      <c r="G638" s="297" t="n"/>
      <c r="H638" s="298" t="n"/>
    </row>
    <row r="639" ht="13" customHeight="1" s="189">
      <c r="A639" s="297" t="n"/>
      <c r="B639" s="291" t="n"/>
      <c r="C639" s="289" t="n"/>
      <c r="D639" s="298" t="n"/>
      <c r="E639" s="291" t="n"/>
      <c r="F639" s="291" t="n"/>
      <c r="G639" s="297" t="n"/>
      <c r="H639" s="298" t="n"/>
    </row>
    <row r="640" ht="13" customHeight="1" s="189">
      <c r="A640" s="297" t="n"/>
      <c r="B640" s="291" t="n"/>
      <c r="C640" s="289" t="n"/>
      <c r="D640" s="298" t="n"/>
      <c r="E640" s="291" t="n"/>
      <c r="F640" s="291" t="n"/>
      <c r="G640" s="297" t="n"/>
      <c r="H640" s="298" t="n"/>
    </row>
    <row r="641" ht="13" customHeight="1" s="189">
      <c r="A641" s="297" t="n"/>
      <c r="B641" s="291" t="n"/>
      <c r="C641" s="289" t="n"/>
      <c r="D641" s="298" t="n"/>
      <c r="E641" s="291" t="n"/>
      <c r="F641" s="291" t="n"/>
      <c r="G641" s="297" t="n"/>
      <c r="H641" s="298" t="n"/>
    </row>
    <row r="642" ht="13" customHeight="1" s="189">
      <c r="A642" s="297" t="n"/>
      <c r="B642" s="291" t="n"/>
      <c r="C642" s="289" t="n"/>
      <c r="D642" s="298" t="n"/>
      <c r="E642" s="291" t="n"/>
      <c r="F642" s="291" t="n"/>
      <c r="G642" s="297" t="n"/>
      <c r="H642" s="298" t="n"/>
    </row>
    <row r="643" ht="13" customHeight="1" s="189">
      <c r="A643" s="297" t="n"/>
      <c r="B643" s="291" t="n"/>
      <c r="C643" s="289" t="n"/>
      <c r="D643" s="298" t="n"/>
      <c r="E643" s="291" t="n"/>
      <c r="F643" s="291" t="n"/>
      <c r="G643" s="297" t="n"/>
      <c r="H643" s="298" t="n"/>
    </row>
    <row r="644" ht="13" customHeight="1" s="189">
      <c r="A644" s="297" t="n"/>
      <c r="B644" s="291" t="n"/>
      <c r="C644" s="289" t="n"/>
      <c r="D644" s="298" t="n"/>
      <c r="E644" s="291" t="n"/>
      <c r="F644" s="291" t="n"/>
      <c r="G644" s="297" t="n"/>
      <c r="H644" s="298" t="n"/>
    </row>
    <row r="645" ht="13" customHeight="1" s="189">
      <c r="A645" s="297" t="n"/>
      <c r="B645" s="291" t="n"/>
      <c r="C645" s="289" t="n"/>
      <c r="D645" s="298" t="n"/>
      <c r="E645" s="291" t="n"/>
      <c r="F645" s="291" t="n"/>
      <c r="G645" s="297" t="n"/>
      <c r="H645" s="298" t="n"/>
    </row>
    <row r="646" ht="13" customHeight="1" s="189">
      <c r="A646" s="297" t="n"/>
      <c r="B646" s="291" t="n"/>
      <c r="C646" s="289" t="n"/>
      <c r="D646" s="298" t="n"/>
      <c r="E646" s="291" t="n"/>
      <c r="F646" s="291" t="n"/>
      <c r="G646" s="297" t="n"/>
      <c r="H646" s="298" t="n"/>
    </row>
    <row r="647" ht="13" customHeight="1" s="189">
      <c r="A647" s="297" t="n"/>
      <c r="B647" s="291" t="n"/>
      <c r="C647" s="289" t="n"/>
      <c r="D647" s="298" t="n"/>
      <c r="E647" s="291" t="n"/>
      <c r="F647" s="291" t="n"/>
      <c r="G647" s="297" t="n"/>
      <c r="H647" s="298" t="n"/>
    </row>
    <row r="648" ht="13" customHeight="1" s="189">
      <c r="A648" s="297" t="n"/>
      <c r="B648" s="291" t="n"/>
      <c r="C648" s="289" t="n"/>
      <c r="D648" s="298" t="n"/>
      <c r="E648" s="291" t="n"/>
      <c r="F648" s="291" t="n"/>
      <c r="G648" s="297" t="n"/>
      <c r="H648" s="298" t="n"/>
    </row>
    <row r="649" ht="13" customHeight="1" s="189">
      <c r="A649" s="297" t="n"/>
      <c r="B649" s="291" t="n"/>
      <c r="C649" s="289" t="n"/>
      <c r="D649" s="298" t="n"/>
      <c r="E649" s="291" t="n"/>
      <c r="F649" s="291" t="n"/>
      <c r="G649" s="297" t="n"/>
      <c r="H649" s="298" t="n"/>
    </row>
    <row r="650" ht="13" customHeight="1" s="189">
      <c r="A650" s="297" t="n"/>
      <c r="B650" s="291" t="n"/>
      <c r="C650" s="289" t="n"/>
      <c r="D650" s="298" t="n"/>
      <c r="E650" s="291" t="n"/>
      <c r="F650" s="291" t="n"/>
      <c r="G650" s="297" t="n"/>
      <c r="H650" s="298" t="n"/>
    </row>
    <row r="651" ht="13" customHeight="1" s="189">
      <c r="A651" s="297" t="n"/>
      <c r="B651" s="291" t="n"/>
      <c r="C651" s="289" t="n"/>
      <c r="D651" s="298" t="n"/>
      <c r="E651" s="291" t="n"/>
      <c r="F651" s="291" t="n"/>
      <c r="G651" s="297" t="n"/>
      <c r="H651" s="298" t="n"/>
    </row>
    <row r="652" ht="13" customHeight="1" s="189">
      <c r="A652" s="297" t="n"/>
      <c r="B652" s="291" t="n"/>
      <c r="C652" s="289" t="n"/>
      <c r="D652" s="298" t="n"/>
      <c r="E652" s="291" t="n"/>
      <c r="F652" s="291" t="n"/>
      <c r="G652" s="297" t="n"/>
      <c r="H652" s="298" t="n"/>
    </row>
    <row r="653" ht="13" customHeight="1" s="189">
      <c r="A653" s="297" t="n"/>
      <c r="B653" s="291" t="n"/>
      <c r="C653" s="289" t="n"/>
      <c r="D653" s="298" t="n"/>
      <c r="E653" s="291" t="n"/>
      <c r="F653" s="291" t="n"/>
      <c r="G653" s="297" t="n"/>
      <c r="H653" s="298" t="n"/>
    </row>
    <row r="654" ht="13" customHeight="1" s="189">
      <c r="A654" s="297" t="n"/>
      <c r="B654" s="291" t="n"/>
      <c r="C654" s="289" t="n"/>
      <c r="D654" s="298" t="n"/>
      <c r="E654" s="291" t="n"/>
      <c r="F654" s="291" t="n"/>
      <c r="G654" s="297" t="n"/>
      <c r="H654" s="298" t="n"/>
    </row>
    <row r="655" ht="13" customHeight="1" s="189">
      <c r="A655" s="297" t="n"/>
      <c r="B655" s="291" t="n"/>
      <c r="C655" s="289" t="n"/>
      <c r="D655" s="298" t="n"/>
      <c r="E655" s="291" t="n"/>
      <c r="F655" s="291" t="n"/>
      <c r="G655" s="297" t="n"/>
      <c r="H655" s="298" t="n"/>
    </row>
    <row r="656" ht="13" customHeight="1" s="189">
      <c r="A656" s="297" t="n"/>
      <c r="B656" s="291" t="n"/>
      <c r="C656" s="289" t="n"/>
      <c r="D656" s="298" t="n"/>
      <c r="E656" s="291" t="n"/>
      <c r="F656" s="291" t="n"/>
      <c r="G656" s="297" t="n"/>
      <c r="H656" s="298" t="n"/>
    </row>
    <row r="657" ht="13" customHeight="1" s="189">
      <c r="A657" s="297" t="n"/>
      <c r="B657" s="291" t="n"/>
      <c r="C657" s="289" t="n"/>
      <c r="D657" s="298" t="n"/>
      <c r="E657" s="291" t="n"/>
      <c r="F657" s="291" t="n"/>
      <c r="G657" s="297" t="n"/>
      <c r="H657" s="298" t="n"/>
    </row>
    <row r="658" ht="13" customHeight="1" s="189">
      <c r="A658" s="297" t="n"/>
      <c r="B658" s="291" t="n"/>
      <c r="C658" s="289" t="n"/>
      <c r="D658" s="298" t="n"/>
      <c r="E658" s="291" t="n"/>
      <c r="F658" s="291" t="n"/>
      <c r="G658" s="297" t="n"/>
      <c r="H658" s="298" t="n"/>
    </row>
    <row r="659" ht="13" customHeight="1" s="189">
      <c r="A659" s="297" t="n"/>
      <c r="B659" s="291" t="n"/>
      <c r="C659" s="289" t="n"/>
      <c r="D659" s="298" t="n"/>
      <c r="E659" s="291" t="n"/>
      <c r="F659" s="291" t="n"/>
      <c r="G659" s="297" t="n"/>
      <c r="H659" s="298" t="n"/>
    </row>
    <row r="660" ht="13" customHeight="1" s="189">
      <c r="A660" s="297" t="n"/>
      <c r="B660" s="291" t="n"/>
      <c r="C660" s="289" t="n"/>
      <c r="D660" s="298" t="n"/>
      <c r="E660" s="291" t="n"/>
      <c r="F660" s="291" t="n"/>
      <c r="G660" s="297" t="n"/>
      <c r="H660" s="298" t="n"/>
    </row>
    <row r="661" ht="13" customHeight="1" s="189">
      <c r="A661" s="297" t="n"/>
      <c r="B661" s="291" t="n"/>
      <c r="C661" s="289" t="n"/>
      <c r="D661" s="298" t="n"/>
      <c r="E661" s="291" t="n"/>
      <c r="F661" s="291" t="n"/>
      <c r="G661" s="297" t="n"/>
      <c r="H661" s="298" t="n"/>
    </row>
    <row r="662" ht="13" customHeight="1" s="189">
      <c r="A662" s="297" t="n"/>
      <c r="B662" s="291" t="n"/>
      <c r="C662" s="289" t="n"/>
      <c r="D662" s="298" t="n"/>
      <c r="E662" s="291" t="n"/>
      <c r="F662" s="291" t="n"/>
      <c r="G662" s="297" t="n"/>
      <c r="H662" s="298" t="n"/>
    </row>
    <row r="663" ht="13" customHeight="1" s="189">
      <c r="A663" s="297" t="n"/>
      <c r="B663" s="291" t="n"/>
      <c r="C663" s="289" t="n"/>
      <c r="D663" s="298" t="n"/>
      <c r="E663" s="291" t="n"/>
      <c r="F663" s="291" t="n"/>
      <c r="G663" s="297" t="n"/>
      <c r="H663" s="298" t="n"/>
    </row>
    <row r="664" ht="13" customHeight="1" s="189">
      <c r="A664" s="297" t="n"/>
      <c r="B664" s="291" t="n"/>
      <c r="C664" s="289" t="n"/>
      <c r="D664" s="298" t="n"/>
      <c r="E664" s="291" t="n"/>
      <c r="F664" s="291" t="n"/>
      <c r="G664" s="297" t="n"/>
      <c r="H664" s="298" t="n"/>
    </row>
    <row r="665" ht="13" customHeight="1" s="189">
      <c r="A665" s="297" t="n"/>
      <c r="B665" s="291" t="n"/>
      <c r="C665" s="289" t="n"/>
      <c r="D665" s="298" t="n"/>
      <c r="E665" s="291" t="n"/>
      <c r="F665" s="291" t="n"/>
      <c r="G665" s="297" t="n"/>
      <c r="H665" s="298" t="n"/>
    </row>
    <row r="666" ht="13" customHeight="1" s="189">
      <c r="A666" s="297" t="n"/>
      <c r="B666" s="291" t="n"/>
      <c r="C666" s="289" t="n"/>
      <c r="D666" s="298" t="n"/>
      <c r="E666" s="291" t="n"/>
      <c r="F666" s="291" t="n"/>
      <c r="G666" s="297" t="n"/>
      <c r="H666" s="298" t="n"/>
    </row>
    <row r="667" ht="13" customHeight="1" s="189">
      <c r="A667" s="297" t="n"/>
      <c r="B667" s="291" t="n"/>
      <c r="C667" s="289" t="n"/>
      <c r="D667" s="298" t="n"/>
      <c r="E667" s="291" t="n"/>
      <c r="F667" s="291" t="n"/>
      <c r="G667" s="297" t="n"/>
      <c r="H667" s="298" t="n"/>
    </row>
    <row r="668" ht="13" customHeight="1" s="189">
      <c r="A668" s="297" t="n"/>
      <c r="B668" s="291" t="n"/>
      <c r="C668" s="289" t="n"/>
      <c r="D668" s="298" t="n"/>
      <c r="E668" s="291" t="n"/>
      <c r="F668" s="291" t="n"/>
      <c r="G668" s="297" t="n"/>
      <c r="H668" s="298" t="n"/>
    </row>
    <row r="669" ht="13" customHeight="1" s="189">
      <c r="A669" s="297" t="n"/>
      <c r="B669" s="291" t="n"/>
      <c r="C669" s="289" t="n"/>
      <c r="D669" s="298" t="n"/>
      <c r="E669" s="291" t="n"/>
      <c r="F669" s="291" t="n"/>
      <c r="G669" s="297" t="n"/>
      <c r="H669" s="298" t="n"/>
    </row>
    <row r="670" ht="13" customHeight="1" s="189">
      <c r="A670" s="297" t="n"/>
      <c r="B670" s="291" t="n"/>
      <c r="C670" s="289" t="n"/>
      <c r="D670" s="298" t="n"/>
      <c r="E670" s="291" t="n"/>
      <c r="F670" s="291" t="n"/>
      <c r="G670" s="297" t="n"/>
      <c r="H670" s="298" t="n"/>
    </row>
    <row r="671" ht="13" customHeight="1" s="189">
      <c r="A671" s="297" t="n"/>
      <c r="B671" s="291" t="n"/>
      <c r="C671" s="289" t="n"/>
      <c r="D671" s="298" t="n"/>
      <c r="E671" s="291" t="n"/>
      <c r="F671" s="291" t="n"/>
      <c r="G671" s="297" t="n"/>
      <c r="H671" s="298" t="n"/>
    </row>
    <row r="672" ht="13" customHeight="1" s="189">
      <c r="A672" s="297" t="n"/>
      <c r="B672" s="291" t="n"/>
      <c r="C672" s="289" t="n"/>
      <c r="D672" s="298" t="n"/>
      <c r="E672" s="291" t="n"/>
      <c r="F672" s="291" t="n"/>
      <c r="G672" s="297" t="n"/>
      <c r="H672" s="298" t="n"/>
    </row>
    <row r="673" ht="13" customHeight="1" s="189">
      <c r="A673" s="297" t="n"/>
      <c r="B673" s="291" t="n"/>
      <c r="C673" s="289" t="n"/>
      <c r="D673" s="298" t="n"/>
      <c r="E673" s="291" t="n"/>
      <c r="F673" s="291" t="n"/>
      <c r="G673" s="297" t="n"/>
      <c r="H673" s="298" t="n"/>
    </row>
    <row r="674" ht="13" customHeight="1" s="189">
      <c r="A674" s="297" t="n"/>
      <c r="B674" s="291" t="n"/>
      <c r="C674" s="289" t="n"/>
      <c r="D674" s="298" t="n"/>
      <c r="E674" s="291" t="n"/>
      <c r="F674" s="291" t="n"/>
      <c r="G674" s="297" t="n"/>
      <c r="H674" s="298" t="n"/>
    </row>
    <row r="675" ht="13" customHeight="1" s="189">
      <c r="A675" s="297" t="n"/>
      <c r="B675" s="291" t="n"/>
      <c r="C675" s="289" t="n"/>
      <c r="D675" s="298" t="n"/>
      <c r="E675" s="291" t="n"/>
      <c r="F675" s="291" t="n"/>
      <c r="G675" s="297" t="n"/>
      <c r="H675" s="298" t="n"/>
    </row>
    <row r="676" ht="13" customHeight="1" s="189">
      <c r="A676" s="297" t="n"/>
      <c r="B676" s="291" t="n"/>
      <c r="C676" s="289" t="n"/>
      <c r="D676" s="298" t="n"/>
      <c r="E676" s="291" t="n"/>
      <c r="F676" s="291" t="n"/>
      <c r="G676" s="297" t="n"/>
      <c r="H676" s="298" t="n"/>
    </row>
    <row r="677" ht="13" customHeight="1" s="189">
      <c r="A677" s="297" t="n"/>
      <c r="B677" s="291" t="n"/>
      <c r="C677" s="289" t="n"/>
      <c r="D677" s="298" t="n"/>
      <c r="E677" s="291" t="n"/>
      <c r="F677" s="291" t="n"/>
      <c r="G677" s="297" t="n"/>
      <c r="H677" s="298" t="n"/>
    </row>
    <row r="678" ht="13" customHeight="1" s="189">
      <c r="A678" s="297" t="n"/>
      <c r="B678" s="291" t="n"/>
      <c r="C678" s="289" t="n"/>
      <c r="D678" s="298" t="n"/>
      <c r="E678" s="291" t="n"/>
      <c r="F678" s="291" t="n"/>
      <c r="G678" s="297" t="n"/>
      <c r="H678" s="298" t="n"/>
    </row>
    <row r="679" ht="13" customHeight="1" s="189">
      <c r="A679" s="297" t="n"/>
      <c r="B679" s="291" t="n"/>
      <c r="C679" s="289" t="n"/>
      <c r="D679" s="298" t="n"/>
      <c r="E679" s="291" t="n"/>
      <c r="F679" s="291" t="n"/>
      <c r="G679" s="297" t="n"/>
      <c r="H679" s="298" t="n"/>
    </row>
    <row r="680" ht="13" customHeight="1" s="189">
      <c r="A680" s="297" t="n"/>
      <c r="B680" s="291" t="n"/>
      <c r="C680" s="289" t="n"/>
      <c r="D680" s="298" t="n"/>
      <c r="E680" s="291" t="n"/>
      <c r="F680" s="291" t="n"/>
      <c r="G680" s="297" t="n"/>
      <c r="H680" s="298" t="n"/>
    </row>
    <row r="681" ht="13" customHeight="1" s="189">
      <c r="A681" s="297" t="n"/>
      <c r="B681" s="291" t="n"/>
      <c r="C681" s="289" t="n"/>
      <c r="D681" s="298" t="n"/>
      <c r="E681" s="291" t="n"/>
      <c r="F681" s="291" t="n"/>
      <c r="G681" s="297" t="n"/>
      <c r="H681" s="298" t="n"/>
    </row>
    <row r="682" ht="13" customHeight="1" s="189">
      <c r="A682" s="297" t="n"/>
      <c r="B682" s="291" t="n"/>
      <c r="C682" s="289" t="n"/>
      <c r="D682" s="298" t="n"/>
      <c r="E682" s="291" t="n"/>
      <c r="F682" s="291" t="n"/>
      <c r="G682" s="297" t="n"/>
      <c r="H682" s="298" t="n"/>
    </row>
    <row r="683" ht="13" customHeight="1" s="189">
      <c r="A683" s="297" t="n"/>
      <c r="B683" s="291" t="n"/>
      <c r="C683" s="289" t="n"/>
      <c r="D683" s="298" t="n"/>
      <c r="E683" s="291" t="n"/>
      <c r="F683" s="291" t="n"/>
      <c r="G683" s="297" t="n"/>
      <c r="H683" s="298" t="n"/>
    </row>
    <row r="684" ht="13" customHeight="1" s="189">
      <c r="A684" s="297" t="n"/>
      <c r="B684" s="291" t="n"/>
      <c r="C684" s="289" t="n"/>
      <c r="D684" s="298" t="n"/>
      <c r="E684" s="291" t="n"/>
      <c r="F684" s="291" t="n"/>
      <c r="G684" s="297" t="n"/>
      <c r="H684" s="298" t="n"/>
    </row>
    <row r="685" ht="13" customHeight="1" s="189">
      <c r="A685" s="297" t="n"/>
      <c r="B685" s="291" t="n"/>
      <c r="C685" s="289" t="n"/>
      <c r="D685" s="298" t="n"/>
      <c r="E685" s="291" t="n"/>
      <c r="F685" s="291" t="n"/>
      <c r="G685" s="297" t="n"/>
      <c r="H685" s="298" t="n"/>
    </row>
    <row r="686" ht="13" customHeight="1" s="189">
      <c r="A686" s="297" t="n"/>
      <c r="B686" s="291" t="n"/>
      <c r="C686" s="289" t="n"/>
      <c r="D686" s="298" t="n"/>
      <c r="E686" s="291" t="n"/>
      <c r="F686" s="291" t="n"/>
      <c r="G686" s="297" t="n"/>
      <c r="H686" s="298" t="n"/>
    </row>
    <row r="687" ht="13" customHeight="1" s="189">
      <c r="A687" s="297" t="n"/>
      <c r="B687" s="291" t="n"/>
      <c r="C687" s="289" t="n"/>
      <c r="D687" s="298" t="n"/>
      <c r="E687" s="291" t="n"/>
      <c r="F687" s="291" t="n"/>
      <c r="G687" s="297" t="n"/>
      <c r="H687" s="298" t="n"/>
    </row>
    <row r="688" ht="13" customHeight="1" s="189">
      <c r="A688" s="297" t="n"/>
      <c r="B688" s="291" t="n"/>
      <c r="C688" s="289" t="n"/>
      <c r="D688" s="298" t="n"/>
      <c r="E688" s="291" t="n"/>
      <c r="F688" s="291" t="n"/>
      <c r="G688" s="297" t="n"/>
      <c r="H688" s="298" t="n"/>
    </row>
    <row r="689" ht="13" customHeight="1" s="189">
      <c r="A689" s="297" t="n"/>
      <c r="B689" s="291" t="n"/>
      <c r="C689" s="289" t="n"/>
      <c r="D689" s="298" t="n"/>
      <c r="E689" s="291" t="n"/>
      <c r="F689" s="291" t="n"/>
      <c r="G689" s="297" t="n"/>
      <c r="H689" s="298" t="n"/>
    </row>
    <row r="690" ht="13" customHeight="1" s="189">
      <c r="A690" s="297" t="n"/>
      <c r="B690" s="291" t="n"/>
      <c r="C690" s="289" t="n"/>
      <c r="D690" s="298" t="n"/>
      <c r="E690" s="291" t="n"/>
      <c r="F690" s="291" t="n"/>
      <c r="G690" s="297" t="n"/>
      <c r="H690" s="298" t="n"/>
    </row>
    <row r="691" ht="13" customHeight="1" s="189">
      <c r="A691" s="297" t="n"/>
      <c r="B691" s="291" t="n"/>
      <c r="C691" s="289" t="n"/>
      <c r="D691" s="298" t="n"/>
      <c r="E691" s="291" t="n"/>
      <c r="F691" s="291" t="n"/>
      <c r="G691" s="297" t="n"/>
      <c r="H691" s="298" t="n"/>
    </row>
    <row r="692" ht="13" customHeight="1" s="189">
      <c r="A692" s="297" t="n"/>
      <c r="B692" s="291" t="n"/>
      <c r="C692" s="289" t="n"/>
      <c r="D692" s="298" t="n"/>
      <c r="E692" s="291" t="n"/>
      <c r="F692" s="291" t="n"/>
      <c r="G692" s="297" t="n"/>
      <c r="H692" s="298" t="n"/>
    </row>
    <row r="693" ht="13" customHeight="1" s="189">
      <c r="A693" s="297" t="n"/>
      <c r="B693" s="291" t="n"/>
      <c r="C693" s="289" t="n"/>
      <c r="D693" s="298" t="n"/>
      <c r="E693" s="291" t="n"/>
      <c r="F693" s="291" t="n"/>
      <c r="G693" s="297" t="n"/>
      <c r="H693" s="298" t="n"/>
    </row>
    <row r="694" ht="13" customHeight="1" s="189">
      <c r="A694" s="297" t="n"/>
      <c r="B694" s="291" t="n"/>
      <c r="C694" s="289" t="n"/>
      <c r="D694" s="298" t="n"/>
      <c r="E694" s="291" t="n"/>
      <c r="F694" s="291" t="n"/>
      <c r="G694" s="297" t="n"/>
      <c r="H694" s="298" t="n"/>
    </row>
    <row r="695" ht="13" customHeight="1" s="189">
      <c r="A695" s="297" t="n"/>
      <c r="B695" s="291" t="n"/>
      <c r="C695" s="289" t="n"/>
      <c r="D695" s="298" t="n"/>
      <c r="E695" s="291" t="n"/>
      <c r="F695" s="291" t="n"/>
      <c r="G695" s="297" t="n"/>
      <c r="H695" s="298" t="n"/>
    </row>
    <row r="696" ht="13" customHeight="1" s="189">
      <c r="A696" s="297" t="n"/>
      <c r="B696" s="291" t="n"/>
      <c r="C696" s="289" t="n"/>
      <c r="D696" s="298" t="n"/>
      <c r="E696" s="291" t="n"/>
      <c r="F696" s="291" t="n"/>
      <c r="G696" s="297" t="n"/>
      <c r="H696" s="298" t="n"/>
    </row>
    <row r="697" ht="13" customHeight="1" s="189">
      <c r="A697" s="297" t="n"/>
      <c r="B697" s="291" t="n"/>
      <c r="C697" s="289" t="n"/>
      <c r="D697" s="298" t="n"/>
      <c r="E697" s="291" t="n"/>
      <c r="F697" s="291" t="n"/>
      <c r="G697" s="297" t="n"/>
      <c r="H697" s="298" t="n"/>
    </row>
    <row r="698" ht="13" customHeight="1" s="189">
      <c r="A698" s="297" t="n"/>
      <c r="B698" s="291" t="n"/>
      <c r="C698" s="289" t="n"/>
      <c r="D698" s="298" t="n"/>
      <c r="E698" s="291" t="n"/>
      <c r="F698" s="291" t="n"/>
      <c r="G698" s="297" t="n"/>
      <c r="H698" s="298" t="n"/>
    </row>
    <row r="699" ht="13" customHeight="1" s="189">
      <c r="A699" s="297" t="n"/>
      <c r="B699" s="291" t="n"/>
      <c r="C699" s="289" t="n"/>
      <c r="D699" s="298" t="n"/>
      <c r="E699" s="291" t="n"/>
      <c r="F699" s="291" t="n"/>
      <c r="G699" s="297" t="n"/>
      <c r="H699" s="298" t="n"/>
    </row>
    <row r="700" ht="13" customHeight="1" s="189">
      <c r="A700" s="297" t="n"/>
      <c r="B700" s="291" t="n"/>
      <c r="C700" s="289" t="n"/>
      <c r="D700" s="298" t="n"/>
      <c r="E700" s="291" t="n"/>
      <c r="F700" s="291" t="n"/>
      <c r="G700" s="297" t="n"/>
      <c r="H700" s="298" t="n"/>
    </row>
    <row r="701" ht="13" customHeight="1" s="189">
      <c r="A701" s="297" t="n"/>
      <c r="B701" s="291" t="n"/>
      <c r="C701" s="289" t="n"/>
      <c r="D701" s="298" t="n"/>
      <c r="E701" s="291" t="n"/>
      <c r="F701" s="291" t="n"/>
      <c r="G701" s="297" t="n"/>
      <c r="H701" s="298" t="n"/>
    </row>
    <row r="702" ht="13" customHeight="1" s="189">
      <c r="A702" s="297" t="n"/>
      <c r="B702" s="291" t="n"/>
      <c r="C702" s="289" t="n"/>
      <c r="D702" s="298" t="n"/>
      <c r="E702" s="291" t="n"/>
      <c r="F702" s="291" t="n"/>
      <c r="G702" s="297" t="n"/>
      <c r="H702" s="298" t="n"/>
    </row>
    <row r="703" ht="13" customHeight="1" s="189">
      <c r="A703" s="297" t="n"/>
      <c r="B703" s="291" t="n"/>
      <c r="C703" s="289" t="n"/>
      <c r="D703" s="298" t="n"/>
      <c r="E703" s="291" t="n"/>
      <c r="F703" s="291" t="n"/>
      <c r="G703" s="297" t="n"/>
      <c r="H703" s="298" t="n"/>
    </row>
    <row r="704" ht="13" customHeight="1" s="189">
      <c r="A704" s="297" t="n"/>
      <c r="B704" s="291" t="n"/>
      <c r="C704" s="289" t="n"/>
      <c r="D704" s="298" t="n"/>
      <c r="E704" s="291" t="n"/>
      <c r="F704" s="291" t="n"/>
      <c r="G704" s="297" t="n"/>
      <c r="H704" s="298" t="n"/>
    </row>
    <row r="705" ht="13" customHeight="1" s="189">
      <c r="A705" s="297" t="n"/>
      <c r="B705" s="291" t="n"/>
      <c r="C705" s="289" t="n"/>
      <c r="D705" s="298" t="n"/>
      <c r="E705" s="291" t="n"/>
      <c r="F705" s="291" t="n"/>
      <c r="G705" s="297" t="n"/>
      <c r="H705" s="298" t="n"/>
    </row>
    <row r="706" ht="13" customHeight="1" s="189">
      <c r="A706" s="297" t="n"/>
      <c r="B706" s="291" t="n"/>
      <c r="C706" s="289" t="n"/>
      <c r="D706" s="298" t="n"/>
      <c r="E706" s="291" t="n"/>
      <c r="F706" s="291" t="n"/>
      <c r="G706" s="297" t="n"/>
      <c r="H706" s="298" t="n"/>
    </row>
    <row r="707" ht="13" customHeight="1" s="189">
      <c r="A707" s="297" t="n"/>
      <c r="B707" s="291" t="n"/>
      <c r="C707" s="289" t="n"/>
      <c r="D707" s="298" t="n"/>
      <c r="E707" s="291" t="n"/>
      <c r="F707" s="291" t="n"/>
      <c r="G707" s="297" t="n"/>
      <c r="H707" s="298" t="n"/>
    </row>
    <row r="708" ht="13" customHeight="1" s="189">
      <c r="A708" s="297" t="n"/>
      <c r="B708" s="291" t="n"/>
      <c r="C708" s="289" t="n"/>
      <c r="D708" s="298" t="n"/>
      <c r="E708" s="291" t="n"/>
      <c r="F708" s="291" t="n"/>
      <c r="G708" s="297" t="n"/>
      <c r="H708" s="298" t="n"/>
    </row>
    <row r="709" ht="13" customHeight="1" s="189">
      <c r="A709" s="297" t="n"/>
      <c r="B709" s="291" t="n"/>
      <c r="C709" s="289" t="n"/>
      <c r="D709" s="298" t="n"/>
      <c r="E709" s="291" t="n"/>
      <c r="F709" s="291" t="n"/>
      <c r="G709" s="297" t="n"/>
      <c r="H709" s="298" t="n"/>
    </row>
    <row r="710" ht="13" customHeight="1" s="189">
      <c r="A710" s="297" t="n"/>
      <c r="B710" s="291" t="n"/>
      <c r="C710" s="289" t="n"/>
      <c r="D710" s="298" t="n"/>
      <c r="E710" s="291" t="n"/>
      <c r="F710" s="291" t="n"/>
      <c r="G710" s="297" t="n"/>
      <c r="H710" s="298" t="n"/>
    </row>
    <row r="711" ht="13" customHeight="1" s="189">
      <c r="A711" s="297" t="n"/>
      <c r="B711" s="291" t="n"/>
      <c r="C711" s="289" t="n"/>
      <c r="D711" s="298" t="n"/>
      <c r="E711" s="291" t="n"/>
      <c r="F711" s="291" t="n"/>
      <c r="G711" s="297" t="n"/>
      <c r="H711" s="298" t="n"/>
    </row>
    <row r="712" ht="13" customHeight="1" s="189">
      <c r="A712" s="297" t="n"/>
      <c r="B712" s="291" t="n"/>
      <c r="C712" s="289" t="n"/>
      <c r="D712" s="298" t="n"/>
      <c r="E712" s="291" t="n"/>
      <c r="F712" s="291" t="n"/>
      <c r="G712" s="297" t="n"/>
      <c r="H712" s="298" t="n"/>
    </row>
    <row r="713" ht="13" customHeight="1" s="189">
      <c r="A713" s="297" t="n"/>
      <c r="B713" s="291" t="n"/>
      <c r="C713" s="289" t="n"/>
      <c r="D713" s="298" t="n"/>
      <c r="E713" s="291" t="n"/>
      <c r="F713" s="291" t="n"/>
      <c r="G713" s="297" t="n"/>
      <c r="H713" s="298" t="n"/>
    </row>
    <row r="714" ht="13" customHeight="1" s="189">
      <c r="A714" s="297" t="n"/>
      <c r="B714" s="291" t="n"/>
      <c r="C714" s="289" t="n"/>
      <c r="D714" s="298" t="n"/>
      <c r="E714" s="291" t="n"/>
      <c r="F714" s="291" t="n"/>
      <c r="G714" s="297" t="n"/>
      <c r="H714" s="298" t="n"/>
    </row>
    <row r="715" ht="13" customHeight="1" s="189">
      <c r="A715" s="297" t="n"/>
      <c r="B715" s="291" t="n"/>
      <c r="C715" s="289" t="n"/>
      <c r="D715" s="298" t="n"/>
      <c r="E715" s="291" t="n"/>
      <c r="F715" s="291" t="n"/>
      <c r="G715" s="297" t="n"/>
      <c r="H715" s="298" t="n"/>
    </row>
    <row r="716" ht="13" customHeight="1" s="189">
      <c r="A716" s="297" t="n"/>
      <c r="B716" s="291" t="n"/>
      <c r="C716" s="289" t="n"/>
      <c r="D716" s="298" t="n"/>
      <c r="E716" s="291" t="n"/>
      <c r="F716" s="291" t="n"/>
      <c r="G716" s="297" t="n"/>
      <c r="H716" s="298" t="n"/>
    </row>
    <row r="717" ht="13" customHeight="1" s="189">
      <c r="A717" s="297" t="n"/>
      <c r="B717" s="291" t="n"/>
      <c r="C717" s="289" t="n"/>
      <c r="D717" s="298" t="n"/>
      <c r="E717" s="291" t="n"/>
      <c r="F717" s="291" t="n"/>
      <c r="G717" s="297" t="n"/>
      <c r="H717" s="298" t="n"/>
    </row>
    <row r="718" ht="13" customHeight="1" s="189">
      <c r="A718" s="297" t="n"/>
      <c r="B718" s="291" t="n"/>
      <c r="C718" s="289" t="n"/>
      <c r="D718" s="298" t="n"/>
      <c r="E718" s="291" t="n"/>
      <c r="F718" s="291" t="n"/>
      <c r="G718" s="297" t="n"/>
      <c r="H718" s="298" t="n"/>
    </row>
    <row r="719" ht="13" customHeight="1" s="189">
      <c r="A719" s="297" t="n"/>
      <c r="B719" s="291" t="n"/>
      <c r="C719" s="289" t="n"/>
      <c r="D719" s="298" t="n"/>
      <c r="E719" s="291" t="n"/>
      <c r="F719" s="291" t="n"/>
      <c r="G719" s="297" t="n"/>
      <c r="H719" s="298" t="n"/>
    </row>
    <row r="720" ht="13" customHeight="1" s="189">
      <c r="A720" s="297" t="n"/>
      <c r="B720" s="291" t="n"/>
      <c r="C720" s="289" t="n"/>
      <c r="D720" s="298" t="n"/>
      <c r="E720" s="291" t="n"/>
      <c r="F720" s="291" t="n"/>
      <c r="G720" s="297" t="n"/>
      <c r="H720" s="298" t="n"/>
    </row>
    <row r="721" ht="13" customHeight="1" s="189">
      <c r="A721" s="297" t="n"/>
      <c r="B721" s="291" t="n"/>
      <c r="C721" s="289" t="n"/>
      <c r="D721" s="298" t="n"/>
      <c r="E721" s="291" t="n"/>
      <c r="F721" s="291" t="n"/>
      <c r="G721" s="297" t="n"/>
      <c r="H721" s="298" t="n"/>
    </row>
    <row r="722" ht="13" customHeight="1" s="189">
      <c r="A722" s="297" t="n"/>
      <c r="B722" s="291" t="n"/>
      <c r="C722" s="289" t="n"/>
      <c r="D722" s="298" t="n"/>
      <c r="E722" s="291" t="n"/>
      <c r="F722" s="291" t="n"/>
      <c r="G722" s="297" t="n"/>
      <c r="H722" s="298" t="n"/>
    </row>
    <row r="723" ht="13" customHeight="1" s="189">
      <c r="A723" s="297" t="n"/>
      <c r="B723" s="291" t="n"/>
      <c r="C723" s="289" t="n"/>
      <c r="D723" s="298" t="n"/>
      <c r="E723" s="291" t="n"/>
      <c r="F723" s="291" t="n"/>
      <c r="G723" s="297" t="n"/>
      <c r="H723" s="298" t="n"/>
    </row>
    <row r="724" ht="13" customHeight="1" s="189">
      <c r="A724" s="297" t="n"/>
      <c r="B724" s="291" t="n"/>
      <c r="C724" s="289" t="n"/>
      <c r="D724" s="298" t="n"/>
      <c r="E724" s="291" t="n"/>
      <c r="F724" s="291" t="n"/>
      <c r="G724" s="297" t="n"/>
      <c r="H724" s="298" t="n"/>
    </row>
    <row r="725" ht="13" customHeight="1" s="189">
      <c r="A725" s="297" t="n"/>
      <c r="B725" s="291" t="n"/>
      <c r="C725" s="289" t="n"/>
      <c r="D725" s="298" t="n"/>
      <c r="E725" s="291" t="n"/>
      <c r="F725" s="291" t="n"/>
      <c r="G725" s="297" t="n"/>
      <c r="H725" s="298" t="n"/>
    </row>
    <row r="726" ht="13" customHeight="1" s="189">
      <c r="A726" s="297" t="n"/>
      <c r="B726" s="291" t="n"/>
      <c r="C726" s="289" t="n"/>
      <c r="D726" s="298" t="n"/>
      <c r="E726" s="291" t="n"/>
      <c r="F726" s="291" t="n"/>
      <c r="G726" s="297" t="n"/>
      <c r="H726" s="298" t="n"/>
    </row>
    <row r="727" ht="13" customHeight="1" s="189">
      <c r="A727" s="297" t="n"/>
      <c r="B727" s="291" t="n"/>
      <c r="C727" s="289" t="n"/>
      <c r="D727" s="298" t="n"/>
      <c r="E727" s="291" t="n"/>
      <c r="F727" s="291" t="n"/>
      <c r="G727" s="297" t="n"/>
      <c r="H727" s="298" t="n"/>
    </row>
    <row r="728" ht="13" customHeight="1" s="189">
      <c r="A728" s="297" t="n"/>
      <c r="B728" s="291" t="n"/>
      <c r="C728" s="289" t="n"/>
      <c r="D728" s="298" t="n"/>
      <c r="E728" s="291" t="n"/>
      <c r="F728" s="291" t="n"/>
      <c r="G728" s="297" t="n"/>
      <c r="H728" s="298" t="n"/>
    </row>
    <row r="729" ht="13" customHeight="1" s="189">
      <c r="A729" s="297" t="n"/>
      <c r="B729" s="291" t="n"/>
      <c r="C729" s="289" t="n"/>
      <c r="D729" s="298" t="n"/>
      <c r="E729" s="291" t="n"/>
      <c r="F729" s="291" t="n"/>
      <c r="G729" s="297" t="n"/>
      <c r="H729" s="298" t="n"/>
    </row>
    <row r="730" ht="13" customHeight="1" s="189">
      <c r="A730" s="297" t="n"/>
      <c r="B730" s="291" t="n"/>
      <c r="C730" s="289" t="n"/>
      <c r="D730" s="298" t="n"/>
      <c r="E730" s="291" t="n"/>
      <c r="F730" s="291" t="n"/>
      <c r="G730" s="297" t="n"/>
      <c r="H730" s="298" t="n"/>
    </row>
    <row r="731" ht="13" customHeight="1" s="189">
      <c r="A731" s="297" t="n"/>
      <c r="B731" s="291" t="n"/>
      <c r="C731" s="289" t="n"/>
      <c r="D731" s="298" t="n"/>
      <c r="E731" s="291" t="n"/>
      <c r="F731" s="291" t="n"/>
      <c r="G731" s="297" t="n"/>
      <c r="H731" s="298" t="n"/>
    </row>
    <row r="732" ht="13" customHeight="1" s="189">
      <c r="A732" s="297" t="n"/>
      <c r="B732" s="291" t="n"/>
      <c r="C732" s="289" t="n"/>
      <c r="D732" s="298" t="n"/>
      <c r="E732" s="291" t="n"/>
      <c r="F732" s="291" t="n"/>
      <c r="G732" s="297" t="n"/>
      <c r="H732" s="298" t="n"/>
    </row>
    <row r="733" ht="13" customHeight="1" s="189">
      <c r="A733" s="297" t="n"/>
      <c r="B733" s="291" t="n"/>
      <c r="C733" s="289" t="n"/>
      <c r="D733" s="298" t="n"/>
      <c r="E733" s="291" t="n"/>
      <c r="F733" s="291" t="n"/>
      <c r="G733" s="297" t="n"/>
      <c r="H733" s="298" t="n"/>
    </row>
    <row r="734" ht="13" customHeight="1" s="189">
      <c r="A734" s="297" t="n"/>
      <c r="B734" s="291" t="n"/>
      <c r="C734" s="289" t="n"/>
      <c r="D734" s="298" t="n"/>
      <c r="E734" s="291" t="n"/>
      <c r="F734" s="291" t="n"/>
      <c r="G734" s="297" t="n"/>
      <c r="H734" s="298" t="n"/>
    </row>
    <row r="735" ht="13" customHeight="1" s="189">
      <c r="A735" s="297" t="n"/>
      <c r="B735" s="291" t="n"/>
      <c r="C735" s="289" t="n"/>
      <c r="D735" s="298" t="n"/>
      <c r="E735" s="291" t="n"/>
      <c r="F735" s="291" t="n"/>
      <c r="G735" s="297" t="n"/>
      <c r="H735" s="298" t="n"/>
    </row>
    <row r="736" ht="13" customHeight="1" s="189">
      <c r="A736" s="297" t="n"/>
      <c r="B736" s="291" t="n"/>
      <c r="C736" s="289" t="n"/>
      <c r="D736" s="298" t="n"/>
      <c r="E736" s="291" t="n"/>
      <c r="F736" s="291" t="n"/>
      <c r="G736" s="297" t="n"/>
      <c r="H736" s="298" t="n"/>
    </row>
    <row r="737" ht="13" customHeight="1" s="189">
      <c r="A737" s="297" t="n"/>
      <c r="B737" s="291" t="n"/>
      <c r="C737" s="289" t="n"/>
      <c r="D737" s="298" t="n"/>
      <c r="E737" s="291" t="n"/>
      <c r="F737" s="291" t="n"/>
      <c r="G737" s="297" t="n"/>
      <c r="H737" s="298" t="n"/>
    </row>
    <row r="738" ht="13" customHeight="1" s="189">
      <c r="A738" s="297" t="n"/>
      <c r="B738" s="291" t="n"/>
      <c r="C738" s="289" t="n"/>
      <c r="D738" s="298" t="n"/>
      <c r="E738" s="291" t="n"/>
      <c r="F738" s="291" t="n"/>
      <c r="G738" s="297" t="n"/>
      <c r="H738" s="298" t="n"/>
    </row>
    <row r="739" ht="13" customHeight="1" s="189">
      <c r="A739" s="297" t="n"/>
      <c r="B739" s="291" t="n"/>
      <c r="C739" s="289" t="n"/>
      <c r="D739" s="298" t="n"/>
      <c r="E739" s="291" t="n"/>
      <c r="F739" s="291" t="n"/>
      <c r="G739" s="297" t="n"/>
      <c r="H739" s="298" t="n"/>
    </row>
    <row r="740" ht="13" customHeight="1" s="189">
      <c r="A740" s="297" t="n"/>
      <c r="B740" s="291" t="n"/>
      <c r="C740" s="289" t="n"/>
      <c r="D740" s="298" t="n"/>
      <c r="E740" s="291" t="n"/>
      <c r="F740" s="291" t="n"/>
      <c r="G740" s="297" t="n"/>
      <c r="H740" s="298" t="n"/>
    </row>
    <row r="741" ht="13" customHeight="1" s="189">
      <c r="A741" s="297" t="n"/>
      <c r="B741" s="291" t="n"/>
      <c r="C741" s="289" t="n"/>
      <c r="D741" s="298" t="n"/>
      <c r="E741" s="291" t="n"/>
      <c r="F741" s="291" t="n"/>
      <c r="G741" s="297" t="n"/>
      <c r="H741" s="298" t="n"/>
    </row>
    <row r="742" ht="13" customHeight="1" s="189">
      <c r="A742" s="297" t="n"/>
      <c r="B742" s="291" t="n"/>
      <c r="C742" s="289" t="n"/>
      <c r="D742" s="298" t="n"/>
      <c r="E742" s="291" t="n"/>
      <c r="F742" s="291" t="n"/>
      <c r="G742" s="297" t="n"/>
      <c r="H742" s="298" t="n"/>
    </row>
    <row r="743" ht="13" customHeight="1" s="189">
      <c r="A743" s="297" t="n"/>
      <c r="B743" s="291" t="n"/>
      <c r="C743" s="289" t="n"/>
      <c r="D743" s="298" t="n"/>
      <c r="E743" s="291" t="n"/>
      <c r="F743" s="291" t="n"/>
      <c r="G743" s="297" t="n"/>
      <c r="H743" s="298" t="n"/>
    </row>
    <row r="744" ht="13" customHeight="1" s="189">
      <c r="A744" s="297" t="n"/>
      <c r="B744" s="291" t="n"/>
      <c r="C744" s="289" t="n"/>
      <c r="D744" s="298" t="n"/>
      <c r="E744" s="291" t="n"/>
      <c r="F744" s="291" t="n"/>
      <c r="G744" s="297" t="n"/>
      <c r="H744" s="298" t="n"/>
    </row>
    <row r="745" ht="13" customHeight="1" s="189">
      <c r="A745" s="297" t="n"/>
      <c r="B745" s="291" t="n"/>
      <c r="C745" s="289" t="n"/>
      <c r="D745" s="298" t="n"/>
      <c r="E745" s="291" t="n"/>
      <c r="F745" s="291" t="n"/>
      <c r="G745" s="297" t="n"/>
      <c r="H745" s="298" t="n"/>
    </row>
    <row r="746" ht="13" customHeight="1" s="189">
      <c r="A746" s="297" t="n"/>
      <c r="B746" s="291" t="n"/>
      <c r="C746" s="289" t="n"/>
      <c r="D746" s="298" t="n"/>
      <c r="E746" s="291" t="n"/>
      <c r="F746" s="291" t="n"/>
      <c r="G746" s="297" t="n"/>
      <c r="H746" s="298" t="n"/>
    </row>
    <row r="747" ht="13" customHeight="1" s="189">
      <c r="A747" s="297" t="n"/>
      <c r="B747" s="291" t="n"/>
      <c r="C747" s="289" t="n"/>
      <c r="D747" s="298" t="n"/>
      <c r="E747" s="291" t="n"/>
      <c r="F747" s="291" t="n"/>
      <c r="G747" s="297" t="n"/>
      <c r="H747" s="298" t="n"/>
    </row>
    <row r="748" ht="13" customHeight="1" s="189">
      <c r="A748" s="297" t="n"/>
      <c r="B748" s="291" t="n"/>
      <c r="C748" s="289" t="n"/>
      <c r="D748" s="298" t="n"/>
      <c r="E748" s="291" t="n"/>
      <c r="F748" s="291" t="n"/>
      <c r="G748" s="297" t="n"/>
      <c r="H748" s="298" t="n"/>
    </row>
    <row r="749" ht="13" customHeight="1" s="189">
      <c r="A749" s="297" t="n"/>
      <c r="B749" s="291" t="n"/>
      <c r="C749" s="289" t="n"/>
      <c r="D749" s="298" t="n"/>
      <c r="E749" s="291" t="n"/>
      <c r="F749" s="291" t="n"/>
      <c r="G749" s="297" t="n"/>
      <c r="H749" s="298" t="n"/>
    </row>
    <row r="750" ht="13" customHeight="1" s="189">
      <c r="A750" s="297" t="n"/>
      <c r="B750" s="291" t="n"/>
      <c r="C750" s="289" t="n"/>
      <c r="D750" s="298" t="n"/>
      <c r="E750" s="291" t="n"/>
      <c r="F750" s="291" t="n"/>
      <c r="G750" s="297" t="n"/>
      <c r="H750" s="298" t="n"/>
    </row>
    <row r="751" ht="13" customHeight="1" s="189">
      <c r="A751" s="297" t="n"/>
      <c r="B751" s="291" t="n"/>
      <c r="C751" s="289" t="n"/>
      <c r="D751" s="298" t="n"/>
      <c r="E751" s="291" t="n"/>
      <c r="F751" s="291" t="n"/>
      <c r="G751" s="297" t="n"/>
      <c r="H751" s="298" t="n"/>
    </row>
    <row r="752" ht="13" customHeight="1" s="189">
      <c r="A752" s="297" t="n"/>
      <c r="B752" s="291" t="n"/>
      <c r="C752" s="289" t="n"/>
      <c r="D752" s="298" t="n"/>
      <c r="E752" s="291" t="n"/>
      <c r="F752" s="291" t="n"/>
      <c r="G752" s="297" t="n"/>
      <c r="H752" s="298" t="n"/>
    </row>
    <row r="753" ht="13" customHeight="1" s="189">
      <c r="A753" s="297" t="n"/>
      <c r="B753" s="291" t="n"/>
      <c r="C753" s="289" t="n"/>
      <c r="D753" s="298" t="n"/>
      <c r="E753" s="291" t="n"/>
      <c r="F753" s="291" t="n"/>
      <c r="G753" s="297" t="n"/>
      <c r="H753" s="298" t="n"/>
    </row>
    <row r="754" ht="13" customHeight="1" s="189">
      <c r="A754" s="297" t="n"/>
      <c r="B754" s="291" t="n"/>
      <c r="C754" s="289" t="n"/>
      <c r="D754" s="298" t="n"/>
      <c r="E754" s="291" t="n"/>
      <c r="F754" s="291" t="n"/>
      <c r="G754" s="297" t="n"/>
      <c r="H754" s="298" t="n"/>
    </row>
    <row r="755" ht="13" customHeight="1" s="189">
      <c r="A755" s="297" t="n"/>
      <c r="B755" s="291" t="n"/>
      <c r="C755" s="289" t="n"/>
      <c r="D755" s="298" t="n"/>
      <c r="E755" s="291" t="n"/>
      <c r="F755" s="291" t="n"/>
      <c r="G755" s="297" t="n"/>
      <c r="H755" s="298" t="n"/>
    </row>
    <row r="756" ht="13" customHeight="1" s="189">
      <c r="A756" s="297" t="n"/>
      <c r="B756" s="291" t="n"/>
      <c r="C756" s="289" t="n"/>
      <c r="D756" s="298" t="n"/>
      <c r="E756" s="291" t="n"/>
      <c r="F756" s="291" t="n"/>
      <c r="G756" s="297" t="n"/>
      <c r="H756" s="298" t="n"/>
    </row>
    <row r="757" ht="13" customHeight="1" s="189">
      <c r="A757" s="297" t="n"/>
      <c r="B757" s="291" t="n"/>
      <c r="C757" s="289" t="n"/>
      <c r="D757" s="298" t="n"/>
      <c r="E757" s="291" t="n"/>
      <c r="F757" s="291" t="n"/>
      <c r="G757" s="297" t="n"/>
      <c r="H757" s="298" t="n"/>
    </row>
    <row r="758" ht="13" customHeight="1" s="189">
      <c r="A758" s="297" t="n"/>
      <c r="B758" s="291" t="n"/>
      <c r="C758" s="289" t="n"/>
      <c r="D758" s="298" t="n"/>
      <c r="E758" s="291" t="n"/>
      <c r="F758" s="291" t="n"/>
      <c r="G758" s="297" t="n"/>
      <c r="H758" s="298" t="n"/>
    </row>
    <row r="759" ht="13" customHeight="1" s="189">
      <c r="A759" s="297" t="n"/>
      <c r="B759" s="291" t="n"/>
      <c r="C759" s="289" t="n"/>
      <c r="D759" s="298" t="n"/>
      <c r="E759" s="291" t="n"/>
      <c r="F759" s="291" t="n"/>
      <c r="G759" s="297" t="n"/>
      <c r="H759" s="298" t="n"/>
    </row>
    <row r="760" ht="13" customHeight="1" s="189">
      <c r="A760" s="297" t="n"/>
      <c r="B760" s="291" t="n"/>
      <c r="C760" s="289" t="n"/>
      <c r="D760" s="298" t="n"/>
      <c r="E760" s="291" t="n"/>
      <c r="F760" s="291" t="n"/>
      <c r="G760" s="297" t="n"/>
      <c r="H760" s="298" t="n"/>
    </row>
    <row r="761" ht="13" customHeight="1" s="189">
      <c r="A761" s="297" t="n"/>
      <c r="B761" s="291" t="n"/>
      <c r="C761" s="289" t="n"/>
      <c r="D761" s="298" t="n"/>
      <c r="E761" s="291" t="n"/>
      <c r="F761" s="291" t="n"/>
      <c r="G761" s="297" t="n"/>
      <c r="H761" s="298" t="n"/>
    </row>
    <row r="762" ht="13" customHeight="1" s="189">
      <c r="A762" s="297" t="n"/>
      <c r="B762" s="291" t="n"/>
      <c r="C762" s="289" t="n"/>
      <c r="D762" s="298" t="n"/>
      <c r="E762" s="291" t="n"/>
      <c r="F762" s="291" t="n"/>
      <c r="G762" s="297" t="n"/>
      <c r="H762" s="298" t="n"/>
    </row>
    <row r="763" ht="13" customHeight="1" s="189">
      <c r="A763" s="297" t="n"/>
      <c r="B763" s="291" t="n"/>
      <c r="C763" s="289" t="n"/>
      <c r="D763" s="298" t="n"/>
      <c r="E763" s="291" t="n"/>
      <c r="F763" s="291" t="n"/>
      <c r="G763" s="297" t="n"/>
      <c r="H763" s="298" t="n"/>
    </row>
    <row r="764" ht="13" customHeight="1" s="189">
      <c r="A764" s="297" t="n"/>
      <c r="B764" s="291" t="n"/>
      <c r="C764" s="289" t="n"/>
      <c r="D764" s="298" t="n"/>
      <c r="E764" s="291" t="n"/>
      <c r="F764" s="291" t="n"/>
      <c r="G764" s="297" t="n"/>
      <c r="H764" s="298" t="n"/>
    </row>
    <row r="765" ht="13" customHeight="1" s="189">
      <c r="A765" s="297" t="n"/>
      <c r="B765" s="291" t="n"/>
      <c r="C765" s="289" t="n"/>
      <c r="D765" s="298" t="n"/>
      <c r="E765" s="291" t="n"/>
      <c r="F765" s="291" t="n"/>
      <c r="G765" s="297" t="n"/>
      <c r="H765" s="298" t="n"/>
    </row>
    <row r="766" ht="13" customHeight="1" s="189">
      <c r="A766" s="297" t="n"/>
      <c r="B766" s="291" t="n"/>
      <c r="C766" s="289" t="n"/>
      <c r="D766" s="298" t="n"/>
      <c r="E766" s="291" t="n"/>
      <c r="F766" s="291" t="n"/>
      <c r="G766" s="297" t="n"/>
      <c r="H766" s="298" t="n"/>
    </row>
    <row r="767" ht="13" customHeight="1" s="189">
      <c r="A767" s="297" t="n"/>
      <c r="B767" s="291" t="n"/>
      <c r="C767" s="289" t="n"/>
      <c r="D767" s="298" t="n"/>
      <c r="E767" s="291" t="n"/>
      <c r="F767" s="291" t="n"/>
      <c r="G767" s="297" t="n"/>
      <c r="H767" s="298" t="n"/>
    </row>
    <row r="768" ht="13" customHeight="1" s="189">
      <c r="A768" s="297" t="n"/>
      <c r="B768" s="291" t="n"/>
      <c r="C768" s="289" t="n"/>
      <c r="D768" s="298" t="n"/>
      <c r="E768" s="291" t="n"/>
      <c r="F768" s="291" t="n"/>
      <c r="G768" s="297" t="n"/>
      <c r="H768" s="298" t="n"/>
    </row>
    <row r="769" ht="13" customHeight="1" s="189">
      <c r="A769" s="297" t="n"/>
      <c r="B769" s="291" t="n"/>
      <c r="C769" s="289" t="n"/>
      <c r="D769" s="298" t="n"/>
      <c r="E769" s="291" t="n"/>
      <c r="F769" s="291" t="n"/>
      <c r="G769" s="297" t="n"/>
      <c r="H769" s="298" t="n"/>
    </row>
    <row r="770" ht="13" customHeight="1" s="189">
      <c r="A770" s="297" t="n"/>
      <c r="B770" s="291" t="n"/>
      <c r="C770" s="289" t="n"/>
      <c r="D770" s="298" t="n"/>
      <c r="E770" s="291" t="n"/>
      <c r="F770" s="291" t="n"/>
      <c r="G770" s="297" t="n"/>
      <c r="H770" s="298" t="n"/>
    </row>
    <row r="771" ht="13" customHeight="1" s="189">
      <c r="A771" s="297" t="n"/>
      <c r="B771" s="291" t="n"/>
      <c r="C771" s="289" t="n"/>
      <c r="D771" s="298" t="n"/>
      <c r="E771" s="291" t="n"/>
      <c r="F771" s="291" t="n"/>
      <c r="G771" s="297" t="n"/>
      <c r="H771" s="298" t="n"/>
    </row>
    <row r="772" ht="13" customHeight="1" s="189">
      <c r="A772" s="297" t="n"/>
      <c r="B772" s="291" t="n"/>
      <c r="C772" s="289" t="n"/>
      <c r="D772" s="298" t="n"/>
      <c r="E772" s="291" t="n"/>
      <c r="F772" s="291" t="n"/>
      <c r="G772" s="297" t="n"/>
      <c r="H772" s="298" t="n"/>
    </row>
    <row r="773" ht="13" customHeight="1" s="189">
      <c r="A773" s="297" t="n"/>
      <c r="B773" s="291" t="n"/>
      <c r="C773" s="289" t="n"/>
      <c r="D773" s="298" t="n"/>
      <c r="E773" s="291" t="n"/>
      <c r="F773" s="291" t="n"/>
      <c r="G773" s="297" t="n"/>
      <c r="H773" s="298" t="n"/>
    </row>
    <row r="774" ht="13" customHeight="1" s="189">
      <c r="A774" s="297" t="n"/>
      <c r="B774" s="291" t="n"/>
      <c r="C774" s="289" t="n"/>
      <c r="D774" s="298" t="n"/>
      <c r="E774" s="291" t="n"/>
      <c r="F774" s="291" t="n"/>
      <c r="G774" s="297" t="n"/>
      <c r="H774" s="298" t="n"/>
    </row>
    <row r="775" ht="13" customHeight="1" s="189">
      <c r="A775" s="297" t="n"/>
      <c r="B775" s="291" t="n"/>
      <c r="C775" s="289" t="n"/>
      <c r="D775" s="298" t="n"/>
      <c r="E775" s="291" t="n"/>
      <c r="F775" s="291" t="n"/>
      <c r="G775" s="297" t="n"/>
      <c r="H775" s="298" t="n"/>
    </row>
    <row r="776" ht="13" customHeight="1" s="189">
      <c r="A776" s="297" t="n"/>
      <c r="B776" s="291" t="n"/>
      <c r="C776" s="289" t="n"/>
      <c r="D776" s="298" t="n"/>
      <c r="E776" s="291" t="n"/>
      <c r="F776" s="291" t="n"/>
      <c r="G776" s="297" t="n"/>
      <c r="H776" s="298" t="n"/>
    </row>
    <row r="777" ht="13" customHeight="1" s="189">
      <c r="A777" s="297" t="n"/>
      <c r="B777" s="291" t="n"/>
      <c r="C777" s="289" t="n"/>
      <c r="D777" s="298" t="n"/>
      <c r="E777" s="291" t="n"/>
      <c r="F777" s="291" t="n"/>
      <c r="G777" s="297" t="n"/>
      <c r="H777" s="298" t="n"/>
    </row>
    <row r="778" ht="13" customHeight="1" s="189">
      <c r="A778" s="297" t="n"/>
      <c r="B778" s="291" t="n"/>
      <c r="C778" s="289" t="n"/>
      <c r="D778" s="298" t="n"/>
      <c r="E778" s="291" t="n"/>
      <c r="F778" s="291" t="n"/>
      <c r="G778" s="297" t="n"/>
      <c r="H778" s="298" t="n"/>
    </row>
    <row r="779" ht="13" customHeight="1" s="189">
      <c r="A779" s="297" t="n"/>
      <c r="B779" s="291" t="n"/>
      <c r="C779" s="289" t="n"/>
      <c r="D779" s="298" t="n"/>
      <c r="E779" s="291" t="n"/>
      <c r="F779" s="291" t="n"/>
      <c r="G779" s="297" t="n"/>
      <c r="H779" s="298" t="n"/>
    </row>
    <row r="780" ht="13" customHeight="1" s="189">
      <c r="A780" s="297" t="n"/>
      <c r="B780" s="291" t="n"/>
      <c r="C780" s="289" t="n"/>
      <c r="D780" s="298" t="n"/>
      <c r="E780" s="291" t="n"/>
      <c r="F780" s="291" t="n"/>
      <c r="G780" s="297" t="n"/>
      <c r="H780" s="298" t="n"/>
    </row>
    <row r="781" ht="13" customHeight="1" s="189">
      <c r="A781" s="297" t="n"/>
      <c r="B781" s="291" t="n"/>
      <c r="C781" s="289" t="n"/>
      <c r="D781" s="298" t="n"/>
      <c r="E781" s="291" t="n"/>
      <c r="F781" s="291" t="n"/>
      <c r="G781" s="297" t="n"/>
      <c r="H781" s="298" t="n"/>
    </row>
    <row r="782" ht="13" customHeight="1" s="189">
      <c r="A782" s="297" t="n"/>
      <c r="B782" s="291" t="n"/>
      <c r="C782" s="289" t="n"/>
      <c r="D782" s="298" t="n"/>
      <c r="E782" s="291" t="n"/>
      <c r="F782" s="291" t="n"/>
      <c r="G782" s="297" t="n"/>
      <c r="H782" s="298" t="n"/>
    </row>
    <row r="783" ht="13" customHeight="1" s="189">
      <c r="A783" s="297" t="n"/>
      <c r="B783" s="291" t="n"/>
      <c r="C783" s="289" t="n"/>
      <c r="D783" s="298" t="n"/>
      <c r="E783" s="291" t="n"/>
      <c r="F783" s="291" t="n"/>
      <c r="G783" s="297" t="n"/>
      <c r="H783" s="298" t="n"/>
    </row>
    <row r="784" ht="13" customHeight="1" s="189">
      <c r="A784" s="297" t="n"/>
      <c r="B784" s="291" t="n"/>
      <c r="C784" s="289" t="n"/>
      <c r="D784" s="298" t="n"/>
      <c r="E784" s="291" t="n"/>
      <c r="F784" s="291" t="n"/>
      <c r="G784" s="297" t="n"/>
      <c r="H784" s="298" t="n"/>
    </row>
    <row r="785" ht="13" customHeight="1" s="189">
      <c r="A785" s="297" t="n"/>
      <c r="B785" s="291" t="n"/>
      <c r="C785" s="289" t="n"/>
      <c r="D785" s="298" t="n"/>
      <c r="E785" s="291" t="n"/>
      <c r="F785" s="291" t="n"/>
      <c r="G785" s="297" t="n"/>
      <c r="H785" s="298" t="n"/>
    </row>
    <row r="786" ht="13" customHeight="1" s="189">
      <c r="A786" s="297" t="n"/>
      <c r="B786" s="291" t="n"/>
      <c r="C786" s="289" t="n"/>
      <c r="D786" s="298" t="n"/>
      <c r="E786" s="291" t="n"/>
      <c r="F786" s="291" t="n"/>
      <c r="G786" s="297" t="n"/>
      <c r="H786" s="298" t="n"/>
    </row>
    <row r="787" ht="13" customHeight="1" s="189">
      <c r="A787" s="297" t="n"/>
      <c r="B787" s="291" t="n"/>
      <c r="C787" s="289" t="n"/>
      <c r="D787" s="298" t="n"/>
      <c r="E787" s="291" t="n"/>
      <c r="F787" s="291" t="n"/>
      <c r="G787" s="297" t="n"/>
      <c r="H787" s="298" t="n"/>
    </row>
    <row r="788" ht="13" customHeight="1" s="189">
      <c r="A788" s="297" t="n"/>
      <c r="B788" s="291" t="n"/>
      <c r="C788" s="289" t="n"/>
      <c r="D788" s="298" t="n"/>
      <c r="E788" s="291" t="n"/>
      <c r="F788" s="291" t="n"/>
      <c r="G788" s="297" t="n"/>
      <c r="H788" s="298" t="n"/>
    </row>
    <row r="789" ht="13" customHeight="1" s="189">
      <c r="A789" s="297" t="n"/>
      <c r="B789" s="291" t="n"/>
      <c r="C789" s="289" t="n"/>
      <c r="D789" s="298" t="n"/>
      <c r="E789" s="291" t="n"/>
      <c r="F789" s="291" t="n"/>
      <c r="G789" s="297" t="n"/>
      <c r="H789" s="298" t="n"/>
    </row>
    <row r="790" ht="13" customHeight="1" s="189">
      <c r="A790" s="297" t="n"/>
      <c r="B790" s="291" t="n"/>
      <c r="C790" s="289" t="n"/>
      <c r="D790" s="298" t="n"/>
      <c r="E790" s="291" t="n"/>
      <c r="F790" s="291" t="n"/>
      <c r="G790" s="297" t="n"/>
      <c r="H790" s="298" t="n"/>
    </row>
    <row r="791" ht="13" customHeight="1" s="189">
      <c r="A791" s="297" t="n"/>
      <c r="B791" s="291" t="n"/>
      <c r="C791" s="289" t="n"/>
      <c r="D791" s="298" t="n"/>
      <c r="E791" s="291" t="n"/>
      <c r="F791" s="291" t="n"/>
      <c r="G791" s="297" t="n"/>
      <c r="H791" s="298" t="n"/>
    </row>
    <row r="792" ht="13" customHeight="1" s="189">
      <c r="A792" s="297" t="n"/>
      <c r="B792" s="291" t="n"/>
      <c r="C792" s="289" t="n"/>
      <c r="D792" s="298" t="n"/>
      <c r="E792" s="291" t="n"/>
      <c r="F792" s="291" t="n"/>
      <c r="G792" s="297" t="n"/>
      <c r="H792" s="298" t="n"/>
    </row>
    <row r="793" ht="13" customHeight="1" s="189">
      <c r="A793" s="297" t="n"/>
      <c r="B793" s="291" t="n"/>
      <c r="C793" s="289" t="n"/>
      <c r="D793" s="298" t="n"/>
      <c r="E793" s="291" t="n"/>
      <c r="F793" s="291" t="n"/>
      <c r="G793" s="297" t="n"/>
      <c r="H793" s="298" t="n"/>
    </row>
    <row r="794" ht="13" customHeight="1" s="189">
      <c r="A794" s="297" t="n"/>
      <c r="B794" s="291" t="n"/>
      <c r="C794" s="289" t="n"/>
      <c r="D794" s="298" t="n"/>
      <c r="E794" s="291" t="n"/>
      <c r="F794" s="291" t="n"/>
      <c r="G794" s="297" t="n"/>
      <c r="H794" s="298" t="n"/>
    </row>
    <row r="795" ht="13" customHeight="1" s="189">
      <c r="A795" s="297" t="n"/>
      <c r="B795" s="291" t="n"/>
      <c r="C795" s="289" t="n"/>
      <c r="D795" s="298" t="n"/>
      <c r="E795" s="291" t="n"/>
      <c r="F795" s="291" t="n"/>
      <c r="G795" s="297" t="n"/>
      <c r="H795" s="298" t="n"/>
    </row>
    <row r="796" ht="13" customHeight="1" s="189">
      <c r="A796" s="297" t="n"/>
      <c r="B796" s="291" t="n"/>
      <c r="C796" s="289" t="n"/>
      <c r="D796" s="298" t="n"/>
      <c r="E796" s="291" t="n"/>
      <c r="F796" s="291" t="n"/>
      <c r="G796" s="297" t="n"/>
      <c r="H796" s="298" t="n"/>
    </row>
    <row r="797" ht="13" customHeight="1" s="189">
      <c r="A797" s="297" t="n"/>
      <c r="B797" s="291" t="n"/>
      <c r="C797" s="289" t="n"/>
      <c r="D797" s="298" t="n"/>
      <c r="E797" s="291" t="n"/>
      <c r="F797" s="291" t="n"/>
      <c r="G797" s="297" t="n"/>
      <c r="H797" s="298" t="n"/>
    </row>
    <row r="798" ht="13" customHeight="1" s="189">
      <c r="A798" s="297" t="n"/>
      <c r="B798" s="291" t="n"/>
      <c r="C798" s="289" t="n"/>
      <c r="D798" s="298" t="n"/>
      <c r="E798" s="291" t="n"/>
      <c r="F798" s="291" t="n"/>
      <c r="G798" s="297" t="n"/>
      <c r="H798" s="298" t="n"/>
    </row>
    <row r="799" ht="13" customHeight="1" s="189">
      <c r="A799" s="297" t="n"/>
      <c r="B799" s="291" t="n"/>
      <c r="C799" s="289" t="n"/>
      <c r="D799" s="298" t="n"/>
      <c r="E799" s="291" t="n"/>
      <c r="F799" s="291" t="n"/>
      <c r="G799" s="297" t="n"/>
      <c r="H799" s="298" t="n"/>
    </row>
    <row r="800" ht="13" customHeight="1" s="189">
      <c r="A800" s="297" t="n"/>
      <c r="B800" s="291" t="n"/>
      <c r="C800" s="289" t="n"/>
      <c r="D800" s="298" t="n"/>
      <c r="E800" s="291" t="n"/>
      <c r="F800" s="291" t="n"/>
      <c r="G800" s="297" t="n"/>
      <c r="H800" s="298" t="n"/>
    </row>
    <row r="801" ht="13" customHeight="1" s="189">
      <c r="A801" s="297" t="n"/>
      <c r="B801" s="291" t="n"/>
      <c r="C801" s="289" t="n"/>
      <c r="D801" s="298" t="n"/>
      <c r="E801" s="291" t="n"/>
      <c r="F801" s="291" t="n"/>
      <c r="G801" s="297" t="n"/>
      <c r="H801" s="298" t="n"/>
    </row>
    <row r="802" ht="13" customHeight="1" s="189">
      <c r="A802" s="297" t="n"/>
      <c r="B802" s="291" t="n"/>
      <c r="C802" s="289" t="n"/>
      <c r="D802" s="298" t="n"/>
      <c r="E802" s="291" t="n"/>
      <c r="F802" s="291" t="n"/>
      <c r="G802" s="297" t="n"/>
      <c r="H802" s="298" t="n"/>
    </row>
    <row r="803" ht="13" customHeight="1" s="189">
      <c r="A803" s="297" t="n"/>
      <c r="B803" s="291" t="n"/>
      <c r="C803" s="289" t="n"/>
      <c r="D803" s="298" t="n"/>
      <c r="E803" s="291" t="n"/>
      <c r="F803" s="291" t="n"/>
      <c r="G803" s="297" t="n"/>
      <c r="H803" s="298" t="n"/>
    </row>
    <row r="804" ht="13" customHeight="1" s="189">
      <c r="A804" s="297" t="n"/>
      <c r="B804" s="291" t="n"/>
      <c r="C804" s="289" t="n"/>
      <c r="D804" s="298" t="n"/>
      <c r="E804" s="291" t="n"/>
      <c r="F804" s="291" t="n"/>
      <c r="G804" s="297" t="n"/>
      <c r="H804" s="298" t="n"/>
    </row>
    <row r="805" ht="13" customHeight="1" s="189">
      <c r="A805" s="297" t="n"/>
      <c r="B805" s="291" t="n"/>
      <c r="C805" s="289" t="n"/>
      <c r="D805" s="298" t="n"/>
      <c r="E805" s="291" t="n"/>
      <c r="F805" s="291" t="n"/>
      <c r="G805" s="297" t="n"/>
      <c r="H805" s="298" t="n"/>
    </row>
    <row r="806" ht="13" customHeight="1" s="189">
      <c r="A806" s="297" t="n"/>
      <c r="B806" s="291" t="n"/>
      <c r="C806" s="289" t="n"/>
      <c r="D806" s="298" t="n"/>
      <c r="E806" s="291" t="n"/>
      <c r="F806" s="291" t="n"/>
      <c r="G806" s="297" t="n"/>
      <c r="H806" s="298" t="n"/>
    </row>
    <row r="807" ht="13" customHeight="1" s="189">
      <c r="A807" s="297" t="n"/>
      <c r="B807" s="291" t="n"/>
      <c r="C807" s="289" t="n"/>
      <c r="D807" s="298" t="n"/>
      <c r="E807" s="291" t="n"/>
      <c r="F807" s="291" t="n"/>
      <c r="G807" s="297" t="n"/>
      <c r="H807" s="298" t="n"/>
    </row>
    <row r="808" ht="13" customHeight="1" s="189">
      <c r="A808" s="297" t="n"/>
      <c r="B808" s="291" t="n"/>
      <c r="C808" s="289" t="n"/>
      <c r="D808" s="298" t="n"/>
      <c r="E808" s="291" t="n"/>
      <c r="F808" s="291" t="n"/>
      <c r="G808" s="297" t="n"/>
      <c r="H808" s="298" t="n"/>
    </row>
    <row r="809" ht="13" customHeight="1" s="189">
      <c r="A809" s="297" t="n"/>
      <c r="B809" s="291" t="n"/>
      <c r="C809" s="289" t="n"/>
      <c r="D809" s="298" t="n"/>
      <c r="E809" s="291" t="n"/>
      <c r="F809" s="291" t="n"/>
      <c r="G809" s="297" t="n"/>
      <c r="H809" s="298" t="n"/>
    </row>
    <row r="810" ht="13" customHeight="1" s="189">
      <c r="A810" s="297" t="n"/>
      <c r="B810" s="291" t="n"/>
      <c r="C810" s="289" t="n"/>
      <c r="D810" s="298" t="n"/>
      <c r="E810" s="291" t="n"/>
      <c r="F810" s="291" t="n"/>
      <c r="G810" s="297" t="n"/>
      <c r="H810" s="298" t="n"/>
    </row>
    <row r="811" ht="13" customHeight="1" s="189">
      <c r="A811" s="297" t="n"/>
      <c r="B811" s="291" t="n"/>
      <c r="C811" s="289" t="n"/>
      <c r="D811" s="298" t="n"/>
      <c r="E811" s="291" t="n"/>
      <c r="F811" s="291" t="n"/>
      <c r="G811" s="297" t="n"/>
      <c r="H811" s="298" t="n"/>
    </row>
    <row r="812" ht="13" customHeight="1" s="189">
      <c r="A812" s="297" t="n"/>
      <c r="B812" s="291" t="n"/>
      <c r="C812" s="289" t="n"/>
      <c r="D812" s="298" t="n"/>
      <c r="E812" s="291" t="n"/>
      <c r="F812" s="291" t="n"/>
      <c r="G812" s="297" t="n"/>
      <c r="H812" s="298" t="n"/>
    </row>
    <row r="813" ht="13" customHeight="1" s="189">
      <c r="A813" s="297" t="n"/>
      <c r="B813" s="291" t="n"/>
      <c r="C813" s="289" t="n"/>
      <c r="D813" s="298" t="n"/>
      <c r="E813" s="291" t="n"/>
      <c r="F813" s="291" t="n"/>
      <c r="G813" s="297" t="n"/>
      <c r="H813" s="298" t="n"/>
    </row>
    <row r="814" ht="13" customHeight="1" s="189">
      <c r="A814" s="297" t="n"/>
      <c r="B814" s="291" t="n"/>
      <c r="C814" s="289" t="n"/>
      <c r="D814" s="298" t="n"/>
      <c r="E814" s="291" t="n"/>
      <c r="F814" s="291" t="n"/>
      <c r="G814" s="297" t="n"/>
      <c r="H814" s="298" t="n"/>
    </row>
    <row r="815" ht="13" customHeight="1" s="189">
      <c r="A815" s="297" t="n"/>
      <c r="B815" s="291" t="n"/>
      <c r="C815" s="289" t="n"/>
      <c r="D815" s="298" t="n"/>
      <c r="E815" s="291" t="n"/>
      <c r="F815" s="291" t="n"/>
      <c r="G815" s="297" t="n"/>
      <c r="H815" s="298" t="n"/>
    </row>
    <row r="816" ht="13" customHeight="1" s="189">
      <c r="A816" s="297" t="n"/>
      <c r="B816" s="291" t="n"/>
      <c r="C816" s="289" t="n"/>
      <c r="D816" s="298" t="n"/>
      <c r="E816" s="291" t="n"/>
      <c r="F816" s="291" t="n"/>
      <c r="G816" s="297" t="n"/>
      <c r="H816" s="298" t="n"/>
    </row>
    <row r="817" ht="13" customHeight="1" s="189">
      <c r="A817" s="297" t="n"/>
      <c r="B817" s="291" t="n"/>
      <c r="C817" s="289" t="n"/>
      <c r="D817" s="298" t="n"/>
      <c r="E817" s="291" t="n"/>
      <c r="F817" s="291" t="n"/>
      <c r="G817" s="297" t="n"/>
      <c r="H817" s="298" t="n"/>
    </row>
    <row r="818" ht="13" customHeight="1" s="189">
      <c r="A818" s="297" t="n"/>
      <c r="B818" s="291" t="n"/>
      <c r="C818" s="289" t="n"/>
      <c r="D818" s="298" t="n"/>
      <c r="E818" s="291" t="n"/>
      <c r="F818" s="291" t="n"/>
      <c r="G818" s="297" t="n"/>
      <c r="H818" s="298" t="n"/>
    </row>
    <row r="819" ht="13" customHeight="1" s="189">
      <c r="A819" s="297" t="n"/>
      <c r="B819" s="291" t="n"/>
      <c r="C819" s="289" t="n"/>
      <c r="D819" s="298" t="n"/>
      <c r="E819" s="291" t="n"/>
      <c r="F819" s="291" t="n"/>
      <c r="G819" s="297" t="n"/>
      <c r="H819" s="298" t="n"/>
    </row>
    <row r="820" ht="13" customHeight="1" s="189">
      <c r="A820" s="297" t="n"/>
      <c r="B820" s="291" t="n"/>
      <c r="C820" s="289" t="n"/>
      <c r="D820" s="298" t="n"/>
      <c r="E820" s="291" t="n"/>
      <c r="F820" s="291" t="n"/>
      <c r="G820" s="297" t="n"/>
      <c r="H820" s="298" t="n"/>
    </row>
    <row r="821" ht="13" customHeight="1" s="189">
      <c r="A821" s="297" t="n"/>
      <c r="B821" s="291" t="n"/>
      <c r="C821" s="289" t="n"/>
      <c r="D821" s="298" t="n"/>
      <c r="E821" s="291" t="n"/>
      <c r="F821" s="291" t="n"/>
      <c r="G821" s="297" t="n"/>
      <c r="H821" s="298" t="n"/>
    </row>
    <row r="822" ht="13" customHeight="1" s="189">
      <c r="A822" s="297" t="n"/>
      <c r="B822" s="291" t="n"/>
      <c r="C822" s="289" t="n"/>
      <c r="D822" s="298" t="n"/>
      <c r="E822" s="291" t="n"/>
      <c r="F822" s="291" t="n"/>
      <c r="G822" s="297" t="n"/>
      <c r="H822" s="298" t="n"/>
    </row>
    <row r="823" ht="13" customHeight="1" s="189">
      <c r="A823" s="297" t="n"/>
      <c r="B823" s="291" t="n"/>
      <c r="C823" s="289" t="n"/>
      <c r="D823" s="298" t="n"/>
      <c r="E823" s="291" t="n"/>
      <c r="F823" s="291" t="n"/>
      <c r="G823" s="297" t="n"/>
      <c r="H823" s="298" t="n"/>
    </row>
    <row r="824" ht="13" customHeight="1" s="189">
      <c r="A824" s="297" t="n"/>
      <c r="B824" s="291" t="n"/>
      <c r="C824" s="289" t="n"/>
      <c r="D824" s="298" t="n"/>
      <c r="E824" s="291" t="n"/>
      <c r="F824" s="291" t="n"/>
      <c r="G824" s="297" t="n"/>
      <c r="H824" s="298" t="n"/>
    </row>
    <row r="825" ht="13" customHeight="1" s="189">
      <c r="A825" s="297" t="n"/>
      <c r="B825" s="291" t="n"/>
      <c r="C825" s="289" t="n"/>
      <c r="D825" s="298" t="n"/>
      <c r="E825" s="291" t="n"/>
      <c r="F825" s="291" t="n"/>
      <c r="G825" s="297" t="n"/>
      <c r="H825" s="298" t="n"/>
    </row>
    <row r="826" ht="13" customHeight="1" s="189">
      <c r="A826" s="297" t="n"/>
      <c r="B826" s="291" t="n"/>
      <c r="C826" s="289" t="n"/>
      <c r="D826" s="298" t="n"/>
      <c r="E826" s="291" t="n"/>
      <c r="F826" s="291" t="n"/>
      <c r="G826" s="297" t="n"/>
      <c r="H826" s="298" t="n"/>
    </row>
    <row r="827" ht="13" customHeight="1" s="189">
      <c r="A827" s="297" t="n"/>
      <c r="B827" s="291" t="n"/>
      <c r="C827" s="289" t="n"/>
      <c r="D827" s="298" t="n"/>
      <c r="E827" s="291" t="n"/>
      <c r="F827" s="291" t="n"/>
      <c r="G827" s="297" t="n"/>
      <c r="H827" s="298" t="n"/>
    </row>
    <row r="828" ht="13" customHeight="1" s="189">
      <c r="A828" s="297" t="n"/>
      <c r="B828" s="291" t="n"/>
      <c r="C828" s="289" t="n"/>
      <c r="D828" s="298" t="n"/>
      <c r="E828" s="291" t="n"/>
      <c r="F828" s="291" t="n"/>
      <c r="G828" s="297" t="n"/>
      <c r="H828" s="298" t="n"/>
    </row>
    <row r="829" ht="13" customHeight="1" s="189">
      <c r="A829" s="297" t="n"/>
      <c r="B829" s="291" t="n"/>
      <c r="C829" s="289" t="n"/>
      <c r="D829" s="298" t="n"/>
      <c r="E829" s="291" t="n"/>
      <c r="F829" s="291" t="n"/>
      <c r="G829" s="297" t="n"/>
      <c r="H829" s="298" t="n"/>
    </row>
    <row r="830" ht="13" customHeight="1" s="189">
      <c r="A830" s="297" t="n"/>
      <c r="B830" s="291" t="n"/>
      <c r="C830" s="289" t="n"/>
      <c r="D830" s="298" t="n"/>
      <c r="E830" s="291" t="n"/>
      <c r="F830" s="291" t="n"/>
      <c r="G830" s="297" t="n"/>
      <c r="H830" s="298" t="n"/>
    </row>
    <row r="831" ht="13" customHeight="1" s="189">
      <c r="A831" s="297" t="n"/>
      <c r="B831" s="291" t="n"/>
      <c r="C831" s="289" t="n"/>
      <c r="D831" s="298" t="n"/>
      <c r="E831" s="291" t="n"/>
      <c r="F831" s="291" t="n"/>
      <c r="G831" s="297" t="n"/>
      <c r="H831" s="298" t="n"/>
    </row>
    <row r="832" ht="13" customHeight="1" s="189">
      <c r="A832" s="297" t="n"/>
      <c r="B832" s="291" t="n"/>
      <c r="C832" s="289" t="n"/>
      <c r="D832" s="298" t="n"/>
      <c r="E832" s="291" t="n"/>
      <c r="F832" s="291" t="n"/>
      <c r="G832" s="297" t="n"/>
      <c r="H832" s="298" t="n"/>
    </row>
    <row r="833" ht="13" customHeight="1" s="189">
      <c r="A833" s="297" t="n"/>
      <c r="B833" s="291" t="n"/>
      <c r="C833" s="289" t="n"/>
      <c r="D833" s="298" t="n"/>
      <c r="E833" s="291" t="n"/>
      <c r="F833" s="291" t="n"/>
      <c r="G833" s="297" t="n"/>
      <c r="H833" s="298" t="n"/>
    </row>
    <row r="834" ht="13" customHeight="1" s="189">
      <c r="A834" s="297" t="n"/>
      <c r="B834" s="291" t="n"/>
      <c r="C834" s="289" t="n"/>
      <c r="D834" s="298" t="n"/>
      <c r="E834" s="291" t="n"/>
      <c r="F834" s="291" t="n"/>
      <c r="G834" s="297" t="n"/>
      <c r="H834" s="298" t="n"/>
    </row>
    <row r="835" ht="13" customHeight="1" s="189">
      <c r="A835" s="297" t="n"/>
      <c r="B835" s="291" t="n"/>
      <c r="C835" s="289" t="n"/>
      <c r="D835" s="298" t="n"/>
      <c r="E835" s="291" t="n"/>
      <c r="F835" s="291" t="n"/>
      <c r="G835" s="297" t="n"/>
      <c r="H835" s="298" t="n"/>
    </row>
    <row r="836" ht="13" customHeight="1" s="189">
      <c r="A836" s="297" t="n"/>
      <c r="B836" s="291" t="n"/>
      <c r="C836" s="289" t="n"/>
      <c r="D836" s="298" t="n"/>
      <c r="E836" s="291" t="n"/>
      <c r="F836" s="291" t="n"/>
      <c r="G836" s="297" t="n"/>
      <c r="H836" s="298" t="n"/>
    </row>
    <row r="837" ht="13" customHeight="1" s="189">
      <c r="A837" s="297" t="n"/>
      <c r="B837" s="291" t="n"/>
      <c r="C837" s="289" t="n"/>
      <c r="D837" s="298" t="n"/>
      <c r="E837" s="291" t="n"/>
      <c r="F837" s="291" t="n"/>
      <c r="G837" s="297" t="n"/>
      <c r="H837" s="298" t="n"/>
    </row>
    <row r="838" ht="13" customHeight="1" s="189">
      <c r="A838" s="297" t="n"/>
      <c r="B838" s="291" t="n"/>
      <c r="C838" s="289" t="n"/>
      <c r="D838" s="298" t="n"/>
      <c r="E838" s="291" t="n"/>
      <c r="F838" s="291" t="n"/>
      <c r="G838" s="297" t="n"/>
      <c r="H838" s="298" t="n"/>
    </row>
    <row r="839" ht="13" customHeight="1" s="189">
      <c r="A839" s="297" t="n"/>
      <c r="B839" s="291" t="n"/>
      <c r="C839" s="289" t="n"/>
      <c r="D839" s="298" t="n"/>
      <c r="E839" s="291" t="n"/>
      <c r="F839" s="291" t="n"/>
      <c r="G839" s="297" t="n"/>
      <c r="H839" s="298" t="n"/>
    </row>
    <row r="840" ht="13" customHeight="1" s="189">
      <c r="A840" s="297" t="n"/>
      <c r="B840" s="291" t="n"/>
      <c r="C840" s="289" t="n"/>
      <c r="D840" s="298" t="n"/>
      <c r="E840" s="291" t="n"/>
      <c r="F840" s="291" t="n"/>
      <c r="G840" s="297" t="n"/>
      <c r="H840" s="298" t="n"/>
    </row>
    <row r="841" ht="13" customHeight="1" s="189">
      <c r="A841" s="297" t="n"/>
      <c r="B841" s="291" t="n"/>
      <c r="C841" s="289" t="n"/>
      <c r="D841" s="298" t="n"/>
      <c r="E841" s="291" t="n"/>
      <c r="F841" s="291" t="n"/>
      <c r="G841" s="297" t="n"/>
      <c r="H841" s="298" t="n"/>
    </row>
    <row r="842" ht="13" customHeight="1" s="189">
      <c r="A842" s="297" t="n"/>
      <c r="B842" s="291" t="n"/>
      <c r="C842" s="289" t="n"/>
      <c r="D842" s="298" t="n"/>
      <c r="E842" s="291" t="n"/>
      <c r="F842" s="291" t="n"/>
      <c r="G842" s="297" t="n"/>
      <c r="H842" s="298" t="n"/>
    </row>
    <row r="843" ht="13" customHeight="1" s="189">
      <c r="A843" s="297" t="n"/>
      <c r="B843" s="291" t="n"/>
      <c r="C843" s="289" t="n"/>
      <c r="D843" s="298" t="n"/>
      <c r="E843" s="291" t="n"/>
      <c r="F843" s="291" t="n"/>
      <c r="G843" s="297" t="n"/>
      <c r="H843" s="298" t="n"/>
    </row>
    <row r="844" ht="13" customHeight="1" s="189">
      <c r="A844" s="297" t="n"/>
      <c r="B844" s="291" t="n"/>
      <c r="C844" s="289" t="n"/>
      <c r="D844" s="298" t="n"/>
      <c r="E844" s="291" t="n"/>
      <c r="F844" s="291" t="n"/>
      <c r="G844" s="297" t="n"/>
      <c r="H844" s="298" t="n"/>
    </row>
    <row r="845" ht="13" customHeight="1" s="189">
      <c r="A845" s="297" t="n"/>
      <c r="B845" s="291" t="n"/>
      <c r="C845" s="289" t="n"/>
      <c r="D845" s="298" t="n"/>
      <c r="E845" s="291" t="n"/>
      <c r="F845" s="291" t="n"/>
      <c r="G845" s="297" t="n"/>
      <c r="H845" s="298" t="n"/>
    </row>
    <row r="846" ht="13" customHeight="1" s="189">
      <c r="A846" s="297" t="n"/>
      <c r="B846" s="291" t="n"/>
      <c r="C846" s="289" t="n"/>
      <c r="D846" s="298" t="n"/>
      <c r="E846" s="291" t="n"/>
      <c r="F846" s="291" t="n"/>
      <c r="G846" s="297" t="n"/>
      <c r="H846" s="298" t="n"/>
    </row>
    <row r="847" ht="13" customHeight="1" s="189">
      <c r="A847" s="297" t="n"/>
      <c r="B847" s="291" t="n"/>
      <c r="C847" s="289" t="n"/>
      <c r="D847" s="298" t="n"/>
      <c r="E847" s="291" t="n"/>
      <c r="F847" s="291" t="n"/>
      <c r="G847" s="297" t="n"/>
      <c r="H847" s="298" t="n"/>
    </row>
    <row r="848" ht="13" customHeight="1" s="189">
      <c r="A848" s="297" t="n"/>
      <c r="B848" s="291" t="n"/>
      <c r="C848" s="289" t="n"/>
      <c r="D848" s="298" t="n"/>
      <c r="E848" s="291" t="n"/>
      <c r="F848" s="291" t="n"/>
      <c r="G848" s="297" t="n"/>
      <c r="H848" s="298" t="n"/>
    </row>
    <row r="849" ht="13" customHeight="1" s="189">
      <c r="A849" s="297" t="n"/>
      <c r="B849" s="291" t="n"/>
      <c r="C849" s="289" t="n"/>
      <c r="D849" s="298" t="n"/>
      <c r="E849" s="291" t="n"/>
      <c r="F849" s="291" t="n"/>
      <c r="G849" s="297" t="n"/>
      <c r="H849" s="298" t="n"/>
    </row>
    <row r="850" ht="13" customHeight="1" s="189">
      <c r="A850" s="297" t="n"/>
      <c r="B850" s="291" t="n"/>
      <c r="C850" s="289" t="n"/>
      <c r="D850" s="298" t="n"/>
      <c r="E850" s="291" t="n"/>
      <c r="F850" s="291" t="n"/>
      <c r="G850" s="297" t="n"/>
      <c r="H850" s="298" t="n"/>
    </row>
    <row r="851" ht="13" customHeight="1" s="189">
      <c r="A851" s="297" t="n"/>
      <c r="B851" s="291" t="n"/>
      <c r="C851" s="289" t="n"/>
      <c r="D851" s="298" t="n"/>
      <c r="E851" s="291" t="n"/>
      <c r="F851" s="291" t="n"/>
      <c r="G851" s="297" t="n"/>
      <c r="H851" s="298" t="n"/>
    </row>
    <row r="852" ht="13" customHeight="1" s="189">
      <c r="A852" s="297" t="n"/>
      <c r="B852" s="291" t="n"/>
      <c r="C852" s="289" t="n"/>
      <c r="D852" s="298" t="n"/>
      <c r="E852" s="291" t="n"/>
      <c r="F852" s="291" t="n"/>
      <c r="G852" s="297" t="n"/>
      <c r="H852" s="298" t="n"/>
    </row>
    <row r="853" ht="13" customHeight="1" s="189">
      <c r="A853" s="297" t="n"/>
      <c r="B853" s="291" t="n"/>
      <c r="C853" s="289" t="n"/>
      <c r="D853" s="298" t="n"/>
      <c r="E853" s="291" t="n"/>
      <c r="F853" s="291" t="n"/>
      <c r="G853" s="297" t="n"/>
      <c r="H853" s="298" t="n"/>
    </row>
    <row r="854" ht="13" customHeight="1" s="189">
      <c r="A854" s="297" t="n"/>
      <c r="B854" s="291" t="n"/>
      <c r="C854" s="289" t="n"/>
      <c r="D854" s="298" t="n"/>
      <c r="E854" s="291" t="n"/>
      <c r="F854" s="291" t="n"/>
      <c r="G854" s="297" t="n"/>
      <c r="H854" s="298" t="n"/>
    </row>
    <row r="855" ht="13" customHeight="1" s="189">
      <c r="A855" s="297" t="n"/>
      <c r="B855" s="291" t="n"/>
      <c r="C855" s="289" t="n"/>
      <c r="D855" s="298" t="n"/>
      <c r="E855" s="291" t="n"/>
      <c r="F855" s="291" t="n"/>
      <c r="G855" s="297" t="n"/>
      <c r="H855" s="298" t="n"/>
    </row>
    <row r="856" ht="13" customHeight="1" s="189">
      <c r="A856" s="297" t="n"/>
      <c r="B856" s="291" t="n"/>
      <c r="C856" s="289" t="n"/>
      <c r="D856" s="298" t="n"/>
      <c r="E856" s="291" t="n"/>
      <c r="F856" s="291" t="n"/>
      <c r="G856" s="297" t="n"/>
      <c r="H856" s="298" t="n"/>
    </row>
    <row r="857" ht="13" customHeight="1" s="189">
      <c r="A857" s="297" t="n"/>
      <c r="B857" s="291" t="n"/>
      <c r="C857" s="289" t="n"/>
      <c r="D857" s="298" t="n"/>
      <c r="E857" s="291" t="n"/>
      <c r="F857" s="291" t="n"/>
      <c r="G857" s="297" t="n"/>
      <c r="H857" s="298" t="n"/>
    </row>
    <row r="858" ht="13" customHeight="1" s="189">
      <c r="A858" s="297" t="n"/>
      <c r="B858" s="291" t="n"/>
      <c r="C858" s="289" t="n"/>
      <c r="D858" s="298" t="n"/>
      <c r="E858" s="291" t="n"/>
      <c r="F858" s="291" t="n"/>
      <c r="G858" s="297" t="n"/>
      <c r="H858" s="298" t="n"/>
    </row>
    <row r="859" ht="13" customHeight="1" s="189">
      <c r="A859" s="297" t="n"/>
      <c r="B859" s="291" t="n"/>
      <c r="C859" s="289" t="n"/>
      <c r="D859" s="298" t="n"/>
      <c r="E859" s="291" t="n"/>
      <c r="F859" s="291" t="n"/>
      <c r="G859" s="297" t="n"/>
      <c r="H859" s="298" t="n"/>
    </row>
    <row r="860" ht="13" customHeight="1" s="189">
      <c r="A860" s="297" t="n"/>
      <c r="B860" s="291" t="n"/>
      <c r="C860" s="289" t="n"/>
      <c r="D860" s="298" t="n"/>
      <c r="E860" s="291" t="n"/>
      <c r="F860" s="291" t="n"/>
      <c r="G860" s="297" t="n"/>
      <c r="H860" s="298" t="n"/>
    </row>
    <row r="861" ht="13" customHeight="1" s="189">
      <c r="A861" s="297" t="n"/>
      <c r="B861" s="291" t="n"/>
      <c r="C861" s="289" t="n"/>
      <c r="D861" s="298" t="n"/>
      <c r="E861" s="291" t="n"/>
      <c r="F861" s="291" t="n"/>
      <c r="G861" s="297" t="n"/>
      <c r="H861" s="298" t="n"/>
    </row>
    <row r="862" ht="13" customHeight="1" s="189">
      <c r="A862" s="297" t="n"/>
      <c r="B862" s="291" t="n"/>
      <c r="C862" s="289" t="n"/>
      <c r="D862" s="298" t="n"/>
      <c r="E862" s="291" t="n"/>
      <c r="F862" s="291" t="n"/>
      <c r="G862" s="297" t="n"/>
      <c r="H862" s="298" t="n"/>
    </row>
    <row r="863" ht="13" customHeight="1" s="189">
      <c r="A863" s="297" t="n"/>
      <c r="B863" s="291" t="n"/>
      <c r="C863" s="289" t="n"/>
      <c r="D863" s="298" t="n"/>
      <c r="E863" s="291" t="n"/>
      <c r="F863" s="291" t="n"/>
      <c r="G863" s="297" t="n"/>
      <c r="H863" s="298" t="n"/>
    </row>
    <row r="864" ht="13" customHeight="1" s="189">
      <c r="A864" s="297" t="n"/>
      <c r="B864" s="291" t="n"/>
      <c r="C864" s="289" t="n"/>
      <c r="D864" s="298" t="n"/>
      <c r="E864" s="291" t="n"/>
      <c r="F864" s="291" t="n"/>
      <c r="G864" s="297" t="n"/>
      <c r="H864" s="298" t="n"/>
    </row>
    <row r="865" ht="13" customHeight="1" s="189">
      <c r="A865" s="297" t="n"/>
      <c r="B865" s="291" t="n"/>
      <c r="C865" s="289" t="n"/>
      <c r="D865" s="298" t="n"/>
      <c r="E865" s="291" t="n"/>
      <c r="F865" s="291" t="n"/>
      <c r="G865" s="297" t="n"/>
      <c r="H865" s="298" t="n"/>
    </row>
    <row r="866" ht="13" customHeight="1" s="189">
      <c r="A866" s="297" t="n"/>
      <c r="B866" s="291" t="n"/>
      <c r="C866" s="289" t="n"/>
      <c r="D866" s="298" t="n"/>
      <c r="E866" s="291" t="n"/>
      <c r="F866" s="291" t="n"/>
      <c r="G866" s="297" t="n"/>
      <c r="H866" s="298" t="n"/>
    </row>
    <row r="867" ht="13" customHeight="1" s="189">
      <c r="A867" s="297" t="n"/>
      <c r="B867" s="291" t="n"/>
      <c r="C867" s="289" t="n"/>
      <c r="D867" s="298" t="n"/>
      <c r="E867" s="291" t="n"/>
      <c r="F867" s="291" t="n"/>
      <c r="G867" s="297" t="n"/>
      <c r="H867" s="298" t="n"/>
    </row>
    <row r="868" ht="13" customHeight="1" s="189">
      <c r="A868" s="297" t="n"/>
      <c r="B868" s="291" t="n"/>
      <c r="C868" s="289" t="n"/>
      <c r="D868" s="298" t="n"/>
      <c r="E868" s="291" t="n"/>
      <c r="F868" s="291" t="n"/>
      <c r="G868" s="297" t="n"/>
      <c r="H868" s="298" t="n"/>
    </row>
    <row r="869" ht="13" customHeight="1" s="189">
      <c r="A869" s="297" t="n"/>
      <c r="B869" s="291" t="n"/>
      <c r="C869" s="289" t="n"/>
      <c r="D869" s="298" t="n"/>
      <c r="E869" s="291" t="n"/>
      <c r="F869" s="291" t="n"/>
      <c r="G869" s="297" t="n"/>
      <c r="H869" s="298" t="n"/>
    </row>
    <row r="870" ht="13" customHeight="1" s="189">
      <c r="A870" s="297" t="n"/>
      <c r="B870" s="291" t="n"/>
      <c r="C870" s="289" t="n"/>
      <c r="D870" s="298" t="n"/>
      <c r="E870" s="291" t="n"/>
      <c r="F870" s="291" t="n"/>
      <c r="G870" s="297" t="n"/>
      <c r="H870" s="298" t="n"/>
    </row>
    <row r="871" ht="13" customHeight="1" s="189">
      <c r="A871" s="297" t="n"/>
      <c r="B871" s="291" t="n"/>
      <c r="C871" s="289" t="n"/>
      <c r="D871" s="298" t="n"/>
      <c r="E871" s="291" t="n"/>
      <c r="F871" s="291" t="n"/>
      <c r="G871" s="297" t="n"/>
      <c r="H871" s="298" t="n"/>
    </row>
    <row r="872" ht="13" customHeight="1" s="189">
      <c r="A872" s="297" t="n"/>
      <c r="B872" s="291" t="n"/>
      <c r="C872" s="289" t="n"/>
      <c r="D872" s="298" t="n"/>
      <c r="E872" s="291" t="n"/>
      <c r="F872" s="291" t="n"/>
      <c r="G872" s="297" t="n"/>
      <c r="H872" s="298" t="n"/>
    </row>
    <row r="873" ht="13" customHeight="1" s="189">
      <c r="A873" s="297" t="n"/>
      <c r="B873" s="291" t="n"/>
      <c r="C873" s="289" t="n"/>
      <c r="D873" s="298" t="n"/>
      <c r="E873" s="291" t="n"/>
      <c r="F873" s="291" t="n"/>
      <c r="G873" s="297" t="n"/>
      <c r="H873" s="298" t="n"/>
    </row>
    <row r="874" ht="13" customHeight="1" s="189">
      <c r="A874" s="297" t="n"/>
      <c r="B874" s="291" t="n"/>
      <c r="C874" s="289" t="n"/>
      <c r="D874" s="298" t="n"/>
      <c r="E874" s="291" t="n"/>
      <c r="F874" s="291" t="n"/>
      <c r="G874" s="297" t="n"/>
      <c r="H874" s="298" t="n"/>
    </row>
    <row r="875" ht="13" customHeight="1" s="189">
      <c r="A875" s="297" t="n"/>
      <c r="B875" s="291" t="n"/>
      <c r="C875" s="289" t="n"/>
      <c r="D875" s="298" t="n"/>
      <c r="E875" s="291" t="n"/>
      <c r="F875" s="291" t="n"/>
      <c r="G875" s="297" t="n"/>
      <c r="H875" s="298" t="n"/>
    </row>
    <row r="876" ht="13" customHeight="1" s="189">
      <c r="A876" s="297" t="n"/>
      <c r="B876" s="291" t="n"/>
      <c r="C876" s="289" t="n"/>
      <c r="D876" s="298" t="n"/>
      <c r="E876" s="291" t="n"/>
      <c r="F876" s="291" t="n"/>
      <c r="G876" s="297" t="n"/>
      <c r="H876" s="298" t="n"/>
    </row>
    <row r="877" ht="13" customHeight="1" s="189">
      <c r="A877" s="297" t="n"/>
      <c r="B877" s="291" t="n"/>
      <c r="C877" s="289" t="n"/>
      <c r="D877" s="298" t="n"/>
      <c r="E877" s="291" t="n"/>
      <c r="F877" s="291" t="n"/>
      <c r="G877" s="297" t="n"/>
      <c r="H877" s="298" t="n"/>
    </row>
    <row r="878" ht="13" customHeight="1" s="189">
      <c r="A878" s="297" t="n"/>
      <c r="B878" s="291" t="n"/>
      <c r="C878" s="289" t="n"/>
      <c r="D878" s="298" t="n"/>
      <c r="E878" s="291" t="n"/>
      <c r="F878" s="291" t="n"/>
      <c r="G878" s="297" t="n"/>
      <c r="H878" s="298" t="n"/>
    </row>
    <row r="879" ht="13" customHeight="1" s="189">
      <c r="A879" s="297" t="n"/>
      <c r="B879" s="291" t="n"/>
      <c r="C879" s="289" t="n"/>
      <c r="D879" s="298" t="n"/>
      <c r="E879" s="291" t="n"/>
      <c r="F879" s="291" t="n"/>
      <c r="G879" s="297" t="n"/>
      <c r="H879" s="298" t="n"/>
    </row>
    <row r="880" ht="13" customHeight="1" s="189">
      <c r="A880" s="297" t="n"/>
      <c r="B880" s="291" t="n"/>
      <c r="C880" s="289" t="n"/>
      <c r="D880" s="298" t="n"/>
      <c r="E880" s="291" t="n"/>
      <c r="F880" s="291" t="n"/>
      <c r="G880" s="297" t="n"/>
      <c r="H880" s="298" t="n"/>
    </row>
    <row r="881" ht="13" customHeight="1" s="189">
      <c r="A881" s="297" t="n"/>
      <c r="B881" s="291" t="n"/>
      <c r="C881" s="289" t="n"/>
      <c r="D881" s="298" t="n"/>
      <c r="E881" s="291" t="n"/>
      <c r="F881" s="291" t="n"/>
      <c r="G881" s="297" t="n"/>
      <c r="H881" s="298" t="n"/>
    </row>
    <row r="882" ht="13" customHeight="1" s="189">
      <c r="A882" s="297" t="n"/>
      <c r="B882" s="291" t="n"/>
      <c r="C882" s="289" t="n"/>
      <c r="D882" s="298" t="n"/>
      <c r="E882" s="291" t="n"/>
      <c r="F882" s="291" t="n"/>
      <c r="G882" s="297" t="n"/>
      <c r="H882" s="298" t="n"/>
    </row>
    <row r="883" ht="13" customHeight="1" s="189">
      <c r="A883" s="297" t="n"/>
      <c r="B883" s="291" t="n"/>
      <c r="C883" s="289" t="n"/>
      <c r="D883" s="298" t="n"/>
      <c r="E883" s="291" t="n"/>
      <c r="F883" s="291" t="n"/>
      <c r="G883" s="297" t="n"/>
      <c r="H883" s="298" t="n"/>
    </row>
    <row r="884" ht="13" customHeight="1" s="189">
      <c r="A884" s="297" t="n"/>
      <c r="B884" s="291" t="n"/>
      <c r="C884" s="289" t="n"/>
      <c r="D884" s="298" t="n"/>
      <c r="E884" s="291" t="n"/>
      <c r="F884" s="291" t="n"/>
      <c r="G884" s="297" t="n"/>
      <c r="H884" s="298" t="n"/>
    </row>
    <row r="885" ht="13" customHeight="1" s="189">
      <c r="A885" s="297" t="n"/>
      <c r="B885" s="291" t="n"/>
      <c r="C885" s="289" t="n"/>
      <c r="D885" s="298" t="n"/>
      <c r="E885" s="291" t="n"/>
      <c r="F885" s="291" t="n"/>
      <c r="G885" s="297" t="n"/>
      <c r="H885" s="298" t="n"/>
    </row>
    <row r="886" ht="13" customHeight="1" s="189">
      <c r="A886" s="297" t="n"/>
      <c r="B886" s="291" t="n"/>
      <c r="C886" s="289" t="n"/>
      <c r="D886" s="298" t="n"/>
      <c r="E886" s="291" t="n"/>
      <c r="F886" s="291" t="n"/>
      <c r="G886" s="297" t="n"/>
      <c r="H886" s="298" t="n"/>
    </row>
    <row r="887" ht="13" customHeight="1" s="189">
      <c r="A887" s="297" t="n"/>
      <c r="B887" s="291" t="n"/>
      <c r="C887" s="289" t="n"/>
      <c r="D887" s="298" t="n"/>
      <c r="E887" s="291" t="n"/>
      <c r="F887" s="291" t="n"/>
      <c r="G887" s="297" t="n"/>
      <c r="H887" s="298" t="n"/>
    </row>
    <row r="888" ht="13" customHeight="1" s="189">
      <c r="A888" s="297" t="n"/>
      <c r="B888" s="291" t="n"/>
      <c r="C888" s="289" t="n"/>
      <c r="D888" s="298" t="n"/>
      <c r="E888" s="291" t="n"/>
      <c r="F888" s="291" t="n"/>
      <c r="G888" s="297" t="n"/>
      <c r="H888" s="298" t="n"/>
    </row>
    <row r="889" ht="13" customHeight="1" s="189">
      <c r="A889" s="297" t="n"/>
      <c r="B889" s="291" t="n"/>
      <c r="C889" s="289" t="n"/>
      <c r="D889" s="298" t="n"/>
      <c r="E889" s="291" t="n"/>
      <c r="F889" s="291" t="n"/>
      <c r="G889" s="297" t="n"/>
      <c r="H889" s="298" t="n"/>
    </row>
    <row r="890" ht="13" customHeight="1" s="189">
      <c r="A890" s="297" t="n"/>
      <c r="B890" s="291" t="n"/>
      <c r="C890" s="289" t="n"/>
      <c r="D890" s="298" t="n"/>
      <c r="E890" s="291" t="n"/>
      <c r="F890" s="291" t="n"/>
      <c r="G890" s="297" t="n"/>
      <c r="H890" s="298" t="n"/>
    </row>
    <row r="891" ht="13" customHeight="1" s="189">
      <c r="A891" s="297" t="n"/>
      <c r="B891" s="291" t="n"/>
      <c r="C891" s="289" t="n"/>
      <c r="D891" s="298" t="n"/>
      <c r="E891" s="291" t="n"/>
      <c r="F891" s="291" t="n"/>
      <c r="G891" s="297" t="n"/>
      <c r="H891" s="298" t="n"/>
    </row>
    <row r="892" ht="13" customHeight="1" s="189">
      <c r="A892" s="297" t="n"/>
      <c r="B892" s="291" t="n"/>
      <c r="C892" s="289" t="n"/>
      <c r="D892" s="298" t="n"/>
      <c r="E892" s="291" t="n"/>
      <c r="F892" s="291" t="n"/>
      <c r="G892" s="297" t="n"/>
      <c r="H892" s="298" t="n"/>
    </row>
    <row r="893" ht="13" customHeight="1" s="189">
      <c r="A893" s="297" t="n"/>
      <c r="B893" s="291" t="n"/>
      <c r="C893" s="289" t="n"/>
      <c r="D893" s="298" t="n"/>
      <c r="E893" s="291" t="n"/>
      <c r="F893" s="291" t="n"/>
      <c r="G893" s="297" t="n"/>
      <c r="H893" s="298" t="n"/>
    </row>
    <row r="894" ht="13" customHeight="1" s="189">
      <c r="A894" s="297" t="n"/>
      <c r="B894" s="291" t="n"/>
      <c r="C894" s="289" t="n"/>
      <c r="D894" s="298" t="n"/>
      <c r="E894" s="291" t="n"/>
      <c r="F894" s="291" t="n"/>
      <c r="G894" s="297" t="n"/>
      <c r="H894" s="298" t="n"/>
    </row>
    <row r="895" ht="13" customHeight="1" s="189">
      <c r="A895" s="297" t="n"/>
      <c r="B895" s="291" t="n"/>
      <c r="C895" s="289" t="n"/>
      <c r="D895" s="298" t="n"/>
      <c r="E895" s="291" t="n"/>
      <c r="F895" s="291" t="n"/>
      <c r="G895" s="297" t="n"/>
      <c r="H895" s="298" t="n"/>
    </row>
    <row r="896" ht="13" customHeight="1" s="189">
      <c r="A896" s="297" t="n"/>
      <c r="B896" s="291" t="n"/>
      <c r="C896" s="289" t="n"/>
      <c r="D896" s="298" t="n"/>
      <c r="E896" s="291" t="n"/>
      <c r="F896" s="291" t="n"/>
      <c r="G896" s="297" t="n"/>
      <c r="H896" s="298" t="n"/>
    </row>
    <row r="897" ht="13" customHeight="1" s="189">
      <c r="A897" s="297" t="n"/>
      <c r="B897" s="291" t="n"/>
      <c r="C897" s="289" t="n"/>
      <c r="D897" s="298" t="n"/>
      <c r="E897" s="291" t="n"/>
      <c r="F897" s="291" t="n"/>
      <c r="G897" s="297" t="n"/>
      <c r="H897" s="298" t="n"/>
    </row>
    <row r="898" ht="13" customHeight="1" s="189">
      <c r="A898" s="297" t="n"/>
      <c r="B898" s="291" t="n"/>
      <c r="C898" s="289" t="n"/>
      <c r="D898" s="298" t="n"/>
      <c r="E898" s="291" t="n"/>
      <c r="F898" s="291" t="n"/>
      <c r="G898" s="297" t="n"/>
      <c r="H898" s="298" t="n"/>
    </row>
    <row r="899" ht="13" customHeight="1" s="189">
      <c r="A899" s="297" t="n"/>
      <c r="B899" s="291" t="n"/>
      <c r="C899" s="289" t="n"/>
      <c r="D899" s="298" t="n"/>
      <c r="E899" s="291" t="n"/>
      <c r="F899" s="291" t="n"/>
      <c r="G899" s="297" t="n"/>
      <c r="H899" s="298" t="n"/>
    </row>
    <row r="900" ht="13" customHeight="1" s="189">
      <c r="A900" s="297" t="n"/>
      <c r="B900" s="291" t="n"/>
      <c r="C900" s="289" t="n"/>
      <c r="D900" s="298" t="n"/>
      <c r="E900" s="291" t="n"/>
      <c r="F900" s="291" t="n"/>
      <c r="G900" s="297" t="n"/>
      <c r="H900" s="298" t="n"/>
    </row>
    <row r="901" ht="13" customHeight="1" s="189">
      <c r="A901" s="297" t="n"/>
      <c r="B901" s="291" t="n"/>
      <c r="C901" s="289" t="n"/>
      <c r="D901" s="298" t="n"/>
      <c r="E901" s="291" t="n"/>
      <c r="F901" s="291" t="n"/>
      <c r="G901" s="297" t="n"/>
      <c r="H901" s="298" t="n"/>
    </row>
    <row r="902" ht="13" customHeight="1" s="189">
      <c r="A902" s="297" t="n"/>
      <c r="B902" s="291" t="n"/>
      <c r="C902" s="289" t="n"/>
      <c r="D902" s="298" t="n"/>
      <c r="E902" s="291" t="n"/>
      <c r="F902" s="291" t="n"/>
      <c r="G902" s="297" t="n"/>
      <c r="H902" s="298" t="n"/>
    </row>
    <row r="903" ht="13" customHeight="1" s="189">
      <c r="A903" s="297" t="n"/>
      <c r="B903" s="291" t="n"/>
      <c r="C903" s="289" t="n"/>
      <c r="D903" s="298" t="n"/>
      <c r="E903" s="291" t="n"/>
      <c r="F903" s="291" t="n"/>
      <c r="G903" s="297" t="n"/>
      <c r="H903" s="298" t="n"/>
    </row>
    <row r="904" ht="13" customHeight="1" s="189">
      <c r="A904" s="297" t="n"/>
      <c r="B904" s="291" t="n"/>
      <c r="C904" s="289" t="n"/>
      <c r="D904" s="298" t="n"/>
      <c r="E904" s="291" t="n"/>
      <c r="F904" s="291" t="n"/>
      <c r="G904" s="297" t="n"/>
      <c r="H904" s="298" t="n"/>
    </row>
    <row r="905" ht="13" customHeight="1" s="189">
      <c r="A905" s="297" t="n"/>
      <c r="B905" s="291" t="n"/>
      <c r="C905" s="289" t="n"/>
      <c r="D905" s="298" t="n"/>
      <c r="E905" s="291" t="n"/>
      <c r="F905" s="291" t="n"/>
      <c r="G905" s="297" t="n"/>
      <c r="H905" s="298" t="n"/>
    </row>
    <row r="906" ht="13" customHeight="1" s="189">
      <c r="A906" s="297" t="n"/>
      <c r="B906" s="291" t="n"/>
      <c r="C906" s="289" t="n"/>
      <c r="D906" s="298" t="n"/>
      <c r="E906" s="291" t="n"/>
      <c r="F906" s="291" t="n"/>
      <c r="G906" s="297" t="n"/>
      <c r="H906" s="298" t="n"/>
    </row>
    <row r="907" ht="13" customHeight="1" s="189">
      <c r="A907" s="297" t="n"/>
      <c r="B907" s="291" t="n"/>
      <c r="C907" s="289" t="n"/>
      <c r="D907" s="298" t="n"/>
      <c r="E907" s="291" t="n"/>
      <c r="F907" s="291" t="n"/>
      <c r="G907" s="297" t="n"/>
      <c r="H907" s="298" t="n"/>
    </row>
    <row r="908" ht="13" customHeight="1" s="189">
      <c r="A908" s="297" t="n"/>
      <c r="B908" s="291" t="n"/>
      <c r="C908" s="289" t="n"/>
      <c r="D908" s="298" t="n"/>
      <c r="E908" s="291" t="n"/>
      <c r="F908" s="291" t="n"/>
      <c r="G908" s="297" t="n"/>
      <c r="H908" s="298" t="n"/>
    </row>
    <row r="909" ht="13" customHeight="1" s="189">
      <c r="A909" s="297" t="n"/>
      <c r="B909" s="291" t="n"/>
      <c r="C909" s="289" t="n"/>
      <c r="D909" s="298" t="n"/>
      <c r="E909" s="291" t="n"/>
      <c r="F909" s="291" t="n"/>
      <c r="G909" s="297" t="n"/>
      <c r="H909" s="298" t="n"/>
    </row>
    <row r="910" ht="13" customHeight="1" s="189">
      <c r="A910" s="297" t="n"/>
      <c r="B910" s="291" t="n"/>
      <c r="C910" s="289" t="n"/>
      <c r="D910" s="298" t="n"/>
      <c r="E910" s="291" t="n"/>
      <c r="F910" s="291" t="n"/>
      <c r="G910" s="297" t="n"/>
      <c r="H910" s="298" t="n"/>
    </row>
    <row r="911" ht="13" customHeight="1" s="189">
      <c r="A911" s="297" t="n"/>
      <c r="B911" s="291" t="n"/>
      <c r="C911" s="289" t="n"/>
      <c r="D911" s="298" t="n"/>
      <c r="E911" s="291" t="n"/>
      <c r="F911" s="291" t="n"/>
      <c r="G911" s="297" t="n"/>
      <c r="H911" s="298" t="n"/>
    </row>
    <row r="912" ht="13" customHeight="1" s="189">
      <c r="A912" s="297" t="n"/>
      <c r="B912" s="291" t="n"/>
      <c r="C912" s="289" t="n"/>
      <c r="D912" s="298" t="n"/>
      <c r="E912" s="291" t="n"/>
      <c r="F912" s="291" t="n"/>
      <c r="G912" s="297" t="n"/>
      <c r="H912" s="298" t="n"/>
    </row>
    <row r="913" ht="13" customHeight="1" s="189">
      <c r="A913" s="297" t="n"/>
      <c r="B913" s="291" t="n"/>
      <c r="C913" s="289" t="n"/>
      <c r="D913" s="298" t="n"/>
      <c r="E913" s="291" t="n"/>
      <c r="F913" s="291" t="n"/>
      <c r="G913" s="297" t="n"/>
      <c r="H913" s="298" t="n"/>
    </row>
    <row r="914" ht="13" customHeight="1" s="189">
      <c r="A914" s="297" t="n"/>
      <c r="B914" s="291" t="n"/>
      <c r="C914" s="289" t="n"/>
      <c r="D914" s="298" t="n"/>
      <c r="E914" s="291" t="n"/>
      <c r="F914" s="291" t="n"/>
      <c r="G914" s="297" t="n"/>
      <c r="H914" s="298" t="n"/>
    </row>
    <row r="915" ht="13" customHeight="1" s="189">
      <c r="A915" s="297" t="n"/>
      <c r="B915" s="291" t="n"/>
      <c r="C915" s="289" t="n"/>
      <c r="D915" s="298" t="n"/>
      <c r="E915" s="291" t="n"/>
      <c r="F915" s="291" t="n"/>
      <c r="G915" s="297" t="n"/>
      <c r="H915" s="298" t="n"/>
    </row>
    <row r="916" ht="13" customHeight="1" s="189">
      <c r="A916" s="297" t="n"/>
      <c r="B916" s="291" t="n"/>
      <c r="C916" s="289" t="n"/>
      <c r="D916" s="298" t="n"/>
      <c r="E916" s="291" t="n"/>
      <c r="F916" s="291" t="n"/>
      <c r="G916" s="297" t="n"/>
      <c r="H916" s="298" t="n"/>
    </row>
    <row r="917" ht="13" customHeight="1" s="189">
      <c r="A917" s="297" t="n"/>
      <c r="B917" s="291" t="n"/>
      <c r="C917" s="289" t="n"/>
      <c r="D917" s="298" t="n"/>
      <c r="E917" s="291" t="n"/>
      <c r="F917" s="291" t="n"/>
      <c r="G917" s="297" t="n"/>
      <c r="H917" s="298" t="n"/>
    </row>
    <row r="918" ht="13" customHeight="1" s="189">
      <c r="A918" s="297" t="n"/>
      <c r="B918" s="291" t="n"/>
      <c r="C918" s="289" t="n"/>
      <c r="D918" s="298" t="n"/>
      <c r="E918" s="291" t="n"/>
      <c r="F918" s="291" t="n"/>
      <c r="G918" s="297" t="n"/>
      <c r="H918" s="298" t="n"/>
    </row>
    <row r="919" ht="13" customHeight="1" s="189">
      <c r="A919" s="297" t="n"/>
      <c r="B919" s="291" t="n"/>
      <c r="C919" s="289" t="n"/>
      <c r="D919" s="298" t="n"/>
      <c r="E919" s="291" t="n"/>
      <c r="F919" s="291" t="n"/>
      <c r="G919" s="297" t="n"/>
      <c r="H919" s="298" t="n"/>
    </row>
    <row r="920" ht="13" customHeight="1" s="189">
      <c r="A920" s="297" t="n"/>
      <c r="B920" s="291" t="n"/>
      <c r="C920" s="289" t="n"/>
      <c r="D920" s="298" t="n"/>
      <c r="E920" s="291" t="n"/>
      <c r="F920" s="291" t="n"/>
      <c r="G920" s="297" t="n"/>
      <c r="H920" s="298" t="n"/>
    </row>
    <row r="921" ht="13" customHeight="1" s="189">
      <c r="A921" s="297" t="n"/>
      <c r="B921" s="291" t="n"/>
      <c r="C921" s="289" t="n"/>
      <c r="D921" s="298" t="n"/>
      <c r="E921" s="291" t="n"/>
      <c r="F921" s="291" t="n"/>
      <c r="G921" s="297" t="n"/>
      <c r="H921" s="298" t="n"/>
    </row>
    <row r="922" ht="13" customHeight="1" s="189">
      <c r="A922" s="297" t="n"/>
      <c r="B922" s="291" t="n"/>
      <c r="C922" s="289" t="n"/>
      <c r="D922" s="298" t="n"/>
      <c r="E922" s="291" t="n"/>
      <c r="F922" s="291" t="n"/>
      <c r="G922" s="297" t="n"/>
      <c r="H922" s="298" t="n"/>
    </row>
    <row r="923" ht="13" customHeight="1" s="189">
      <c r="A923" s="297" t="n"/>
      <c r="B923" s="291" t="n"/>
      <c r="C923" s="289" t="n"/>
      <c r="D923" s="298" t="n"/>
      <c r="E923" s="291" t="n"/>
      <c r="F923" s="291" t="n"/>
      <c r="G923" s="297" t="n"/>
      <c r="H923" s="298" t="n"/>
    </row>
    <row r="924" ht="13" customHeight="1" s="189">
      <c r="A924" s="297" t="n"/>
      <c r="B924" s="291" t="n"/>
      <c r="C924" s="289" t="n"/>
      <c r="D924" s="298" t="n"/>
      <c r="E924" s="291" t="n"/>
      <c r="F924" s="291" t="n"/>
      <c r="G924" s="297" t="n"/>
      <c r="H924" s="298" t="n"/>
    </row>
    <row r="925" ht="13" customHeight="1" s="189">
      <c r="A925" s="297" t="n"/>
      <c r="B925" s="291" t="n"/>
      <c r="C925" s="289" t="n"/>
      <c r="D925" s="298" t="n"/>
      <c r="E925" s="291" t="n"/>
      <c r="F925" s="291" t="n"/>
      <c r="G925" s="297" t="n"/>
      <c r="H925" s="298" t="n"/>
    </row>
    <row r="926" ht="13" customHeight="1" s="189">
      <c r="A926" s="297" t="n"/>
      <c r="B926" s="291" t="n"/>
      <c r="C926" s="289" t="n"/>
      <c r="D926" s="298" t="n"/>
      <c r="E926" s="291" t="n"/>
      <c r="F926" s="291" t="n"/>
      <c r="G926" s="297" t="n"/>
      <c r="H926" s="298" t="n"/>
    </row>
    <row r="927" ht="13" customHeight="1" s="189">
      <c r="A927" s="297" t="n"/>
      <c r="B927" s="291" t="n"/>
      <c r="C927" s="289" t="n"/>
      <c r="D927" s="298" t="n"/>
      <c r="E927" s="291" t="n"/>
      <c r="F927" s="291" t="n"/>
      <c r="G927" s="297" t="n"/>
      <c r="H927" s="298" t="n"/>
    </row>
    <row r="928" ht="13" customHeight="1" s="189">
      <c r="A928" s="297" t="n"/>
      <c r="B928" s="291" t="n"/>
      <c r="C928" s="289" t="n"/>
      <c r="D928" s="298" t="n"/>
      <c r="E928" s="291" t="n"/>
      <c r="F928" s="291" t="n"/>
      <c r="G928" s="297" t="n"/>
      <c r="H928" s="298" t="n"/>
    </row>
    <row r="929" ht="13" customHeight="1" s="189">
      <c r="A929" s="297" t="n"/>
      <c r="B929" s="291" t="n"/>
      <c r="C929" s="289" t="n"/>
      <c r="D929" s="298" t="n"/>
      <c r="E929" s="291" t="n"/>
      <c r="F929" s="291" t="n"/>
      <c r="G929" s="297" t="n"/>
      <c r="H929" s="298" t="n"/>
    </row>
    <row r="930" ht="13" customHeight="1" s="189">
      <c r="A930" s="297" t="n"/>
      <c r="B930" s="291" t="n"/>
      <c r="C930" s="289" t="n"/>
      <c r="D930" s="298" t="n"/>
      <c r="E930" s="291" t="n"/>
      <c r="F930" s="291" t="n"/>
      <c r="G930" s="297" t="n"/>
      <c r="H930" s="298" t="n"/>
    </row>
    <row r="931" ht="13" customHeight="1" s="189">
      <c r="A931" s="297" t="n"/>
      <c r="B931" s="291" t="n"/>
      <c r="C931" s="289" t="n"/>
      <c r="D931" s="298" t="n"/>
      <c r="E931" s="291" t="n"/>
      <c r="F931" s="291" t="n"/>
      <c r="G931" s="297" t="n"/>
      <c r="H931" s="298" t="n"/>
    </row>
    <row r="932" ht="13" customHeight="1" s="189">
      <c r="A932" s="297" t="n"/>
      <c r="B932" s="291" t="n"/>
      <c r="C932" s="289" t="n"/>
      <c r="D932" s="298" t="n"/>
      <c r="E932" s="291" t="n"/>
      <c r="F932" s="291" t="n"/>
      <c r="G932" s="297" t="n"/>
      <c r="H932" s="298" t="n"/>
    </row>
    <row r="933" ht="13" customHeight="1" s="189">
      <c r="A933" s="297" t="n"/>
      <c r="B933" s="291" t="n"/>
      <c r="C933" s="289" t="n"/>
      <c r="D933" s="298" t="n"/>
      <c r="E933" s="291" t="n"/>
      <c r="F933" s="291" t="n"/>
      <c r="G933" s="297" t="n"/>
      <c r="H933" s="298" t="n"/>
    </row>
    <row r="934" ht="13" customHeight="1" s="189">
      <c r="A934" s="297" t="n"/>
      <c r="B934" s="291" t="n"/>
      <c r="C934" s="289" t="n"/>
      <c r="D934" s="298" t="n"/>
      <c r="E934" s="291" t="n"/>
      <c r="F934" s="291" t="n"/>
      <c r="G934" s="297" t="n"/>
      <c r="H934" s="298" t="n"/>
    </row>
    <row r="935" ht="13" customHeight="1" s="189">
      <c r="A935" s="297" t="n"/>
      <c r="B935" s="291" t="n"/>
      <c r="C935" s="289" t="n"/>
      <c r="D935" s="298" t="n"/>
      <c r="E935" s="291" t="n"/>
      <c r="F935" s="291" t="n"/>
      <c r="G935" s="297" t="n"/>
      <c r="H935" s="298" t="n"/>
    </row>
    <row r="936" ht="13" customHeight="1" s="189">
      <c r="A936" s="297" t="n"/>
      <c r="B936" s="291" t="n"/>
      <c r="C936" s="289" t="n"/>
      <c r="D936" s="298" t="n"/>
      <c r="E936" s="291" t="n"/>
      <c r="F936" s="291" t="n"/>
      <c r="G936" s="297" t="n"/>
      <c r="H936" s="298" t="n"/>
    </row>
    <row r="937" ht="13" customHeight="1" s="189">
      <c r="A937" s="297" t="n"/>
      <c r="B937" s="291" t="n"/>
      <c r="C937" s="289" t="n"/>
      <c r="D937" s="298" t="n"/>
      <c r="E937" s="291" t="n"/>
      <c r="F937" s="291" t="n"/>
      <c r="G937" s="297" t="n"/>
      <c r="H937" s="298" t="n"/>
    </row>
    <row r="938" ht="13" customHeight="1" s="189">
      <c r="A938" s="297" t="n"/>
      <c r="B938" s="291" t="n"/>
      <c r="C938" s="289" t="n"/>
      <c r="D938" s="298" t="n"/>
      <c r="E938" s="291" t="n"/>
      <c r="F938" s="291" t="n"/>
      <c r="G938" s="297" t="n"/>
      <c r="H938" s="298" t="n"/>
    </row>
    <row r="939" ht="13" customHeight="1" s="189">
      <c r="A939" s="297" t="n"/>
      <c r="B939" s="291" t="n"/>
      <c r="C939" s="289" t="n"/>
      <c r="D939" s="298" t="n"/>
      <c r="E939" s="291" t="n"/>
      <c r="F939" s="291" t="n"/>
      <c r="G939" s="297" t="n"/>
      <c r="H939" s="298" t="n"/>
    </row>
    <row r="940" ht="13" customHeight="1" s="189">
      <c r="A940" s="297" t="n"/>
      <c r="B940" s="291" t="n"/>
      <c r="C940" s="289" t="n"/>
      <c r="D940" s="298" t="n"/>
      <c r="E940" s="291" t="n"/>
      <c r="F940" s="291" t="n"/>
      <c r="G940" s="297" t="n"/>
      <c r="H940" s="298" t="n"/>
    </row>
    <row r="941" ht="13" customHeight="1" s="189">
      <c r="A941" s="297" t="n"/>
      <c r="B941" s="291" t="n"/>
      <c r="C941" s="289" t="n"/>
      <c r="D941" s="298" t="n"/>
      <c r="E941" s="291" t="n"/>
      <c r="F941" s="291" t="n"/>
      <c r="G941" s="297" t="n"/>
      <c r="H941" s="298" t="n"/>
    </row>
    <row r="942" ht="13" customHeight="1" s="189">
      <c r="A942" s="297" t="n"/>
      <c r="B942" s="291" t="n"/>
      <c r="C942" s="289" t="n"/>
      <c r="D942" s="298" t="n"/>
      <c r="E942" s="291" t="n"/>
      <c r="F942" s="291" t="n"/>
      <c r="G942" s="297" t="n"/>
      <c r="H942" s="298" t="n"/>
    </row>
    <row r="943" ht="13" customHeight="1" s="189">
      <c r="A943" s="297" t="n"/>
      <c r="B943" s="291" t="n"/>
      <c r="C943" s="289" t="n"/>
      <c r="D943" s="298" t="n"/>
      <c r="E943" s="291" t="n"/>
      <c r="F943" s="291" t="n"/>
      <c r="G943" s="297" t="n"/>
      <c r="H943" s="298" t="n"/>
    </row>
    <row r="944" ht="13" customHeight="1" s="189">
      <c r="A944" s="297" t="n"/>
      <c r="B944" s="291" t="n"/>
      <c r="C944" s="289" t="n"/>
      <c r="D944" s="298" t="n"/>
      <c r="E944" s="291" t="n"/>
      <c r="F944" s="291" t="n"/>
      <c r="G944" s="297" t="n"/>
      <c r="H944" s="298" t="n"/>
    </row>
    <row r="945" ht="13" customHeight="1" s="189">
      <c r="A945" s="297" t="n"/>
      <c r="B945" s="291" t="n"/>
      <c r="C945" s="289" t="n"/>
      <c r="D945" s="298" t="n"/>
      <c r="E945" s="291" t="n"/>
      <c r="F945" s="291" t="n"/>
      <c r="G945" s="297" t="n"/>
      <c r="H945" s="298" t="n"/>
    </row>
    <row r="946" ht="13" customHeight="1" s="189">
      <c r="A946" s="297" t="n"/>
      <c r="B946" s="291" t="n"/>
      <c r="C946" s="289" t="n"/>
      <c r="D946" s="298" t="n"/>
      <c r="E946" s="291" t="n"/>
      <c r="F946" s="291" t="n"/>
      <c r="G946" s="297" t="n"/>
      <c r="H946" s="298" t="n"/>
    </row>
    <row r="947" ht="13" customHeight="1" s="189">
      <c r="A947" s="297" t="n"/>
      <c r="B947" s="291" t="n"/>
      <c r="C947" s="289" t="n"/>
      <c r="D947" s="298" t="n"/>
      <c r="E947" s="291" t="n"/>
      <c r="F947" s="291" t="n"/>
      <c r="G947" s="297" t="n"/>
      <c r="H947" s="298" t="n"/>
    </row>
    <row r="948" ht="13" customHeight="1" s="189">
      <c r="A948" s="297" t="n"/>
      <c r="B948" s="291" t="n"/>
      <c r="C948" s="289" t="n"/>
      <c r="D948" s="298" t="n"/>
      <c r="E948" s="291" t="n"/>
      <c r="F948" s="291" t="n"/>
      <c r="G948" s="297" t="n"/>
      <c r="H948" s="298" t="n"/>
    </row>
    <row r="949" ht="13" customHeight="1" s="189">
      <c r="A949" s="297" t="n"/>
      <c r="B949" s="291" t="n"/>
      <c r="C949" s="289" t="n"/>
      <c r="D949" s="298" t="n"/>
      <c r="E949" s="291" t="n"/>
      <c r="F949" s="291" t="n"/>
      <c r="G949" s="297" t="n"/>
      <c r="H949" s="298" t="n"/>
    </row>
    <row r="950" ht="13" customHeight="1" s="189">
      <c r="A950" s="297" t="n"/>
      <c r="B950" s="291" t="n"/>
      <c r="C950" s="289" t="n"/>
      <c r="D950" s="298" t="n"/>
      <c r="E950" s="291" t="n"/>
      <c r="F950" s="291" t="n"/>
      <c r="G950" s="297" t="n"/>
      <c r="H950" s="298" t="n"/>
    </row>
    <row r="951" ht="13" customHeight="1" s="189">
      <c r="A951" s="297" t="n"/>
      <c r="B951" s="291" t="n"/>
      <c r="C951" s="289" t="n"/>
      <c r="D951" s="298" t="n"/>
      <c r="E951" s="291" t="n"/>
      <c r="F951" s="291" t="n"/>
      <c r="G951" s="297" t="n"/>
      <c r="H951" s="298" t="n"/>
    </row>
    <row r="952" ht="13" customHeight="1" s="189">
      <c r="A952" s="297" t="n"/>
      <c r="B952" s="291" t="n"/>
      <c r="C952" s="289" t="n"/>
      <c r="D952" s="298" t="n"/>
      <c r="E952" s="291" t="n"/>
      <c r="F952" s="291" t="n"/>
      <c r="G952" s="297" t="n"/>
      <c r="H952" s="298" t="n"/>
    </row>
    <row r="953" ht="13" customHeight="1" s="189">
      <c r="A953" s="297" t="n"/>
      <c r="B953" s="291" t="n"/>
      <c r="C953" s="289" t="n"/>
      <c r="D953" s="298" t="n"/>
      <c r="E953" s="291" t="n"/>
      <c r="F953" s="291" t="n"/>
      <c r="G953" s="297" t="n"/>
      <c r="H953" s="298" t="n"/>
    </row>
    <row r="954" ht="13" customHeight="1" s="189">
      <c r="A954" s="297" t="n"/>
      <c r="B954" s="291" t="n"/>
      <c r="C954" s="289" t="n"/>
      <c r="D954" s="298" t="n"/>
      <c r="E954" s="291" t="n"/>
      <c r="F954" s="291" t="n"/>
      <c r="G954" s="297" t="n"/>
      <c r="H954" s="298" t="n"/>
    </row>
    <row r="955" ht="13" customHeight="1" s="189">
      <c r="A955" s="297" t="n"/>
      <c r="B955" s="291" t="n"/>
      <c r="C955" s="289" t="n"/>
      <c r="D955" s="298" t="n"/>
      <c r="E955" s="291" t="n"/>
      <c r="F955" s="291" t="n"/>
      <c r="G955" s="297" t="n"/>
      <c r="H955" s="298" t="n"/>
    </row>
    <row r="956" ht="13" customHeight="1" s="189">
      <c r="A956" s="297" t="n"/>
      <c r="B956" s="291" t="n"/>
      <c r="C956" s="289" t="n"/>
      <c r="D956" s="298" t="n"/>
      <c r="E956" s="291" t="n"/>
      <c r="F956" s="291" t="n"/>
      <c r="G956" s="297" t="n"/>
      <c r="H956" s="298" t="n"/>
    </row>
    <row r="957" ht="13" customHeight="1" s="189">
      <c r="A957" s="297" t="n"/>
      <c r="B957" s="291" t="n"/>
      <c r="C957" s="289" t="n"/>
      <c r="D957" s="298" t="n"/>
      <c r="E957" s="291" t="n"/>
      <c r="F957" s="291" t="n"/>
      <c r="G957" s="297" t="n"/>
      <c r="H957" s="298" t="n"/>
    </row>
    <row r="958" ht="13" customHeight="1" s="189">
      <c r="A958" s="297" t="n"/>
      <c r="B958" s="291" t="n"/>
      <c r="C958" s="289" t="n"/>
      <c r="D958" s="298" t="n"/>
      <c r="E958" s="291" t="n"/>
      <c r="F958" s="291" t="n"/>
      <c r="G958" s="297" t="n"/>
      <c r="H958" s="298" t="n"/>
    </row>
    <row r="959" ht="13" customHeight="1" s="189">
      <c r="A959" s="297" t="n"/>
      <c r="B959" s="291" t="n"/>
      <c r="C959" s="289" t="n"/>
      <c r="D959" s="298" t="n"/>
      <c r="E959" s="291" t="n"/>
      <c r="F959" s="291" t="n"/>
      <c r="G959" s="297" t="n"/>
      <c r="H959" s="298" t="n"/>
    </row>
    <row r="960" ht="13" customHeight="1" s="189">
      <c r="A960" s="297" t="n"/>
      <c r="B960" s="291" t="n"/>
      <c r="C960" s="289" t="n"/>
      <c r="D960" s="298" t="n"/>
      <c r="E960" s="291" t="n"/>
      <c r="F960" s="291" t="n"/>
      <c r="G960" s="297" t="n"/>
      <c r="H960" s="298" t="n"/>
    </row>
    <row r="961" ht="13" customHeight="1" s="189">
      <c r="A961" s="297" t="n"/>
      <c r="B961" s="291" t="n"/>
      <c r="C961" s="289" t="n"/>
      <c r="D961" s="298" t="n"/>
      <c r="E961" s="291" t="n"/>
      <c r="F961" s="291" t="n"/>
      <c r="G961" s="297" t="n"/>
      <c r="H961" s="298" t="n"/>
    </row>
    <row r="962" ht="13" customHeight="1" s="189">
      <c r="A962" s="297" t="n"/>
      <c r="B962" s="291" t="n"/>
      <c r="C962" s="289" t="n"/>
      <c r="D962" s="298" t="n"/>
      <c r="E962" s="291" t="n"/>
      <c r="F962" s="291" t="n"/>
      <c r="G962" s="297" t="n"/>
      <c r="H962" s="298" t="n"/>
    </row>
    <row r="963" ht="13" customHeight="1" s="189">
      <c r="A963" s="297" t="n"/>
      <c r="B963" s="291" t="n"/>
      <c r="C963" s="289" t="n"/>
      <c r="D963" s="298" t="n"/>
      <c r="E963" s="291" t="n"/>
      <c r="F963" s="291" t="n"/>
      <c r="G963" s="297" t="n"/>
      <c r="H963" s="298" t="n"/>
    </row>
    <row r="964" ht="13" customHeight="1" s="189">
      <c r="A964" s="297" t="n"/>
      <c r="B964" s="291" t="n"/>
      <c r="C964" s="289" t="n"/>
      <c r="D964" s="298" t="n"/>
      <c r="E964" s="291" t="n"/>
      <c r="F964" s="291" t="n"/>
      <c r="G964" s="297" t="n"/>
      <c r="H964" s="298" t="n"/>
    </row>
    <row r="965" ht="13" customHeight="1" s="189">
      <c r="A965" s="297" t="n"/>
      <c r="B965" s="291" t="n"/>
      <c r="C965" s="289" t="n"/>
      <c r="D965" s="298" t="n"/>
      <c r="E965" s="291" t="n"/>
      <c r="F965" s="291" t="n"/>
      <c r="G965" s="297" t="n"/>
      <c r="H965" s="298" t="n"/>
    </row>
    <row r="966" ht="13" customHeight="1" s="189">
      <c r="A966" s="297" t="n"/>
      <c r="B966" s="291" t="n"/>
      <c r="C966" s="289" t="n"/>
      <c r="D966" s="298" t="n"/>
      <c r="E966" s="291" t="n"/>
      <c r="F966" s="291" t="n"/>
      <c r="G966" s="297" t="n"/>
      <c r="H966" s="298" t="n"/>
    </row>
    <row r="967" ht="13" customHeight="1" s="189">
      <c r="A967" s="297" t="n"/>
      <c r="B967" s="291" t="n"/>
      <c r="C967" s="289" t="n"/>
      <c r="D967" s="298" t="n"/>
      <c r="E967" s="291" t="n"/>
      <c r="F967" s="291" t="n"/>
      <c r="G967" s="297" t="n"/>
      <c r="H967" s="298" t="n"/>
    </row>
    <row r="968" ht="13" customHeight="1" s="189">
      <c r="A968" s="297" t="n"/>
      <c r="B968" s="291" t="n"/>
      <c r="C968" s="289" t="n"/>
      <c r="D968" s="298" t="n"/>
      <c r="E968" s="291" t="n"/>
      <c r="F968" s="291" t="n"/>
      <c r="G968" s="297" t="n"/>
      <c r="H968" s="298" t="n"/>
    </row>
    <row r="969" ht="13" customHeight="1" s="189">
      <c r="A969" s="297" t="n"/>
      <c r="B969" s="291" t="n"/>
      <c r="C969" s="289" t="n"/>
      <c r="D969" s="298" t="n"/>
      <c r="E969" s="291" t="n"/>
      <c r="F969" s="291" t="n"/>
      <c r="G969" s="297" t="n"/>
      <c r="H969" s="298" t="n"/>
    </row>
    <row r="970" ht="13" customHeight="1" s="189">
      <c r="A970" s="297" t="n"/>
      <c r="B970" s="291" t="n"/>
      <c r="C970" s="289" t="n"/>
      <c r="D970" s="298" t="n"/>
      <c r="E970" s="291" t="n"/>
      <c r="F970" s="291" t="n"/>
      <c r="G970" s="297" t="n"/>
      <c r="H970" s="298" t="n"/>
    </row>
    <row r="971" ht="13" customHeight="1" s="189">
      <c r="A971" s="297" t="n"/>
      <c r="B971" s="291" t="n"/>
      <c r="C971" s="289" t="n"/>
      <c r="D971" s="298" t="n"/>
      <c r="E971" s="291" t="n"/>
      <c r="F971" s="291" t="n"/>
      <c r="G971" s="297" t="n"/>
      <c r="H971" s="298" t="n"/>
    </row>
    <row r="972" ht="13" customHeight="1" s="189">
      <c r="A972" s="297" t="n"/>
      <c r="B972" s="291" t="n"/>
      <c r="C972" s="289" t="n"/>
      <c r="D972" s="298" t="n"/>
      <c r="E972" s="291" t="n"/>
      <c r="F972" s="291" t="n"/>
      <c r="G972" s="297" t="n"/>
      <c r="H972" s="298" t="n"/>
    </row>
    <row r="973" ht="13" customHeight="1" s="189">
      <c r="A973" s="297" t="n"/>
      <c r="B973" s="291" t="n"/>
      <c r="C973" s="289" t="n"/>
      <c r="D973" s="298" t="n"/>
      <c r="E973" s="291" t="n"/>
      <c r="F973" s="291" t="n"/>
      <c r="G973" s="297" t="n"/>
      <c r="H973" s="298" t="n"/>
    </row>
    <row r="974" ht="13" customHeight="1" s="189">
      <c r="A974" s="297" t="n"/>
      <c r="B974" s="291" t="n"/>
      <c r="C974" s="289" t="n"/>
      <c r="D974" s="298" t="n"/>
      <c r="E974" s="291" t="n"/>
      <c r="F974" s="291" t="n"/>
      <c r="G974" s="297" t="n"/>
      <c r="H974" s="298" t="n"/>
    </row>
    <row r="975" ht="13" customHeight="1" s="189">
      <c r="A975" s="297" t="n"/>
      <c r="B975" s="291" t="n"/>
      <c r="C975" s="289" t="n"/>
      <c r="D975" s="298" t="n"/>
      <c r="E975" s="291" t="n"/>
      <c r="F975" s="291" t="n"/>
      <c r="G975" s="297" t="n"/>
      <c r="H975" s="298" t="n"/>
    </row>
    <row r="976" ht="13" customHeight="1" s="189">
      <c r="A976" s="297" t="n"/>
      <c r="B976" s="291" t="n"/>
      <c r="C976" s="289" t="n"/>
      <c r="D976" s="298" t="n"/>
      <c r="E976" s="291" t="n"/>
      <c r="F976" s="291" t="n"/>
      <c r="G976" s="297" t="n"/>
      <c r="H976" s="298" t="n"/>
    </row>
    <row r="977" ht="13" customHeight="1" s="189">
      <c r="A977" s="297" t="n"/>
      <c r="B977" s="291" t="n"/>
      <c r="C977" s="289" t="n"/>
      <c r="D977" s="298" t="n"/>
      <c r="E977" s="291" t="n"/>
      <c r="F977" s="291" t="n"/>
      <c r="G977" s="297" t="n"/>
      <c r="H977" s="298" t="n"/>
    </row>
    <row r="978" ht="13" customHeight="1" s="189">
      <c r="A978" s="297" t="n"/>
      <c r="B978" s="291" t="n"/>
      <c r="C978" s="289" t="n"/>
      <c r="D978" s="298" t="n"/>
      <c r="E978" s="291" t="n"/>
      <c r="F978" s="291" t="n"/>
      <c r="G978" s="297" t="n"/>
      <c r="H978" s="298" t="n"/>
    </row>
    <row r="979" ht="13" customHeight="1" s="189">
      <c r="A979" s="297" t="n"/>
      <c r="B979" s="291" t="n"/>
      <c r="C979" s="289" t="n"/>
      <c r="D979" s="298" t="n"/>
      <c r="E979" s="291" t="n"/>
      <c r="F979" s="291" t="n"/>
      <c r="G979" s="297" t="n"/>
      <c r="H979" s="298" t="n"/>
    </row>
    <row r="980" ht="13" customHeight="1" s="189">
      <c r="A980" s="297" t="n"/>
      <c r="B980" s="291" t="n"/>
      <c r="C980" s="289" t="n"/>
      <c r="D980" s="298" t="n"/>
      <c r="E980" s="291" t="n"/>
      <c r="F980" s="291" t="n"/>
      <c r="G980" s="297" t="n"/>
      <c r="H980" s="298" t="n"/>
    </row>
    <row r="981" ht="13" customHeight="1" s="189">
      <c r="A981" s="297" t="n"/>
      <c r="B981" s="291" t="n"/>
      <c r="C981" s="289" t="n"/>
      <c r="D981" s="298" t="n"/>
      <c r="E981" s="291" t="n"/>
      <c r="F981" s="291" t="n"/>
      <c r="G981" s="297" t="n"/>
      <c r="H981" s="298" t="n"/>
    </row>
    <row r="982" ht="13" customHeight="1" s="189">
      <c r="A982" s="297" t="n"/>
      <c r="B982" s="291" t="n"/>
      <c r="C982" s="289" t="n"/>
      <c r="D982" s="298" t="n"/>
      <c r="E982" s="291" t="n"/>
      <c r="F982" s="291" t="n"/>
      <c r="G982" s="297" t="n"/>
      <c r="H982" s="298" t="n"/>
    </row>
    <row r="983" ht="13" customHeight="1" s="189">
      <c r="A983" s="297" t="n"/>
      <c r="B983" s="291" t="n"/>
      <c r="C983" s="289" t="n"/>
      <c r="D983" s="298" t="n"/>
      <c r="E983" s="291" t="n"/>
      <c r="F983" s="291" t="n"/>
      <c r="G983" s="297" t="n"/>
      <c r="H983" s="298" t="n"/>
    </row>
    <row r="984" ht="13" customHeight="1" s="189">
      <c r="A984" s="297" t="n"/>
      <c r="B984" s="291" t="n"/>
      <c r="C984" s="289" t="n"/>
      <c r="D984" s="298" t="n"/>
      <c r="E984" s="291" t="n"/>
      <c r="F984" s="291" t="n"/>
      <c r="G984" s="297" t="n"/>
      <c r="H984" s="298" t="n"/>
    </row>
    <row r="985" ht="13" customHeight="1" s="189">
      <c r="A985" s="297" t="n"/>
      <c r="B985" s="291" t="n"/>
      <c r="C985" s="289" t="n"/>
      <c r="D985" s="298" t="n"/>
      <c r="E985" s="291" t="n"/>
      <c r="F985" s="291" t="n"/>
      <c r="G985" s="297" t="n"/>
      <c r="H985" s="298" t="n"/>
    </row>
    <row r="986" ht="13" customHeight="1" s="189">
      <c r="A986" s="297" t="n"/>
      <c r="B986" s="291" t="n"/>
      <c r="C986" s="289" t="n"/>
      <c r="D986" s="298" t="n"/>
      <c r="E986" s="291" t="n"/>
      <c r="F986" s="291" t="n"/>
      <c r="G986" s="297" t="n"/>
      <c r="H986" s="298" t="n"/>
    </row>
    <row r="987" ht="13" customHeight="1" s="189">
      <c r="A987" s="297" t="n"/>
      <c r="B987" s="291" t="n"/>
      <c r="C987" s="289" t="n"/>
      <c r="D987" s="298" t="n"/>
      <c r="E987" s="291" t="n"/>
      <c r="F987" s="291" t="n"/>
      <c r="G987" s="297" t="n"/>
      <c r="H987" s="298" t="n"/>
    </row>
    <row r="988" ht="13" customHeight="1" s="189">
      <c r="A988" s="297" t="n"/>
      <c r="B988" s="291" t="n"/>
      <c r="C988" s="289" t="n"/>
      <c r="D988" s="298" t="n"/>
      <c r="E988" s="291" t="n"/>
      <c r="F988" s="291" t="n"/>
      <c r="G988" s="297" t="n"/>
      <c r="H988" s="298" t="n"/>
    </row>
    <row r="989" ht="13" customHeight="1" s="189">
      <c r="A989" s="297" t="n"/>
      <c r="B989" s="291" t="n"/>
      <c r="C989" s="289" t="n"/>
      <c r="D989" s="298" t="n"/>
      <c r="E989" s="291" t="n"/>
      <c r="F989" s="291" t="n"/>
      <c r="G989" s="297" t="n"/>
      <c r="H989" s="298" t="n"/>
    </row>
    <row r="990" ht="13" customHeight="1" s="189">
      <c r="A990" s="297" t="n"/>
      <c r="B990" s="291" t="n"/>
      <c r="C990" s="289" t="n"/>
      <c r="D990" s="298" t="n"/>
      <c r="E990" s="291" t="n"/>
      <c r="F990" s="291" t="n"/>
      <c r="G990" s="297" t="n"/>
      <c r="H990" s="298" t="n"/>
    </row>
    <row r="991" ht="13" customHeight="1" s="189">
      <c r="A991" s="297" t="n"/>
      <c r="B991" s="291" t="n"/>
      <c r="C991" s="289" t="n"/>
      <c r="D991" s="298" t="n"/>
      <c r="E991" s="291" t="n"/>
      <c r="F991" s="291" t="n"/>
      <c r="G991" s="297" t="n"/>
      <c r="H991" s="298" t="n"/>
    </row>
    <row r="992" ht="13" customHeight="1" s="189">
      <c r="A992" s="297" t="n"/>
      <c r="B992" s="291" t="n"/>
      <c r="C992" s="289" t="n"/>
      <c r="D992" s="298" t="n"/>
      <c r="E992" s="291" t="n"/>
      <c r="F992" s="291" t="n"/>
      <c r="G992" s="297" t="n"/>
      <c r="H992" s="298" t="n"/>
    </row>
    <row r="993" ht="13" customHeight="1" s="189">
      <c r="A993" s="297" t="n"/>
      <c r="B993" s="291" t="n"/>
      <c r="C993" s="289" t="n"/>
      <c r="D993" s="298" t="n"/>
      <c r="E993" s="291" t="n"/>
      <c r="F993" s="291" t="n"/>
      <c r="G993" s="297" t="n"/>
      <c r="H993" s="298" t="n"/>
    </row>
    <row r="994" ht="13" customHeight="1" s="189">
      <c r="A994" s="297" t="n"/>
      <c r="B994" s="291" t="n"/>
      <c r="C994" s="289" t="n"/>
      <c r="D994" s="298" t="n"/>
      <c r="E994" s="291" t="n"/>
      <c r="F994" s="291" t="n"/>
      <c r="G994" s="297" t="n"/>
      <c r="H994" s="298" t="n"/>
    </row>
    <row r="995" ht="13" customHeight="1" s="189">
      <c r="A995" s="297" t="n"/>
      <c r="B995" s="291" t="n"/>
      <c r="C995" s="289" t="n"/>
      <c r="D995" s="298" t="n"/>
      <c r="E995" s="291" t="n"/>
      <c r="F995" s="291" t="n"/>
      <c r="G995" s="297" t="n"/>
      <c r="H995" s="298" t="n"/>
    </row>
    <row r="996" ht="13" customHeight="1" s="189">
      <c r="A996" s="297" t="n"/>
      <c r="B996" s="291" t="n"/>
      <c r="C996" s="289" t="n"/>
      <c r="D996" s="298" t="n"/>
      <c r="E996" s="291" t="n"/>
      <c r="F996" s="291" t="n"/>
      <c r="G996" s="297" t="n"/>
      <c r="H996" s="298" t="n"/>
    </row>
    <row r="997" ht="13" customHeight="1" s="189">
      <c r="A997" s="297" t="n"/>
      <c r="B997" s="291" t="n"/>
      <c r="C997" s="289" t="n"/>
      <c r="D997" s="298" t="n"/>
      <c r="E997" s="291" t="n"/>
      <c r="F997" s="291" t="n"/>
      <c r="G997" s="297" t="n"/>
      <c r="H997" s="298" t="n"/>
    </row>
    <row r="998" ht="13" customHeight="1" s="189">
      <c r="A998" s="297" t="n"/>
      <c r="B998" s="291" t="n"/>
      <c r="C998" s="289" t="n"/>
      <c r="D998" s="298" t="n"/>
      <c r="E998" s="291" t="n"/>
      <c r="F998" s="291" t="n"/>
      <c r="G998" s="297" t="n"/>
      <c r="H998" s="298" t="n"/>
    </row>
    <row r="999" ht="13" customHeight="1" s="189">
      <c r="A999" s="297" t="n"/>
      <c r="B999" s="291" t="n"/>
      <c r="C999" s="289" t="n"/>
      <c r="D999" s="298" t="n"/>
      <c r="E999" s="291" t="n"/>
      <c r="F999" s="291" t="n"/>
      <c r="G999" s="297" t="n"/>
      <c r="H999" s="298" t="n"/>
    </row>
    <row r="1000" ht="13" customHeight="1" s="189">
      <c r="A1000" s="297" t="n"/>
      <c r="B1000" s="291" t="n"/>
      <c r="C1000" s="289" t="n"/>
      <c r="D1000" s="298" t="n"/>
      <c r="E1000" s="291" t="n"/>
      <c r="F1000" s="291" t="n"/>
      <c r="G1000" s="297" t="n"/>
      <c r="H1000" s="298" t="n"/>
    </row>
    <row r="1001" ht="13" customHeight="1" s="189">
      <c r="A1001" s="297" t="n"/>
      <c r="B1001" s="291" t="n"/>
      <c r="C1001" s="289" t="n"/>
      <c r="D1001" s="298" t="n"/>
      <c r="E1001" s="291" t="n"/>
      <c r="F1001" s="291" t="n"/>
      <c r="G1001" s="297" t="n"/>
      <c r="H1001" s="298" t="n"/>
    </row>
    <row r="1002" ht="13" customHeight="1" s="189">
      <c r="A1002" s="297" t="n"/>
      <c r="B1002" s="291" t="n"/>
      <c r="C1002" s="289" t="n"/>
      <c r="D1002" s="298" t="n"/>
      <c r="E1002" s="291" t="n"/>
      <c r="F1002" s="291" t="n"/>
      <c r="G1002" s="297" t="n"/>
      <c r="H1002" s="298" t="n"/>
    </row>
    <row r="1003" ht="13" customHeight="1" s="189">
      <c r="A1003" s="297" t="n"/>
      <c r="B1003" s="291" t="n"/>
      <c r="C1003" s="289" t="n"/>
      <c r="D1003" s="298" t="n"/>
      <c r="E1003" s="291" t="n"/>
      <c r="F1003" s="291" t="n"/>
      <c r="G1003" s="297" t="n"/>
      <c r="H1003" s="298" t="n"/>
    </row>
    <row r="1004" ht="13" customHeight="1" s="189">
      <c r="A1004" s="297" t="n"/>
      <c r="B1004" s="291" t="n"/>
      <c r="C1004" s="289" t="n"/>
      <c r="D1004" s="298" t="n"/>
      <c r="E1004" s="291" t="n"/>
      <c r="F1004" s="291" t="n"/>
      <c r="G1004" s="297" t="n"/>
      <c r="H1004" s="298" t="n"/>
    </row>
    <row r="1005" ht="13" customHeight="1" s="189">
      <c r="A1005" s="297" t="n"/>
      <c r="B1005" s="291" t="n"/>
      <c r="C1005" s="289" t="n"/>
      <c r="D1005" s="298" t="n"/>
      <c r="E1005" s="291" t="n"/>
      <c r="F1005" s="291" t="n"/>
      <c r="G1005" s="297" t="n"/>
      <c r="H1005" s="298" t="n"/>
    </row>
    <row r="1006" ht="13" customHeight="1" s="189">
      <c r="A1006" s="297" t="n"/>
      <c r="B1006" s="291" t="n"/>
      <c r="C1006" s="289" t="n"/>
      <c r="D1006" s="298" t="n"/>
      <c r="E1006" s="291" t="n"/>
      <c r="F1006" s="291" t="n"/>
      <c r="G1006" s="297" t="n"/>
      <c r="H1006" s="298" t="n"/>
    </row>
    <row r="1007" ht="13" customHeight="1" s="189">
      <c r="A1007" s="297" t="n"/>
      <c r="B1007" s="291" t="n"/>
      <c r="C1007" s="289" t="n"/>
      <c r="D1007" s="298" t="n"/>
      <c r="E1007" s="291" t="n"/>
      <c r="F1007" s="291" t="n"/>
      <c r="G1007" s="297" t="n"/>
      <c r="H1007" s="298" t="n"/>
    </row>
    <row r="1008" ht="13" customHeight="1" s="189">
      <c r="A1008" s="297" t="n"/>
      <c r="B1008" s="291" t="n"/>
      <c r="C1008" s="289" t="n"/>
      <c r="D1008" s="298" t="n"/>
      <c r="E1008" s="291" t="n"/>
      <c r="F1008" s="291" t="n"/>
      <c r="G1008" s="297" t="n"/>
      <c r="H1008" s="298" t="n"/>
    </row>
    <row r="1009" ht="13" customHeight="1" s="189">
      <c r="A1009" s="297" t="n"/>
      <c r="B1009" s="291" t="n"/>
      <c r="C1009" s="289" t="n"/>
      <c r="D1009" s="298" t="n"/>
      <c r="E1009" s="291" t="n"/>
      <c r="F1009" s="291" t="n"/>
      <c r="G1009" s="297" t="n"/>
      <c r="H1009" s="298" t="n"/>
    </row>
    <row r="1010" ht="13" customHeight="1" s="189">
      <c r="A1010" s="297" t="n"/>
      <c r="B1010" s="291" t="n"/>
      <c r="C1010" s="289" t="n"/>
      <c r="D1010" s="298" t="n"/>
      <c r="E1010" s="291" t="n"/>
      <c r="F1010" s="291" t="n"/>
      <c r="G1010" s="297" t="n"/>
      <c r="H1010" s="298" t="n"/>
    </row>
    <row r="1011" ht="13" customHeight="1" s="189">
      <c r="A1011" s="297" t="n"/>
      <c r="B1011" s="291" t="n"/>
      <c r="C1011" s="289" t="n"/>
      <c r="D1011" s="298" t="n"/>
      <c r="E1011" s="291" t="n"/>
      <c r="F1011" s="291" t="n"/>
      <c r="G1011" s="297" t="n"/>
      <c r="H1011" s="298" t="n"/>
    </row>
    <row r="1012" ht="13" customHeight="1" s="189">
      <c r="A1012" s="297" t="n"/>
      <c r="B1012" s="291" t="n"/>
      <c r="C1012" s="289" t="n"/>
      <c r="D1012" s="298" t="n"/>
      <c r="E1012" s="291" t="n"/>
      <c r="F1012" s="291" t="n"/>
      <c r="G1012" s="297" t="n"/>
      <c r="H1012" s="298" t="n"/>
    </row>
    <row r="1013" ht="13" customHeight="1" s="189">
      <c r="A1013" s="297" t="n"/>
      <c r="B1013" s="291" t="n"/>
      <c r="C1013" s="289" t="n"/>
      <c r="D1013" s="298" t="n"/>
      <c r="E1013" s="291" t="n"/>
      <c r="F1013" s="291" t="n"/>
      <c r="G1013" s="297" t="n"/>
      <c r="H1013" s="298" t="n"/>
    </row>
    <row r="1014" ht="13" customHeight="1" s="189">
      <c r="A1014" s="297" t="n"/>
      <c r="B1014" s="291" t="n"/>
      <c r="C1014" s="289" t="n"/>
      <c r="D1014" s="298" t="n"/>
      <c r="E1014" s="291" t="n"/>
      <c r="F1014" s="291" t="n"/>
      <c r="G1014" s="297" t="n"/>
      <c r="H1014" s="298" t="n"/>
    </row>
    <row r="1015" ht="13" customHeight="1" s="189">
      <c r="A1015" s="297" t="n"/>
      <c r="B1015" s="291" t="n"/>
      <c r="C1015" s="289" t="n"/>
      <c r="D1015" s="298" t="n"/>
      <c r="E1015" s="291" t="n"/>
      <c r="F1015" s="291" t="n"/>
      <c r="G1015" s="297" t="n"/>
      <c r="H1015" s="298" t="n"/>
    </row>
    <row r="1016" ht="13" customHeight="1" s="189">
      <c r="A1016" s="297" t="n"/>
      <c r="B1016" s="291" t="n"/>
      <c r="C1016" s="289" t="n"/>
      <c r="D1016" s="298" t="n"/>
      <c r="E1016" s="291" t="n"/>
      <c r="F1016" s="291" t="n"/>
      <c r="G1016" s="297" t="n"/>
      <c r="H1016" s="298" t="n"/>
    </row>
    <row r="1017" ht="13" customHeight="1" s="189">
      <c r="A1017" s="297" t="n"/>
      <c r="B1017" s="291" t="n"/>
      <c r="C1017" s="289" t="n"/>
      <c r="D1017" s="298" t="n"/>
      <c r="E1017" s="291" t="n"/>
      <c r="F1017" s="291" t="n"/>
      <c r="G1017" s="297" t="n"/>
      <c r="H1017" s="298" t="n"/>
    </row>
    <row r="1018" ht="13" customHeight="1" s="189">
      <c r="A1018" s="297" t="n"/>
      <c r="B1018" s="291" t="n"/>
      <c r="C1018" s="289" t="n"/>
      <c r="D1018" s="298" t="n"/>
      <c r="E1018" s="291" t="n"/>
      <c r="F1018" s="291" t="n"/>
      <c r="G1018" s="297" t="n"/>
      <c r="H1018" s="298" t="n"/>
    </row>
    <row r="1019" ht="13" customHeight="1" s="189">
      <c r="A1019" s="297" t="n"/>
      <c r="B1019" s="291" t="n"/>
      <c r="C1019" s="289" t="n"/>
      <c r="D1019" s="298" t="n"/>
      <c r="E1019" s="291" t="n"/>
      <c r="F1019" s="291" t="n"/>
      <c r="G1019" s="297" t="n"/>
      <c r="H1019" s="298" t="n"/>
    </row>
    <row r="1020" ht="13" customHeight="1" s="189">
      <c r="A1020" s="297" t="n"/>
      <c r="B1020" s="291" t="n"/>
      <c r="C1020" s="289" t="n"/>
      <c r="D1020" s="298" t="n"/>
      <c r="E1020" s="291" t="n"/>
      <c r="F1020" s="291" t="n"/>
      <c r="G1020" s="297" t="n"/>
      <c r="H1020" s="298" t="n"/>
    </row>
    <row r="1021" ht="13" customHeight="1" s="189">
      <c r="A1021" s="297" t="n"/>
      <c r="B1021" s="291" t="n"/>
      <c r="C1021" s="289" t="n"/>
      <c r="D1021" s="298" t="n"/>
      <c r="E1021" s="291" t="n"/>
      <c r="F1021" s="291" t="n"/>
      <c r="G1021" s="297" t="n"/>
      <c r="H1021" s="298" t="n"/>
    </row>
    <row r="1022" ht="13" customHeight="1" s="189">
      <c r="A1022" s="297" t="n"/>
      <c r="B1022" s="291" t="n"/>
      <c r="C1022" s="289" t="n"/>
      <c r="D1022" s="298" t="n"/>
      <c r="E1022" s="291" t="n"/>
      <c r="F1022" s="291" t="n"/>
      <c r="G1022" s="297" t="n"/>
      <c r="H1022" s="298" t="n"/>
    </row>
    <row r="1023" ht="13" customHeight="1" s="189">
      <c r="A1023" s="297" t="n"/>
      <c r="B1023" s="291" t="n"/>
      <c r="C1023" s="289" t="n"/>
      <c r="D1023" s="298" t="n"/>
      <c r="E1023" s="291" t="n"/>
      <c r="F1023" s="291" t="n"/>
      <c r="G1023" s="297" t="n"/>
      <c r="H1023" s="298" t="n"/>
    </row>
    <row r="1024" ht="13" customHeight="1" s="189">
      <c r="A1024" s="297" t="n"/>
      <c r="B1024" s="291" t="n"/>
      <c r="C1024" s="289" t="n"/>
      <c r="D1024" s="298" t="n"/>
      <c r="E1024" s="291" t="n"/>
      <c r="F1024" s="291" t="n"/>
      <c r="G1024" s="297" t="n"/>
      <c r="H1024" s="298" t="n"/>
    </row>
    <row r="1025" ht="13" customHeight="1" s="189"/>
    <row r="1026" ht="13" customHeight="1" s="189"/>
    <row r="1027" ht="13" customHeight="1" s="189"/>
    <row r="1028" ht="13" customHeight="1" s="189"/>
    <row r="1029" ht="13" customHeight="1" s="189"/>
    <row r="1030" ht="13" customHeight="1" s="189"/>
    <row r="1031" ht="13" customHeight="1" s="189"/>
    <row r="1032" ht="13" customHeight="1" s="189"/>
    <row r="1033" ht="13" customHeight="1" s="189"/>
    <row r="1034" ht="13" customHeight="1" s="189"/>
    <row r="1035" ht="13" customHeight="1" s="189"/>
    <row r="1036" ht="13" customHeight="1" s="189"/>
    <row r="1037" ht="13" customHeight="1" s="189"/>
    <row r="1038" ht="13" customHeight="1" s="189"/>
    <row r="1039" ht="13" customHeight="1" s="189"/>
    <row r="1040" ht="13" customHeight="1" s="189"/>
    <row r="1041" ht="13" customHeight="1" s="189"/>
    <row r="1042" ht="13" customHeight="1" s="189"/>
    <row r="1043" ht="13" customHeight="1" s="189"/>
    <row r="1044" ht="13" customHeight="1" s="189"/>
    <row r="1045" ht="13" customHeight="1" s="189"/>
    <row r="1046" ht="13" customHeight="1" s="189"/>
    <row r="1047" ht="13" customHeight="1" s="189"/>
    <row r="1048" ht="13" customHeight="1" s="189"/>
    <row r="1049" ht="13" customHeight="1" s="189"/>
    <row r="1050" ht="13" customHeight="1" s="189"/>
    <row r="1051" ht="13" customHeight="1" s="189"/>
    <row r="1052" ht="13" customHeight="1" s="189"/>
    <row r="1053" ht="13" customHeight="1" s="189"/>
    <row r="1054" ht="13" customHeight="1" s="189"/>
    <row r="1055" ht="13" customHeight="1" s="189"/>
    <row r="1056" ht="13" customHeight="1" s="189"/>
    <row r="1057" ht="13" customHeight="1" s="189"/>
    <row r="1058" ht="13" customHeight="1" s="189"/>
    <row r="1059" ht="13" customHeight="1" s="189"/>
    <row r="1060" ht="13" customHeight="1" s="189"/>
    <row r="1061" ht="13" customHeight="1" s="189"/>
    <row r="1062" ht="13" customHeight="1" s="189"/>
    <row r="1063" ht="13" customHeight="1" s="189"/>
    <row r="1064" ht="13" customHeight="1" s="189"/>
    <row r="1065" ht="13" customHeight="1" s="189"/>
    <row r="1066" ht="13" customHeight="1" s="189"/>
    <row r="1067" ht="13" customHeight="1" s="189"/>
    <row r="1068" ht="13" customHeight="1" s="189"/>
    <row r="1069" ht="13" customHeight="1" s="189"/>
    <row r="1070" ht="13" customHeight="1" s="189"/>
    <row r="1071" ht="13" customHeight="1" s="189"/>
    <row r="1072" ht="13" customHeight="1" s="189"/>
    <row r="1073" ht="13" customHeight="1" s="189"/>
    <row r="1074" ht="13" customHeight="1" s="189"/>
    <row r="1075" ht="13" customHeight="1" s="189"/>
    <row r="1076" ht="13" customHeight="1" s="189"/>
    <row r="1077" ht="13" customHeight="1" s="189"/>
    <row r="1078" ht="13" customHeight="1" s="189"/>
    <row r="1079" ht="13" customHeight="1" s="189"/>
    <row r="1080" ht="13" customHeight="1" s="189"/>
    <row r="1081" ht="13" customHeight="1" s="189"/>
    <row r="1082" ht="13" customHeight="1" s="189"/>
    <row r="1083" ht="13" customHeight="1" s="189"/>
    <row r="1084" ht="13" customHeight="1" s="189"/>
    <row r="1085" ht="13" customHeight="1" s="189"/>
    <row r="1086" ht="13" customHeight="1" s="189"/>
    <row r="1087" ht="13" customHeight="1" s="189"/>
    <row r="1088" ht="13" customHeight="1" s="189"/>
    <row r="1089" ht="13" customHeight="1" s="189"/>
    <row r="1090" ht="13" customHeight="1" s="189"/>
    <row r="1091" ht="13" customHeight="1" s="189"/>
    <row r="1092" ht="13" customHeight="1" s="189"/>
    <row r="1093" ht="13" customHeight="1" s="189"/>
    <row r="1094" ht="13" customHeight="1" s="189"/>
    <row r="1095" ht="13" customHeight="1" s="189"/>
    <row r="1096" ht="13" customHeight="1" s="189"/>
    <row r="1097" ht="13" customHeight="1" s="189"/>
    <row r="1098" ht="13" customHeight="1" s="189"/>
    <row r="1099" ht="13" customHeight="1" s="189"/>
    <row r="1100" ht="13" customHeight="1" s="189"/>
    <row r="1101" ht="13" customHeight="1" s="189"/>
    <row r="1102" ht="13" customHeight="1" s="189"/>
    <row r="1103" ht="13" customHeight="1" s="189"/>
    <row r="1104" ht="13" customHeight="1" s="189"/>
    <row r="1105" ht="13" customHeight="1" s="189"/>
    <row r="1106" ht="13" customHeight="1" s="189"/>
    <row r="1107" ht="13" customHeight="1" s="189"/>
    <row r="1108" ht="13" customHeight="1" s="189"/>
    <row r="1109" ht="13" customHeight="1" s="189"/>
    <row r="1110" ht="13" customHeight="1" s="189"/>
    <row r="1111" ht="13" customHeight="1" s="189"/>
    <row r="1112" ht="13" customHeight="1" s="189"/>
    <row r="1113" ht="13" customHeight="1" s="189"/>
    <row r="1114" ht="13" customHeight="1" s="189"/>
    <row r="1115" ht="13" customHeight="1" s="189"/>
    <row r="1116" ht="13" customHeight="1" s="189"/>
    <row r="1117" ht="13" customHeight="1" s="189"/>
    <row r="1118" ht="13" customHeight="1" s="189"/>
    <row r="1119" ht="13" customHeight="1" s="189"/>
    <row r="1120" ht="13" customHeight="1" s="189"/>
    <row r="1121" ht="13" customHeight="1" s="189"/>
    <row r="1122" ht="13" customHeight="1" s="189"/>
    <row r="1123" ht="13" customHeight="1" s="189"/>
    <row r="1124" ht="13" customHeight="1" s="189"/>
    <row r="1125" ht="13" customHeight="1" s="189"/>
    <row r="1126" ht="13" customHeight="1" s="189"/>
    <row r="1127" ht="13" customHeight="1" s="189"/>
    <row r="1128" ht="13" customHeight="1" s="189"/>
    <row r="1129" ht="13" customHeight="1" s="189"/>
    <row r="1130" ht="13" customHeight="1" s="189"/>
    <row r="1131" ht="13" customHeight="1" s="189"/>
    <row r="1132" ht="13" customHeight="1" s="189"/>
    <row r="1133" ht="13" customHeight="1" s="189"/>
    <row r="1134" ht="13" customHeight="1" s="189"/>
    <row r="1135" ht="13" customHeight="1" s="189"/>
    <row r="1136" ht="13" customHeight="1" s="189"/>
    <row r="1137" ht="13" customHeight="1" s="189"/>
    <row r="1138" ht="13" customHeight="1" s="189"/>
    <row r="1139" ht="13" customHeight="1" s="189"/>
    <row r="1140" ht="13" customHeight="1" s="189"/>
    <row r="1141" ht="13" customHeight="1" s="189"/>
    <row r="1142" ht="13" customHeight="1" s="189"/>
    <row r="1143" ht="13" customHeight="1" s="189"/>
    <row r="1144" ht="13" customHeight="1" s="189"/>
    <row r="1145" ht="13" customHeight="1" s="189"/>
    <row r="1146" ht="13" customHeight="1" s="189"/>
    <row r="1147" ht="13" customHeight="1" s="189"/>
    <row r="1148" ht="13" customHeight="1" s="189"/>
    <row r="1149" ht="13" customHeight="1" s="189"/>
    <row r="1150" ht="13" customHeight="1" s="189"/>
    <row r="1151" ht="13" customHeight="1" s="189"/>
    <row r="1152" ht="13" customHeight="1" s="189"/>
    <row r="1153" ht="13" customHeight="1" s="189"/>
    <row r="1154" ht="13" customHeight="1" s="189"/>
    <row r="1155" ht="13" customHeight="1" s="189"/>
    <row r="1156" ht="13" customHeight="1" s="189"/>
    <row r="1157" ht="13" customHeight="1" s="189"/>
    <row r="1158" ht="13" customHeight="1" s="189"/>
    <row r="1159" ht="13" customHeight="1" s="189"/>
    <row r="1160" ht="13" customHeight="1" s="189"/>
    <row r="1161" ht="13" customHeight="1" s="189"/>
    <row r="1162" ht="13" customHeight="1" s="189"/>
    <row r="1163" ht="13" customHeight="1" s="189"/>
    <row r="1164" ht="13" customHeight="1" s="189"/>
    <row r="1165" ht="13" customHeight="1" s="189"/>
    <row r="1166" ht="13" customHeight="1" s="189"/>
    <row r="1167" ht="13" customHeight="1" s="189"/>
    <row r="1168" ht="13" customHeight="1" s="189"/>
    <row r="1169" ht="13" customHeight="1" s="189"/>
    <row r="1170" ht="13" customHeight="1" s="189"/>
    <row r="1171" ht="13" customHeight="1" s="189"/>
    <row r="1172" ht="13" customHeight="1" s="189"/>
    <row r="1173" ht="13" customHeight="1" s="189"/>
    <row r="1174" ht="13" customHeight="1" s="189"/>
    <row r="1175" ht="13" customHeight="1" s="189"/>
    <row r="1176" ht="13" customHeight="1" s="189"/>
    <row r="1177" ht="13" customHeight="1" s="189"/>
    <row r="1178" ht="13" customHeight="1" s="189"/>
    <row r="1179" ht="13" customHeight="1" s="189"/>
    <row r="1180" ht="13" customHeight="1" s="189"/>
    <row r="1181" ht="13" customHeight="1" s="189"/>
    <row r="1182" ht="13" customHeight="1" s="189"/>
    <row r="1183" ht="13" customHeight="1" s="189"/>
    <row r="1184" ht="13" customHeight="1" s="189"/>
    <row r="1185" ht="13" customHeight="1" s="189"/>
    <row r="1186" ht="13" customHeight="1" s="189"/>
    <row r="1187" ht="13" customHeight="1" s="189"/>
    <row r="1188" ht="13" customHeight="1" s="189"/>
    <row r="1189" ht="13" customHeight="1" s="189"/>
    <row r="1190" ht="13" customHeight="1" s="189"/>
    <row r="1191" ht="13" customHeight="1" s="189"/>
    <row r="1192" ht="13" customHeight="1" s="189"/>
    <row r="1193" ht="13" customHeight="1" s="189"/>
    <row r="1194" ht="13" customHeight="1" s="189"/>
    <row r="1195" ht="13" customHeight="1" s="189"/>
    <row r="1196" ht="13" customHeight="1" s="189"/>
    <row r="1197" ht="13" customHeight="1" s="189"/>
    <row r="1198" ht="13" customHeight="1" s="189"/>
    <row r="1199" ht="13" customHeight="1" s="189"/>
    <row r="1200" ht="13" customHeight="1" s="189"/>
    <row r="1201" ht="13" customHeight="1" s="189"/>
    <row r="1202" ht="13" customHeight="1" s="189"/>
    <row r="1203" ht="13" customHeight="1" s="189"/>
    <row r="1204" ht="13" customHeight="1" s="189"/>
    <row r="1205" ht="13" customHeight="1" s="189"/>
    <row r="1206" ht="13" customHeight="1" s="189"/>
    <row r="1207" ht="13" customHeight="1" s="189"/>
    <row r="1208" ht="13" customHeight="1" s="189"/>
    <row r="1209" ht="13" customHeight="1" s="189"/>
    <row r="1210" ht="13" customHeight="1" s="189"/>
    <row r="1211" ht="13" customHeight="1" s="189"/>
    <row r="1212" ht="13" customHeight="1" s="189"/>
    <row r="1213" ht="13" customHeight="1" s="189"/>
    <row r="1214" ht="13" customHeight="1" s="189"/>
    <row r="1215" ht="13" customHeight="1" s="189"/>
    <row r="1216" ht="13" customHeight="1" s="189"/>
    <row r="1217" ht="13" customHeight="1" s="189"/>
    <row r="1218" ht="13" customHeight="1" s="189"/>
    <row r="1219" ht="13" customHeight="1" s="189"/>
    <row r="1220" ht="13" customHeight="1" s="189"/>
    <row r="1221" ht="13" customHeight="1" s="189"/>
    <row r="1222" ht="13" customHeight="1" s="189"/>
    <row r="1223" ht="13" customHeight="1" s="189"/>
    <row r="1224" ht="13" customHeight="1" s="189"/>
    <row r="1225" ht="13" customHeight="1" s="189"/>
    <row r="1226" ht="13" customHeight="1" s="189"/>
    <row r="1227" ht="13" customHeight="1" s="189"/>
    <row r="1228" ht="13" customHeight="1" s="189"/>
    <row r="1229" ht="13" customHeight="1" s="189"/>
    <row r="1230" ht="13" customHeight="1" s="189"/>
    <row r="1231" ht="13" customHeight="1" s="189"/>
    <row r="1232" ht="13" customHeight="1" s="189"/>
    <row r="1233" ht="13" customHeight="1" s="189"/>
    <row r="1234" ht="13" customHeight="1" s="189"/>
    <row r="1235" ht="13" customHeight="1" s="189"/>
    <row r="1236" ht="13" customHeight="1" s="189"/>
    <row r="1237" ht="13" customHeight="1" s="189"/>
    <row r="1238" ht="13" customHeight="1" s="189"/>
    <row r="1239" ht="13" customHeight="1" s="189"/>
    <row r="1240" ht="13" customHeight="1" s="189"/>
    <row r="1241" ht="13" customHeight="1" s="189"/>
    <row r="1242" ht="13" customHeight="1" s="189"/>
    <row r="1243" ht="13" customHeight="1" s="189"/>
    <row r="1244" ht="13" customHeight="1" s="189"/>
    <row r="1245" ht="13" customHeight="1" s="189"/>
    <row r="1246" ht="13" customHeight="1" s="189"/>
    <row r="1247" ht="13" customHeight="1" s="189"/>
    <row r="1248" ht="13" customHeight="1" s="189"/>
    <row r="1249" ht="13" customHeight="1" s="189"/>
    <row r="1250" ht="13" customHeight="1" s="189"/>
    <row r="1251" ht="13" customHeight="1" s="189"/>
    <row r="1252" ht="13" customHeight="1" s="189"/>
    <row r="1253" ht="13" customHeight="1" s="189"/>
    <row r="1254" ht="13" customHeight="1" s="189"/>
    <row r="1255" ht="13" customHeight="1" s="189"/>
    <row r="1256" ht="13" customHeight="1" s="189"/>
    <row r="1257" ht="13" customHeight="1" s="189"/>
    <row r="1258" ht="13" customHeight="1" s="189"/>
    <row r="1259" ht="13" customHeight="1" s="189"/>
    <row r="1260" ht="13" customHeight="1" s="189"/>
    <row r="1261" ht="13" customHeight="1" s="189"/>
    <row r="1262" ht="13" customHeight="1" s="189"/>
    <row r="1263" ht="13" customHeight="1" s="189"/>
    <row r="1264" ht="13" customHeight="1" s="189"/>
    <row r="1265" ht="13" customHeight="1" s="189"/>
    <row r="1266" ht="13" customHeight="1" s="189"/>
    <row r="1267" ht="13" customHeight="1" s="189"/>
    <row r="1268" ht="13" customHeight="1" s="189"/>
    <row r="1269" ht="13" customHeight="1" s="189"/>
    <row r="1270" ht="13" customHeight="1" s="189"/>
    <row r="1271" ht="13" customHeight="1" s="189"/>
    <row r="1272" ht="13" customHeight="1" s="189"/>
    <row r="1273" ht="13" customHeight="1" s="189"/>
    <row r="1274" ht="13" customHeight="1" s="189"/>
    <row r="1275" ht="13" customHeight="1" s="189"/>
    <row r="1276" ht="13" customHeight="1" s="189"/>
    <row r="1277" ht="13" customHeight="1" s="189"/>
    <row r="1278" ht="13" customHeight="1" s="189"/>
    <row r="1279" ht="13" customHeight="1" s="189"/>
    <row r="1280" ht="13" customHeight="1" s="189"/>
    <row r="1281" ht="13" customHeight="1" s="189"/>
    <row r="1282" ht="13" customHeight="1" s="189"/>
    <row r="1283" ht="13" customHeight="1" s="189"/>
    <row r="1284" ht="13" customHeight="1" s="189"/>
    <row r="1285" ht="13" customHeight="1" s="189"/>
    <row r="1286" ht="13" customHeight="1" s="189"/>
    <row r="1287" ht="13" customHeight="1" s="189"/>
    <row r="1288" ht="13" customHeight="1" s="189"/>
    <row r="1289" ht="13" customHeight="1" s="189"/>
    <row r="1290" ht="13" customHeight="1" s="189"/>
    <row r="1291" ht="13" customHeight="1" s="189"/>
    <row r="1292" ht="13" customHeight="1" s="189"/>
    <row r="1293" ht="13" customHeight="1" s="189"/>
    <row r="1294" ht="13" customHeight="1" s="189"/>
    <row r="1295" ht="13" customHeight="1" s="189"/>
    <row r="1296" ht="13" customHeight="1" s="189"/>
    <row r="1297" ht="13" customHeight="1" s="189"/>
    <row r="1298" ht="13" customHeight="1" s="189"/>
    <row r="1299" ht="13" customHeight="1" s="189"/>
    <row r="1300" ht="13" customHeight="1" s="189"/>
    <row r="1301" ht="13" customHeight="1" s="189"/>
    <row r="1302" ht="13" customHeight="1" s="189"/>
    <row r="1303" ht="13" customHeight="1" s="189"/>
    <row r="1304" ht="13" customHeight="1" s="189"/>
    <row r="1305" ht="13" customHeight="1" s="189"/>
    <row r="1306" ht="13" customHeight="1" s="189"/>
    <row r="1307" ht="13" customHeight="1" s="189"/>
    <row r="1308" ht="13" customHeight="1" s="189"/>
    <row r="1309" ht="13" customHeight="1" s="189"/>
    <row r="1310" ht="13" customHeight="1" s="189"/>
    <row r="1311" ht="13" customHeight="1" s="189"/>
    <row r="1312" ht="13" customHeight="1" s="189"/>
    <row r="1313" ht="13" customHeight="1" s="189"/>
    <row r="1314" ht="13" customHeight="1" s="189"/>
    <row r="1315" ht="13" customHeight="1" s="189"/>
    <row r="1316" ht="13" customHeight="1" s="189"/>
    <row r="1317" ht="13" customHeight="1" s="189"/>
    <row r="1318" ht="13" customHeight="1" s="189"/>
    <row r="1319" ht="13" customHeight="1" s="189"/>
    <row r="1320" ht="13" customHeight="1" s="189"/>
    <row r="1321" ht="13" customHeight="1" s="189"/>
    <row r="1322" ht="13" customHeight="1" s="189"/>
    <row r="1323" ht="13" customHeight="1" s="189"/>
    <row r="1324" ht="13" customHeight="1" s="189"/>
    <row r="1325" ht="13" customHeight="1" s="189"/>
    <row r="1326" ht="13" customHeight="1" s="189"/>
    <row r="1327" ht="13" customHeight="1" s="189"/>
    <row r="1328" ht="13" customHeight="1" s="189"/>
    <row r="1329" ht="13" customHeight="1" s="189"/>
    <row r="1330" ht="13" customHeight="1" s="189"/>
    <row r="1331" ht="13" customHeight="1" s="189"/>
    <row r="1332" ht="13" customHeight="1" s="189"/>
    <row r="1333" ht="13" customHeight="1" s="189"/>
    <row r="1334" ht="13" customHeight="1" s="189"/>
    <row r="1335" ht="13" customHeight="1" s="189"/>
    <row r="1336" ht="13" customHeight="1" s="189"/>
    <row r="1337" ht="13" customHeight="1" s="189"/>
    <row r="1338" ht="13" customHeight="1" s="189"/>
    <row r="1339" ht="13" customHeight="1" s="189"/>
    <row r="1340" ht="13" customHeight="1" s="189"/>
    <row r="1341" ht="13" customHeight="1" s="189"/>
    <row r="1342" ht="13" customHeight="1" s="189"/>
    <row r="1343" ht="13" customHeight="1" s="189"/>
    <row r="1344" ht="13" customHeight="1" s="189"/>
    <row r="1345" ht="13" customHeight="1" s="189"/>
    <row r="1346" ht="13" customHeight="1" s="189"/>
    <row r="1347" ht="13" customHeight="1" s="189"/>
    <row r="1348" ht="13" customHeight="1" s="189"/>
    <row r="1349" ht="13" customHeight="1" s="189"/>
    <row r="1350" ht="13" customHeight="1" s="189"/>
    <row r="1351" ht="13" customHeight="1" s="189"/>
    <row r="1352" ht="13" customHeight="1" s="189"/>
    <row r="1353" ht="13" customHeight="1" s="189"/>
    <row r="1354" ht="13" customHeight="1" s="189"/>
    <row r="1355" ht="13" customHeight="1" s="189"/>
    <row r="1356" ht="13" customHeight="1" s="189"/>
    <row r="1357" ht="13" customHeight="1" s="189"/>
    <row r="1358" ht="13" customHeight="1" s="189"/>
    <row r="1359" ht="13" customHeight="1" s="189"/>
    <row r="1360" ht="13" customHeight="1" s="189"/>
    <row r="1361" ht="13" customHeight="1" s="189"/>
    <row r="1362" ht="13" customHeight="1" s="189"/>
    <row r="1363" ht="13" customHeight="1" s="189"/>
    <row r="1364" ht="13" customHeight="1" s="189"/>
    <row r="1365" ht="13" customHeight="1" s="189"/>
    <row r="1366" ht="13" customHeight="1" s="189"/>
    <row r="1367" ht="13" customHeight="1" s="189"/>
    <row r="1368" ht="13" customHeight="1" s="189"/>
    <row r="1369" ht="13" customHeight="1" s="189"/>
    <row r="1370" ht="13" customHeight="1" s="189"/>
    <row r="1371" ht="13" customHeight="1" s="189"/>
    <row r="1372" ht="13" customHeight="1" s="189"/>
    <row r="1373" ht="13" customHeight="1" s="189"/>
    <row r="1374" ht="13" customHeight="1" s="189"/>
    <row r="1375" ht="13" customHeight="1" s="189"/>
    <row r="1376" ht="13" customHeight="1" s="189"/>
    <row r="1377" ht="13" customHeight="1" s="189"/>
    <row r="1378" ht="13" customHeight="1" s="189"/>
    <row r="1379" ht="13" customHeight="1" s="189"/>
    <row r="1380" ht="13" customHeight="1" s="189"/>
    <row r="1381" ht="13" customHeight="1" s="189"/>
    <row r="1382" ht="13" customHeight="1" s="189"/>
    <row r="1383" ht="13" customHeight="1" s="189"/>
    <row r="1384" ht="13" customHeight="1" s="189"/>
    <row r="1385" ht="13" customHeight="1" s="189"/>
    <row r="1386" ht="13" customHeight="1" s="189"/>
    <row r="1387" ht="13" customHeight="1" s="189"/>
    <row r="1388" ht="13" customHeight="1" s="189"/>
    <row r="1389" ht="13" customHeight="1" s="189"/>
    <row r="1390" ht="13" customHeight="1" s="189"/>
    <row r="1391" ht="13" customHeight="1" s="189"/>
    <row r="1392" ht="13" customHeight="1" s="189"/>
    <row r="1393" ht="13" customHeight="1" s="189"/>
    <row r="1394" ht="13" customHeight="1" s="189"/>
    <row r="1395" ht="13" customHeight="1" s="189"/>
    <row r="1396" ht="13" customHeight="1" s="189"/>
    <row r="1397" ht="13" customHeight="1" s="189"/>
    <row r="1398" ht="13" customHeight="1" s="189"/>
    <row r="1399" ht="13" customHeight="1" s="189"/>
    <row r="1400" ht="13" customHeight="1" s="189"/>
    <row r="1401" ht="13" customHeight="1" s="189"/>
    <row r="1402" ht="13" customHeight="1" s="189"/>
    <row r="1403" ht="13" customHeight="1" s="189"/>
    <row r="1404" ht="13" customHeight="1" s="189"/>
    <row r="1405" ht="13" customHeight="1" s="189"/>
    <row r="1406" ht="13" customHeight="1" s="189"/>
    <row r="1407" ht="13" customHeight="1" s="189"/>
    <row r="1408" ht="13" customHeight="1" s="189"/>
    <row r="1409" ht="13" customHeight="1" s="189"/>
    <row r="1410" ht="13" customHeight="1" s="189"/>
    <row r="1411" ht="13" customHeight="1" s="189"/>
    <row r="1412" ht="13" customHeight="1" s="189"/>
    <row r="1413" ht="13" customHeight="1" s="189"/>
    <row r="1414" ht="13" customHeight="1" s="189"/>
    <row r="1415" ht="13" customHeight="1" s="189"/>
    <row r="1416" ht="13" customHeight="1" s="189"/>
    <row r="1417" ht="13" customHeight="1" s="189"/>
    <row r="1418" ht="13" customHeight="1" s="189"/>
    <row r="1419" ht="13" customHeight="1" s="189"/>
    <row r="1420" ht="13" customHeight="1" s="189"/>
    <row r="1421" ht="13" customHeight="1" s="189"/>
    <row r="1422" ht="13" customHeight="1" s="189"/>
    <row r="1423" ht="13" customHeight="1" s="189"/>
    <row r="1424" ht="13" customHeight="1" s="189"/>
    <row r="1425" ht="13" customHeight="1" s="189"/>
    <row r="1426" ht="13" customHeight="1" s="189"/>
    <row r="1427" ht="13" customHeight="1" s="189"/>
    <row r="1428" ht="13" customHeight="1" s="189"/>
    <row r="1429" ht="13" customHeight="1" s="189"/>
    <row r="1430" ht="13" customHeight="1" s="189"/>
    <row r="1431" ht="13" customHeight="1" s="189"/>
    <row r="1432" ht="13" customHeight="1" s="189"/>
    <row r="1433" ht="13" customHeight="1" s="189"/>
    <row r="1434" ht="13" customHeight="1" s="189"/>
    <row r="1435" ht="13" customHeight="1" s="189"/>
    <row r="1436" ht="13" customHeight="1" s="189"/>
    <row r="1437" ht="13" customHeight="1" s="189"/>
    <row r="1438" ht="13" customHeight="1" s="189"/>
    <row r="1439" ht="13" customHeight="1" s="189"/>
    <row r="1440" ht="13" customHeight="1" s="189"/>
    <row r="1441" ht="13" customHeight="1" s="189"/>
    <row r="1442" ht="13" customHeight="1" s="189"/>
    <row r="1443" ht="13" customHeight="1" s="189"/>
    <row r="1444" ht="13" customHeight="1" s="189"/>
    <row r="1445" ht="13" customHeight="1" s="189"/>
    <row r="1446" ht="13" customHeight="1" s="189"/>
    <row r="1447" ht="13" customHeight="1" s="189"/>
    <row r="1448" ht="13" customHeight="1" s="189"/>
    <row r="1449" ht="13" customHeight="1" s="189"/>
    <row r="1450" ht="13" customHeight="1" s="189"/>
    <row r="1451" ht="13" customHeight="1" s="189"/>
    <row r="1452" ht="13" customHeight="1" s="189"/>
    <row r="1453" ht="13" customHeight="1" s="189"/>
    <row r="1454" ht="13" customHeight="1" s="189"/>
    <row r="1455" ht="13" customHeight="1" s="189"/>
    <row r="1456" ht="13" customHeight="1" s="189"/>
    <row r="1457" ht="13" customHeight="1" s="189"/>
    <row r="1458" ht="13" customHeight="1" s="189"/>
    <row r="1459" ht="13" customHeight="1" s="189"/>
    <row r="1460" ht="13" customHeight="1" s="189"/>
    <row r="1461" ht="13" customHeight="1" s="189"/>
    <row r="1462" ht="13" customHeight="1" s="189"/>
    <row r="1463" ht="13" customHeight="1" s="189"/>
    <row r="1464" ht="13" customHeight="1" s="189"/>
    <row r="1465" ht="13" customHeight="1" s="189"/>
    <row r="1466" ht="13" customHeight="1" s="189"/>
    <row r="1467" ht="13" customHeight="1" s="189"/>
    <row r="1468" ht="13" customHeight="1" s="189"/>
    <row r="1469" ht="13" customHeight="1" s="189"/>
    <row r="1470" ht="13" customHeight="1" s="189"/>
    <row r="1471" ht="13" customHeight="1" s="189"/>
    <row r="1472" ht="13" customHeight="1" s="189"/>
    <row r="1473" ht="13" customHeight="1" s="189"/>
    <row r="1474" ht="13" customHeight="1" s="189"/>
    <row r="1475" ht="13" customHeight="1" s="189"/>
    <row r="1476" ht="13" customHeight="1" s="189"/>
    <row r="1477" ht="13" customHeight="1" s="189"/>
    <row r="1478" ht="13" customHeight="1" s="189"/>
    <row r="1479" ht="13" customHeight="1" s="189"/>
    <row r="1480" ht="13" customHeight="1" s="189"/>
    <row r="1481" ht="13" customHeight="1" s="189"/>
    <row r="1482" ht="13" customHeight="1" s="189"/>
    <row r="1483" ht="13" customHeight="1" s="189"/>
    <row r="1484" ht="13" customHeight="1" s="189"/>
    <row r="1485" ht="13" customHeight="1" s="189"/>
    <row r="1486" ht="13" customHeight="1" s="189"/>
    <row r="1487" ht="13" customHeight="1" s="189"/>
    <row r="1488" ht="13" customHeight="1" s="189"/>
    <row r="1489" ht="13" customHeight="1" s="189"/>
    <row r="1490" ht="13" customHeight="1" s="189"/>
    <row r="1491" ht="13" customHeight="1" s="189"/>
    <row r="1492" ht="13" customHeight="1" s="189"/>
    <row r="1493" ht="13" customHeight="1" s="189"/>
    <row r="1494" ht="13" customHeight="1" s="189"/>
    <row r="1495" ht="13" customHeight="1" s="189"/>
    <row r="1496" ht="13" customHeight="1" s="189"/>
    <row r="1497" ht="13" customHeight="1" s="189"/>
    <row r="1498" ht="13" customHeight="1" s="189"/>
    <row r="1499" ht="13" customHeight="1" s="189"/>
    <row r="1500" ht="13" customHeight="1" s="189"/>
    <row r="1501" ht="13" customHeight="1" s="189"/>
    <row r="1502" ht="13" customHeight="1" s="189"/>
    <row r="1503" ht="13" customHeight="1" s="189"/>
    <row r="1504" ht="13" customHeight="1" s="189"/>
    <row r="1505" ht="13" customHeight="1" s="189"/>
    <row r="1506" ht="13" customHeight="1" s="189"/>
    <row r="1507" ht="13" customHeight="1" s="189"/>
    <row r="1508" ht="13" customHeight="1" s="189"/>
    <row r="1509" ht="13" customHeight="1" s="189"/>
    <row r="1510" ht="13" customHeight="1" s="189"/>
    <row r="1511" ht="13" customHeight="1" s="189"/>
    <row r="1512" ht="13" customHeight="1" s="189"/>
    <row r="1513" ht="13" customHeight="1" s="189"/>
    <row r="1514" ht="13" customHeight="1" s="189"/>
    <row r="1515" ht="13" customHeight="1" s="189"/>
    <row r="1516" ht="13" customHeight="1" s="189"/>
    <row r="1517" ht="13" customHeight="1" s="189"/>
    <row r="1518" ht="13" customHeight="1" s="189"/>
    <row r="1519" ht="13" customHeight="1" s="189"/>
    <row r="1520" ht="13" customHeight="1" s="189"/>
    <row r="1521" ht="13" customHeight="1" s="189"/>
    <row r="1522" ht="13" customHeight="1" s="189"/>
    <row r="1523" ht="13" customHeight="1" s="189"/>
    <row r="1524" ht="13" customHeight="1" s="189"/>
    <row r="1525" ht="13" customHeight="1" s="189"/>
    <row r="1526" ht="13" customHeight="1" s="189"/>
    <row r="1527" ht="13" customHeight="1" s="189"/>
    <row r="1528" ht="13" customHeight="1" s="189"/>
    <row r="1529" ht="13" customHeight="1" s="189"/>
    <row r="1530" ht="13" customHeight="1" s="189"/>
    <row r="1531" ht="13" customHeight="1" s="189"/>
    <row r="1532" ht="13" customHeight="1" s="189"/>
    <row r="1533" ht="13" customHeight="1" s="189"/>
    <row r="1534" ht="13" customHeight="1" s="189"/>
    <row r="1535" ht="13" customHeight="1" s="189"/>
    <row r="1536" ht="13" customHeight="1" s="189"/>
    <row r="1537" ht="13" customHeight="1" s="189"/>
    <row r="1538" ht="13" customHeight="1" s="189"/>
    <row r="1539" ht="13" customHeight="1" s="189"/>
    <row r="1540" ht="13" customHeight="1" s="189"/>
    <row r="1541" ht="13" customHeight="1" s="189"/>
    <row r="1542" ht="13" customHeight="1" s="189"/>
    <row r="1543" ht="13" customHeight="1" s="189"/>
    <row r="1544" ht="13" customHeight="1" s="189"/>
    <row r="1545" ht="13" customHeight="1" s="189"/>
    <row r="1546" ht="13" customHeight="1" s="189"/>
    <row r="1547" ht="13" customHeight="1" s="189"/>
    <row r="1548" ht="13" customHeight="1" s="189"/>
    <row r="1549" ht="13" customHeight="1" s="189"/>
    <row r="1550" ht="13" customHeight="1" s="189"/>
    <row r="1551" ht="13" customHeight="1" s="189"/>
    <row r="1552" ht="13" customHeight="1" s="189"/>
    <row r="1553" ht="13" customHeight="1" s="189"/>
    <row r="1554" ht="13" customHeight="1" s="189"/>
    <row r="1555" ht="13" customHeight="1" s="189"/>
    <row r="1556" ht="13" customHeight="1" s="189"/>
    <row r="1557" ht="13" customHeight="1" s="189"/>
    <row r="1558" ht="13" customHeight="1" s="189"/>
    <row r="1559" ht="13" customHeight="1" s="189"/>
    <row r="1560" ht="13" customHeight="1" s="189"/>
    <row r="1561" ht="13" customHeight="1" s="189"/>
    <row r="1562" ht="13" customHeight="1" s="189"/>
    <row r="1563" ht="13" customHeight="1" s="189"/>
    <row r="1564" ht="13" customHeight="1" s="189"/>
    <row r="1565" ht="13" customHeight="1" s="189"/>
    <row r="1566" ht="13" customHeight="1" s="189"/>
    <row r="1567" ht="13" customHeight="1" s="189"/>
    <row r="1568" ht="13" customHeight="1" s="189"/>
    <row r="1569" ht="13" customHeight="1" s="189"/>
    <row r="1570" ht="13" customHeight="1" s="189"/>
    <row r="1571" ht="13" customHeight="1" s="189"/>
    <row r="1572" ht="13" customHeight="1" s="189"/>
    <row r="1573" ht="13" customHeight="1" s="189"/>
    <row r="1574" ht="13" customHeight="1" s="189"/>
    <row r="1575" ht="13" customHeight="1" s="189"/>
    <row r="1576" ht="13" customHeight="1" s="189"/>
    <row r="1577" ht="13" customHeight="1" s="189"/>
    <row r="1578" ht="13" customHeight="1" s="189"/>
    <row r="1579" ht="13" customHeight="1" s="189"/>
    <row r="1580" ht="13" customHeight="1" s="189"/>
    <row r="1581" ht="13" customHeight="1" s="189"/>
    <row r="1582" ht="13" customHeight="1" s="189"/>
    <row r="1583" ht="13" customHeight="1" s="189"/>
    <row r="1584" ht="13" customHeight="1" s="189"/>
    <row r="1585" ht="13" customHeight="1" s="189"/>
    <row r="1586" ht="13" customHeight="1" s="189"/>
    <row r="1587" ht="13" customHeight="1" s="189"/>
    <row r="1588" ht="13" customHeight="1" s="189"/>
    <row r="1589" ht="13" customHeight="1" s="189"/>
    <row r="1590" ht="13" customHeight="1" s="189"/>
    <row r="1591" ht="13" customHeight="1" s="189"/>
    <row r="1592" ht="13" customHeight="1" s="189"/>
    <row r="1593" ht="13" customHeight="1" s="189"/>
    <row r="1594" ht="13" customHeight="1" s="189"/>
    <row r="1595" ht="13" customHeight="1" s="189"/>
    <row r="1596" ht="13" customHeight="1" s="189"/>
    <row r="1597" ht="13" customHeight="1" s="189"/>
    <row r="1598" ht="13" customHeight="1" s="189"/>
    <row r="1599" ht="13" customHeight="1" s="189"/>
    <row r="1600" ht="13" customHeight="1" s="189"/>
    <row r="1601" ht="13" customHeight="1" s="189"/>
    <row r="1602" ht="13" customHeight="1" s="189"/>
    <row r="1603" ht="13" customHeight="1" s="189"/>
    <row r="1604" ht="13" customHeight="1" s="189"/>
    <row r="1605" ht="13" customHeight="1" s="189"/>
    <row r="1606" ht="13" customHeight="1" s="189"/>
    <row r="1607" ht="13" customHeight="1" s="189"/>
    <row r="1608" ht="13" customHeight="1" s="189"/>
    <row r="1609" ht="13" customHeight="1" s="189"/>
    <row r="1610" ht="13" customHeight="1" s="189"/>
    <row r="1611" ht="13" customHeight="1" s="189"/>
    <row r="1612" ht="13" customHeight="1" s="189"/>
    <row r="1613" ht="13" customHeight="1" s="189"/>
    <row r="1614" ht="13" customHeight="1" s="189"/>
    <row r="1615" ht="13" customHeight="1" s="189"/>
    <row r="1616" ht="13" customHeight="1" s="189"/>
    <row r="1617" ht="13" customHeight="1" s="189"/>
    <row r="1618" ht="13" customHeight="1" s="189"/>
    <row r="1619" ht="13" customHeight="1" s="189"/>
    <row r="1620" ht="13" customHeight="1" s="189"/>
    <row r="1621" ht="13" customHeight="1" s="189"/>
    <row r="1622" ht="13" customHeight="1" s="189"/>
    <row r="1623" ht="13" customHeight="1" s="189"/>
    <row r="1624" ht="13" customHeight="1" s="189"/>
    <row r="1625" ht="13" customHeight="1" s="189"/>
    <row r="1626" ht="13" customHeight="1" s="189"/>
    <row r="1627" ht="13" customHeight="1" s="189"/>
    <row r="1628" ht="13" customHeight="1" s="189"/>
    <row r="1629" ht="13" customHeight="1" s="189"/>
    <row r="1630" ht="13" customHeight="1" s="189"/>
    <row r="1631" ht="13" customHeight="1" s="189"/>
    <row r="1632" ht="13" customHeight="1" s="189"/>
    <row r="1633" ht="13" customHeight="1" s="189"/>
    <row r="1634" ht="13" customHeight="1" s="189"/>
    <row r="1635" ht="13" customHeight="1" s="189"/>
    <row r="1636" ht="13" customHeight="1" s="189"/>
    <row r="1637" ht="13" customHeight="1" s="189"/>
    <row r="1638" ht="13" customHeight="1" s="189"/>
    <row r="1639" ht="13" customHeight="1" s="189"/>
    <row r="1640" ht="13" customHeight="1" s="189"/>
    <row r="1641" ht="13" customHeight="1" s="189"/>
    <row r="1642" ht="13" customHeight="1" s="189"/>
    <row r="1643" ht="13" customHeight="1" s="189"/>
    <row r="1644" ht="13" customHeight="1" s="189"/>
    <row r="1645" ht="13" customHeight="1" s="189"/>
    <row r="1646" ht="13" customHeight="1" s="189"/>
    <row r="1647" ht="13" customHeight="1" s="189"/>
    <row r="1648" ht="13" customHeight="1" s="189"/>
    <row r="1649" ht="13" customHeight="1" s="189"/>
    <row r="1650" ht="13" customHeight="1" s="189"/>
    <row r="1651" ht="13" customHeight="1" s="189"/>
    <row r="1652" ht="13" customHeight="1" s="189"/>
    <row r="1653" ht="13" customHeight="1" s="189"/>
    <row r="1654" ht="13" customHeight="1" s="189"/>
    <row r="1655" ht="13" customHeight="1" s="189"/>
    <row r="1656" ht="13" customHeight="1" s="189"/>
    <row r="1657" ht="13" customHeight="1" s="189"/>
    <row r="1658" ht="13" customHeight="1" s="189"/>
    <row r="1659" ht="13" customHeight="1" s="189"/>
    <row r="1660" ht="13" customHeight="1" s="189"/>
    <row r="1661" ht="13" customHeight="1" s="189"/>
    <row r="1662" ht="13" customHeight="1" s="189"/>
    <row r="1663" ht="13" customHeight="1" s="189"/>
    <row r="1664" ht="13" customHeight="1" s="189"/>
    <row r="1665" ht="13" customHeight="1" s="189"/>
    <row r="1666" ht="13" customHeight="1" s="189"/>
    <row r="1667" ht="13" customHeight="1" s="189"/>
    <row r="1668" ht="13" customHeight="1" s="189"/>
    <row r="1669" ht="13" customHeight="1" s="189"/>
    <row r="1670" ht="13" customHeight="1" s="189"/>
    <row r="1671" ht="13" customHeight="1" s="189"/>
    <row r="1672" ht="13" customHeight="1" s="189"/>
    <row r="1673" ht="13" customHeight="1" s="189"/>
    <row r="1674" ht="13" customHeight="1" s="189"/>
    <row r="1675" ht="13" customHeight="1" s="189"/>
    <row r="1676" ht="13" customHeight="1" s="189"/>
    <row r="1677" ht="13" customHeight="1" s="189"/>
    <row r="1678" ht="13" customHeight="1" s="189"/>
    <row r="1679" ht="13" customHeight="1" s="189"/>
    <row r="1680" ht="13" customHeight="1" s="189"/>
    <row r="1681" ht="13" customHeight="1" s="189"/>
    <row r="1682" ht="13" customHeight="1" s="189"/>
    <row r="1683" ht="13" customHeight="1" s="189"/>
    <row r="1684" ht="13" customHeight="1" s="189"/>
    <row r="1685" ht="13" customHeight="1" s="189"/>
    <row r="1686" ht="13" customHeight="1" s="189"/>
    <row r="1687" ht="13" customHeight="1" s="189"/>
    <row r="1688" ht="13" customHeight="1" s="189"/>
    <row r="1689" ht="13" customHeight="1" s="189"/>
    <row r="1690" ht="13" customHeight="1" s="189"/>
    <row r="1691" ht="13" customHeight="1" s="189"/>
    <row r="1692" ht="13" customHeight="1" s="189"/>
    <row r="1693" ht="13" customHeight="1" s="189"/>
    <row r="1694" ht="13" customHeight="1" s="189"/>
    <row r="1695" ht="13" customHeight="1" s="189"/>
    <row r="1696" ht="13" customHeight="1" s="189"/>
    <row r="1697" ht="13" customHeight="1" s="189"/>
    <row r="1698" ht="13" customHeight="1" s="189"/>
    <row r="1699" ht="13" customHeight="1" s="189"/>
    <row r="1700" ht="13" customHeight="1" s="189"/>
    <row r="1701" ht="13" customHeight="1" s="189"/>
    <row r="1702" ht="13" customHeight="1" s="189"/>
    <row r="1703" ht="13" customHeight="1" s="189"/>
    <row r="1704" ht="13" customHeight="1" s="189"/>
    <row r="1705" ht="13" customHeight="1" s="189"/>
    <row r="1706" ht="13" customHeight="1" s="189"/>
    <row r="1707" ht="13" customHeight="1" s="189"/>
    <row r="1708" ht="13" customHeight="1" s="189"/>
    <row r="1709" ht="13" customHeight="1" s="189"/>
    <row r="1710" ht="13" customHeight="1" s="189"/>
    <row r="1711" ht="13" customHeight="1" s="189"/>
    <row r="1712" ht="13" customHeight="1" s="189"/>
    <row r="1713" ht="13" customHeight="1" s="189"/>
    <row r="1714" ht="13" customHeight="1" s="189"/>
    <row r="1715" ht="13" customHeight="1" s="189"/>
    <row r="1716" ht="13" customHeight="1" s="189"/>
    <row r="1717" ht="13" customHeight="1" s="189"/>
    <row r="1718" ht="13" customHeight="1" s="189"/>
    <row r="1719" ht="13" customHeight="1" s="189"/>
    <row r="1720" ht="13" customHeight="1" s="189"/>
    <row r="1721" ht="13" customHeight="1" s="189"/>
    <row r="1722" ht="13" customHeight="1" s="189"/>
    <row r="1723" ht="13" customHeight="1" s="189"/>
    <row r="1724" ht="13" customHeight="1" s="189"/>
    <row r="1725" ht="13" customHeight="1" s="189"/>
    <row r="1726" ht="13" customHeight="1" s="189"/>
    <row r="1727" ht="13" customHeight="1" s="189"/>
    <row r="1728" ht="13" customHeight="1" s="189"/>
    <row r="1729" ht="13" customHeight="1" s="189"/>
    <row r="1730" ht="13" customHeight="1" s="189"/>
    <row r="1731" ht="13" customHeight="1" s="189"/>
    <row r="1732" ht="13" customHeight="1" s="189"/>
    <row r="1733" ht="13" customHeight="1" s="189"/>
    <row r="1734" ht="13" customHeight="1" s="189"/>
    <row r="1735" ht="13" customHeight="1" s="189"/>
    <row r="1736" ht="13" customHeight="1" s="189"/>
    <row r="1737" ht="13" customHeight="1" s="189"/>
    <row r="1738" ht="13" customHeight="1" s="189"/>
    <row r="1739" ht="13" customHeight="1" s="189"/>
    <row r="1740" ht="13" customHeight="1" s="189"/>
    <row r="1741" ht="13" customHeight="1" s="189"/>
    <row r="1742" ht="13" customHeight="1" s="189"/>
    <row r="1743" ht="13" customHeight="1" s="189"/>
    <row r="1744" ht="13" customHeight="1" s="189"/>
    <row r="1745" ht="13" customHeight="1" s="189"/>
    <row r="1746" ht="13" customHeight="1" s="189"/>
    <row r="1747" ht="13" customHeight="1" s="189"/>
    <row r="1748" ht="13" customHeight="1" s="189"/>
    <row r="1749" ht="13" customHeight="1" s="189"/>
    <row r="1750" ht="13" customHeight="1" s="189"/>
    <row r="1751" ht="13" customHeight="1" s="189"/>
    <row r="1752" ht="13" customHeight="1" s="189"/>
    <row r="1753" ht="13" customHeight="1" s="189"/>
    <row r="1754" ht="13" customHeight="1" s="189"/>
    <row r="1755" ht="13" customHeight="1" s="189"/>
    <row r="1756" ht="13" customHeight="1" s="189"/>
    <row r="1757" ht="13" customHeight="1" s="189"/>
    <row r="1758" ht="13" customHeight="1" s="189"/>
    <row r="1759" ht="13" customHeight="1" s="189"/>
    <row r="1760" ht="13" customHeight="1" s="189"/>
    <row r="1761" ht="13" customHeight="1" s="189"/>
    <row r="1762" ht="13" customHeight="1" s="189"/>
    <row r="1763" ht="13" customHeight="1" s="189"/>
    <row r="1764" ht="13" customHeight="1" s="189"/>
    <row r="1765" ht="13" customHeight="1" s="189"/>
    <row r="1766" ht="13" customHeight="1" s="189"/>
    <row r="1767" ht="13" customHeight="1" s="189"/>
    <row r="1768" ht="13" customHeight="1" s="189"/>
    <row r="1769" ht="13" customHeight="1" s="189"/>
    <row r="1770" ht="13" customHeight="1" s="189"/>
    <row r="1771" ht="13" customHeight="1" s="189"/>
    <row r="1772" ht="13" customHeight="1" s="189"/>
    <row r="1773" ht="13" customHeight="1" s="189"/>
    <row r="1774" ht="13" customHeight="1" s="189"/>
    <row r="1775" ht="13" customHeight="1" s="189"/>
    <row r="1776" ht="13" customHeight="1" s="189"/>
    <row r="1777" ht="13" customHeight="1" s="189"/>
    <row r="1778" ht="13" customHeight="1" s="189"/>
    <row r="1779" ht="13" customHeight="1" s="189"/>
    <row r="1780" ht="13" customHeight="1" s="189"/>
    <row r="1781" ht="13" customHeight="1" s="189"/>
    <row r="1782" ht="13" customHeight="1" s="189"/>
    <row r="1783" ht="13" customHeight="1" s="189"/>
    <row r="1784" ht="13" customHeight="1" s="189"/>
    <row r="1785" ht="13" customHeight="1" s="189"/>
    <row r="1786" ht="13" customHeight="1" s="189"/>
    <row r="1787" ht="13" customHeight="1" s="189"/>
    <row r="1788" ht="13" customHeight="1" s="189"/>
    <row r="1789" ht="13" customHeight="1" s="189"/>
    <row r="1790" ht="13" customHeight="1" s="189"/>
    <row r="1791" ht="13" customHeight="1" s="189"/>
    <row r="1792" ht="13" customHeight="1" s="189"/>
    <row r="1793" ht="13" customHeight="1" s="189"/>
    <row r="1794" ht="13" customHeight="1" s="189"/>
    <row r="1795" ht="13" customHeight="1" s="189"/>
    <row r="1796" ht="13" customHeight="1" s="189"/>
    <row r="1797" ht="13" customHeight="1" s="189"/>
    <row r="1798" ht="13" customHeight="1" s="189"/>
    <row r="1799" ht="13" customHeight="1" s="189"/>
    <row r="1800" ht="13" customHeight="1" s="189"/>
    <row r="1801" ht="13" customHeight="1" s="189"/>
    <row r="1802" ht="13" customHeight="1" s="189"/>
    <row r="1803" ht="13" customHeight="1" s="189"/>
    <row r="1804" ht="13" customHeight="1" s="189"/>
    <row r="1805" ht="13" customHeight="1" s="189"/>
    <row r="1806" ht="13" customHeight="1" s="189"/>
    <row r="1807" ht="13" customHeight="1" s="189"/>
    <row r="1808" ht="13" customHeight="1" s="189"/>
    <row r="1809" ht="13" customHeight="1" s="189"/>
    <row r="1810" ht="13" customHeight="1" s="189"/>
    <row r="1811" ht="13" customHeight="1" s="189"/>
    <row r="1812" ht="13" customHeight="1" s="189"/>
    <row r="1813" ht="13" customHeight="1" s="189"/>
    <row r="1814" ht="13" customHeight="1" s="189"/>
    <row r="1815" ht="13" customHeight="1" s="189"/>
    <row r="1816" ht="13" customHeight="1" s="189"/>
    <row r="1817" ht="13" customHeight="1" s="189"/>
    <row r="1818" ht="13" customHeight="1" s="189"/>
    <row r="1819" ht="13" customHeight="1" s="189"/>
    <row r="1820" ht="13" customHeight="1" s="189"/>
    <row r="1821" ht="13" customHeight="1" s="189"/>
    <row r="1822" ht="13" customHeight="1" s="189"/>
    <row r="1823" ht="13" customHeight="1" s="189"/>
    <row r="1824" ht="13" customHeight="1" s="189"/>
    <row r="1825" ht="13" customHeight="1" s="189"/>
    <row r="1826" ht="13" customHeight="1" s="189"/>
    <row r="1827" ht="13" customHeight="1" s="189"/>
    <row r="1828" ht="13" customHeight="1" s="189"/>
    <row r="1829" ht="13" customHeight="1" s="189"/>
    <row r="1830" ht="13" customHeight="1" s="189"/>
    <row r="1831" ht="13" customHeight="1" s="189"/>
    <row r="1832" ht="13" customHeight="1" s="189"/>
    <row r="1833" ht="13" customHeight="1" s="189"/>
    <row r="1834" ht="13" customHeight="1" s="189"/>
    <row r="1835" ht="13" customHeight="1" s="189"/>
    <row r="1836" ht="13" customHeight="1" s="189"/>
    <row r="1837" ht="13" customHeight="1" s="189"/>
    <row r="1838" ht="13" customHeight="1" s="189"/>
    <row r="1839" ht="13" customHeight="1" s="189"/>
    <row r="1840" ht="13" customHeight="1" s="189"/>
    <row r="1841" ht="13" customHeight="1" s="189"/>
    <row r="1842" ht="13" customHeight="1" s="189"/>
    <row r="1843" ht="13" customHeight="1" s="189"/>
    <row r="1844" ht="13" customHeight="1" s="189"/>
    <row r="1845" ht="13" customHeight="1" s="189"/>
    <row r="1846" ht="13" customHeight="1" s="189"/>
    <row r="1847" ht="13" customHeight="1" s="189"/>
    <row r="1848" ht="13" customHeight="1" s="189"/>
    <row r="1849" ht="13" customHeight="1" s="189"/>
    <row r="1850" ht="13" customHeight="1" s="189"/>
    <row r="1851" ht="13" customHeight="1" s="189"/>
    <row r="1852" ht="13" customHeight="1" s="189"/>
    <row r="1853" ht="13" customHeight="1" s="189"/>
    <row r="1854" ht="13" customHeight="1" s="189"/>
    <row r="1855" ht="13" customHeight="1" s="189"/>
    <row r="1856" ht="13" customHeight="1" s="189"/>
    <row r="1857" ht="13" customHeight="1" s="189"/>
    <row r="1858" ht="13" customHeight="1" s="189"/>
    <row r="1859" ht="13" customHeight="1" s="189"/>
    <row r="1860" ht="13" customHeight="1" s="189"/>
    <row r="1861" ht="13" customHeight="1" s="189"/>
    <row r="1862" ht="13" customHeight="1" s="189"/>
    <row r="1863" ht="13" customHeight="1" s="189"/>
    <row r="1864" ht="13" customHeight="1" s="189"/>
    <row r="1865" ht="13" customHeight="1" s="189"/>
    <row r="1866" ht="13" customHeight="1" s="189"/>
    <row r="1867" ht="13" customHeight="1" s="189"/>
    <row r="1868" ht="13" customHeight="1" s="189"/>
    <row r="1869" ht="13" customHeight="1" s="189"/>
    <row r="1870" ht="13" customHeight="1" s="189"/>
    <row r="1871" ht="13" customHeight="1" s="189"/>
    <row r="1872" ht="13" customHeight="1" s="189"/>
    <row r="1873" ht="13" customHeight="1" s="189"/>
    <row r="1874" ht="13" customHeight="1" s="189"/>
    <row r="1875" ht="13" customHeight="1" s="189"/>
  </sheetData>
  <mergeCells count="8">
    <mergeCell ref="G4:H4"/>
    <mergeCell ref="B4:E4"/>
    <mergeCell ref="G2:H2"/>
    <mergeCell ref="B3:E3"/>
    <mergeCell ref="B2:E2"/>
    <mergeCell ref="A1:H1"/>
    <mergeCell ref="G3:H3"/>
    <mergeCell ref="A5:G5"/>
  </mergeCells>
  <printOptions horizontalCentered="0" verticalCentered="0" headings="0" gridLines="1"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U72"/>
  <sheetViews>
    <sheetView showFormulas="0" showGridLines="1" showRowColHeaders="1" showZeros="1" rightToLeft="0" tabSelected="0" showOutlineSymbols="1" defaultGridColor="1" view="normal" topLeftCell="A40" colorId="64" zoomScale="100" zoomScaleNormal="100" zoomScalePageLayoutView="100" workbookViewId="0">
      <selection pane="topLeft" activeCell="U66" activeCellId="0" sqref="U66"/>
    </sheetView>
  </sheetViews>
  <sheetFormatPr baseColWidth="8" defaultColWidth="9.0546875" defaultRowHeight="12.5" zeroHeight="0" outlineLevelRow="0"/>
  <cols>
    <col width="2.99" customWidth="1" style="188" min="1" max="1"/>
    <col width="5.72" customWidth="1" style="188" min="2" max="3"/>
    <col width="55.53" customWidth="1" style="188" min="4" max="4"/>
    <col width="3.17" customWidth="1" style="188" min="5" max="21"/>
  </cols>
  <sheetData>
    <row r="1" ht="15.5" customHeight="1" s="189">
      <c r="A1" s="243" t="inlineStr">
        <is>
          <t>Resource Assignment Matrix</t>
        </is>
      </c>
      <c r="B1" s="213" t="n"/>
      <c r="C1" s="213" t="n"/>
      <c r="D1" s="213" t="n"/>
      <c r="E1" s="213" t="n"/>
      <c r="F1" s="213" t="n"/>
      <c r="G1" s="213" t="n"/>
      <c r="H1" s="213" t="n"/>
      <c r="I1" s="213" t="n"/>
      <c r="J1" s="213" t="n"/>
      <c r="K1" s="213" t="n"/>
      <c r="L1" s="213" t="n"/>
      <c r="M1" s="213" t="n"/>
      <c r="N1" s="213" t="n"/>
      <c r="O1" s="213" t="n"/>
      <c r="P1" s="213" t="n"/>
      <c r="Q1" s="213" t="n"/>
      <c r="R1" s="213" t="n"/>
      <c r="S1" s="213" t="n"/>
      <c r="T1" s="213" t="n"/>
      <c r="U1" s="214" t="n"/>
    </row>
    <row r="2" ht="13" customHeight="1" s="189">
      <c r="A2" s="207" t="inlineStr">
        <is>
          <t>Project</t>
        </is>
      </c>
      <c r="B2" s="213" t="n"/>
      <c r="C2" s="214" t="n"/>
      <c r="D2" s="294">
        <f>Data!B1</f>
        <v/>
      </c>
      <c r="E2" s="213" t="n"/>
      <c r="F2" s="213" t="n"/>
      <c r="G2" s="214" t="n"/>
      <c r="H2" s="266" t="inlineStr">
        <is>
          <t>Project #</t>
        </is>
      </c>
      <c r="I2" s="213" t="n"/>
      <c r="J2" s="214" t="n"/>
      <c r="K2" s="208">
        <f>Data!B2</f>
        <v/>
      </c>
      <c r="L2" s="213" t="n"/>
      <c r="M2" s="213" t="n"/>
      <c r="N2" s="213" t="n"/>
      <c r="O2" s="213" t="n"/>
      <c r="P2" s="213" t="n"/>
      <c r="Q2" s="213" t="n"/>
      <c r="R2" s="213" t="n"/>
      <c r="S2" s="213" t="n"/>
      <c r="T2" s="213" t="n"/>
      <c r="U2" s="214" t="n"/>
    </row>
    <row r="3" ht="13" customHeight="1" s="189">
      <c r="A3" s="207" t="inlineStr">
        <is>
          <t>Project manager</t>
        </is>
      </c>
      <c r="B3" s="213" t="n"/>
      <c r="C3" s="214" t="n"/>
      <c r="D3" s="294">
        <f>Data!B3</f>
        <v/>
      </c>
      <c r="E3" s="213" t="n"/>
      <c r="F3" s="213" t="n"/>
      <c r="G3" s="214" t="n"/>
      <c r="H3" s="266" t="inlineStr">
        <is>
          <t>Sponsor</t>
        </is>
      </c>
      <c r="I3" s="213" t="n"/>
      <c r="J3" s="214" t="n"/>
      <c r="K3" s="208">
        <f>Data!B4</f>
        <v/>
      </c>
      <c r="L3" s="213" t="n"/>
      <c r="M3" s="213" t="n"/>
      <c r="N3" s="213" t="n"/>
      <c r="O3" s="213" t="n"/>
      <c r="P3" s="213" t="n"/>
      <c r="Q3" s="213" t="n"/>
      <c r="R3" s="213" t="n"/>
      <c r="S3" s="213" t="n"/>
      <c r="T3" s="213" t="n"/>
      <c r="U3" s="214" t="n"/>
    </row>
    <row r="4" ht="13" customHeight="1" s="189">
      <c r="A4" s="207" t="inlineStr">
        <is>
          <t>Project artifacts</t>
        </is>
      </c>
      <c r="B4" s="213" t="n"/>
      <c r="C4" s="214" t="n"/>
      <c r="D4" s="294">
        <f>Data!B5</f>
        <v/>
      </c>
      <c r="E4" s="213" t="n"/>
      <c r="F4" s="213" t="n"/>
      <c r="G4" s="214" t="n"/>
      <c r="H4" s="266" t="inlineStr">
        <is>
          <t>Updated</t>
        </is>
      </c>
      <c r="I4" s="213" t="n"/>
      <c r="J4" s="214" t="n"/>
      <c r="K4" s="208">
        <f>Data!B6</f>
        <v/>
      </c>
      <c r="L4" s="213" t="n"/>
      <c r="M4" s="213" t="n"/>
      <c r="N4" s="213" t="n"/>
      <c r="O4" s="213" t="n"/>
      <c r="P4" s="213" t="n"/>
      <c r="Q4" s="213" t="n"/>
      <c r="R4" s="213" t="n"/>
      <c r="S4" s="213" t="n"/>
      <c r="T4" s="213" t="n"/>
      <c r="U4" s="214" t="n"/>
    </row>
    <row r="5" ht="12.5" customHeight="1" s="189">
      <c r="A5" s="188" t="n"/>
    </row>
    <row r="6" ht="88.5" customHeight="1" s="189">
      <c r="A6" s="207" t="inlineStr">
        <is>
          <t>Project Task</t>
        </is>
      </c>
      <c r="B6" s="213" t="n"/>
      <c r="C6" s="213" t="n"/>
      <c r="D6" s="214" t="n"/>
      <c r="E6" s="299" t="n"/>
      <c r="F6" s="299" t="n"/>
      <c r="G6" s="299" t="n"/>
      <c r="H6" s="299" t="n"/>
      <c r="I6" s="299" t="n"/>
      <c r="J6" s="299" t="n"/>
      <c r="K6" s="299" t="n"/>
      <c r="L6" s="299" t="n"/>
      <c r="M6" s="299" t="n"/>
      <c r="N6" s="299" t="n"/>
      <c r="O6" s="299" t="n"/>
      <c r="P6" s="299" t="n"/>
      <c r="Q6" s="299" t="n"/>
      <c r="R6" s="299" t="n"/>
      <c r="S6" s="299" t="n"/>
      <c r="T6" s="299" t="n"/>
      <c r="U6" s="282" t="n"/>
    </row>
    <row r="7" ht="12.5" customHeight="1" s="189">
      <c r="A7" s="300" t="n"/>
      <c r="B7" s="301" t="inlineStr">
        <is>
          <t>Project Management and Requirements</t>
        </is>
      </c>
      <c r="C7" s="213" t="n"/>
      <c r="D7" s="213" t="n"/>
      <c r="E7" s="213" t="n"/>
      <c r="F7" s="213" t="n"/>
      <c r="G7" s="213" t="n"/>
      <c r="H7" s="213" t="n"/>
      <c r="I7" s="213" t="n"/>
      <c r="J7" s="213" t="n"/>
      <c r="K7" s="213" t="n"/>
      <c r="L7" s="213" t="n"/>
      <c r="M7" s="213" t="n"/>
      <c r="N7" s="213" t="n"/>
      <c r="O7" s="213" t="n"/>
      <c r="P7" s="213" t="n"/>
      <c r="Q7" s="213" t="n"/>
      <c r="R7" s="213" t="n"/>
      <c r="S7" s="213" t="n"/>
      <c r="T7" s="213" t="n"/>
      <c r="U7" s="214" t="n"/>
    </row>
    <row r="8" ht="13" customHeight="1" s="189">
      <c r="A8" s="302" t="n"/>
      <c r="B8" s="213" t="n"/>
      <c r="C8" s="213" t="n"/>
      <c r="D8" s="213" t="n"/>
      <c r="E8" s="213" t="n"/>
      <c r="F8" s="213" t="n"/>
      <c r="G8" s="213" t="n"/>
      <c r="H8" s="213" t="n"/>
      <c r="I8" s="213" t="n"/>
      <c r="J8" s="213" t="n"/>
      <c r="K8" s="213" t="n"/>
      <c r="L8" s="213" t="n"/>
      <c r="M8" s="213" t="n"/>
      <c r="N8" s="213" t="n"/>
      <c r="O8" s="213" t="n"/>
      <c r="P8" s="213" t="n"/>
      <c r="Q8" s="213" t="n"/>
      <c r="R8" s="213" t="n"/>
      <c r="S8" s="213" t="n"/>
      <c r="T8" s="213" t="n"/>
      <c r="U8" s="213" t="n"/>
    </row>
    <row r="9" ht="12.5" customHeight="1" s="189">
      <c r="A9" s="303" t="n"/>
      <c r="B9" s="304" t="n"/>
      <c r="C9" s="305" t="inlineStr">
        <is>
          <t>Initiation</t>
        </is>
      </c>
      <c r="D9" s="213" t="n"/>
      <c r="E9" s="213" t="n"/>
      <c r="F9" s="213" t="n"/>
      <c r="G9" s="213" t="n"/>
      <c r="H9" s="213" t="n"/>
      <c r="I9" s="213" t="n"/>
      <c r="J9" s="213" t="n"/>
      <c r="K9" s="213" t="n"/>
      <c r="L9" s="213" t="n"/>
      <c r="M9" s="213" t="n"/>
      <c r="N9" s="213" t="n"/>
      <c r="O9" s="213" t="n"/>
      <c r="P9" s="213" t="n"/>
      <c r="Q9" s="213" t="n"/>
      <c r="R9" s="213" t="n"/>
      <c r="S9" s="213" t="n"/>
      <c r="T9" s="213" t="n"/>
      <c r="U9" s="214" t="n"/>
    </row>
    <row r="10" ht="13" customHeight="1" s="189">
      <c r="A10" s="306" t="n">
        <v>1</v>
      </c>
      <c r="B10" s="213" t="n"/>
      <c r="C10" s="214" t="n"/>
      <c r="D10" s="200" t="n"/>
      <c r="E10" s="272" t="n"/>
      <c r="F10" s="272" t="n"/>
      <c r="G10" s="272" t="n"/>
      <c r="H10" s="272" t="n"/>
      <c r="I10" s="272" t="n"/>
      <c r="J10" s="272" t="n"/>
      <c r="K10" s="272" t="n"/>
      <c r="L10" s="272" t="n"/>
      <c r="M10" s="272" t="n"/>
      <c r="N10" s="272" t="n"/>
      <c r="O10" s="272" t="n"/>
      <c r="P10" s="272" t="n"/>
      <c r="Q10" s="272" t="n"/>
      <c r="R10" s="272" t="n"/>
      <c r="S10" s="272" t="n"/>
      <c r="T10" s="272" t="n"/>
      <c r="U10" s="272" t="n"/>
    </row>
    <row r="11" ht="13" customHeight="1" s="189">
      <c r="A11" s="306" t="n">
        <v>2</v>
      </c>
      <c r="B11" s="213" t="n"/>
      <c r="C11" s="214" t="n"/>
      <c r="D11" s="200" t="n"/>
      <c r="E11" s="272" t="n"/>
      <c r="F11" s="272" t="n"/>
      <c r="G11" s="272" t="n"/>
      <c r="H11" s="272" t="n"/>
      <c r="I11" s="272" t="n"/>
      <c r="J11" s="272" t="n"/>
      <c r="K11" s="272" t="n"/>
      <c r="L11" s="272" t="n"/>
      <c r="M11" s="272" t="n"/>
      <c r="N11" s="272" t="n"/>
      <c r="O11" s="272" t="n"/>
      <c r="P11" s="272" t="n"/>
      <c r="Q11" s="272" t="n"/>
      <c r="R11" s="272" t="n"/>
      <c r="S11" s="272" t="n"/>
      <c r="T11" s="272" t="n"/>
      <c r="U11" s="272" t="n"/>
    </row>
    <row r="12" ht="13" customHeight="1" s="189">
      <c r="A12" s="306" t="n">
        <v>3</v>
      </c>
      <c r="B12" s="213" t="n"/>
      <c r="C12" s="214" t="n"/>
      <c r="D12" s="200" t="n"/>
      <c r="E12" s="272" t="n"/>
      <c r="F12" s="272" t="n"/>
      <c r="G12" s="272" t="n"/>
      <c r="H12" s="272" t="n"/>
      <c r="I12" s="272" t="n"/>
      <c r="J12" s="272" t="n"/>
      <c r="K12" s="272" t="n"/>
      <c r="L12" s="272" t="n"/>
      <c r="M12" s="272" t="n"/>
      <c r="N12" s="272" t="n"/>
      <c r="O12" s="272" t="n"/>
      <c r="P12" s="272" t="n"/>
      <c r="Q12" s="272" t="n"/>
      <c r="R12" s="272" t="n"/>
      <c r="S12" s="272" t="n"/>
      <c r="T12" s="272" t="n"/>
      <c r="U12" s="272" t="n"/>
    </row>
    <row r="13" ht="13" customHeight="1" s="189">
      <c r="A13" s="306" t="n">
        <v>4</v>
      </c>
      <c r="B13" s="213" t="n"/>
      <c r="C13" s="214" t="n"/>
      <c r="D13" s="200" t="n"/>
      <c r="E13" s="272" t="n"/>
      <c r="F13" s="272" t="n"/>
      <c r="G13" s="272" t="n"/>
      <c r="H13" s="272" t="n"/>
      <c r="I13" s="272" t="n"/>
      <c r="J13" s="272" t="n"/>
      <c r="K13" s="272" t="n"/>
      <c r="L13" s="272" t="n"/>
      <c r="M13" s="272" t="n"/>
      <c r="N13" s="272" t="n"/>
      <c r="O13" s="272" t="n"/>
      <c r="P13" s="272" t="n"/>
      <c r="Q13" s="272" t="n"/>
      <c r="R13" s="272" t="n"/>
      <c r="S13" s="272" t="n"/>
      <c r="T13" s="272" t="n"/>
      <c r="U13" s="272" t="n"/>
    </row>
    <row r="14" ht="13" customHeight="1" s="189">
      <c r="A14" s="306" t="n">
        <v>5</v>
      </c>
      <c r="B14" s="213" t="n"/>
      <c r="C14" s="214" t="n"/>
      <c r="D14" s="200" t="n"/>
      <c r="E14" s="272" t="n"/>
      <c r="F14" s="272" t="n"/>
      <c r="G14" s="272" t="n"/>
      <c r="H14" s="272" t="n"/>
      <c r="I14" s="272" t="n"/>
      <c r="J14" s="272" t="n"/>
      <c r="K14" s="272" t="n"/>
      <c r="L14" s="272" t="n"/>
      <c r="M14" s="272" t="n"/>
      <c r="N14" s="272" t="n"/>
      <c r="O14" s="272" t="n"/>
      <c r="P14" s="272" t="n"/>
      <c r="Q14" s="272" t="n"/>
      <c r="R14" s="272" t="n"/>
      <c r="S14" s="272" t="n"/>
      <c r="T14" s="272" t="n"/>
      <c r="U14" s="272" t="n"/>
    </row>
    <row r="15" ht="13" customHeight="1" s="189">
      <c r="A15" s="302" t="n"/>
      <c r="B15" s="213" t="n"/>
      <c r="C15" s="213" t="n"/>
      <c r="D15" s="213" t="n"/>
      <c r="E15" s="213" t="n"/>
      <c r="F15" s="213" t="n"/>
      <c r="G15" s="213" t="n"/>
      <c r="H15" s="213" t="n"/>
      <c r="I15" s="213" t="n"/>
      <c r="J15" s="213" t="n"/>
      <c r="K15" s="213" t="n"/>
      <c r="L15" s="213" t="n"/>
      <c r="M15" s="213" t="n"/>
      <c r="N15" s="213" t="n"/>
      <c r="O15" s="213" t="n"/>
      <c r="P15" s="213" t="n"/>
      <c r="Q15" s="213" t="n"/>
      <c r="R15" s="213" t="n"/>
      <c r="S15" s="213" t="n"/>
      <c r="T15" s="213" t="n"/>
      <c r="U15" s="213" t="n"/>
    </row>
    <row r="16" ht="12.5" customHeight="1" s="189">
      <c r="A16" s="303" t="n"/>
      <c r="B16" s="304" t="n"/>
      <c r="C16" s="305" t="inlineStr">
        <is>
          <t>Planning</t>
        </is>
      </c>
      <c r="D16" s="213" t="n"/>
      <c r="E16" s="213" t="n"/>
      <c r="F16" s="213" t="n"/>
      <c r="G16" s="213" t="n"/>
      <c r="H16" s="213" t="n"/>
      <c r="I16" s="213" t="n"/>
      <c r="J16" s="213" t="n"/>
      <c r="K16" s="213" t="n"/>
      <c r="L16" s="213" t="n"/>
      <c r="M16" s="213" t="n"/>
      <c r="N16" s="213" t="n"/>
      <c r="O16" s="213" t="n"/>
      <c r="P16" s="213" t="n"/>
      <c r="Q16" s="213" t="n"/>
      <c r="R16" s="213" t="n"/>
      <c r="S16" s="213" t="n"/>
      <c r="T16" s="213" t="n"/>
      <c r="U16" s="214" t="n"/>
    </row>
    <row r="17" ht="13" customHeight="1" s="189">
      <c r="A17" s="307" t="n">
        <v>1</v>
      </c>
      <c r="B17" s="213" t="n"/>
      <c r="C17" s="213" t="n"/>
      <c r="D17" s="200" t="n"/>
      <c r="E17" s="272" t="n"/>
      <c r="F17" s="272" t="n"/>
      <c r="G17" s="272" t="n"/>
      <c r="H17" s="272" t="n"/>
      <c r="I17" s="272" t="n"/>
      <c r="J17" s="272" t="n"/>
      <c r="K17" s="272" t="n"/>
      <c r="L17" s="272" t="n"/>
      <c r="M17" s="272" t="n"/>
      <c r="N17" s="272" t="n"/>
      <c r="O17" s="272" t="n"/>
      <c r="P17" s="272" t="n"/>
      <c r="Q17" s="272" t="n"/>
      <c r="R17" s="272" t="n"/>
      <c r="S17" s="272" t="n"/>
      <c r="T17" s="272" t="n"/>
      <c r="U17" s="272" t="n"/>
    </row>
    <row r="18" ht="13" customHeight="1" s="189">
      <c r="A18" s="307" t="n">
        <v>2</v>
      </c>
      <c r="B18" s="213" t="n"/>
      <c r="C18" s="213" t="n"/>
      <c r="D18" s="200" t="n"/>
      <c r="E18" s="272" t="n"/>
      <c r="F18" s="272" t="n"/>
      <c r="G18" s="272" t="n"/>
      <c r="H18" s="272" t="n"/>
      <c r="I18" s="272" t="n"/>
      <c r="J18" s="272" t="n"/>
      <c r="K18" s="272" t="n"/>
      <c r="L18" s="272" t="n"/>
      <c r="M18" s="272" t="n"/>
      <c r="N18" s="272" t="n"/>
      <c r="O18" s="272" t="n"/>
      <c r="P18" s="272" t="n"/>
      <c r="Q18" s="272" t="n"/>
      <c r="R18" s="272" t="n"/>
      <c r="S18" s="272" t="n"/>
      <c r="T18" s="272" t="n"/>
      <c r="U18" s="272" t="n"/>
    </row>
    <row r="19" ht="13" customHeight="1" s="189">
      <c r="A19" s="307" t="n">
        <v>3</v>
      </c>
      <c r="B19" s="213" t="n"/>
      <c r="C19" s="213" t="n"/>
      <c r="D19" s="200" t="n"/>
      <c r="E19" s="272" t="n"/>
      <c r="F19" s="272" t="n"/>
      <c r="G19" s="272" t="n"/>
      <c r="H19" s="272" t="n"/>
      <c r="I19" s="272" t="n"/>
      <c r="J19" s="272" t="n"/>
      <c r="K19" s="272" t="n"/>
      <c r="L19" s="272" t="n"/>
      <c r="M19" s="272" t="n"/>
      <c r="N19" s="272" t="n"/>
      <c r="O19" s="272" t="n"/>
      <c r="P19" s="272" t="n"/>
      <c r="Q19" s="272" t="n"/>
      <c r="R19" s="272" t="n"/>
      <c r="S19" s="272" t="n"/>
      <c r="T19" s="272" t="n"/>
      <c r="U19" s="272" t="n"/>
    </row>
    <row r="20" ht="13" customHeight="1" s="189">
      <c r="A20" s="307" t="n">
        <v>4</v>
      </c>
      <c r="B20" s="213" t="n"/>
      <c r="C20" s="213" t="n"/>
      <c r="D20" s="200" t="n"/>
      <c r="E20" s="272" t="n"/>
      <c r="F20" s="272" t="n"/>
      <c r="G20" s="272" t="n"/>
      <c r="H20" s="272" t="n"/>
      <c r="I20" s="272" t="n"/>
      <c r="J20" s="272" t="n"/>
      <c r="K20" s="272" t="n"/>
      <c r="L20" s="272" t="n"/>
      <c r="M20" s="272" t="n"/>
      <c r="N20" s="272" t="n"/>
      <c r="O20" s="272" t="n"/>
      <c r="P20" s="272" t="n"/>
      <c r="Q20" s="272" t="n"/>
      <c r="R20" s="272" t="n"/>
      <c r="S20" s="272" t="n"/>
      <c r="T20" s="272" t="n"/>
      <c r="U20" s="272" t="n"/>
    </row>
    <row r="21" ht="13" customHeight="1" s="189">
      <c r="A21" s="307" t="n">
        <v>5</v>
      </c>
      <c r="B21" s="213" t="n"/>
      <c r="C21" s="213" t="n"/>
      <c r="D21" s="200" t="n"/>
      <c r="E21" s="272" t="n"/>
      <c r="F21" s="272" t="n"/>
      <c r="G21" s="272" t="n"/>
      <c r="H21" s="272" t="n"/>
      <c r="I21" s="272" t="n"/>
      <c r="J21" s="272" t="n"/>
      <c r="K21" s="272" t="n"/>
      <c r="L21" s="272" t="n"/>
      <c r="M21" s="272" t="n"/>
      <c r="N21" s="272" t="n"/>
      <c r="O21" s="272" t="n"/>
      <c r="P21" s="272" t="n"/>
      <c r="Q21" s="272" t="n"/>
      <c r="R21" s="272" t="n"/>
      <c r="S21" s="272" t="n"/>
      <c r="T21" s="272" t="n"/>
      <c r="U21" s="272" t="n"/>
    </row>
    <row r="22" ht="13" customHeight="1" s="189">
      <c r="A22" s="307" t="n">
        <v>6</v>
      </c>
      <c r="B22" s="213" t="n"/>
      <c r="C22" s="213" t="n"/>
      <c r="D22" s="200" t="n"/>
      <c r="E22" s="272" t="n"/>
      <c r="F22" s="272" t="n"/>
      <c r="G22" s="272" t="n"/>
      <c r="H22" s="272" t="n"/>
      <c r="I22" s="272" t="n"/>
      <c r="J22" s="272" t="n"/>
      <c r="K22" s="272" t="n"/>
      <c r="L22" s="272" t="n"/>
      <c r="M22" s="272" t="n"/>
      <c r="N22" s="272" t="n"/>
      <c r="O22" s="272" t="n"/>
      <c r="P22" s="272" t="n"/>
      <c r="Q22" s="272" t="n"/>
      <c r="R22" s="272" t="n"/>
      <c r="S22" s="272" t="n"/>
      <c r="T22" s="272" t="n"/>
      <c r="U22" s="272" t="n"/>
    </row>
    <row r="23" ht="13" customHeight="1" s="189">
      <c r="A23" s="307" t="n">
        <v>7</v>
      </c>
      <c r="B23" s="213" t="n"/>
      <c r="C23" s="213" t="n"/>
      <c r="D23" s="200" t="n"/>
      <c r="E23" s="272" t="n"/>
      <c r="F23" s="272" t="n"/>
      <c r="G23" s="272" t="n"/>
      <c r="H23" s="272" t="n"/>
      <c r="I23" s="272" t="n"/>
      <c r="J23" s="272" t="n"/>
      <c r="K23" s="272" t="n"/>
      <c r="L23" s="272" t="n"/>
      <c r="M23" s="272" t="n"/>
      <c r="N23" s="272" t="n"/>
      <c r="O23" s="272" t="n"/>
      <c r="P23" s="272" t="n"/>
      <c r="Q23" s="272" t="n"/>
      <c r="R23" s="272" t="n"/>
      <c r="S23" s="272" t="n"/>
      <c r="T23" s="272" t="n"/>
      <c r="U23" s="272" t="n"/>
    </row>
    <row r="24" ht="13" customHeight="1" s="189">
      <c r="A24" s="307" t="n">
        <v>8</v>
      </c>
      <c r="B24" s="213" t="n"/>
      <c r="C24" s="213" t="n"/>
      <c r="D24" s="200" t="n"/>
      <c r="E24" s="272" t="n"/>
      <c r="F24" s="272" t="n"/>
      <c r="G24" s="272" t="n"/>
      <c r="H24" s="272" t="n"/>
      <c r="I24" s="272" t="n"/>
      <c r="J24" s="272" t="n"/>
      <c r="K24" s="272" t="n"/>
      <c r="L24" s="272" t="n"/>
      <c r="M24" s="272" t="n"/>
      <c r="N24" s="272" t="n"/>
      <c r="O24" s="272" t="n"/>
      <c r="P24" s="272" t="n"/>
      <c r="Q24" s="272" t="n"/>
      <c r="R24" s="272" t="n"/>
      <c r="S24" s="272" t="n"/>
      <c r="T24" s="272" t="n"/>
      <c r="U24" s="272" t="n"/>
    </row>
    <row r="25" ht="13" customHeight="1" s="189">
      <c r="A25" s="307" t="n">
        <v>9</v>
      </c>
      <c r="B25" s="213" t="n"/>
      <c r="C25" s="213" t="n"/>
      <c r="D25" s="200" t="n"/>
      <c r="E25" s="272" t="n"/>
      <c r="F25" s="272" t="n"/>
      <c r="G25" s="272" t="n"/>
      <c r="H25" s="272" t="n"/>
      <c r="I25" s="272" t="n"/>
      <c r="J25" s="272" t="n"/>
      <c r="K25" s="272" t="n"/>
      <c r="L25" s="272" t="n"/>
      <c r="M25" s="272" t="n"/>
      <c r="N25" s="272" t="n"/>
      <c r="O25" s="272" t="n"/>
      <c r="P25" s="272" t="n"/>
      <c r="Q25" s="272" t="n"/>
      <c r="R25" s="272" t="n"/>
      <c r="S25" s="272" t="n"/>
      <c r="T25" s="272" t="n"/>
      <c r="U25" s="272" t="n"/>
    </row>
    <row r="26" ht="13" customHeight="1" s="189">
      <c r="A26" s="307" t="n">
        <v>10</v>
      </c>
      <c r="B26" s="213" t="n"/>
      <c r="C26" s="213" t="n"/>
      <c r="D26" s="200" t="n"/>
      <c r="E26" s="272" t="n"/>
      <c r="F26" s="272" t="n"/>
      <c r="G26" s="272" t="n"/>
      <c r="H26" s="272" t="n"/>
      <c r="I26" s="272" t="n"/>
      <c r="J26" s="272" t="n"/>
      <c r="K26" s="272" t="n"/>
      <c r="L26" s="272" t="n"/>
      <c r="M26" s="272" t="n"/>
      <c r="N26" s="272" t="n"/>
      <c r="O26" s="272" t="n"/>
      <c r="P26" s="272" t="n"/>
      <c r="Q26" s="272" t="n"/>
      <c r="R26" s="272" t="n"/>
      <c r="S26" s="272" t="n"/>
      <c r="T26" s="272" t="n"/>
      <c r="U26" s="272" t="n"/>
    </row>
    <row r="27" ht="13" customHeight="1" s="189">
      <c r="A27" s="307" t="n">
        <v>11</v>
      </c>
      <c r="B27" s="213" t="n"/>
      <c r="C27" s="213" t="n"/>
      <c r="D27" s="200" t="n"/>
      <c r="E27" s="272" t="n"/>
      <c r="F27" s="272" t="n"/>
      <c r="G27" s="272" t="n"/>
      <c r="H27" s="272" t="n"/>
      <c r="I27" s="272" t="n"/>
      <c r="J27" s="272" t="n"/>
      <c r="K27" s="272" t="n"/>
      <c r="L27" s="272" t="n"/>
      <c r="M27" s="272" t="n"/>
      <c r="N27" s="272" t="n"/>
      <c r="O27" s="272" t="n"/>
      <c r="P27" s="272" t="n"/>
      <c r="Q27" s="272" t="n"/>
      <c r="R27" s="272" t="n"/>
      <c r="S27" s="272" t="n"/>
      <c r="T27" s="272" t="n"/>
      <c r="U27" s="272" t="n"/>
    </row>
    <row r="28" ht="13" customHeight="1" s="189">
      <c r="A28" s="307" t="n">
        <v>12</v>
      </c>
      <c r="B28" s="213" t="n"/>
      <c r="C28" s="213" t="n"/>
      <c r="D28" s="200" t="n"/>
      <c r="E28" s="272" t="n"/>
      <c r="F28" s="272" t="n"/>
      <c r="G28" s="272" t="n"/>
      <c r="H28" s="272" t="n"/>
      <c r="I28" s="272" t="n"/>
      <c r="J28" s="272" t="n"/>
      <c r="K28" s="272" t="n"/>
      <c r="L28" s="272" t="n"/>
      <c r="M28" s="272" t="n"/>
      <c r="N28" s="272" t="n"/>
      <c r="O28" s="272" t="n"/>
      <c r="P28" s="272" t="n"/>
      <c r="Q28" s="272" t="n"/>
      <c r="R28" s="272" t="n"/>
      <c r="S28" s="272" t="n"/>
      <c r="T28" s="272" t="n"/>
      <c r="U28" s="272" t="n"/>
    </row>
    <row r="29" ht="13" customHeight="1" s="189">
      <c r="A29" s="307" t="n">
        <v>13</v>
      </c>
      <c r="B29" s="213" t="n"/>
      <c r="C29" s="213" t="n"/>
      <c r="D29" s="200" t="n"/>
      <c r="E29" s="272" t="n"/>
      <c r="F29" s="272" t="n"/>
      <c r="G29" s="272" t="n"/>
      <c r="H29" s="272" t="n"/>
      <c r="I29" s="272" t="n"/>
      <c r="J29" s="272" t="n"/>
      <c r="K29" s="272" t="n"/>
      <c r="L29" s="272" t="n"/>
      <c r="M29" s="272" t="n"/>
      <c r="N29" s="272" t="n"/>
      <c r="O29" s="272" t="n"/>
      <c r="P29" s="272" t="n"/>
      <c r="Q29" s="272" t="n"/>
      <c r="R29" s="272" t="n"/>
      <c r="S29" s="272" t="n"/>
      <c r="T29" s="272" t="n"/>
      <c r="U29" s="272" t="n"/>
    </row>
    <row r="30" ht="13" customHeight="1" s="189">
      <c r="A30" s="307" t="n">
        <v>14</v>
      </c>
      <c r="B30" s="213" t="n"/>
      <c r="C30" s="213" t="n"/>
      <c r="D30" s="200" t="n"/>
      <c r="E30" s="272" t="n"/>
      <c r="F30" s="272" t="n"/>
      <c r="G30" s="272" t="n"/>
      <c r="H30" s="272" t="n"/>
      <c r="I30" s="272" t="n"/>
      <c r="J30" s="272" t="n"/>
      <c r="K30" s="272" t="n"/>
      <c r="L30" s="272" t="n"/>
      <c r="M30" s="272" t="n"/>
      <c r="N30" s="272" t="n"/>
      <c r="O30" s="272" t="n"/>
      <c r="P30" s="272" t="n"/>
      <c r="Q30" s="272" t="n"/>
      <c r="R30" s="272" t="n"/>
      <c r="S30" s="272" t="n"/>
      <c r="T30" s="272" t="n"/>
      <c r="U30" s="272" t="n"/>
    </row>
    <row r="31" ht="13" customHeight="1" s="189">
      <c r="A31" s="307" t="n">
        <v>15</v>
      </c>
      <c r="B31" s="213" t="n"/>
      <c r="C31" s="213" t="n"/>
      <c r="D31" s="200" t="n"/>
      <c r="E31" s="272" t="n"/>
      <c r="F31" s="272" t="n"/>
      <c r="G31" s="272" t="n"/>
      <c r="H31" s="272" t="n"/>
      <c r="I31" s="272" t="n"/>
      <c r="J31" s="272" t="n"/>
      <c r="K31" s="272" t="n"/>
      <c r="L31" s="272" t="n"/>
      <c r="M31" s="272" t="n"/>
      <c r="N31" s="272" t="n"/>
      <c r="O31" s="272" t="n"/>
      <c r="P31" s="272" t="n"/>
      <c r="Q31" s="272" t="n"/>
      <c r="R31" s="272" t="n"/>
      <c r="S31" s="272" t="n"/>
      <c r="T31" s="272" t="n"/>
      <c r="U31" s="272" t="n"/>
    </row>
    <row r="32" ht="13" customHeight="1" s="189">
      <c r="A32" s="307" t="n">
        <v>16</v>
      </c>
      <c r="B32" s="213" t="n"/>
      <c r="C32" s="213" t="n"/>
      <c r="D32" s="200" t="n"/>
      <c r="E32" s="272" t="n"/>
      <c r="F32" s="272" t="n"/>
      <c r="G32" s="272" t="n"/>
      <c r="H32" s="272" t="n"/>
      <c r="I32" s="272" t="n"/>
      <c r="J32" s="272" t="n"/>
      <c r="K32" s="272" t="n"/>
      <c r="L32" s="272" t="n"/>
      <c r="M32" s="272" t="n"/>
      <c r="N32" s="272" t="n"/>
      <c r="O32" s="272" t="n"/>
      <c r="P32" s="272" t="n"/>
      <c r="Q32" s="272" t="n"/>
      <c r="R32" s="272" t="n"/>
      <c r="S32" s="272" t="n"/>
      <c r="T32" s="272" t="n"/>
      <c r="U32" s="272" t="n"/>
    </row>
    <row r="33" ht="13" customHeight="1" s="189">
      <c r="A33" s="307" t="n">
        <v>17</v>
      </c>
      <c r="B33" s="213" t="n"/>
      <c r="C33" s="213" t="n"/>
      <c r="D33" s="200" t="n"/>
      <c r="E33" s="272" t="n"/>
      <c r="F33" s="272" t="n"/>
      <c r="G33" s="272" t="n"/>
      <c r="H33" s="272" t="n"/>
      <c r="I33" s="272" t="n"/>
      <c r="J33" s="272" t="n"/>
      <c r="K33" s="272" t="n"/>
      <c r="L33" s="272" t="n"/>
      <c r="M33" s="272" t="n"/>
      <c r="N33" s="272" t="n"/>
      <c r="O33" s="272" t="n"/>
      <c r="P33" s="272" t="n"/>
      <c r="Q33" s="272" t="n"/>
      <c r="R33" s="272" t="n"/>
      <c r="S33" s="272" t="n"/>
      <c r="T33" s="272" t="n"/>
      <c r="U33" s="272" t="n"/>
    </row>
    <row r="34" ht="13" customHeight="1" s="189">
      <c r="A34" s="307" t="n">
        <v>18</v>
      </c>
      <c r="B34" s="213" t="n"/>
      <c r="C34" s="213" t="n"/>
      <c r="D34" s="200" t="n"/>
      <c r="E34" s="272" t="n"/>
      <c r="F34" s="272" t="n"/>
      <c r="G34" s="272" t="n"/>
      <c r="H34" s="272" t="n"/>
      <c r="I34" s="272" t="n"/>
      <c r="J34" s="272" t="n"/>
      <c r="K34" s="272" t="n"/>
      <c r="L34" s="272" t="n"/>
      <c r="M34" s="272" t="n"/>
      <c r="N34" s="272" t="n"/>
      <c r="O34" s="272" t="n"/>
      <c r="P34" s="272" t="n"/>
      <c r="Q34" s="272" t="n"/>
      <c r="R34" s="272" t="n"/>
      <c r="S34" s="272" t="n"/>
      <c r="T34" s="272" t="n"/>
      <c r="U34" s="272" t="n"/>
    </row>
    <row r="35" ht="13" customHeight="1" s="189">
      <c r="A35" s="307" t="n">
        <v>19</v>
      </c>
      <c r="B35" s="213" t="n"/>
      <c r="C35" s="213" t="n"/>
      <c r="D35" s="200" t="n"/>
      <c r="E35" s="272" t="n"/>
      <c r="F35" s="272" t="n"/>
      <c r="G35" s="272" t="n"/>
      <c r="H35" s="272" t="n"/>
      <c r="I35" s="272" t="n"/>
      <c r="J35" s="272" t="n"/>
      <c r="K35" s="272" t="n"/>
      <c r="L35" s="272" t="n"/>
      <c r="M35" s="272" t="n"/>
      <c r="N35" s="272" t="n"/>
      <c r="O35" s="272" t="n"/>
      <c r="P35" s="272" t="n"/>
      <c r="Q35" s="272" t="n"/>
      <c r="R35" s="272" t="n"/>
      <c r="S35" s="272" t="n"/>
      <c r="T35" s="272" t="n"/>
      <c r="U35" s="272" t="n"/>
    </row>
    <row r="36" ht="13" customHeight="1" s="189">
      <c r="A36" s="307" t="n">
        <v>20</v>
      </c>
      <c r="B36" s="213" t="n"/>
      <c r="C36" s="213" t="n"/>
      <c r="D36" s="200" t="n"/>
      <c r="E36" s="272" t="n"/>
      <c r="F36" s="272" t="n"/>
      <c r="G36" s="272" t="n"/>
      <c r="H36" s="272" t="n"/>
      <c r="I36" s="272" t="n"/>
      <c r="J36" s="272" t="n"/>
      <c r="K36" s="272" t="n"/>
      <c r="L36" s="272" t="n"/>
      <c r="M36" s="272" t="n"/>
      <c r="N36" s="272" t="n"/>
      <c r="O36" s="272" t="n"/>
      <c r="P36" s="272" t="n"/>
      <c r="Q36" s="272" t="n"/>
      <c r="R36" s="272" t="n"/>
      <c r="S36" s="272" t="n"/>
      <c r="T36" s="272" t="n"/>
      <c r="U36" s="272" t="n"/>
    </row>
    <row r="37" ht="13" customHeight="1" s="189">
      <c r="A37" s="307" t="n">
        <v>21</v>
      </c>
      <c r="B37" s="213" t="n"/>
      <c r="C37" s="213" t="n"/>
      <c r="D37" s="200" t="n"/>
      <c r="E37" s="272" t="n"/>
      <c r="F37" s="272" t="n"/>
      <c r="G37" s="272" t="n"/>
      <c r="H37" s="272" t="n"/>
      <c r="I37" s="272" t="n"/>
      <c r="J37" s="272" t="n"/>
      <c r="K37" s="272" t="n"/>
      <c r="L37" s="272" t="n"/>
      <c r="M37" s="272" t="n"/>
      <c r="N37" s="272" t="n"/>
      <c r="O37" s="272" t="n"/>
      <c r="P37" s="272" t="n"/>
      <c r="Q37" s="272" t="n"/>
      <c r="R37" s="272" t="n"/>
      <c r="S37" s="272" t="n"/>
      <c r="T37" s="272" t="n"/>
      <c r="U37" s="272" t="n"/>
    </row>
    <row r="38" ht="13" customHeight="1" s="189">
      <c r="A38" s="307" t="n">
        <v>22</v>
      </c>
      <c r="B38" s="213" t="n"/>
      <c r="C38" s="213" t="n"/>
      <c r="D38" s="200" t="n"/>
      <c r="E38" s="272" t="n"/>
      <c r="F38" s="272" t="n"/>
      <c r="G38" s="272" t="n"/>
      <c r="H38" s="272" t="n"/>
      <c r="I38" s="272" t="n"/>
      <c r="J38" s="272" t="n"/>
      <c r="K38" s="272" t="n"/>
      <c r="L38" s="272" t="n"/>
      <c r="M38" s="272" t="n"/>
      <c r="N38" s="272" t="n"/>
      <c r="O38" s="272" t="n"/>
      <c r="P38" s="272" t="n"/>
      <c r="Q38" s="272" t="n"/>
      <c r="R38" s="272" t="n"/>
      <c r="S38" s="272" t="n"/>
      <c r="T38" s="272" t="n"/>
      <c r="U38" s="272" t="n"/>
    </row>
    <row r="39" ht="13" customHeight="1" s="189">
      <c r="A39" s="307" t="n">
        <v>23</v>
      </c>
      <c r="B39" s="213" t="n"/>
      <c r="C39" s="213" t="n"/>
      <c r="D39" s="200" t="n"/>
      <c r="E39" s="272" t="n"/>
      <c r="F39" s="272" t="n"/>
      <c r="G39" s="272" t="n"/>
      <c r="H39" s="272" t="n"/>
      <c r="I39" s="272" t="n"/>
      <c r="J39" s="272" t="n"/>
      <c r="K39" s="272" t="n"/>
      <c r="L39" s="272" t="n"/>
      <c r="M39" s="272" t="n"/>
      <c r="N39" s="272" t="n"/>
      <c r="O39" s="272" t="n"/>
      <c r="P39" s="272" t="n"/>
      <c r="Q39" s="272" t="n"/>
      <c r="R39" s="272" t="n"/>
      <c r="S39" s="272" t="n"/>
      <c r="T39" s="272" t="n"/>
      <c r="U39" s="272" t="n"/>
    </row>
    <row r="40" ht="12.5" customHeight="1" s="189">
      <c r="A40" s="308" t="n"/>
      <c r="B40" s="213" t="n"/>
      <c r="C40" s="213" t="n"/>
      <c r="D40" s="213" t="n"/>
      <c r="E40" s="213" t="n"/>
      <c r="F40" s="213" t="n"/>
      <c r="G40" s="213" t="n"/>
      <c r="H40" s="213" t="n"/>
      <c r="I40" s="213" t="n"/>
      <c r="J40" s="213" t="n"/>
      <c r="K40" s="213" t="n"/>
      <c r="L40" s="213" t="n"/>
      <c r="M40" s="213" t="n"/>
      <c r="N40" s="213" t="n"/>
      <c r="O40" s="213" t="n"/>
      <c r="P40" s="213" t="n"/>
      <c r="Q40" s="213" t="n"/>
      <c r="R40" s="213" t="n"/>
      <c r="S40" s="213" t="n"/>
      <c r="T40" s="213" t="n"/>
      <c r="U40" s="213" t="n"/>
    </row>
    <row r="41" ht="12.5" customHeight="1" s="189">
      <c r="A41" s="303" t="n"/>
      <c r="B41" s="213" t="n"/>
      <c r="C41" s="305" t="inlineStr">
        <is>
          <t>Execution</t>
        </is>
      </c>
      <c r="D41" s="213" t="n"/>
      <c r="E41" s="213" t="n"/>
      <c r="F41" s="213" t="n"/>
      <c r="G41" s="213" t="n"/>
      <c r="H41" s="213" t="n"/>
      <c r="I41" s="213" t="n"/>
      <c r="J41" s="213" t="n"/>
      <c r="K41" s="213" t="n"/>
      <c r="L41" s="213" t="n"/>
      <c r="M41" s="213" t="n"/>
      <c r="N41" s="213" t="n"/>
      <c r="O41" s="213" t="n"/>
      <c r="P41" s="213" t="n"/>
      <c r="Q41" s="213" t="n"/>
      <c r="R41" s="213" t="n"/>
      <c r="S41" s="213" t="n"/>
      <c r="T41" s="213" t="n"/>
      <c r="U41" s="214" t="n"/>
    </row>
    <row r="42" ht="13" customHeight="1" s="189">
      <c r="A42" s="306" t="n">
        <v>1</v>
      </c>
      <c r="B42" s="213" t="n"/>
      <c r="C42" s="214" t="n"/>
      <c r="D42" s="200" t="n"/>
      <c r="E42" s="272" t="n"/>
      <c r="F42" s="272" t="n"/>
      <c r="G42" s="272" t="n"/>
      <c r="H42" s="272" t="n"/>
      <c r="I42" s="272" t="n"/>
      <c r="J42" s="272" t="n"/>
      <c r="K42" s="272" t="n"/>
      <c r="L42" s="272" t="n"/>
      <c r="M42" s="272" t="n"/>
      <c r="N42" s="272" t="n"/>
      <c r="O42" s="272" t="n"/>
      <c r="P42" s="272" t="n"/>
      <c r="Q42" s="272" t="n"/>
      <c r="R42" s="272" t="n"/>
      <c r="S42" s="272" t="n"/>
      <c r="T42" s="272" t="n"/>
      <c r="U42" s="272" t="n"/>
    </row>
    <row r="43" ht="13" customHeight="1" s="189">
      <c r="A43" s="306" t="n">
        <v>2</v>
      </c>
      <c r="B43" s="213" t="n"/>
      <c r="C43" s="214" t="n"/>
      <c r="D43" s="200" t="n"/>
      <c r="E43" s="272" t="n"/>
      <c r="F43" s="272" t="n"/>
      <c r="G43" s="272" t="n"/>
      <c r="H43" s="272" t="n"/>
      <c r="I43" s="272" t="n"/>
      <c r="J43" s="272" t="n"/>
      <c r="K43" s="272" t="n"/>
      <c r="L43" s="272" t="n"/>
      <c r="M43" s="272" t="n"/>
      <c r="N43" s="272" t="n"/>
      <c r="O43" s="272" t="n"/>
      <c r="P43" s="272" t="n"/>
      <c r="Q43" s="272" t="n"/>
      <c r="R43" s="272" t="n"/>
      <c r="S43" s="272" t="n"/>
      <c r="T43" s="272" t="n"/>
      <c r="U43" s="272" t="n"/>
    </row>
    <row r="44" ht="13" customHeight="1" s="189">
      <c r="A44" s="306" t="n">
        <v>3</v>
      </c>
      <c r="B44" s="213" t="n"/>
      <c r="C44" s="214" t="n"/>
      <c r="D44" s="200" t="n"/>
      <c r="E44" s="272" t="n"/>
      <c r="F44" s="272" t="n"/>
      <c r="G44" s="272" t="n"/>
      <c r="H44" s="272" t="n"/>
      <c r="I44" s="272" t="n"/>
      <c r="J44" s="272" t="n"/>
      <c r="K44" s="272" t="n"/>
      <c r="L44" s="272" t="n"/>
      <c r="M44" s="272" t="n"/>
      <c r="N44" s="272" t="n"/>
      <c r="O44" s="272" t="n"/>
      <c r="P44" s="272" t="n"/>
      <c r="Q44" s="272" t="n"/>
      <c r="R44" s="272" t="n"/>
      <c r="S44" s="272" t="n"/>
      <c r="T44" s="272" t="n"/>
      <c r="U44" s="272" t="n"/>
    </row>
    <row r="45" ht="13" customHeight="1" s="189">
      <c r="A45" s="306" t="n">
        <v>4</v>
      </c>
      <c r="B45" s="213" t="n"/>
      <c r="C45" s="214" t="n"/>
      <c r="D45" s="200" t="n"/>
      <c r="E45" s="272" t="n"/>
      <c r="F45" s="272" t="n"/>
      <c r="G45" s="272" t="n"/>
      <c r="H45" s="272" t="n"/>
      <c r="I45" s="272" t="n"/>
      <c r="J45" s="272" t="n"/>
      <c r="K45" s="272" t="n"/>
      <c r="L45" s="272" t="n"/>
      <c r="M45" s="272" t="n"/>
      <c r="N45" s="272" t="n"/>
      <c r="O45" s="272" t="n"/>
      <c r="P45" s="272" t="n"/>
      <c r="Q45" s="272" t="n"/>
      <c r="R45" s="272" t="n"/>
      <c r="S45" s="272" t="n"/>
      <c r="T45" s="272" t="n"/>
      <c r="U45" s="272" t="n"/>
    </row>
    <row r="46" ht="13" customHeight="1" s="189">
      <c r="A46" s="306" t="n">
        <v>5</v>
      </c>
      <c r="B46" s="213" t="n"/>
      <c r="C46" s="214" t="n"/>
      <c r="D46" s="200" t="n"/>
      <c r="E46" s="272" t="n"/>
      <c r="F46" s="272" t="n"/>
      <c r="G46" s="272" t="n"/>
      <c r="H46" s="272" t="n"/>
      <c r="I46" s="272" t="n"/>
      <c r="J46" s="272" t="n"/>
      <c r="K46" s="272" t="n"/>
      <c r="L46" s="272" t="n"/>
      <c r="M46" s="272" t="n"/>
      <c r="N46" s="272" t="n"/>
      <c r="O46" s="272" t="n"/>
      <c r="P46" s="272" t="n"/>
      <c r="Q46" s="272" t="n"/>
      <c r="R46" s="272" t="n"/>
      <c r="S46" s="272" t="n"/>
      <c r="T46" s="272" t="n"/>
      <c r="U46" s="272" t="n"/>
    </row>
    <row r="47" ht="13" customHeight="1" s="189">
      <c r="A47" s="306" t="n">
        <v>6</v>
      </c>
      <c r="B47" s="213" t="n"/>
      <c r="C47" s="214" t="n"/>
      <c r="D47" s="200" t="n"/>
      <c r="E47" s="272" t="n"/>
      <c r="F47" s="272" t="n"/>
      <c r="G47" s="272" t="n"/>
      <c r="H47" s="272" t="n"/>
      <c r="I47" s="272" t="n"/>
      <c r="J47" s="272" t="n"/>
      <c r="K47" s="272" t="n"/>
      <c r="L47" s="272" t="n"/>
      <c r="M47" s="272" t="n"/>
      <c r="N47" s="272" t="n"/>
      <c r="O47" s="272" t="n"/>
      <c r="P47" s="272" t="n"/>
      <c r="Q47" s="272" t="n"/>
      <c r="R47" s="272" t="n"/>
      <c r="S47" s="272" t="n"/>
      <c r="T47" s="272" t="n"/>
      <c r="U47" s="272" t="n"/>
    </row>
    <row r="48" ht="12.5" customHeight="1" s="189">
      <c r="A48" s="308" t="n"/>
      <c r="B48" s="213" t="n"/>
      <c r="C48" s="213" t="n"/>
      <c r="D48" s="213" t="n"/>
      <c r="E48" s="213" t="n"/>
      <c r="F48" s="213" t="n"/>
      <c r="G48" s="213" t="n"/>
      <c r="H48" s="213" t="n"/>
      <c r="I48" s="213" t="n"/>
      <c r="J48" s="213" t="n"/>
      <c r="K48" s="213" t="n"/>
      <c r="L48" s="213" t="n"/>
      <c r="M48" s="213" t="n"/>
      <c r="N48" s="213" t="n"/>
      <c r="O48" s="213" t="n"/>
      <c r="P48" s="213" t="n"/>
      <c r="Q48" s="213" t="n"/>
      <c r="R48" s="213" t="n"/>
      <c r="S48" s="213" t="n"/>
      <c r="T48" s="213" t="n"/>
      <c r="U48" s="213" t="n"/>
    </row>
    <row r="49" ht="12.5" customHeight="1" s="189">
      <c r="A49" s="303" t="n"/>
      <c r="B49" s="213" t="n"/>
      <c r="C49" s="305" t="inlineStr">
        <is>
          <t>Closing</t>
        </is>
      </c>
      <c r="D49" s="213" t="n"/>
      <c r="E49" s="213" t="n"/>
      <c r="F49" s="213" t="n"/>
      <c r="G49" s="213" t="n"/>
      <c r="H49" s="213" t="n"/>
      <c r="I49" s="213" t="n"/>
      <c r="J49" s="213" t="n"/>
      <c r="K49" s="213" t="n"/>
      <c r="L49" s="213" t="n"/>
      <c r="M49" s="213" t="n"/>
      <c r="N49" s="213" t="n"/>
      <c r="O49" s="213" t="n"/>
      <c r="P49" s="213" t="n"/>
      <c r="Q49" s="213" t="n"/>
      <c r="R49" s="213" t="n"/>
      <c r="S49" s="213" t="n"/>
      <c r="T49" s="213" t="n"/>
      <c r="U49" s="214" t="n"/>
    </row>
    <row r="50" ht="13" customHeight="1" s="189">
      <c r="A50" s="306" t="n">
        <v>1</v>
      </c>
      <c r="B50" s="213" t="n"/>
      <c r="C50" s="214" t="n"/>
      <c r="D50" s="200" t="n"/>
      <c r="E50" s="272" t="n"/>
      <c r="F50" s="272" t="n"/>
      <c r="G50" s="272" t="n"/>
      <c r="H50" s="272" t="n"/>
      <c r="I50" s="272" t="n"/>
      <c r="J50" s="272" t="n"/>
      <c r="K50" s="272" t="n"/>
      <c r="L50" s="272" t="n"/>
      <c r="M50" s="272" t="n"/>
      <c r="N50" s="272" t="n"/>
      <c r="O50" s="272" t="n"/>
      <c r="P50" s="272" t="n"/>
      <c r="Q50" s="272" t="n"/>
      <c r="R50" s="272" t="n"/>
      <c r="S50" s="272" t="n"/>
      <c r="T50" s="272" t="n"/>
      <c r="U50" s="272" t="n"/>
    </row>
    <row r="51" ht="13" customHeight="1" s="189">
      <c r="A51" s="306" t="n">
        <v>2</v>
      </c>
      <c r="B51" s="213" t="n"/>
      <c r="C51" s="214" t="n"/>
      <c r="D51" s="200" t="n"/>
      <c r="E51" s="272" t="n"/>
      <c r="F51" s="272" t="n"/>
      <c r="G51" s="272" t="n"/>
      <c r="H51" s="272" t="n"/>
      <c r="I51" s="272" t="n"/>
      <c r="J51" s="272" t="n"/>
      <c r="K51" s="272" t="n"/>
      <c r="L51" s="272" t="n"/>
      <c r="M51" s="272" t="n"/>
      <c r="N51" s="272" t="n"/>
      <c r="O51" s="272" t="n"/>
      <c r="P51" s="272" t="n"/>
      <c r="Q51" s="272" t="n"/>
      <c r="R51" s="272" t="n"/>
      <c r="S51" s="272" t="n"/>
      <c r="T51" s="272" t="n"/>
      <c r="U51" s="272" t="n"/>
    </row>
    <row r="52" ht="13" customHeight="1" s="189">
      <c r="A52" s="306" t="n">
        <v>3</v>
      </c>
      <c r="B52" s="213" t="n"/>
      <c r="C52" s="214" t="n"/>
      <c r="D52" s="309" t="n"/>
      <c r="E52" s="272" t="n"/>
      <c r="F52" s="272" t="n"/>
      <c r="G52" s="272" t="n"/>
      <c r="H52" s="272" t="n"/>
      <c r="I52" s="272" t="n"/>
      <c r="J52" s="272" t="n"/>
      <c r="K52" s="272" t="n"/>
      <c r="L52" s="272" t="n"/>
      <c r="M52" s="272" t="n"/>
      <c r="N52" s="272" t="n"/>
      <c r="O52" s="272" t="n"/>
      <c r="P52" s="272" t="n"/>
      <c r="Q52" s="272" t="n"/>
      <c r="R52" s="272" t="n"/>
      <c r="S52" s="272" t="n"/>
      <c r="T52" s="272" t="n"/>
      <c r="U52" s="272" t="n"/>
    </row>
    <row r="53" ht="13" customHeight="1" s="189">
      <c r="A53" s="310" t="n">
        <v>4</v>
      </c>
      <c r="B53" s="225" t="n"/>
      <c r="C53" s="226" t="n"/>
      <c r="D53" s="200" t="n"/>
      <c r="E53" s="272" t="n"/>
      <c r="F53" s="272" t="n"/>
      <c r="G53" s="272" t="n"/>
      <c r="H53" s="272" t="n"/>
      <c r="I53" s="272" t="n"/>
      <c r="J53" s="272" t="n"/>
      <c r="K53" s="272" t="n"/>
      <c r="L53" s="272" t="n"/>
      <c r="M53" s="272" t="n"/>
      <c r="N53" s="272" t="n"/>
      <c r="O53" s="272" t="n"/>
      <c r="P53" s="272" t="n"/>
      <c r="Q53" s="272" t="n"/>
      <c r="R53" s="272" t="n"/>
      <c r="S53" s="272" t="n"/>
      <c r="T53" s="272" t="n"/>
      <c r="U53" s="272" t="n"/>
    </row>
    <row r="54" ht="13" customHeight="1" s="189">
      <c r="A54" s="306" t="n">
        <v>5</v>
      </c>
      <c r="B54" s="213" t="n"/>
      <c r="C54" s="214" t="n"/>
      <c r="D54" s="200" t="n"/>
      <c r="E54" s="272" t="n"/>
      <c r="F54" s="272" t="n"/>
      <c r="G54" s="272" t="n"/>
      <c r="H54" s="272" t="n"/>
      <c r="I54" s="272" t="n"/>
      <c r="J54" s="272" t="n"/>
      <c r="K54" s="272" t="n"/>
      <c r="L54" s="272" t="n"/>
      <c r="M54" s="272" t="n"/>
      <c r="N54" s="272" t="n"/>
      <c r="O54" s="272" t="n"/>
      <c r="P54" s="272" t="n"/>
      <c r="Q54" s="272" t="n"/>
      <c r="R54" s="272" t="n"/>
      <c r="S54" s="272" t="n"/>
      <c r="T54" s="272" t="n"/>
      <c r="U54" s="272" t="n"/>
    </row>
    <row r="55" ht="13" customHeight="1" s="189">
      <c r="A55" s="306" t="n">
        <v>6</v>
      </c>
      <c r="B55" s="213" t="n"/>
      <c r="C55" s="214" t="n"/>
      <c r="D55" s="200" t="n"/>
      <c r="E55" s="272" t="n"/>
      <c r="F55" s="272" t="n"/>
      <c r="G55" s="272" t="n"/>
      <c r="H55" s="272" t="n"/>
      <c r="I55" s="272" t="n"/>
      <c r="J55" s="272" t="n"/>
      <c r="K55" s="272" t="n"/>
      <c r="L55" s="272" t="n"/>
      <c r="M55" s="272" t="n"/>
      <c r="N55" s="272" t="n"/>
      <c r="O55" s="272" t="n"/>
      <c r="P55" s="272" t="n"/>
      <c r="Q55" s="272" t="n"/>
      <c r="R55" s="272" t="n"/>
      <c r="S55" s="272" t="n"/>
      <c r="T55" s="272" t="n"/>
      <c r="U55" s="272" t="n"/>
    </row>
    <row r="56" ht="13" customHeight="1" s="189">
      <c r="A56" s="306" t="n">
        <v>7</v>
      </c>
      <c r="B56" s="213" t="n"/>
      <c r="C56" s="214" t="n"/>
      <c r="D56" s="200" t="n"/>
      <c r="E56" s="272" t="n"/>
      <c r="F56" s="272" t="n"/>
      <c r="G56" s="272" t="n"/>
      <c r="H56" s="272" t="n"/>
      <c r="I56" s="272" t="n"/>
      <c r="J56" s="272" t="n"/>
      <c r="K56" s="272" t="n"/>
      <c r="L56" s="272" t="n"/>
      <c r="M56" s="272" t="n"/>
      <c r="N56" s="272" t="n"/>
      <c r="O56" s="272" t="n"/>
      <c r="P56" s="272" t="n"/>
      <c r="Q56" s="272" t="n"/>
      <c r="R56" s="272" t="n"/>
      <c r="S56" s="272" t="n"/>
      <c r="T56" s="272" t="n"/>
      <c r="U56" s="272" t="n"/>
    </row>
    <row r="57" ht="12.5" customFormat="1" customHeight="1" s="188">
      <c r="A57" s="308" t="n"/>
      <c r="B57" s="213" t="n"/>
      <c r="C57" s="213" t="n"/>
      <c r="D57" s="213" t="n"/>
      <c r="E57" s="213" t="n"/>
      <c r="F57" s="213" t="n"/>
      <c r="G57" s="213" t="n"/>
      <c r="H57" s="213" t="n"/>
      <c r="I57" s="213" t="n"/>
      <c r="J57" s="213" t="n"/>
      <c r="K57" s="213" t="n"/>
      <c r="L57" s="213" t="n"/>
      <c r="M57" s="213" t="n"/>
      <c r="N57" s="213" t="n"/>
      <c r="O57" s="213" t="n"/>
      <c r="P57" s="213" t="n"/>
      <c r="Q57" s="213" t="n"/>
      <c r="R57" s="213" t="n"/>
      <c r="S57" s="213" t="n"/>
      <c r="T57" s="213" t="n"/>
      <c r="U57" s="213" t="n"/>
    </row>
    <row r="58" ht="12.5" customHeight="1" s="189">
      <c r="A58" s="207" t="inlineStr">
        <is>
          <t>Legend</t>
        </is>
      </c>
      <c r="B58" s="213" t="n"/>
      <c r="C58" s="213" t="n"/>
      <c r="D58" s="213" t="n"/>
      <c r="E58" s="213" t="n"/>
      <c r="F58" s="213" t="n"/>
      <c r="G58" s="213" t="n"/>
      <c r="H58" s="213" t="n"/>
      <c r="I58" s="213" t="n"/>
      <c r="J58" s="213" t="n"/>
      <c r="K58" s="213" t="n"/>
      <c r="L58" s="213" t="n"/>
      <c r="M58" s="213" t="n"/>
      <c r="N58" s="213" t="n"/>
      <c r="O58" s="213" t="n"/>
      <c r="P58" s="213" t="n"/>
      <c r="Q58" s="213" t="n"/>
      <c r="R58" s="213" t="n"/>
      <c r="S58" s="213" t="n"/>
      <c r="T58" s="213" t="n"/>
      <c r="U58" s="214" t="n"/>
    </row>
    <row r="59" ht="13" customHeight="1" s="189">
      <c r="A59" s="300" t="n"/>
      <c r="B59" s="301" t="inlineStr">
        <is>
          <t>Creates the deliverable</t>
        </is>
      </c>
      <c r="C59" s="213" t="n"/>
      <c r="D59" s="214" t="n"/>
      <c r="E59" s="223" t="inlineStr">
        <is>
          <t>C1: primary creator; C2: contributor</t>
        </is>
      </c>
      <c r="F59" s="213" t="n"/>
      <c r="G59" s="213" t="n"/>
      <c r="H59" s="213" t="n"/>
      <c r="I59" s="213" t="n"/>
      <c r="J59" s="213" t="n"/>
      <c r="K59" s="213" t="n"/>
      <c r="L59" s="213" t="n"/>
      <c r="M59" s="213" t="n"/>
      <c r="N59" s="213" t="n"/>
      <c r="O59" s="213" t="n"/>
      <c r="P59" s="213" t="n"/>
      <c r="Q59" s="213" t="n"/>
      <c r="R59" s="213" t="n"/>
      <c r="S59" s="213" t="n"/>
      <c r="T59" s="213" t="n"/>
      <c r="U59" s="214" t="n"/>
    </row>
    <row r="60" ht="13" customHeight="1" s="189">
      <c r="A60" s="300" t="n"/>
      <c r="B60" s="301" t="inlineStr">
        <is>
          <t>Input required</t>
        </is>
      </c>
      <c r="C60" s="213" t="n"/>
      <c r="D60" s="214" t="n"/>
      <c r="E60" s="223" t="inlineStr">
        <is>
          <t>I</t>
        </is>
      </c>
      <c r="F60" s="213" t="n"/>
      <c r="G60" s="213" t="n"/>
      <c r="H60" s="213" t="n"/>
      <c r="I60" s="213" t="n"/>
      <c r="J60" s="213" t="n"/>
      <c r="K60" s="213" t="n"/>
      <c r="L60" s="213" t="n"/>
      <c r="M60" s="213" t="n"/>
      <c r="N60" s="213" t="n"/>
      <c r="O60" s="213" t="n"/>
      <c r="P60" s="213" t="n"/>
      <c r="Q60" s="213" t="n"/>
      <c r="R60" s="213" t="n"/>
      <c r="S60" s="213" t="n"/>
      <c r="T60" s="213" t="n"/>
      <c r="U60" s="214" t="n"/>
    </row>
    <row r="61" ht="13" customHeight="1" s="189">
      <c r="A61" s="300" t="n"/>
      <c r="B61" s="301" t="inlineStr">
        <is>
          <t>Reviews the deliverable</t>
        </is>
      </c>
      <c r="C61" s="213" t="n"/>
      <c r="D61" s="214" t="n"/>
      <c r="E61" s="223" t="inlineStr">
        <is>
          <t>R</t>
        </is>
      </c>
      <c r="F61" s="213" t="n"/>
      <c r="G61" s="213" t="n"/>
      <c r="H61" s="213" t="n"/>
      <c r="I61" s="213" t="n"/>
      <c r="J61" s="213" t="n"/>
      <c r="K61" s="213" t="n"/>
      <c r="L61" s="213" t="n"/>
      <c r="M61" s="213" t="n"/>
      <c r="N61" s="213" t="n"/>
      <c r="O61" s="213" t="n"/>
      <c r="P61" s="213" t="n"/>
      <c r="Q61" s="213" t="n"/>
      <c r="R61" s="213" t="n"/>
      <c r="S61" s="213" t="n"/>
      <c r="T61" s="213" t="n"/>
      <c r="U61" s="214" t="n"/>
    </row>
    <row r="62" ht="13" customHeight="1" s="189">
      <c r="A62" s="300" t="n"/>
      <c r="B62" s="301" t="inlineStr">
        <is>
          <t>Approves the deliverable</t>
        </is>
      </c>
      <c r="C62" s="213" t="n"/>
      <c r="D62" s="214" t="n"/>
      <c r="E62" s="223" t="inlineStr">
        <is>
          <t>A</t>
        </is>
      </c>
      <c r="F62" s="213" t="n"/>
      <c r="G62" s="213" t="n"/>
      <c r="H62" s="213" t="n"/>
      <c r="I62" s="213" t="n"/>
      <c r="J62" s="213" t="n"/>
      <c r="K62" s="213" t="n"/>
      <c r="L62" s="213" t="n"/>
      <c r="M62" s="213" t="n"/>
      <c r="N62" s="213" t="n"/>
      <c r="O62" s="213" t="n"/>
      <c r="P62" s="213" t="n"/>
      <c r="Q62" s="213" t="n"/>
      <c r="R62" s="213" t="n"/>
      <c r="S62" s="213" t="n"/>
      <c r="T62" s="213" t="n"/>
      <c r="U62" s="214" t="n"/>
    </row>
    <row r="63" ht="13" customHeight="1" s="189">
      <c r="A63" s="300" t="n"/>
      <c r="B63" s="301" t="inlineStr">
        <is>
          <t>Notified when the deliverable is complete</t>
        </is>
      </c>
      <c r="C63" s="213" t="n"/>
      <c r="D63" s="214" t="n"/>
      <c r="E63" s="223" t="inlineStr">
        <is>
          <t>N</t>
        </is>
      </c>
      <c r="F63" s="213" t="n"/>
      <c r="G63" s="213" t="n"/>
      <c r="H63" s="213" t="n"/>
      <c r="I63" s="213" t="n"/>
      <c r="J63" s="213" t="n"/>
      <c r="K63" s="213" t="n"/>
      <c r="L63" s="213" t="n"/>
      <c r="M63" s="213" t="n"/>
      <c r="N63" s="213" t="n"/>
      <c r="O63" s="213" t="n"/>
      <c r="P63" s="213" t="n"/>
      <c r="Q63" s="213" t="n"/>
      <c r="R63" s="213" t="n"/>
      <c r="S63" s="213" t="n"/>
      <c r="T63" s="213" t="n"/>
      <c r="U63" s="214" t="n"/>
    </row>
    <row r="64" ht="13" customHeight="1" s="189">
      <c r="A64" s="300" t="n"/>
      <c r="B64" s="301" t="inlineStr">
        <is>
          <t>Owns the deliverable upon completion</t>
        </is>
      </c>
      <c r="C64" s="213" t="n"/>
      <c r="D64" s="214" t="n"/>
      <c r="E64" s="223" t="inlineStr">
        <is>
          <t>O</t>
        </is>
      </c>
      <c r="F64" s="213" t="n"/>
      <c r="G64" s="213" t="n"/>
      <c r="H64" s="213" t="n"/>
      <c r="I64" s="213" t="n"/>
      <c r="J64" s="213" t="n"/>
      <c r="K64" s="213" t="n"/>
      <c r="L64" s="213" t="n"/>
      <c r="M64" s="213" t="n"/>
      <c r="N64" s="213" t="n"/>
      <c r="O64" s="213" t="n"/>
      <c r="P64" s="213" t="n"/>
      <c r="Q64" s="213" t="n"/>
      <c r="R64" s="213" t="n"/>
      <c r="S64" s="213" t="n"/>
      <c r="T64" s="213" t="n"/>
      <c r="U64" s="214" t="n"/>
    </row>
    <row r="66" ht="12.5" customHeight="1" s="189">
      <c r="U66" s="201" t="inlineStr">
        <is>
          <t>© Global Knowledge Training LLC</t>
        </is>
      </c>
    </row>
    <row r="67" ht="12.5" customHeight="1" s="189">
      <c r="D67" s="311" t="n"/>
    </row>
    <row r="68" ht="12.5" customHeight="1" s="189">
      <c r="D68" s="311" t="n"/>
    </row>
    <row r="69" ht="12.5" customHeight="1" s="189">
      <c r="D69" s="311" t="n"/>
    </row>
    <row r="70" ht="12.5" customHeight="1" s="189">
      <c r="D70" s="311" t="n"/>
    </row>
    <row r="71" ht="12.5" customHeight="1" s="189">
      <c r="D71" s="311" t="n"/>
    </row>
    <row r="72" ht="12.5" customHeight="1" s="189">
      <c r="D72" s="312" t="n"/>
    </row>
  </sheetData>
  <mergeCells count="81">
    <mergeCell ref="B60:D60"/>
    <mergeCell ref="A37:C37"/>
    <mergeCell ref="A46:C46"/>
    <mergeCell ref="A21:C21"/>
    <mergeCell ref="H2:J2"/>
    <mergeCell ref="A26:C26"/>
    <mergeCell ref="A23:C23"/>
    <mergeCell ref="A41:B41"/>
    <mergeCell ref="H3:J3"/>
    <mergeCell ref="A43:C43"/>
    <mergeCell ref="A8:U8"/>
    <mergeCell ref="A52:C52"/>
    <mergeCell ref="E59:U59"/>
    <mergeCell ref="K2:U2"/>
    <mergeCell ref="B62:D62"/>
    <mergeCell ref="A34:C34"/>
    <mergeCell ref="E61:U61"/>
    <mergeCell ref="A1:U1"/>
    <mergeCell ref="D4:G4"/>
    <mergeCell ref="A3:C3"/>
    <mergeCell ref="A55:C55"/>
    <mergeCell ref="A12:C12"/>
    <mergeCell ref="A32:C32"/>
    <mergeCell ref="A14:C14"/>
    <mergeCell ref="A57:U57"/>
    <mergeCell ref="A5:U5"/>
    <mergeCell ref="E63:U63"/>
    <mergeCell ref="C49:U49"/>
    <mergeCell ref="A29:C29"/>
    <mergeCell ref="A4:C4"/>
    <mergeCell ref="A38:C38"/>
    <mergeCell ref="A13:C13"/>
    <mergeCell ref="E60:U60"/>
    <mergeCell ref="A44:C44"/>
    <mergeCell ref="A31:C31"/>
    <mergeCell ref="A58:U58"/>
    <mergeCell ref="A40:U40"/>
    <mergeCell ref="A24:C24"/>
    <mergeCell ref="A51:C51"/>
    <mergeCell ref="C16:U16"/>
    <mergeCell ref="B59:D59"/>
    <mergeCell ref="H4:J4"/>
    <mergeCell ref="C9:U9"/>
    <mergeCell ref="A25:C25"/>
    <mergeCell ref="K3:U3"/>
    <mergeCell ref="A49:B49"/>
    <mergeCell ref="B7:U7"/>
    <mergeCell ref="A18:C18"/>
    <mergeCell ref="E62:U62"/>
    <mergeCell ref="A50:C50"/>
    <mergeCell ref="A2:C2"/>
    <mergeCell ref="A42:C42"/>
    <mergeCell ref="A47:C47"/>
    <mergeCell ref="E64:U64"/>
    <mergeCell ref="A22:C22"/>
    <mergeCell ref="A20:C20"/>
    <mergeCell ref="A28:C28"/>
    <mergeCell ref="B63:D63"/>
    <mergeCell ref="A30:C30"/>
    <mergeCell ref="D2:G2"/>
    <mergeCell ref="C41:U41"/>
    <mergeCell ref="A15:U15"/>
    <mergeCell ref="A54:C54"/>
    <mergeCell ref="D3:G3"/>
    <mergeCell ref="B61:D61"/>
    <mergeCell ref="A56:C56"/>
    <mergeCell ref="A27:C27"/>
    <mergeCell ref="A33:C33"/>
    <mergeCell ref="A17:C17"/>
    <mergeCell ref="A53:C53"/>
    <mergeCell ref="A35:C35"/>
    <mergeCell ref="B64:D64"/>
    <mergeCell ref="A10:C10"/>
    <mergeCell ref="A19:C19"/>
    <mergeCell ref="A6:D6"/>
    <mergeCell ref="A39:C39"/>
    <mergeCell ref="A36:C36"/>
    <mergeCell ref="A11:C11"/>
    <mergeCell ref="A48:U48"/>
    <mergeCell ref="A45:C45"/>
    <mergeCell ref="K4:U4"/>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cellComments="atEnd" horizontalDpi="300" verticalDpi="300" copies="1"/>
  <legacyDrawing xmlns:r="http://schemas.openxmlformats.org/officeDocument/2006/relationships" r:id="anysvml"/>
</worksheet>
</file>

<file path=xl/worksheets/sheet15.xml><?xml version="1.0" encoding="utf-8"?>
<worksheet xmlns="http://schemas.openxmlformats.org/spreadsheetml/2006/main">
  <sheetPr filterMode="0">
    <outlinePr summaryBelow="1" summaryRight="1"/>
    <pageSetUpPr fitToPage="0"/>
  </sheetPr>
  <dimension ref="A1:N1039"/>
  <sheetViews>
    <sheetView showFormulas="0" showGridLines="1" showRowColHeaders="1" showZeros="1" rightToLeft="0" tabSelected="0" showOutlineSymbols="1" defaultGridColor="1" view="normal" topLeftCell="A13" colorId="64" zoomScale="100" zoomScaleNormal="100" zoomScalePageLayoutView="100" workbookViewId="0">
      <selection pane="topLeft" activeCell="N39" activeCellId="0" sqref="N39"/>
    </sheetView>
  </sheetViews>
  <sheetFormatPr baseColWidth="8" defaultColWidth="9.0546875" defaultRowHeight="12.5" zeroHeight="0" outlineLevelRow="0"/>
  <cols>
    <col width="20.72" customWidth="1" style="188" min="1" max="1"/>
    <col width="7.72" customWidth="1" style="188" min="2" max="3"/>
    <col width="7.72" customWidth="1" style="293" min="4" max="4"/>
    <col width="7.72" customWidth="1" style="188" min="5" max="14"/>
  </cols>
  <sheetData>
    <row r="1" ht="15.5" customHeight="1" s="189">
      <c r="A1" s="243" t="inlineStr">
        <is>
          <t>Resource Commitment Matrix</t>
        </is>
      </c>
      <c r="B1" s="213" t="n"/>
      <c r="C1" s="213" t="n"/>
      <c r="D1" s="213" t="n"/>
      <c r="E1" s="213" t="n"/>
      <c r="F1" s="213" t="n"/>
      <c r="G1" s="213" t="n"/>
      <c r="H1" s="213" t="n"/>
      <c r="I1" s="213" t="n"/>
      <c r="J1" s="213" t="n"/>
      <c r="K1" s="213" t="n"/>
      <c r="L1" s="213" t="n"/>
      <c r="M1" s="213" t="n"/>
      <c r="N1" s="214" t="n"/>
    </row>
    <row r="2" ht="13" customHeight="1" s="189">
      <c r="A2" s="266" t="inlineStr">
        <is>
          <t>Project</t>
        </is>
      </c>
      <c r="B2" s="208">
        <f>Data!B1</f>
        <v/>
      </c>
      <c r="C2" s="213" t="n"/>
      <c r="D2" s="213" t="n"/>
      <c r="E2" s="213" t="n"/>
      <c r="F2" s="214" t="n"/>
      <c r="G2" s="266" t="inlineStr">
        <is>
          <t>Project #</t>
        </is>
      </c>
      <c r="H2" s="214" t="n"/>
      <c r="I2" s="208">
        <f>Data!B2</f>
        <v/>
      </c>
      <c r="J2" s="213" t="n"/>
      <c r="K2" s="213" t="n"/>
      <c r="L2" s="213" t="n"/>
      <c r="M2" s="213" t="n"/>
      <c r="N2" s="214" t="n"/>
    </row>
    <row r="3" ht="13" customHeight="1" s="189">
      <c r="A3" s="266" t="inlineStr">
        <is>
          <t>Project manager</t>
        </is>
      </c>
      <c r="B3" s="208">
        <f>Data!B3</f>
        <v/>
      </c>
      <c r="C3" s="213" t="n"/>
      <c r="D3" s="213" t="n"/>
      <c r="E3" s="213" t="n"/>
      <c r="F3" s="214" t="n"/>
      <c r="G3" s="266" t="inlineStr">
        <is>
          <t>Sponsor</t>
        </is>
      </c>
      <c r="H3" s="214" t="n"/>
      <c r="I3" s="208">
        <f>Data!B4</f>
        <v/>
      </c>
      <c r="J3" s="213" t="n"/>
      <c r="K3" s="213" t="n"/>
      <c r="L3" s="213" t="n"/>
      <c r="M3" s="213" t="n"/>
      <c r="N3" s="214" t="n"/>
    </row>
    <row r="4" ht="13" customHeight="1" s="189">
      <c r="A4" s="266" t="inlineStr">
        <is>
          <t>Project artifacts</t>
        </is>
      </c>
      <c r="B4" s="208">
        <f>Data!B5</f>
        <v/>
      </c>
      <c r="C4" s="213" t="n"/>
      <c r="D4" s="213" t="n"/>
      <c r="E4" s="213" t="n"/>
      <c r="F4" s="214" t="n"/>
      <c r="G4" s="266" t="inlineStr">
        <is>
          <t>Updated</t>
        </is>
      </c>
      <c r="H4" s="214" t="n"/>
      <c r="I4" s="208">
        <f>Data!B6</f>
        <v/>
      </c>
      <c r="J4" s="213" t="n"/>
      <c r="K4" s="213" t="n"/>
      <c r="L4" s="213" t="n"/>
      <c r="M4" s="213" t="n"/>
      <c r="N4" s="214" t="n"/>
    </row>
    <row r="5" ht="12.5" customHeight="1" s="189">
      <c r="A5" s="308" t="n"/>
      <c r="B5" s="213" t="n"/>
      <c r="C5" s="213" t="n"/>
      <c r="D5" s="213" t="n"/>
      <c r="E5" s="213" t="n"/>
      <c r="F5" s="213" t="n"/>
      <c r="G5" s="213" t="n"/>
      <c r="H5" s="213" t="n"/>
      <c r="I5" s="213" t="n"/>
      <c r="J5" s="213" t="n"/>
      <c r="K5" s="213" t="n"/>
      <c r="L5" s="213" t="n"/>
      <c r="M5" s="213" t="n"/>
      <c r="N5" s="213" t="n"/>
    </row>
    <row r="6" ht="12.5" customHeight="1" s="189">
      <c r="A6" s="266" t="n"/>
      <c r="B6" s="281" t="inlineStr">
        <is>
          <t>Effort Hours Committed</t>
        </is>
      </c>
      <c r="C6" s="213" t="n"/>
      <c r="D6" s="213" t="n"/>
      <c r="E6" s="213" t="n"/>
      <c r="F6" s="213" t="n"/>
      <c r="G6" s="213" t="n"/>
      <c r="H6" s="213" t="n"/>
      <c r="I6" s="213" t="n"/>
      <c r="J6" s="213" t="n"/>
      <c r="K6" s="213" t="n"/>
      <c r="L6" s="213" t="n"/>
      <c r="M6" s="213" t="n"/>
      <c r="N6" s="214" t="n"/>
    </row>
    <row r="7" ht="12.5" customHeight="1" s="189">
      <c r="A7" s="220" t="inlineStr">
        <is>
          <t xml:space="preserve">Names </t>
        </is>
      </c>
      <c r="B7" s="220" t="inlineStr">
        <is>
          <t>Jan</t>
        </is>
      </c>
      <c r="C7" s="220" t="inlineStr">
        <is>
          <t>Feb</t>
        </is>
      </c>
      <c r="D7" s="220" t="inlineStr">
        <is>
          <t>Mar</t>
        </is>
      </c>
      <c r="E7" s="220" t="inlineStr">
        <is>
          <t>Apr</t>
        </is>
      </c>
      <c r="F7" s="220" t="inlineStr">
        <is>
          <t>May</t>
        </is>
      </c>
      <c r="G7" s="220" t="inlineStr">
        <is>
          <t>June</t>
        </is>
      </c>
      <c r="H7" s="220" t="inlineStr">
        <is>
          <t>July</t>
        </is>
      </c>
      <c r="I7" s="220" t="inlineStr">
        <is>
          <t>Aug</t>
        </is>
      </c>
      <c r="J7" s="220" t="inlineStr">
        <is>
          <t>Sept</t>
        </is>
      </c>
      <c r="K7" s="220" t="inlineStr">
        <is>
          <t>Oct</t>
        </is>
      </c>
      <c r="L7" s="220" t="inlineStr">
        <is>
          <t>Nov</t>
        </is>
      </c>
      <c r="M7" s="313" t="inlineStr">
        <is>
          <t>Dec</t>
        </is>
      </c>
      <c r="N7" s="220" t="inlineStr">
        <is>
          <t>Total</t>
        </is>
      </c>
    </row>
    <row r="8" ht="13" customHeight="1" s="189">
      <c r="A8" s="266" t="n"/>
      <c r="B8" s="272" t="n"/>
      <c r="C8" s="272" t="n"/>
      <c r="D8" s="272" t="n"/>
      <c r="E8" s="272" t="n"/>
      <c r="F8" s="222" t="n"/>
      <c r="G8" s="272" t="n"/>
      <c r="H8" s="272" t="n"/>
      <c r="I8" s="272" t="n"/>
      <c r="J8" s="272" t="n"/>
      <c r="K8" s="272" t="n"/>
      <c r="L8" s="272" t="n"/>
      <c r="M8" s="272" t="n"/>
      <c r="N8" s="314">
        <f>SUM(B8:M8)</f>
        <v/>
      </c>
    </row>
    <row r="9" ht="13" customHeight="1" s="189">
      <c r="A9" s="266" t="n"/>
      <c r="B9" s="272" t="n"/>
      <c r="C9" s="272" t="n"/>
      <c r="D9" s="272" t="n"/>
      <c r="E9" s="272" t="n"/>
      <c r="F9" s="222" t="n"/>
      <c r="G9" s="272" t="n"/>
      <c r="H9" s="272" t="n"/>
      <c r="I9" s="272" t="n"/>
      <c r="J9" s="272" t="n"/>
      <c r="K9" s="272" t="n"/>
      <c r="L9" s="272" t="n"/>
      <c r="M9" s="272" t="n"/>
      <c r="N9" s="314">
        <f>SUM(B9:M9)</f>
        <v/>
      </c>
    </row>
    <row r="10" ht="13" customHeight="1" s="189">
      <c r="A10" s="266" t="n"/>
      <c r="B10" s="272" t="n"/>
      <c r="C10" s="272" t="n"/>
      <c r="D10" s="272" t="n"/>
      <c r="E10" s="272" t="n"/>
      <c r="F10" s="222" t="n"/>
      <c r="G10" s="272" t="n"/>
      <c r="H10" s="272" t="n"/>
      <c r="I10" s="272" t="n"/>
      <c r="J10" s="272" t="n"/>
      <c r="K10" s="272" t="n"/>
      <c r="L10" s="272" t="n"/>
      <c r="M10" s="272" t="n"/>
      <c r="N10" s="314">
        <f>SUM(B10:M10)</f>
        <v/>
      </c>
    </row>
    <row r="11" ht="13" customHeight="1" s="189">
      <c r="A11" s="266" t="n"/>
      <c r="B11" s="272" t="n"/>
      <c r="C11" s="272" t="n"/>
      <c r="D11" s="272" t="n"/>
      <c r="E11" s="272" t="n"/>
      <c r="F11" s="222" t="n"/>
      <c r="G11" s="272" t="n"/>
      <c r="H11" s="272" t="n"/>
      <c r="I11" s="272" t="n"/>
      <c r="J11" s="272" t="n"/>
      <c r="K11" s="272" t="n"/>
      <c r="L11" s="272" t="n"/>
      <c r="M11" s="272" t="n"/>
      <c r="N11" s="314">
        <f>SUM(B11:M11)</f>
        <v/>
      </c>
    </row>
    <row r="12" ht="13" customHeight="1" s="189">
      <c r="A12" s="266" t="n"/>
      <c r="B12" s="272" t="n"/>
      <c r="C12" s="272" t="n"/>
      <c r="D12" s="272" t="n"/>
      <c r="E12" s="272" t="n"/>
      <c r="F12" s="222" t="n"/>
      <c r="G12" s="272" t="n"/>
      <c r="H12" s="272" t="n"/>
      <c r="I12" s="272" t="n"/>
      <c r="J12" s="272" t="n"/>
      <c r="K12" s="272" t="n"/>
      <c r="L12" s="272" t="n"/>
      <c r="M12" s="272" t="n"/>
      <c r="N12" s="314">
        <f>SUM(B12:M12)</f>
        <v/>
      </c>
    </row>
    <row r="13" ht="13" customHeight="1" s="189">
      <c r="A13" s="266" t="n"/>
      <c r="B13" s="272" t="n"/>
      <c r="C13" s="272" t="n"/>
      <c r="D13" s="272" t="n"/>
      <c r="E13" s="272" t="n"/>
      <c r="F13" s="222" t="n"/>
      <c r="G13" s="272" t="n"/>
      <c r="H13" s="272" t="n"/>
      <c r="I13" s="272" t="n"/>
      <c r="J13" s="272" t="n"/>
      <c r="K13" s="272" t="n"/>
      <c r="L13" s="272" t="n"/>
      <c r="M13" s="272" t="n"/>
      <c r="N13" s="314">
        <f>SUM(B13:M13)</f>
        <v/>
      </c>
    </row>
    <row r="14" ht="13" customHeight="1" s="189">
      <c r="A14" s="266" t="n"/>
      <c r="B14" s="272" t="n"/>
      <c r="C14" s="272" t="n"/>
      <c r="D14" s="272" t="n"/>
      <c r="E14" s="272" t="n"/>
      <c r="F14" s="222" t="n"/>
      <c r="G14" s="272" t="n"/>
      <c r="H14" s="272" t="n"/>
      <c r="I14" s="272" t="n"/>
      <c r="J14" s="272" t="n"/>
      <c r="K14" s="272" t="n"/>
      <c r="L14" s="272" t="n"/>
      <c r="M14" s="272" t="n"/>
      <c r="N14" s="314">
        <f>SUM(B14:M14)</f>
        <v/>
      </c>
    </row>
    <row r="15" ht="13" customHeight="1" s="189">
      <c r="A15" s="266" t="n"/>
      <c r="B15" s="272" t="n"/>
      <c r="C15" s="272" t="n"/>
      <c r="D15" s="272" t="n"/>
      <c r="E15" s="272" t="n"/>
      <c r="F15" s="222" t="n"/>
      <c r="G15" s="272" t="n"/>
      <c r="H15" s="272" t="n"/>
      <c r="I15" s="272" t="n"/>
      <c r="J15" s="272" t="n"/>
      <c r="K15" s="272" t="n"/>
      <c r="L15" s="272" t="n"/>
      <c r="M15" s="272" t="n"/>
      <c r="N15" s="314">
        <f>SUM(B15:M15)</f>
        <v/>
      </c>
    </row>
    <row r="16" ht="13" customHeight="1" s="189">
      <c r="A16" s="266" t="n"/>
      <c r="B16" s="272" t="n"/>
      <c r="C16" s="272" t="n"/>
      <c r="D16" s="272" t="n"/>
      <c r="E16" s="272" t="n"/>
      <c r="F16" s="222" t="n"/>
      <c r="G16" s="272" t="n"/>
      <c r="H16" s="272" t="n"/>
      <c r="I16" s="272" t="n"/>
      <c r="J16" s="272" t="n"/>
      <c r="K16" s="272" t="n"/>
      <c r="L16" s="272" t="n"/>
      <c r="M16" s="272" t="n"/>
      <c r="N16" s="314">
        <f>SUM(B16:M16)</f>
        <v/>
      </c>
    </row>
    <row r="17" ht="13" customHeight="1" s="189">
      <c r="A17" s="266" t="n"/>
      <c r="B17" s="272" t="n"/>
      <c r="C17" s="272" t="n"/>
      <c r="D17" s="272" t="n"/>
      <c r="E17" s="272" t="n"/>
      <c r="F17" s="222" t="n"/>
      <c r="G17" s="272" t="n"/>
      <c r="H17" s="272" t="n"/>
      <c r="I17" s="272" t="n"/>
      <c r="J17" s="272" t="n"/>
      <c r="K17" s="272" t="n"/>
      <c r="L17" s="272" t="n"/>
      <c r="M17" s="272" t="n"/>
      <c r="N17" s="314">
        <f>SUM(B17:M17)</f>
        <v/>
      </c>
    </row>
    <row r="18" ht="13" customHeight="1" s="189">
      <c r="A18" s="266" t="n"/>
      <c r="B18" s="272" t="n"/>
      <c r="C18" s="272" t="n"/>
      <c r="D18" s="272" t="n"/>
      <c r="E18" s="272" t="n"/>
      <c r="F18" s="222" t="n"/>
      <c r="G18" s="272" t="n"/>
      <c r="H18" s="272" t="n"/>
      <c r="I18" s="272" t="n"/>
      <c r="J18" s="272" t="n"/>
      <c r="K18" s="272" t="n"/>
      <c r="L18" s="272" t="n"/>
      <c r="M18" s="272" t="n"/>
      <c r="N18" s="314">
        <f>SUM(B18:M18)</f>
        <v/>
      </c>
    </row>
    <row r="19" ht="13" customHeight="1" s="189">
      <c r="A19" s="266" t="n"/>
      <c r="B19" s="272" t="n"/>
      <c r="C19" s="272" t="n"/>
      <c r="D19" s="272" t="n"/>
      <c r="E19" s="272" t="n"/>
      <c r="F19" s="222" t="n"/>
      <c r="G19" s="272" t="n"/>
      <c r="H19" s="272" t="n"/>
      <c r="I19" s="272" t="n"/>
      <c r="J19" s="272" t="n"/>
      <c r="K19" s="272" t="n"/>
      <c r="L19" s="272" t="n"/>
      <c r="M19" s="272" t="n"/>
      <c r="N19" s="314">
        <f>SUM(B19:M19)</f>
        <v/>
      </c>
    </row>
    <row r="20" ht="13" customHeight="1" s="189">
      <c r="A20" s="266" t="n"/>
      <c r="B20" s="272" t="n"/>
      <c r="C20" s="272" t="n"/>
      <c r="D20" s="272" t="n"/>
      <c r="E20" s="272" t="n"/>
      <c r="F20" s="222" t="n"/>
      <c r="G20" s="272" t="n"/>
      <c r="H20" s="272" t="n"/>
      <c r="I20" s="272" t="n"/>
      <c r="J20" s="272" t="n"/>
      <c r="K20" s="272" t="n"/>
      <c r="L20" s="272" t="n"/>
      <c r="M20" s="272" t="n"/>
      <c r="N20" s="314">
        <f>SUM(B20:M20)</f>
        <v/>
      </c>
    </row>
    <row r="21" ht="13" customHeight="1" s="189">
      <c r="A21" s="266" t="n"/>
      <c r="B21" s="272" t="n"/>
      <c r="C21" s="272" t="n"/>
      <c r="D21" s="272" t="n"/>
      <c r="E21" s="272" t="n"/>
      <c r="F21" s="222" t="n"/>
      <c r="G21" s="272" t="n"/>
      <c r="H21" s="272" t="n"/>
      <c r="I21" s="272" t="n"/>
      <c r="J21" s="272" t="n"/>
      <c r="K21" s="272" t="n"/>
      <c r="L21" s="272" t="n"/>
      <c r="M21" s="272" t="n"/>
      <c r="N21" s="314">
        <f>SUM(B21:M21)</f>
        <v/>
      </c>
    </row>
    <row r="22" ht="13" customHeight="1" s="189">
      <c r="A22" s="266" t="n"/>
      <c r="B22" s="272" t="n"/>
      <c r="C22" s="272" t="n"/>
      <c r="D22" s="272" t="n"/>
      <c r="E22" s="272" t="n"/>
      <c r="F22" s="222" t="n"/>
      <c r="G22" s="272" t="n"/>
      <c r="H22" s="272" t="n"/>
      <c r="I22" s="272" t="n"/>
      <c r="J22" s="272" t="n"/>
      <c r="K22" s="272" t="n"/>
      <c r="L22" s="272" t="n"/>
      <c r="M22" s="272" t="n"/>
      <c r="N22" s="314">
        <f>SUM(B22:M22)</f>
        <v/>
      </c>
    </row>
    <row r="23" ht="13" customHeight="1" s="189">
      <c r="A23" s="266" t="n"/>
      <c r="B23" s="272" t="n"/>
      <c r="C23" s="272" t="n"/>
      <c r="D23" s="272" t="n"/>
      <c r="E23" s="272" t="n"/>
      <c r="F23" s="222" t="n"/>
      <c r="G23" s="272" t="n"/>
      <c r="H23" s="272" t="n"/>
      <c r="I23" s="272" t="n"/>
      <c r="J23" s="272" t="n"/>
      <c r="K23" s="272" t="n"/>
      <c r="L23" s="272" t="n"/>
      <c r="M23" s="272" t="n"/>
      <c r="N23" s="314">
        <f>SUM(B23:M23)</f>
        <v/>
      </c>
    </row>
    <row r="24" ht="13" customHeight="1" s="189">
      <c r="A24" s="266" t="n"/>
      <c r="B24" s="272" t="n"/>
      <c r="C24" s="272" t="n"/>
      <c r="D24" s="272" t="n"/>
      <c r="E24" s="272" t="n"/>
      <c r="F24" s="222" t="n"/>
      <c r="G24" s="272" t="n"/>
      <c r="H24" s="272" t="n"/>
      <c r="I24" s="272" t="n"/>
      <c r="J24" s="272" t="n"/>
      <c r="K24" s="272" t="n"/>
      <c r="L24" s="272" t="n"/>
      <c r="M24" s="272" t="n"/>
      <c r="N24" s="314">
        <f>SUM(B24:M24)</f>
        <v/>
      </c>
    </row>
    <row r="25" ht="13" customHeight="1" s="189">
      <c r="A25" s="266" t="n"/>
      <c r="B25" s="272" t="n"/>
      <c r="C25" s="272" t="n"/>
      <c r="D25" s="272" t="n"/>
      <c r="E25" s="272" t="n"/>
      <c r="F25" s="222" t="n"/>
      <c r="G25" s="272" t="n"/>
      <c r="H25" s="272" t="n"/>
      <c r="I25" s="272" t="n"/>
      <c r="J25" s="272" t="n"/>
      <c r="K25" s="272" t="n"/>
      <c r="L25" s="272" t="n"/>
      <c r="M25" s="272" t="n"/>
      <c r="N25" s="314">
        <f>SUM(B25:M25)</f>
        <v/>
      </c>
    </row>
    <row r="26" ht="13" customHeight="1" s="189">
      <c r="A26" s="266" t="n"/>
      <c r="B26" s="272" t="n"/>
      <c r="C26" s="272" t="n"/>
      <c r="D26" s="272" t="n"/>
      <c r="E26" s="272" t="n"/>
      <c r="F26" s="222" t="n"/>
      <c r="G26" s="272" t="n"/>
      <c r="H26" s="272" t="n"/>
      <c r="I26" s="272" t="n"/>
      <c r="J26" s="272" t="n"/>
      <c r="K26" s="272" t="n"/>
      <c r="L26" s="272" t="n"/>
      <c r="M26" s="272" t="n"/>
      <c r="N26" s="314">
        <f>SUM(B26:M26)</f>
        <v/>
      </c>
    </row>
    <row r="27" ht="13" customHeight="1" s="189">
      <c r="A27" s="266" t="n"/>
      <c r="B27" s="272" t="n"/>
      <c r="C27" s="272" t="n"/>
      <c r="D27" s="272" t="n"/>
      <c r="E27" s="272" t="n"/>
      <c r="F27" s="222" t="n"/>
      <c r="G27" s="272" t="n"/>
      <c r="H27" s="272" t="n"/>
      <c r="I27" s="272" t="n"/>
      <c r="J27" s="272" t="n"/>
      <c r="K27" s="272" t="n"/>
      <c r="L27" s="272" t="n"/>
      <c r="M27" s="272" t="n"/>
      <c r="N27" s="314">
        <f>SUM(B27:M27)</f>
        <v/>
      </c>
    </row>
    <row r="28" ht="13" customHeight="1" s="189">
      <c r="A28" s="266" t="n"/>
      <c r="B28" s="272" t="n"/>
      <c r="C28" s="272" t="n"/>
      <c r="D28" s="272" t="n"/>
      <c r="E28" s="272" t="n"/>
      <c r="F28" s="222" t="n"/>
      <c r="G28" s="272" t="n"/>
      <c r="H28" s="272" t="n"/>
      <c r="I28" s="272" t="n"/>
      <c r="J28" s="272" t="n"/>
      <c r="K28" s="272" t="n"/>
      <c r="L28" s="272" t="n"/>
      <c r="M28" s="272" t="n"/>
      <c r="N28" s="314">
        <f>SUM(B28:M28)</f>
        <v/>
      </c>
    </row>
    <row r="29" ht="13" customHeight="1" s="189">
      <c r="A29" s="266" t="n"/>
      <c r="B29" s="272" t="n"/>
      <c r="C29" s="272" t="n"/>
      <c r="D29" s="272" t="n"/>
      <c r="E29" s="272" t="n"/>
      <c r="F29" s="222" t="n"/>
      <c r="G29" s="272" t="n"/>
      <c r="H29" s="272" t="n"/>
      <c r="I29" s="272" t="n"/>
      <c r="J29" s="272" t="n"/>
      <c r="K29" s="272" t="n"/>
      <c r="L29" s="272" t="n"/>
      <c r="M29" s="272" t="n"/>
      <c r="N29" s="314">
        <f>SUM(B29:M29)</f>
        <v/>
      </c>
    </row>
    <row r="30" ht="13" customHeight="1" s="189">
      <c r="A30" s="266" t="n"/>
      <c r="B30" s="272" t="n"/>
      <c r="C30" s="272" t="n"/>
      <c r="D30" s="272" t="n"/>
      <c r="E30" s="272" t="n"/>
      <c r="F30" s="222" t="n"/>
      <c r="G30" s="272" t="n"/>
      <c r="H30" s="272" t="n"/>
      <c r="I30" s="272" t="n"/>
      <c r="J30" s="272" t="n"/>
      <c r="K30" s="272" t="n"/>
      <c r="L30" s="272" t="n"/>
      <c r="M30" s="272" t="n"/>
      <c r="N30" s="314">
        <f>SUM(B30:M30)</f>
        <v/>
      </c>
    </row>
    <row r="31" ht="13" customHeight="1" s="189">
      <c r="A31" s="266" t="n"/>
      <c r="B31" s="272" t="n"/>
      <c r="C31" s="272" t="n"/>
      <c r="D31" s="272" t="n"/>
      <c r="E31" s="272" t="n"/>
      <c r="F31" s="222" t="n"/>
      <c r="G31" s="272" t="n"/>
      <c r="H31" s="272" t="n"/>
      <c r="I31" s="272" t="n"/>
      <c r="J31" s="272" t="n"/>
      <c r="K31" s="272" t="n"/>
      <c r="L31" s="272" t="n"/>
      <c r="M31" s="272" t="n"/>
      <c r="N31" s="314">
        <f>SUM(B31:M31)</f>
        <v/>
      </c>
    </row>
    <row r="32" ht="13" customHeight="1" s="189">
      <c r="A32" s="266" t="n"/>
      <c r="B32" s="272" t="n"/>
      <c r="C32" s="272" t="n"/>
      <c r="D32" s="272" t="n"/>
      <c r="E32" s="272" t="n"/>
      <c r="F32" s="222" t="n"/>
      <c r="G32" s="272" t="n"/>
      <c r="H32" s="272" t="n"/>
      <c r="I32" s="272" t="n"/>
      <c r="J32" s="272" t="n"/>
      <c r="K32" s="272" t="n"/>
      <c r="L32" s="272" t="n"/>
      <c r="M32" s="272" t="n"/>
      <c r="N32" s="314">
        <f>SUM(B32:M32)</f>
        <v/>
      </c>
    </row>
    <row r="33" ht="13" customHeight="1" s="189">
      <c r="A33" s="266" t="n"/>
      <c r="B33" s="272" t="n"/>
      <c r="C33" s="272" t="n"/>
      <c r="D33" s="272" t="n"/>
      <c r="E33" s="272" t="n"/>
      <c r="F33" s="222" t="n"/>
      <c r="G33" s="272" t="n"/>
      <c r="H33" s="272" t="n"/>
      <c r="I33" s="272" t="n"/>
      <c r="J33" s="272" t="n"/>
      <c r="K33" s="272" t="n"/>
      <c r="L33" s="272" t="n"/>
      <c r="M33" s="272" t="n"/>
      <c r="N33" s="314">
        <f>SUM(B33:M33)</f>
        <v/>
      </c>
    </row>
    <row r="34" ht="13" customHeight="1" s="189">
      <c r="A34" s="266" t="n"/>
      <c r="B34" s="272" t="n"/>
      <c r="C34" s="272" t="n"/>
      <c r="D34" s="272" t="n"/>
      <c r="E34" s="272" t="n"/>
      <c r="F34" s="222" t="n"/>
      <c r="G34" s="272" t="n"/>
      <c r="H34" s="272" t="n"/>
      <c r="I34" s="272" t="n"/>
      <c r="J34" s="272" t="n"/>
      <c r="K34" s="272" t="n"/>
      <c r="L34" s="272" t="n"/>
      <c r="M34" s="272" t="n"/>
      <c r="N34" s="314">
        <f>SUM(B34:M34)</f>
        <v/>
      </c>
    </row>
    <row r="35" ht="13" customHeight="1" s="189">
      <c r="A35" s="266" t="n"/>
      <c r="B35" s="272" t="n"/>
      <c r="C35" s="272" t="n"/>
      <c r="D35" s="272" t="n"/>
      <c r="E35" s="272" t="n"/>
      <c r="F35" s="222" t="n"/>
      <c r="G35" s="272" t="n"/>
      <c r="H35" s="272" t="n"/>
      <c r="I35" s="272" t="n"/>
      <c r="J35" s="272" t="n"/>
      <c r="K35" s="272" t="n"/>
      <c r="L35" s="272" t="n"/>
      <c r="M35" s="272" t="n"/>
      <c r="N35" s="314">
        <f>SUM(B35:M35)</f>
        <v/>
      </c>
    </row>
    <row r="36" ht="13" customHeight="1" s="189">
      <c r="A36" s="266" t="n"/>
      <c r="B36" s="272" t="n"/>
      <c r="C36" s="272" t="n"/>
      <c r="D36" s="272" t="n"/>
      <c r="E36" s="272" t="n"/>
      <c r="F36" s="222" t="n"/>
      <c r="G36" s="272" t="n"/>
      <c r="H36" s="272" t="n"/>
      <c r="I36" s="272" t="n"/>
      <c r="J36" s="272" t="n"/>
      <c r="K36" s="272" t="n"/>
      <c r="L36" s="272" t="n"/>
      <c r="M36" s="272" t="n"/>
      <c r="N36" s="314">
        <f>SUM(B36:M36)</f>
        <v/>
      </c>
    </row>
    <row r="37" ht="13" customHeight="1" s="189">
      <c r="A37" s="266" t="inlineStr">
        <is>
          <t>Total</t>
        </is>
      </c>
      <c r="B37" s="272">
        <f>SUM(B8:B36)</f>
        <v/>
      </c>
      <c r="C37" s="272">
        <f>SUM(C8:C36)</f>
        <v/>
      </c>
      <c r="D37" s="272">
        <f>SUM(D8:D36)</f>
        <v/>
      </c>
      <c r="E37" s="272">
        <f>SUM(E8:E36)</f>
        <v/>
      </c>
      <c r="F37" s="272">
        <f>SUM(F8:F36)</f>
        <v/>
      </c>
      <c r="G37" s="272">
        <f>SUM(G8:G36)</f>
        <v/>
      </c>
      <c r="H37" s="272">
        <f>SUM(H8:H36)</f>
        <v/>
      </c>
      <c r="I37" s="272">
        <f>SUM(I8:I36)</f>
        <v/>
      </c>
      <c r="J37" s="272">
        <f>SUM(J8:J36)</f>
        <v/>
      </c>
      <c r="K37" s="272">
        <f>SUM(K8:K36)</f>
        <v/>
      </c>
      <c r="L37" s="272">
        <f>SUM(L8:L36)</f>
        <v/>
      </c>
      <c r="M37" s="272">
        <f>SUM(M8:M36)</f>
        <v/>
      </c>
      <c r="N37" s="314">
        <f>SUM(B37:M37)</f>
        <v/>
      </c>
    </row>
    <row r="38" ht="13" customHeight="1" s="189">
      <c r="B38" s="290" t="n"/>
      <c r="C38" s="290" t="n"/>
      <c r="D38" s="291" t="n"/>
      <c r="E38" s="290" t="n"/>
      <c r="F38" s="290" t="n"/>
    </row>
    <row r="39" ht="13" customHeight="1" s="189">
      <c r="B39" s="290" t="n"/>
      <c r="C39" s="290" t="n"/>
      <c r="D39" s="291" t="n"/>
      <c r="E39" s="290" t="n"/>
      <c r="F39" s="290" t="n"/>
      <c r="N39" s="201" t="inlineStr">
        <is>
          <t>© Global Knowledge Training LLC</t>
        </is>
      </c>
    </row>
    <row r="40" ht="13" customHeight="1" s="189">
      <c r="B40" s="290" t="n"/>
      <c r="C40" s="290" t="n"/>
      <c r="D40" s="291" t="n"/>
      <c r="E40" s="290" t="n"/>
      <c r="F40" s="290" t="n"/>
    </row>
    <row r="41" ht="13" customHeight="1" s="189">
      <c r="B41" s="290" t="n"/>
      <c r="C41" s="290" t="n"/>
      <c r="D41" s="291" t="n"/>
      <c r="E41" s="290" t="n"/>
      <c r="F41" s="290" t="n"/>
    </row>
    <row r="42" ht="13" customHeight="1" s="189">
      <c r="B42" s="290" t="n"/>
      <c r="C42" s="290" t="n"/>
      <c r="D42" s="291" t="n"/>
      <c r="E42" s="290" t="n"/>
      <c r="F42" s="290" t="n"/>
    </row>
    <row r="43" ht="13" customHeight="1" s="189">
      <c r="B43" s="290" t="n"/>
      <c r="C43" s="290" t="n"/>
      <c r="D43" s="291" t="n"/>
      <c r="E43" s="290" t="n"/>
      <c r="F43" s="290" t="n"/>
    </row>
    <row r="44" ht="13" customHeight="1" s="189">
      <c r="B44" s="290" t="n"/>
      <c r="C44" s="290" t="n"/>
      <c r="D44" s="291" t="n"/>
      <c r="E44" s="290" t="n"/>
      <c r="F44" s="290" t="n"/>
    </row>
    <row r="45" ht="13" customHeight="1" s="189">
      <c r="B45" s="290" t="n"/>
      <c r="C45" s="290" t="n"/>
      <c r="D45" s="291" t="n"/>
      <c r="E45" s="290" t="n"/>
      <c r="F45" s="290" t="n"/>
    </row>
    <row r="46" ht="13" customHeight="1" s="189">
      <c r="B46" s="290" t="n"/>
      <c r="C46" s="290" t="n"/>
      <c r="D46" s="291" t="n"/>
      <c r="E46" s="290" t="n"/>
      <c r="F46" s="290" t="n"/>
    </row>
    <row r="47" ht="13" customHeight="1" s="189">
      <c r="B47" s="290" t="n"/>
      <c r="C47" s="290" t="n"/>
      <c r="D47" s="291" t="n"/>
      <c r="E47" s="290" t="n"/>
      <c r="F47" s="290" t="n"/>
    </row>
    <row r="48" ht="13" customHeight="1" s="189">
      <c r="B48" s="290" t="n"/>
      <c r="C48" s="290" t="n"/>
      <c r="D48" s="291" t="n"/>
      <c r="E48" s="290" t="n"/>
      <c r="F48" s="290" t="n"/>
    </row>
    <row r="49" ht="13" customHeight="1" s="189">
      <c r="B49" s="290" t="n"/>
      <c r="C49" s="290" t="n"/>
      <c r="D49" s="291" t="n"/>
      <c r="E49" s="290" t="n"/>
      <c r="F49" s="290" t="n"/>
    </row>
    <row r="50" ht="13" customHeight="1" s="189">
      <c r="B50" s="290" t="n"/>
      <c r="C50" s="290" t="n"/>
      <c r="D50" s="291" t="n"/>
      <c r="E50" s="290" t="n"/>
      <c r="F50" s="290" t="n"/>
    </row>
    <row r="51" ht="13" customHeight="1" s="189">
      <c r="B51" s="290" t="n"/>
      <c r="C51" s="290" t="n"/>
      <c r="D51" s="291" t="n"/>
      <c r="E51" s="290" t="n"/>
      <c r="F51" s="290" t="n"/>
    </row>
    <row r="52" ht="13" customHeight="1" s="189">
      <c r="B52" s="290" t="n"/>
      <c r="C52" s="290" t="n"/>
      <c r="D52" s="291" t="n"/>
      <c r="E52" s="290" t="n"/>
      <c r="F52" s="290" t="n"/>
    </row>
    <row r="53" ht="13" customHeight="1" s="189">
      <c r="B53" s="290" t="n"/>
      <c r="C53" s="290" t="n"/>
      <c r="D53" s="291" t="n"/>
      <c r="E53" s="290" t="n"/>
      <c r="F53" s="290" t="n"/>
    </row>
    <row r="54" ht="13" customHeight="1" s="189">
      <c r="B54" s="290" t="n"/>
      <c r="C54" s="290" t="n"/>
      <c r="D54" s="291" t="n"/>
      <c r="E54" s="290" t="n"/>
      <c r="F54" s="290" t="n"/>
    </row>
    <row r="55" ht="13" customHeight="1" s="189">
      <c r="B55" s="290" t="n"/>
      <c r="C55" s="290" t="n"/>
      <c r="D55" s="291" t="n"/>
      <c r="E55" s="290" t="n"/>
      <c r="F55" s="290" t="n"/>
    </row>
    <row r="56" ht="13" customHeight="1" s="189">
      <c r="B56" s="290" t="n"/>
      <c r="C56" s="290" t="n"/>
      <c r="D56" s="291" t="n"/>
      <c r="E56" s="290" t="n"/>
      <c r="F56" s="290" t="n"/>
    </row>
    <row r="57" ht="13" customHeight="1" s="189">
      <c r="B57" s="290" t="n"/>
      <c r="C57" s="290" t="n"/>
      <c r="D57" s="291" t="n"/>
      <c r="E57" s="290" t="n"/>
      <c r="F57" s="290" t="n"/>
    </row>
    <row r="58" ht="13" customHeight="1" s="189">
      <c r="B58" s="290" t="n"/>
      <c r="C58" s="290" t="n"/>
      <c r="D58" s="291" t="n"/>
      <c r="E58" s="290" t="n"/>
      <c r="F58" s="290" t="n"/>
    </row>
    <row r="59" ht="13" customHeight="1" s="189">
      <c r="B59" s="290" t="n"/>
      <c r="C59" s="290" t="n"/>
      <c r="D59" s="291" t="n"/>
      <c r="E59" s="290" t="n"/>
      <c r="F59" s="290" t="n"/>
    </row>
    <row r="60" ht="13" customHeight="1" s="189">
      <c r="B60" s="290" t="n"/>
      <c r="C60" s="290" t="n"/>
      <c r="D60" s="291" t="n"/>
      <c r="E60" s="290" t="n"/>
      <c r="F60" s="290" t="n"/>
    </row>
    <row r="61" ht="13" customHeight="1" s="189">
      <c r="B61" s="290" t="n"/>
      <c r="C61" s="290" t="n"/>
      <c r="D61" s="291" t="n"/>
      <c r="E61" s="290" t="n"/>
      <c r="F61" s="290" t="n"/>
    </row>
    <row r="62" ht="13" customHeight="1" s="189">
      <c r="B62" s="290" t="n"/>
      <c r="C62" s="290" t="n"/>
      <c r="D62" s="291" t="n"/>
      <c r="E62" s="290" t="n"/>
      <c r="F62" s="290" t="n"/>
    </row>
    <row r="63" ht="13" customHeight="1" s="189">
      <c r="B63" s="290" t="n"/>
      <c r="C63" s="290" t="n"/>
      <c r="D63" s="291" t="n"/>
      <c r="E63" s="290" t="n"/>
      <c r="F63" s="290" t="n"/>
    </row>
    <row r="64" ht="13" customHeight="1" s="189">
      <c r="B64" s="290" t="n"/>
      <c r="C64" s="290" t="n"/>
      <c r="D64" s="291" t="n"/>
      <c r="E64" s="290" t="n"/>
      <c r="F64" s="290" t="n"/>
    </row>
    <row r="65" ht="13" customHeight="1" s="189">
      <c r="B65" s="290" t="n"/>
      <c r="C65" s="290" t="n"/>
      <c r="D65" s="291" t="n"/>
      <c r="E65" s="290" t="n"/>
      <c r="F65" s="290" t="n"/>
    </row>
    <row r="66" ht="13" customHeight="1" s="189">
      <c r="B66" s="290" t="n"/>
      <c r="C66" s="290" t="n"/>
      <c r="D66" s="291" t="n"/>
      <c r="E66" s="290" t="n"/>
      <c r="F66" s="290" t="n"/>
    </row>
    <row r="67" ht="13" customHeight="1" s="189">
      <c r="B67" s="290" t="n"/>
      <c r="C67" s="290" t="n"/>
      <c r="D67" s="291" t="n"/>
      <c r="E67" s="290" t="n"/>
      <c r="F67" s="290" t="n"/>
    </row>
    <row r="68" ht="13" customHeight="1" s="189">
      <c r="B68" s="290" t="n"/>
      <c r="C68" s="290" t="n"/>
      <c r="D68" s="291" t="n"/>
      <c r="E68" s="290" t="n"/>
      <c r="F68" s="290" t="n"/>
    </row>
    <row r="69" ht="13" customHeight="1" s="189">
      <c r="B69" s="290" t="n"/>
      <c r="C69" s="290" t="n"/>
      <c r="D69" s="291" t="n"/>
      <c r="E69" s="290" t="n"/>
      <c r="F69" s="290" t="n"/>
    </row>
    <row r="70" ht="13" customHeight="1" s="189">
      <c r="B70" s="290" t="n"/>
      <c r="C70" s="290" t="n"/>
      <c r="D70" s="291" t="n"/>
      <c r="E70" s="290" t="n"/>
      <c r="F70" s="290" t="n"/>
    </row>
    <row r="71" ht="13" customHeight="1" s="189">
      <c r="B71" s="290" t="n"/>
      <c r="C71" s="290" t="n"/>
      <c r="D71" s="291" t="n"/>
      <c r="E71" s="290" t="n"/>
      <c r="F71" s="290" t="n"/>
    </row>
    <row r="72" ht="13" customHeight="1" s="189">
      <c r="B72" s="290" t="n"/>
      <c r="C72" s="290" t="n"/>
      <c r="D72" s="291" t="n"/>
      <c r="E72" s="290" t="n"/>
      <c r="F72" s="290" t="n"/>
    </row>
    <row r="73" ht="13" customHeight="1" s="189">
      <c r="B73" s="290" t="n"/>
      <c r="C73" s="290" t="n"/>
      <c r="D73" s="291" t="n"/>
      <c r="E73" s="290" t="n"/>
      <c r="F73" s="290" t="n"/>
    </row>
    <row r="74" ht="13" customHeight="1" s="189">
      <c r="B74" s="290" t="n"/>
      <c r="C74" s="290" t="n"/>
      <c r="D74" s="291" t="n"/>
      <c r="E74" s="290" t="n"/>
      <c r="F74" s="290" t="n"/>
    </row>
    <row r="75" ht="13" customHeight="1" s="189">
      <c r="B75" s="290" t="n"/>
      <c r="C75" s="290" t="n"/>
      <c r="D75" s="291" t="n"/>
      <c r="E75" s="290" t="n"/>
      <c r="F75" s="290" t="n"/>
    </row>
    <row r="76" ht="13" customHeight="1" s="189">
      <c r="B76" s="290" t="n"/>
      <c r="C76" s="290" t="n"/>
      <c r="D76" s="291" t="n"/>
      <c r="E76" s="290" t="n"/>
      <c r="F76" s="290" t="n"/>
    </row>
    <row r="77" ht="13" customHeight="1" s="189">
      <c r="B77" s="290" t="n"/>
      <c r="C77" s="290" t="n"/>
      <c r="D77" s="291" t="n"/>
      <c r="E77" s="290" t="n"/>
      <c r="F77" s="290" t="n"/>
    </row>
    <row r="78" ht="13" customHeight="1" s="189">
      <c r="B78" s="290" t="n"/>
      <c r="C78" s="290" t="n"/>
      <c r="D78" s="291" t="n"/>
      <c r="E78" s="290" t="n"/>
      <c r="F78" s="290" t="n"/>
    </row>
    <row r="79" ht="13" customHeight="1" s="189">
      <c r="B79" s="290" t="n"/>
      <c r="C79" s="290" t="n"/>
      <c r="D79" s="291" t="n"/>
      <c r="E79" s="290" t="n"/>
      <c r="F79" s="290" t="n"/>
    </row>
    <row r="80" ht="13" customHeight="1" s="189">
      <c r="B80" s="290" t="n"/>
      <c r="C80" s="290" t="n"/>
      <c r="D80" s="291" t="n"/>
      <c r="E80" s="290" t="n"/>
      <c r="F80" s="290" t="n"/>
    </row>
    <row r="81" ht="13" customHeight="1" s="189">
      <c r="B81" s="290" t="n"/>
      <c r="C81" s="290" t="n"/>
      <c r="D81" s="291" t="n"/>
      <c r="E81" s="290" t="n"/>
      <c r="F81" s="290" t="n"/>
    </row>
    <row r="82" ht="13" customHeight="1" s="189">
      <c r="B82" s="290" t="n"/>
      <c r="C82" s="290" t="n"/>
      <c r="D82" s="291" t="n"/>
      <c r="E82" s="290" t="n"/>
      <c r="F82" s="290" t="n"/>
    </row>
    <row r="83" ht="13" customHeight="1" s="189">
      <c r="B83" s="290" t="n"/>
      <c r="C83" s="290" t="n"/>
      <c r="D83" s="291" t="n"/>
      <c r="E83" s="290" t="n"/>
      <c r="F83" s="290" t="n"/>
    </row>
    <row r="84" ht="13" customHeight="1" s="189">
      <c r="B84" s="290" t="n"/>
      <c r="C84" s="290" t="n"/>
      <c r="D84" s="291" t="n"/>
      <c r="E84" s="290" t="n"/>
      <c r="F84" s="290" t="n"/>
    </row>
    <row r="85" ht="13" customHeight="1" s="189">
      <c r="B85" s="290" t="n"/>
      <c r="C85" s="290" t="n"/>
      <c r="D85" s="291" t="n"/>
      <c r="E85" s="290" t="n"/>
      <c r="F85" s="290" t="n"/>
    </row>
    <row r="86" ht="13" customHeight="1" s="189">
      <c r="B86" s="290" t="n"/>
      <c r="C86" s="290" t="n"/>
      <c r="D86" s="291" t="n"/>
      <c r="E86" s="290" t="n"/>
      <c r="F86" s="290" t="n"/>
    </row>
    <row r="87" ht="13" customHeight="1" s="189">
      <c r="B87" s="290" t="n"/>
      <c r="C87" s="290" t="n"/>
      <c r="D87" s="291" t="n"/>
      <c r="E87" s="290" t="n"/>
      <c r="F87" s="290" t="n"/>
    </row>
    <row r="88" ht="13" customHeight="1" s="189">
      <c r="B88" s="290" t="n"/>
      <c r="C88" s="290" t="n"/>
      <c r="D88" s="291" t="n"/>
      <c r="E88" s="290" t="n"/>
      <c r="F88" s="290" t="n"/>
    </row>
    <row r="89" ht="13" customHeight="1" s="189">
      <c r="B89" s="290" t="n"/>
      <c r="C89" s="290" t="n"/>
      <c r="D89" s="291" t="n"/>
      <c r="E89" s="290" t="n"/>
      <c r="F89" s="290" t="n"/>
    </row>
    <row r="90" ht="13" customHeight="1" s="189">
      <c r="B90" s="290" t="n"/>
      <c r="C90" s="290" t="n"/>
      <c r="D90" s="291" t="n"/>
      <c r="E90" s="290" t="n"/>
      <c r="F90" s="290" t="n"/>
    </row>
    <row r="91" ht="13" customHeight="1" s="189">
      <c r="B91" s="290" t="n"/>
      <c r="C91" s="290" t="n"/>
      <c r="D91" s="291" t="n"/>
      <c r="E91" s="290" t="n"/>
      <c r="F91" s="290" t="n"/>
    </row>
    <row r="92" ht="13" customHeight="1" s="189">
      <c r="B92" s="290" t="n"/>
      <c r="C92" s="290" t="n"/>
      <c r="D92" s="291" t="n"/>
      <c r="E92" s="290" t="n"/>
      <c r="F92" s="290" t="n"/>
    </row>
    <row r="93" ht="13" customHeight="1" s="189">
      <c r="B93" s="290" t="n"/>
      <c r="C93" s="290" t="n"/>
      <c r="D93" s="291" t="n"/>
      <c r="E93" s="290" t="n"/>
      <c r="F93" s="290" t="n"/>
    </row>
    <row r="94" ht="13" customHeight="1" s="189">
      <c r="B94" s="290" t="n"/>
      <c r="C94" s="290" t="n"/>
      <c r="D94" s="291" t="n"/>
      <c r="E94" s="290" t="n"/>
      <c r="F94" s="290" t="n"/>
    </row>
    <row r="95" ht="13" customHeight="1" s="189">
      <c r="B95" s="290" t="n"/>
      <c r="C95" s="290" t="n"/>
      <c r="D95" s="291" t="n"/>
      <c r="E95" s="290" t="n"/>
      <c r="F95" s="290" t="n"/>
    </row>
    <row r="96" ht="13" customHeight="1" s="189">
      <c r="B96" s="290" t="n"/>
      <c r="C96" s="290" t="n"/>
      <c r="D96" s="291" t="n"/>
      <c r="E96" s="290" t="n"/>
      <c r="F96" s="290" t="n"/>
    </row>
    <row r="97" ht="13" customHeight="1" s="189">
      <c r="B97" s="290" t="n"/>
      <c r="C97" s="290" t="n"/>
      <c r="D97" s="291" t="n"/>
      <c r="E97" s="290" t="n"/>
      <c r="F97" s="290" t="n"/>
    </row>
    <row r="98" ht="13" customHeight="1" s="189">
      <c r="B98" s="290" t="n"/>
      <c r="C98" s="290" t="n"/>
      <c r="D98" s="291" t="n"/>
      <c r="E98" s="290" t="n"/>
      <c r="F98" s="290" t="n"/>
    </row>
    <row r="99" ht="13" customHeight="1" s="189">
      <c r="B99" s="290" t="n"/>
      <c r="C99" s="290" t="n"/>
      <c r="D99" s="291" t="n"/>
      <c r="E99" s="290" t="n"/>
      <c r="F99" s="290" t="n"/>
    </row>
    <row r="100" ht="13" customHeight="1" s="189">
      <c r="B100" s="290" t="n"/>
      <c r="C100" s="290" t="n"/>
      <c r="D100" s="291" t="n"/>
      <c r="E100" s="290" t="n"/>
      <c r="F100" s="290" t="n"/>
    </row>
    <row r="101" ht="13" customHeight="1" s="189">
      <c r="B101" s="290" t="n"/>
      <c r="C101" s="290" t="n"/>
      <c r="D101" s="291" t="n"/>
      <c r="E101" s="290" t="n"/>
      <c r="F101" s="290" t="n"/>
    </row>
    <row r="102" ht="13" customHeight="1" s="189">
      <c r="B102" s="290" t="n"/>
      <c r="C102" s="290" t="n"/>
      <c r="D102" s="291" t="n"/>
      <c r="E102" s="290" t="n"/>
      <c r="F102" s="290" t="n"/>
    </row>
    <row r="103" ht="13" customHeight="1" s="189">
      <c r="B103" s="290" t="n"/>
      <c r="C103" s="290" t="n"/>
      <c r="D103" s="291" t="n"/>
      <c r="E103" s="290" t="n"/>
      <c r="F103" s="290" t="n"/>
    </row>
    <row r="104" ht="13" customHeight="1" s="189">
      <c r="B104" s="290" t="n"/>
      <c r="C104" s="290" t="n"/>
      <c r="D104" s="291" t="n"/>
      <c r="E104" s="290" t="n"/>
      <c r="F104" s="290" t="n"/>
    </row>
    <row r="105" ht="13" customHeight="1" s="189">
      <c r="B105" s="290" t="n"/>
      <c r="C105" s="290" t="n"/>
      <c r="D105" s="291" t="n"/>
      <c r="E105" s="290" t="n"/>
      <c r="F105" s="290" t="n"/>
    </row>
    <row r="106" ht="13" customHeight="1" s="189">
      <c r="B106" s="290" t="n"/>
      <c r="C106" s="290" t="n"/>
      <c r="D106" s="291" t="n"/>
      <c r="E106" s="290" t="n"/>
      <c r="F106" s="290" t="n"/>
    </row>
    <row r="107" ht="13" customHeight="1" s="189">
      <c r="B107" s="290" t="n"/>
      <c r="C107" s="290" t="n"/>
      <c r="D107" s="291" t="n"/>
      <c r="E107" s="290" t="n"/>
      <c r="F107" s="290" t="n"/>
    </row>
    <row r="108" ht="13" customHeight="1" s="189">
      <c r="B108" s="290" t="n"/>
      <c r="C108" s="290" t="n"/>
      <c r="D108" s="291" t="n"/>
      <c r="E108" s="290" t="n"/>
      <c r="F108" s="290" t="n"/>
    </row>
    <row r="109" ht="13" customHeight="1" s="189">
      <c r="B109" s="290" t="n"/>
      <c r="C109" s="290" t="n"/>
      <c r="D109" s="291" t="n"/>
      <c r="E109" s="290" t="n"/>
      <c r="F109" s="290" t="n"/>
    </row>
    <row r="110" ht="13" customHeight="1" s="189">
      <c r="B110" s="290" t="n"/>
      <c r="C110" s="290" t="n"/>
      <c r="D110" s="291" t="n"/>
      <c r="E110" s="290" t="n"/>
      <c r="F110" s="290" t="n"/>
    </row>
    <row r="111" ht="13" customHeight="1" s="189">
      <c r="B111" s="290" t="n"/>
      <c r="C111" s="290" t="n"/>
      <c r="D111" s="291" t="n"/>
      <c r="E111" s="290" t="n"/>
      <c r="F111" s="290" t="n"/>
    </row>
    <row r="112" ht="13" customHeight="1" s="189">
      <c r="B112" s="290" t="n"/>
      <c r="C112" s="290" t="n"/>
      <c r="D112" s="291" t="n"/>
      <c r="E112" s="290" t="n"/>
      <c r="F112" s="290" t="n"/>
    </row>
    <row r="113" ht="13" customHeight="1" s="189">
      <c r="B113" s="290" t="n"/>
      <c r="C113" s="290" t="n"/>
      <c r="D113" s="291" t="n"/>
      <c r="E113" s="290" t="n"/>
      <c r="F113" s="290" t="n"/>
    </row>
    <row r="114" ht="13" customHeight="1" s="189">
      <c r="B114" s="290" t="n"/>
      <c r="C114" s="290" t="n"/>
      <c r="D114" s="291" t="n"/>
      <c r="E114" s="290" t="n"/>
      <c r="F114" s="290" t="n"/>
    </row>
    <row r="115" ht="13" customHeight="1" s="189">
      <c r="B115" s="290" t="n"/>
      <c r="C115" s="290" t="n"/>
      <c r="D115" s="291" t="n"/>
      <c r="E115" s="290" t="n"/>
      <c r="F115" s="290" t="n"/>
    </row>
    <row r="116" ht="13" customHeight="1" s="189">
      <c r="B116" s="290" t="n"/>
      <c r="C116" s="290" t="n"/>
      <c r="D116" s="291" t="n"/>
      <c r="E116" s="290" t="n"/>
      <c r="F116" s="290" t="n"/>
    </row>
    <row r="117" ht="13" customHeight="1" s="189">
      <c r="B117" s="290" t="n"/>
      <c r="C117" s="290" t="n"/>
      <c r="D117" s="291" t="n"/>
      <c r="E117" s="290" t="n"/>
      <c r="F117" s="290" t="n"/>
    </row>
    <row r="118" ht="13" customHeight="1" s="189">
      <c r="B118" s="290" t="n"/>
      <c r="C118" s="290" t="n"/>
      <c r="D118" s="291" t="n"/>
      <c r="E118" s="290" t="n"/>
      <c r="F118" s="290" t="n"/>
    </row>
    <row r="119" ht="13" customHeight="1" s="189">
      <c r="B119" s="290" t="n"/>
      <c r="C119" s="290" t="n"/>
      <c r="D119" s="291" t="n"/>
      <c r="E119" s="290" t="n"/>
      <c r="F119" s="290" t="n"/>
    </row>
    <row r="120" ht="13" customHeight="1" s="189">
      <c r="B120" s="290" t="n"/>
      <c r="C120" s="290" t="n"/>
      <c r="D120" s="291" t="n"/>
      <c r="E120" s="290" t="n"/>
      <c r="F120" s="290" t="n"/>
    </row>
    <row r="121" ht="13" customHeight="1" s="189">
      <c r="B121" s="290" t="n"/>
      <c r="C121" s="290" t="n"/>
      <c r="D121" s="291" t="n"/>
      <c r="E121" s="290" t="n"/>
      <c r="F121" s="290" t="n"/>
    </row>
    <row r="122" ht="13" customHeight="1" s="189">
      <c r="B122" s="290" t="n"/>
      <c r="C122" s="290" t="n"/>
      <c r="D122" s="291" t="n"/>
      <c r="E122" s="290" t="n"/>
      <c r="F122" s="290" t="n"/>
    </row>
    <row r="123" ht="13" customHeight="1" s="189">
      <c r="B123" s="290" t="n"/>
      <c r="C123" s="290" t="n"/>
      <c r="D123" s="291" t="n"/>
      <c r="E123" s="290" t="n"/>
      <c r="F123" s="290" t="n"/>
    </row>
    <row r="124" ht="13" customHeight="1" s="189">
      <c r="B124" s="290" t="n"/>
      <c r="C124" s="290" t="n"/>
      <c r="D124" s="291" t="n"/>
      <c r="E124" s="290" t="n"/>
      <c r="F124" s="290" t="n"/>
    </row>
    <row r="125" ht="13" customHeight="1" s="189">
      <c r="B125" s="290" t="n"/>
      <c r="C125" s="290" t="n"/>
      <c r="D125" s="291" t="n"/>
      <c r="E125" s="290" t="n"/>
      <c r="F125" s="290" t="n"/>
    </row>
    <row r="126" ht="13" customHeight="1" s="189">
      <c r="B126" s="290" t="n"/>
      <c r="C126" s="290" t="n"/>
      <c r="D126" s="291" t="n"/>
      <c r="E126" s="290" t="n"/>
      <c r="F126" s="290" t="n"/>
    </row>
    <row r="127" ht="13" customHeight="1" s="189">
      <c r="B127" s="290" t="n"/>
      <c r="C127" s="290" t="n"/>
      <c r="D127" s="291" t="n"/>
      <c r="E127" s="290" t="n"/>
      <c r="F127" s="290" t="n"/>
    </row>
    <row r="128" ht="13" customHeight="1" s="189">
      <c r="B128" s="290" t="n"/>
      <c r="C128" s="290" t="n"/>
      <c r="D128" s="291" t="n"/>
      <c r="E128" s="290" t="n"/>
      <c r="F128" s="290" t="n"/>
    </row>
    <row r="129" ht="13" customHeight="1" s="189">
      <c r="B129" s="290" t="n"/>
      <c r="C129" s="290" t="n"/>
      <c r="D129" s="291" t="n"/>
      <c r="E129" s="290" t="n"/>
      <c r="F129" s="290" t="n"/>
    </row>
    <row r="130" ht="13" customHeight="1" s="189">
      <c r="B130" s="290" t="n"/>
      <c r="C130" s="290" t="n"/>
      <c r="D130" s="291" t="n"/>
      <c r="E130" s="290" t="n"/>
      <c r="F130" s="290" t="n"/>
    </row>
    <row r="131" ht="13" customHeight="1" s="189">
      <c r="B131" s="290" t="n"/>
      <c r="C131" s="290" t="n"/>
      <c r="D131" s="291" t="n"/>
      <c r="E131" s="290" t="n"/>
      <c r="F131" s="290" t="n"/>
    </row>
    <row r="132" ht="13" customHeight="1" s="189">
      <c r="B132" s="290" t="n"/>
      <c r="C132" s="290" t="n"/>
      <c r="D132" s="291" t="n"/>
      <c r="E132" s="290" t="n"/>
      <c r="F132" s="290" t="n"/>
    </row>
    <row r="133" ht="13" customHeight="1" s="189">
      <c r="B133" s="290" t="n"/>
      <c r="C133" s="290" t="n"/>
      <c r="D133" s="291" t="n"/>
      <c r="E133" s="290" t="n"/>
      <c r="F133" s="290" t="n"/>
    </row>
    <row r="134" ht="13" customHeight="1" s="189">
      <c r="B134" s="290" t="n"/>
      <c r="C134" s="290" t="n"/>
      <c r="D134" s="291" t="n"/>
      <c r="E134" s="290" t="n"/>
      <c r="F134" s="290" t="n"/>
    </row>
    <row r="135" ht="13" customHeight="1" s="189">
      <c r="B135" s="290" t="n"/>
      <c r="C135" s="290" t="n"/>
      <c r="D135" s="291" t="n"/>
      <c r="E135" s="290" t="n"/>
      <c r="F135" s="290" t="n"/>
    </row>
    <row r="136" ht="13" customHeight="1" s="189">
      <c r="B136" s="290" t="n"/>
      <c r="C136" s="290" t="n"/>
      <c r="D136" s="291" t="n"/>
      <c r="E136" s="290" t="n"/>
      <c r="F136" s="290" t="n"/>
    </row>
    <row r="137" ht="13" customHeight="1" s="189">
      <c r="B137" s="290" t="n"/>
      <c r="C137" s="290" t="n"/>
      <c r="D137" s="291" t="n"/>
      <c r="E137" s="290" t="n"/>
      <c r="F137" s="290" t="n"/>
    </row>
    <row r="138" ht="13" customHeight="1" s="189">
      <c r="B138" s="290" t="n"/>
      <c r="C138" s="290" t="n"/>
      <c r="D138" s="291" t="n"/>
      <c r="E138" s="290" t="n"/>
      <c r="F138" s="290" t="n"/>
    </row>
    <row r="139" ht="13" customHeight="1" s="189">
      <c r="B139" s="290" t="n"/>
      <c r="C139" s="290" t="n"/>
      <c r="D139" s="291" t="n"/>
      <c r="E139" s="290" t="n"/>
      <c r="F139" s="290" t="n"/>
    </row>
    <row r="140" ht="13" customHeight="1" s="189">
      <c r="B140" s="290" t="n"/>
      <c r="C140" s="290" t="n"/>
      <c r="D140" s="291" t="n"/>
      <c r="E140" s="290" t="n"/>
      <c r="F140" s="290" t="n"/>
    </row>
    <row r="141" ht="13" customHeight="1" s="189">
      <c r="B141" s="290" t="n"/>
      <c r="C141" s="290" t="n"/>
      <c r="D141" s="291" t="n"/>
      <c r="E141" s="290" t="n"/>
      <c r="F141" s="290" t="n"/>
    </row>
    <row r="142" ht="13" customHeight="1" s="189">
      <c r="B142" s="290" t="n"/>
      <c r="C142" s="290" t="n"/>
      <c r="D142" s="291" t="n"/>
      <c r="E142" s="290" t="n"/>
      <c r="F142" s="290" t="n"/>
    </row>
    <row r="143" ht="13" customHeight="1" s="189">
      <c r="B143" s="290" t="n"/>
      <c r="C143" s="290" t="n"/>
      <c r="D143" s="291" t="n"/>
      <c r="E143" s="290" t="n"/>
      <c r="F143" s="290" t="n"/>
    </row>
    <row r="144" ht="13" customHeight="1" s="189">
      <c r="B144" s="290" t="n"/>
      <c r="C144" s="290" t="n"/>
      <c r="D144" s="291" t="n"/>
      <c r="E144" s="290" t="n"/>
      <c r="F144" s="290" t="n"/>
    </row>
    <row r="145" ht="13" customHeight="1" s="189">
      <c r="B145" s="290" t="n"/>
      <c r="C145" s="290" t="n"/>
      <c r="D145" s="291" t="n"/>
      <c r="E145" s="290" t="n"/>
      <c r="F145" s="290" t="n"/>
    </row>
    <row r="146" ht="13" customHeight="1" s="189">
      <c r="B146" s="290" t="n"/>
      <c r="C146" s="290" t="n"/>
      <c r="D146" s="291" t="n"/>
      <c r="E146" s="290" t="n"/>
      <c r="F146" s="290" t="n"/>
    </row>
    <row r="147" ht="13" customHeight="1" s="189">
      <c r="B147" s="290" t="n"/>
      <c r="C147" s="290" t="n"/>
      <c r="D147" s="291" t="n"/>
      <c r="E147" s="290" t="n"/>
      <c r="F147" s="290" t="n"/>
    </row>
    <row r="148" ht="13" customHeight="1" s="189">
      <c r="B148" s="290" t="n"/>
      <c r="C148" s="290" t="n"/>
      <c r="D148" s="291" t="n"/>
      <c r="E148" s="290" t="n"/>
      <c r="F148" s="290" t="n"/>
    </row>
    <row r="149" ht="13" customHeight="1" s="189">
      <c r="B149" s="290" t="n"/>
      <c r="C149" s="290" t="n"/>
      <c r="D149" s="291" t="n"/>
      <c r="E149" s="290" t="n"/>
      <c r="F149" s="290" t="n"/>
    </row>
    <row r="150" ht="13" customHeight="1" s="189">
      <c r="B150" s="290" t="n"/>
      <c r="C150" s="290" t="n"/>
      <c r="D150" s="291" t="n"/>
      <c r="E150" s="290" t="n"/>
      <c r="F150" s="290" t="n"/>
    </row>
    <row r="151" ht="13" customHeight="1" s="189">
      <c r="B151" s="290" t="n"/>
      <c r="C151" s="290" t="n"/>
      <c r="D151" s="291" t="n"/>
      <c r="E151" s="290" t="n"/>
      <c r="F151" s="290" t="n"/>
    </row>
    <row r="152" ht="13" customHeight="1" s="189">
      <c r="B152" s="290" t="n"/>
      <c r="C152" s="290" t="n"/>
      <c r="D152" s="291" t="n"/>
      <c r="E152" s="290" t="n"/>
      <c r="F152" s="290" t="n"/>
    </row>
    <row r="153" ht="13" customHeight="1" s="189">
      <c r="B153" s="290" t="n"/>
      <c r="C153" s="290" t="n"/>
      <c r="D153" s="291" t="n"/>
      <c r="E153" s="290" t="n"/>
      <c r="F153" s="290" t="n"/>
    </row>
    <row r="154" ht="13" customHeight="1" s="189">
      <c r="B154" s="290" t="n"/>
      <c r="C154" s="290" t="n"/>
      <c r="D154" s="291" t="n"/>
      <c r="E154" s="290" t="n"/>
      <c r="F154" s="290" t="n"/>
    </row>
    <row r="155" ht="13" customHeight="1" s="189">
      <c r="B155" s="290" t="n"/>
      <c r="C155" s="290" t="n"/>
      <c r="D155" s="291" t="n"/>
      <c r="E155" s="290" t="n"/>
      <c r="F155" s="290" t="n"/>
    </row>
    <row r="156" ht="13" customHeight="1" s="189">
      <c r="B156" s="290" t="n"/>
      <c r="C156" s="290" t="n"/>
      <c r="D156" s="291" t="n"/>
      <c r="E156" s="290" t="n"/>
      <c r="F156" s="290" t="n"/>
    </row>
    <row r="157" ht="13" customHeight="1" s="189">
      <c r="B157" s="290" t="n"/>
      <c r="C157" s="290" t="n"/>
      <c r="D157" s="291" t="n"/>
      <c r="E157" s="290" t="n"/>
      <c r="F157" s="290" t="n"/>
    </row>
    <row r="158" ht="13" customHeight="1" s="189">
      <c r="B158" s="290" t="n"/>
      <c r="C158" s="290" t="n"/>
      <c r="D158" s="291" t="n"/>
      <c r="E158" s="290" t="n"/>
      <c r="F158" s="290" t="n"/>
    </row>
    <row r="159" ht="13" customHeight="1" s="189">
      <c r="B159" s="290" t="n"/>
      <c r="C159" s="290" t="n"/>
      <c r="D159" s="291" t="n"/>
      <c r="E159" s="290" t="n"/>
      <c r="F159" s="290" t="n"/>
    </row>
    <row r="160" ht="13" customHeight="1" s="189">
      <c r="B160" s="290" t="n"/>
      <c r="C160" s="290" t="n"/>
      <c r="D160" s="291" t="n"/>
      <c r="E160" s="290" t="n"/>
      <c r="F160" s="290" t="n"/>
    </row>
    <row r="161" ht="13" customHeight="1" s="189">
      <c r="B161" s="290" t="n"/>
      <c r="C161" s="290" t="n"/>
      <c r="D161" s="291" t="n"/>
      <c r="E161" s="290" t="n"/>
      <c r="F161" s="290" t="n"/>
    </row>
    <row r="162" ht="13" customHeight="1" s="189">
      <c r="B162" s="290" t="n"/>
      <c r="C162" s="290" t="n"/>
      <c r="D162" s="291" t="n"/>
      <c r="E162" s="290" t="n"/>
      <c r="F162" s="290" t="n"/>
    </row>
    <row r="163" ht="13" customHeight="1" s="189">
      <c r="B163" s="290" t="n"/>
      <c r="C163" s="290" t="n"/>
      <c r="D163" s="291" t="n"/>
      <c r="E163" s="290" t="n"/>
      <c r="F163" s="290" t="n"/>
    </row>
    <row r="164" ht="13" customHeight="1" s="189">
      <c r="B164" s="290" t="n"/>
      <c r="C164" s="290" t="n"/>
      <c r="D164" s="291" t="n"/>
      <c r="E164" s="290" t="n"/>
      <c r="F164" s="290" t="n"/>
    </row>
    <row r="165" ht="13" customHeight="1" s="189">
      <c r="B165" s="290" t="n"/>
      <c r="C165" s="290" t="n"/>
      <c r="D165" s="291" t="n"/>
      <c r="E165" s="290" t="n"/>
      <c r="F165" s="290" t="n"/>
    </row>
    <row r="166" ht="13" customHeight="1" s="189">
      <c r="B166" s="290" t="n"/>
      <c r="C166" s="290" t="n"/>
      <c r="D166" s="291" t="n"/>
      <c r="E166" s="290" t="n"/>
      <c r="F166" s="290" t="n"/>
    </row>
    <row r="167" ht="13" customHeight="1" s="189">
      <c r="B167" s="290" t="n"/>
      <c r="C167" s="290" t="n"/>
      <c r="D167" s="291" t="n"/>
      <c r="E167" s="290" t="n"/>
      <c r="F167" s="290" t="n"/>
    </row>
    <row r="168" ht="13" customHeight="1" s="189">
      <c r="B168" s="290" t="n"/>
      <c r="C168" s="290" t="n"/>
      <c r="D168" s="291" t="n"/>
      <c r="E168" s="290" t="n"/>
      <c r="F168" s="290" t="n"/>
    </row>
    <row r="169" ht="13" customHeight="1" s="189">
      <c r="B169" s="290" t="n"/>
      <c r="C169" s="290" t="n"/>
      <c r="D169" s="291" t="n"/>
      <c r="E169" s="290" t="n"/>
      <c r="F169" s="290" t="n"/>
    </row>
    <row r="170" ht="13" customHeight="1" s="189">
      <c r="B170" s="290" t="n"/>
      <c r="C170" s="290" t="n"/>
      <c r="D170" s="291" t="n"/>
      <c r="E170" s="290" t="n"/>
      <c r="F170" s="290" t="n"/>
    </row>
    <row r="171" ht="13" customHeight="1" s="189">
      <c r="B171" s="290" t="n"/>
      <c r="C171" s="290" t="n"/>
      <c r="D171" s="291" t="n"/>
      <c r="E171" s="290" t="n"/>
      <c r="F171" s="290" t="n"/>
    </row>
    <row r="172" ht="13" customHeight="1" s="189">
      <c r="B172" s="290" t="n"/>
      <c r="C172" s="290" t="n"/>
      <c r="D172" s="291" t="n"/>
      <c r="E172" s="290" t="n"/>
      <c r="F172" s="290" t="n"/>
    </row>
    <row r="173" ht="13" customHeight="1" s="189">
      <c r="B173" s="290" t="n"/>
      <c r="C173" s="290" t="n"/>
      <c r="D173" s="291" t="n"/>
      <c r="E173" s="290" t="n"/>
      <c r="F173" s="290" t="n"/>
    </row>
    <row r="174" ht="13" customHeight="1" s="189">
      <c r="B174" s="290" t="n"/>
      <c r="C174" s="290" t="n"/>
      <c r="D174" s="291" t="n"/>
      <c r="E174" s="290" t="n"/>
      <c r="F174" s="290" t="n"/>
    </row>
    <row r="175" ht="13" customHeight="1" s="189">
      <c r="B175" s="290" t="n"/>
      <c r="C175" s="290" t="n"/>
      <c r="D175" s="291" t="n"/>
      <c r="E175" s="290" t="n"/>
      <c r="F175" s="290" t="n"/>
    </row>
    <row r="176" ht="13" customHeight="1" s="189">
      <c r="B176" s="290" t="n"/>
      <c r="C176" s="290" t="n"/>
      <c r="D176" s="291" t="n"/>
      <c r="E176" s="290" t="n"/>
      <c r="F176" s="290" t="n"/>
    </row>
    <row r="177" ht="13" customHeight="1" s="189">
      <c r="B177" s="290" t="n"/>
      <c r="C177" s="290" t="n"/>
      <c r="D177" s="291" t="n"/>
      <c r="E177" s="290" t="n"/>
      <c r="F177" s="290" t="n"/>
    </row>
    <row r="178" ht="13" customHeight="1" s="189">
      <c r="B178" s="290" t="n"/>
      <c r="C178" s="290" t="n"/>
      <c r="D178" s="291" t="n"/>
      <c r="E178" s="290" t="n"/>
      <c r="F178" s="290" t="n"/>
    </row>
    <row r="179" ht="13" customHeight="1" s="189">
      <c r="B179" s="290" t="n"/>
      <c r="C179" s="290" t="n"/>
      <c r="D179" s="291" t="n"/>
      <c r="E179" s="290" t="n"/>
      <c r="F179" s="290" t="n"/>
    </row>
    <row r="180" ht="13" customHeight="1" s="189">
      <c r="B180" s="290" t="n"/>
      <c r="C180" s="290" t="n"/>
      <c r="D180" s="291" t="n"/>
      <c r="E180" s="290" t="n"/>
      <c r="F180" s="290" t="n"/>
    </row>
    <row r="181" ht="13" customHeight="1" s="189">
      <c r="B181" s="290" t="n"/>
      <c r="C181" s="290" t="n"/>
      <c r="D181" s="291" t="n"/>
      <c r="E181" s="290" t="n"/>
      <c r="F181" s="290" t="n"/>
    </row>
    <row r="182" ht="13" customHeight="1" s="189">
      <c r="B182" s="290" t="n"/>
      <c r="C182" s="290" t="n"/>
      <c r="D182" s="291" t="n"/>
      <c r="E182" s="290" t="n"/>
      <c r="F182" s="290" t="n"/>
    </row>
    <row r="183" ht="13" customHeight="1" s="189">
      <c r="B183" s="290" t="n"/>
      <c r="C183" s="290" t="n"/>
      <c r="D183" s="291" t="n"/>
      <c r="E183" s="290" t="n"/>
      <c r="F183" s="290" t="n"/>
    </row>
    <row r="184" ht="13" customHeight="1" s="189">
      <c r="B184" s="290" t="n"/>
      <c r="C184" s="290" t="n"/>
      <c r="D184" s="291" t="n"/>
      <c r="E184" s="290" t="n"/>
      <c r="F184" s="290" t="n"/>
    </row>
    <row r="185" ht="13" customHeight="1" s="189">
      <c r="B185" s="290" t="n"/>
      <c r="C185" s="290" t="n"/>
      <c r="D185" s="291" t="n"/>
      <c r="E185" s="290" t="n"/>
      <c r="F185" s="290" t="n"/>
    </row>
    <row r="186" ht="13" customHeight="1" s="189">
      <c r="B186" s="290" t="n"/>
      <c r="C186" s="290" t="n"/>
      <c r="D186" s="291" t="n"/>
      <c r="E186" s="290" t="n"/>
      <c r="F186" s="290" t="n"/>
    </row>
    <row r="187" ht="13" customHeight="1" s="189">
      <c r="B187" s="290" t="n"/>
      <c r="C187" s="290" t="n"/>
      <c r="D187" s="291" t="n"/>
      <c r="E187" s="290" t="n"/>
      <c r="F187" s="290" t="n"/>
    </row>
    <row r="188" ht="13" customHeight="1" s="189">
      <c r="B188" s="290" t="n"/>
      <c r="C188" s="290" t="n"/>
      <c r="D188" s="291" t="n"/>
      <c r="E188" s="290" t="n"/>
      <c r="F188" s="290" t="n"/>
    </row>
    <row r="189" ht="13" customHeight="1" s="189">
      <c r="B189" s="290" t="n"/>
      <c r="C189" s="290" t="n"/>
      <c r="D189" s="291" t="n"/>
      <c r="E189" s="290" t="n"/>
      <c r="F189" s="290" t="n"/>
    </row>
    <row r="190" ht="13" customHeight="1" s="189">
      <c r="B190" s="290" t="n"/>
      <c r="C190" s="290" t="n"/>
      <c r="D190" s="291" t="n"/>
      <c r="E190" s="290" t="n"/>
      <c r="F190" s="290" t="n"/>
    </row>
    <row r="191" ht="13" customHeight="1" s="189">
      <c r="B191" s="290" t="n"/>
      <c r="C191" s="290" t="n"/>
      <c r="D191" s="291" t="n"/>
      <c r="E191" s="290" t="n"/>
      <c r="F191" s="290" t="n"/>
    </row>
    <row r="192" ht="13" customHeight="1" s="189">
      <c r="B192" s="290" t="n"/>
      <c r="C192" s="290" t="n"/>
      <c r="D192" s="291" t="n"/>
      <c r="E192" s="290" t="n"/>
      <c r="F192" s="290" t="n"/>
    </row>
    <row r="193" ht="13" customHeight="1" s="189">
      <c r="B193" s="290" t="n"/>
      <c r="C193" s="290" t="n"/>
      <c r="D193" s="291" t="n"/>
      <c r="E193" s="290" t="n"/>
      <c r="F193" s="290" t="n"/>
    </row>
    <row r="194" ht="13" customHeight="1" s="189">
      <c r="B194" s="290" t="n"/>
      <c r="C194" s="290" t="n"/>
      <c r="D194" s="291" t="n"/>
      <c r="E194" s="290" t="n"/>
      <c r="F194" s="290" t="n"/>
    </row>
    <row r="195" ht="13" customHeight="1" s="189">
      <c r="B195" s="290" t="n"/>
      <c r="C195" s="290" t="n"/>
      <c r="D195" s="291" t="n"/>
      <c r="E195" s="290" t="n"/>
      <c r="F195" s="290" t="n"/>
    </row>
    <row r="196" ht="13" customHeight="1" s="189">
      <c r="B196" s="290" t="n"/>
      <c r="C196" s="290" t="n"/>
      <c r="D196" s="291" t="n"/>
      <c r="E196" s="290" t="n"/>
      <c r="F196" s="290" t="n"/>
    </row>
    <row r="197" ht="13" customHeight="1" s="189">
      <c r="B197" s="290" t="n"/>
      <c r="C197" s="290" t="n"/>
      <c r="D197" s="291" t="n"/>
      <c r="E197" s="290" t="n"/>
      <c r="F197" s="290" t="n"/>
    </row>
    <row r="198" ht="13" customHeight="1" s="189">
      <c r="B198" s="290" t="n"/>
      <c r="C198" s="290" t="n"/>
      <c r="D198" s="291" t="n"/>
      <c r="E198" s="290" t="n"/>
      <c r="F198" s="290" t="n"/>
    </row>
    <row r="199" ht="13" customHeight="1" s="189">
      <c r="B199" s="290" t="n"/>
      <c r="C199" s="290" t="n"/>
      <c r="D199" s="291" t="n"/>
      <c r="E199" s="290" t="n"/>
      <c r="F199" s="290" t="n"/>
    </row>
    <row r="200" ht="13" customHeight="1" s="189">
      <c r="B200" s="290" t="n"/>
      <c r="C200" s="290" t="n"/>
      <c r="D200" s="291" t="n"/>
      <c r="E200" s="290" t="n"/>
      <c r="F200" s="290" t="n"/>
    </row>
    <row r="201" ht="13" customHeight="1" s="189">
      <c r="B201" s="290" t="n"/>
      <c r="C201" s="290" t="n"/>
      <c r="D201" s="291" t="n"/>
      <c r="E201" s="290" t="n"/>
      <c r="F201" s="290" t="n"/>
    </row>
    <row r="202" ht="13" customHeight="1" s="189">
      <c r="B202" s="290" t="n"/>
      <c r="C202" s="290" t="n"/>
      <c r="D202" s="291" t="n"/>
      <c r="E202" s="290" t="n"/>
      <c r="F202" s="290" t="n"/>
    </row>
    <row r="203" ht="13" customHeight="1" s="189">
      <c r="B203" s="290" t="n"/>
      <c r="C203" s="290" t="n"/>
      <c r="D203" s="291" t="n"/>
      <c r="E203" s="290" t="n"/>
      <c r="F203" s="290" t="n"/>
    </row>
    <row r="204" ht="13" customHeight="1" s="189">
      <c r="B204" s="290" t="n"/>
      <c r="C204" s="290" t="n"/>
      <c r="D204" s="291" t="n"/>
      <c r="E204" s="290" t="n"/>
      <c r="F204" s="290" t="n"/>
    </row>
    <row r="205" ht="13" customHeight="1" s="189">
      <c r="B205" s="290" t="n"/>
      <c r="C205" s="290" t="n"/>
      <c r="D205" s="291" t="n"/>
      <c r="E205" s="290" t="n"/>
      <c r="F205" s="290" t="n"/>
    </row>
    <row r="206" ht="13" customHeight="1" s="189">
      <c r="B206" s="290" t="n"/>
      <c r="C206" s="290" t="n"/>
      <c r="D206" s="291" t="n"/>
      <c r="E206" s="290" t="n"/>
      <c r="F206" s="290" t="n"/>
    </row>
    <row r="207" ht="13" customHeight="1" s="189">
      <c r="B207" s="290" t="n"/>
      <c r="C207" s="290" t="n"/>
      <c r="D207" s="291" t="n"/>
      <c r="E207" s="290" t="n"/>
      <c r="F207" s="290" t="n"/>
    </row>
    <row r="208" ht="13" customHeight="1" s="189">
      <c r="B208" s="290" t="n"/>
      <c r="C208" s="290" t="n"/>
      <c r="D208" s="291" t="n"/>
      <c r="E208" s="290" t="n"/>
      <c r="F208" s="290" t="n"/>
    </row>
    <row r="209" ht="13" customHeight="1" s="189">
      <c r="B209" s="290" t="n"/>
      <c r="C209" s="290" t="n"/>
      <c r="D209" s="291" t="n"/>
      <c r="E209" s="290" t="n"/>
      <c r="F209" s="290" t="n"/>
    </row>
    <row r="210" ht="13" customHeight="1" s="189">
      <c r="B210" s="290" t="n"/>
      <c r="C210" s="290" t="n"/>
      <c r="D210" s="291" t="n"/>
      <c r="E210" s="290" t="n"/>
      <c r="F210" s="290" t="n"/>
    </row>
    <row r="211" ht="13" customHeight="1" s="189">
      <c r="B211" s="290" t="n"/>
      <c r="C211" s="290" t="n"/>
      <c r="D211" s="291" t="n"/>
      <c r="E211" s="290" t="n"/>
      <c r="F211" s="290" t="n"/>
    </row>
    <row r="212" ht="13" customHeight="1" s="189">
      <c r="B212" s="290" t="n"/>
      <c r="C212" s="290" t="n"/>
      <c r="D212" s="291" t="n"/>
      <c r="E212" s="290" t="n"/>
      <c r="F212" s="290" t="n"/>
    </row>
    <row r="213" ht="13" customHeight="1" s="189">
      <c r="B213" s="290" t="n"/>
      <c r="C213" s="290" t="n"/>
      <c r="D213" s="291" t="n"/>
      <c r="E213" s="290" t="n"/>
      <c r="F213" s="290" t="n"/>
    </row>
    <row r="214" ht="13" customHeight="1" s="189">
      <c r="B214" s="290" t="n"/>
      <c r="C214" s="290" t="n"/>
      <c r="D214" s="291" t="n"/>
      <c r="E214" s="290" t="n"/>
      <c r="F214" s="290" t="n"/>
    </row>
    <row r="215" ht="13" customHeight="1" s="189">
      <c r="B215" s="290" t="n"/>
      <c r="C215" s="290" t="n"/>
      <c r="D215" s="291" t="n"/>
      <c r="E215" s="290" t="n"/>
      <c r="F215" s="290" t="n"/>
    </row>
    <row r="216" ht="13" customHeight="1" s="189">
      <c r="B216" s="290" t="n"/>
      <c r="C216" s="290" t="n"/>
      <c r="D216" s="291" t="n"/>
      <c r="E216" s="290" t="n"/>
      <c r="F216" s="290" t="n"/>
    </row>
    <row r="217" ht="13" customHeight="1" s="189">
      <c r="B217" s="290" t="n"/>
      <c r="C217" s="290" t="n"/>
      <c r="D217" s="291" t="n"/>
      <c r="E217" s="290" t="n"/>
      <c r="F217" s="290" t="n"/>
    </row>
    <row r="218" ht="13" customHeight="1" s="189">
      <c r="B218" s="290" t="n"/>
      <c r="C218" s="290" t="n"/>
      <c r="D218" s="291" t="n"/>
      <c r="E218" s="290" t="n"/>
      <c r="F218" s="290" t="n"/>
    </row>
    <row r="219" ht="13" customHeight="1" s="189">
      <c r="B219" s="290" t="n"/>
      <c r="C219" s="290" t="n"/>
      <c r="D219" s="291" t="n"/>
      <c r="E219" s="290" t="n"/>
      <c r="F219" s="290" t="n"/>
    </row>
    <row r="220" ht="13" customHeight="1" s="189">
      <c r="B220" s="290" t="n"/>
      <c r="C220" s="290" t="n"/>
      <c r="D220" s="291" t="n"/>
      <c r="E220" s="290" t="n"/>
      <c r="F220" s="290" t="n"/>
    </row>
    <row r="221" ht="13" customHeight="1" s="189">
      <c r="B221" s="290" t="n"/>
      <c r="C221" s="290" t="n"/>
      <c r="D221" s="291" t="n"/>
      <c r="E221" s="290" t="n"/>
      <c r="F221" s="290" t="n"/>
    </row>
    <row r="222" ht="13" customHeight="1" s="189">
      <c r="B222" s="290" t="n"/>
      <c r="C222" s="290" t="n"/>
      <c r="D222" s="291" t="n"/>
      <c r="E222" s="290" t="n"/>
      <c r="F222" s="290" t="n"/>
    </row>
    <row r="223" ht="13" customHeight="1" s="189">
      <c r="B223" s="290" t="n"/>
      <c r="C223" s="290" t="n"/>
      <c r="D223" s="291" t="n"/>
      <c r="E223" s="290" t="n"/>
      <c r="F223" s="290" t="n"/>
    </row>
    <row r="224" ht="13" customHeight="1" s="189">
      <c r="B224" s="290" t="n"/>
      <c r="C224" s="290" t="n"/>
      <c r="D224" s="291" t="n"/>
      <c r="E224" s="290" t="n"/>
      <c r="F224" s="290" t="n"/>
    </row>
    <row r="225" ht="13" customHeight="1" s="189">
      <c r="B225" s="290" t="n"/>
      <c r="C225" s="290" t="n"/>
      <c r="D225" s="291" t="n"/>
      <c r="E225" s="290" t="n"/>
      <c r="F225" s="290" t="n"/>
    </row>
    <row r="226" ht="13" customHeight="1" s="189">
      <c r="B226" s="290" t="n"/>
      <c r="C226" s="290" t="n"/>
      <c r="D226" s="291" t="n"/>
      <c r="E226" s="290" t="n"/>
      <c r="F226" s="290" t="n"/>
    </row>
    <row r="227" ht="13" customHeight="1" s="189">
      <c r="B227" s="290" t="n"/>
      <c r="C227" s="290" t="n"/>
      <c r="D227" s="291" t="n"/>
      <c r="E227" s="290" t="n"/>
      <c r="F227" s="290" t="n"/>
    </row>
    <row r="228" ht="13" customHeight="1" s="189">
      <c r="B228" s="290" t="n"/>
      <c r="C228" s="290" t="n"/>
      <c r="D228" s="291" t="n"/>
      <c r="E228" s="290" t="n"/>
      <c r="F228" s="290" t="n"/>
    </row>
    <row r="229" ht="13" customHeight="1" s="189">
      <c r="B229" s="290" t="n"/>
      <c r="C229" s="290" t="n"/>
      <c r="D229" s="291" t="n"/>
      <c r="E229" s="290" t="n"/>
      <c r="F229" s="290" t="n"/>
    </row>
    <row r="230" ht="13" customHeight="1" s="189">
      <c r="B230" s="290" t="n"/>
      <c r="C230" s="290" t="n"/>
      <c r="D230" s="291" t="n"/>
      <c r="E230" s="290" t="n"/>
      <c r="F230" s="290" t="n"/>
    </row>
    <row r="231" ht="13" customHeight="1" s="189">
      <c r="B231" s="290" t="n"/>
      <c r="C231" s="290" t="n"/>
      <c r="D231" s="291" t="n"/>
      <c r="E231" s="290" t="n"/>
      <c r="F231" s="290" t="n"/>
    </row>
    <row r="232" ht="13" customHeight="1" s="189">
      <c r="B232" s="290" t="n"/>
      <c r="C232" s="290" t="n"/>
      <c r="D232" s="291" t="n"/>
      <c r="E232" s="290" t="n"/>
      <c r="F232" s="290" t="n"/>
    </row>
    <row r="233" ht="13" customHeight="1" s="189">
      <c r="B233" s="290" t="n"/>
      <c r="C233" s="290" t="n"/>
      <c r="D233" s="291" t="n"/>
      <c r="E233" s="290" t="n"/>
      <c r="F233" s="290" t="n"/>
    </row>
    <row r="234" ht="13" customHeight="1" s="189">
      <c r="B234" s="290" t="n"/>
      <c r="C234" s="290" t="n"/>
      <c r="D234" s="291" t="n"/>
      <c r="E234" s="290" t="n"/>
      <c r="F234" s="290" t="n"/>
    </row>
    <row r="235" ht="13" customHeight="1" s="189">
      <c r="B235" s="290" t="n"/>
      <c r="C235" s="290" t="n"/>
      <c r="D235" s="291" t="n"/>
      <c r="E235" s="290" t="n"/>
      <c r="F235" s="290" t="n"/>
    </row>
    <row r="236" ht="13" customHeight="1" s="189">
      <c r="B236" s="290" t="n"/>
      <c r="C236" s="290" t="n"/>
      <c r="D236" s="291" t="n"/>
      <c r="E236" s="290" t="n"/>
      <c r="F236" s="290" t="n"/>
    </row>
    <row r="237" ht="13" customHeight="1" s="189">
      <c r="B237" s="290" t="n"/>
      <c r="C237" s="290" t="n"/>
      <c r="D237" s="291" t="n"/>
      <c r="E237" s="290" t="n"/>
      <c r="F237" s="290" t="n"/>
    </row>
    <row r="238" ht="13" customHeight="1" s="189">
      <c r="B238" s="290" t="n"/>
      <c r="C238" s="290" t="n"/>
      <c r="D238" s="291" t="n"/>
      <c r="E238" s="290" t="n"/>
      <c r="F238" s="290" t="n"/>
    </row>
    <row r="239" ht="13" customHeight="1" s="189">
      <c r="B239" s="290" t="n"/>
      <c r="C239" s="290" t="n"/>
      <c r="D239" s="291" t="n"/>
      <c r="E239" s="290" t="n"/>
      <c r="F239" s="290" t="n"/>
    </row>
    <row r="240" ht="13" customHeight="1" s="189">
      <c r="B240" s="290" t="n"/>
      <c r="C240" s="290" t="n"/>
      <c r="D240" s="291" t="n"/>
      <c r="E240" s="290" t="n"/>
      <c r="F240" s="290" t="n"/>
    </row>
    <row r="241" ht="13" customHeight="1" s="189">
      <c r="B241" s="290" t="n"/>
      <c r="C241" s="290" t="n"/>
      <c r="D241" s="291" t="n"/>
      <c r="E241" s="290" t="n"/>
      <c r="F241" s="290" t="n"/>
    </row>
    <row r="242" ht="13" customHeight="1" s="189">
      <c r="B242" s="290" t="n"/>
      <c r="C242" s="290" t="n"/>
      <c r="D242" s="291" t="n"/>
      <c r="E242" s="290" t="n"/>
      <c r="F242" s="290" t="n"/>
    </row>
    <row r="243" ht="13" customHeight="1" s="189">
      <c r="B243" s="290" t="n"/>
      <c r="C243" s="290" t="n"/>
      <c r="D243" s="291" t="n"/>
      <c r="E243" s="290" t="n"/>
      <c r="F243" s="290" t="n"/>
    </row>
    <row r="244" ht="13" customHeight="1" s="189">
      <c r="B244" s="290" t="n"/>
      <c r="C244" s="290" t="n"/>
      <c r="D244" s="291" t="n"/>
      <c r="E244" s="290" t="n"/>
      <c r="F244" s="290" t="n"/>
    </row>
    <row r="245" ht="13" customHeight="1" s="189">
      <c r="B245" s="290" t="n"/>
      <c r="C245" s="290" t="n"/>
      <c r="D245" s="291" t="n"/>
      <c r="E245" s="290" t="n"/>
      <c r="F245" s="290" t="n"/>
    </row>
    <row r="246" ht="13" customHeight="1" s="189">
      <c r="B246" s="290" t="n"/>
      <c r="C246" s="290" t="n"/>
      <c r="D246" s="291" t="n"/>
      <c r="E246" s="290" t="n"/>
      <c r="F246" s="290" t="n"/>
    </row>
    <row r="247" ht="13" customHeight="1" s="189">
      <c r="B247" s="290" t="n"/>
      <c r="C247" s="290" t="n"/>
      <c r="D247" s="291" t="n"/>
      <c r="E247" s="290" t="n"/>
      <c r="F247" s="290" t="n"/>
    </row>
    <row r="248" ht="13" customHeight="1" s="189">
      <c r="B248" s="290" t="n"/>
      <c r="C248" s="290" t="n"/>
      <c r="D248" s="291" t="n"/>
      <c r="E248" s="290" t="n"/>
      <c r="F248" s="290" t="n"/>
    </row>
    <row r="249" ht="13" customHeight="1" s="189">
      <c r="B249" s="290" t="n"/>
      <c r="C249" s="290" t="n"/>
      <c r="D249" s="291" t="n"/>
      <c r="E249" s="290" t="n"/>
      <c r="F249" s="290" t="n"/>
    </row>
    <row r="250" ht="13" customHeight="1" s="189">
      <c r="B250" s="290" t="n"/>
      <c r="C250" s="290" t="n"/>
      <c r="D250" s="291" t="n"/>
      <c r="E250" s="290" t="n"/>
      <c r="F250" s="290" t="n"/>
    </row>
    <row r="251" ht="13" customHeight="1" s="189">
      <c r="B251" s="290" t="n"/>
      <c r="C251" s="290" t="n"/>
      <c r="D251" s="291" t="n"/>
      <c r="E251" s="290" t="n"/>
      <c r="F251" s="290" t="n"/>
    </row>
    <row r="252" ht="13" customHeight="1" s="189">
      <c r="B252" s="290" t="n"/>
      <c r="C252" s="290" t="n"/>
      <c r="D252" s="291" t="n"/>
      <c r="E252" s="290" t="n"/>
      <c r="F252" s="290" t="n"/>
    </row>
    <row r="253" ht="13" customHeight="1" s="189">
      <c r="B253" s="290" t="n"/>
      <c r="C253" s="290" t="n"/>
      <c r="D253" s="291" t="n"/>
      <c r="E253" s="290" t="n"/>
      <c r="F253" s="290" t="n"/>
    </row>
    <row r="254" ht="13" customHeight="1" s="189">
      <c r="B254" s="290" t="n"/>
      <c r="C254" s="290" t="n"/>
      <c r="D254" s="291" t="n"/>
      <c r="E254" s="290" t="n"/>
      <c r="F254" s="290" t="n"/>
    </row>
    <row r="255" ht="13" customHeight="1" s="189">
      <c r="B255" s="290" t="n"/>
      <c r="C255" s="290" t="n"/>
      <c r="D255" s="291" t="n"/>
      <c r="E255" s="290" t="n"/>
      <c r="F255" s="290" t="n"/>
    </row>
    <row r="256" ht="13" customHeight="1" s="189">
      <c r="B256" s="290" t="n"/>
      <c r="C256" s="290" t="n"/>
      <c r="D256" s="291" t="n"/>
      <c r="E256" s="290" t="n"/>
      <c r="F256" s="290" t="n"/>
    </row>
    <row r="257" ht="13" customHeight="1" s="189">
      <c r="B257" s="290" t="n"/>
      <c r="C257" s="290" t="n"/>
      <c r="D257" s="291" t="n"/>
      <c r="E257" s="290" t="n"/>
      <c r="F257" s="290" t="n"/>
    </row>
    <row r="258" ht="13" customHeight="1" s="189">
      <c r="B258" s="290" t="n"/>
      <c r="C258" s="290" t="n"/>
      <c r="D258" s="291" t="n"/>
      <c r="E258" s="290" t="n"/>
      <c r="F258" s="290" t="n"/>
    </row>
    <row r="259" ht="13" customHeight="1" s="189">
      <c r="B259" s="290" t="n"/>
      <c r="C259" s="290" t="n"/>
      <c r="D259" s="291" t="n"/>
      <c r="E259" s="290" t="n"/>
      <c r="F259" s="290" t="n"/>
    </row>
    <row r="260" ht="13" customHeight="1" s="189">
      <c r="B260" s="290" t="n"/>
      <c r="C260" s="290" t="n"/>
      <c r="D260" s="291" t="n"/>
      <c r="E260" s="290" t="n"/>
      <c r="F260" s="290" t="n"/>
    </row>
    <row r="261" ht="13" customHeight="1" s="189">
      <c r="B261" s="290" t="n"/>
      <c r="C261" s="290" t="n"/>
      <c r="D261" s="291" t="n"/>
      <c r="E261" s="290" t="n"/>
      <c r="F261" s="290" t="n"/>
    </row>
    <row r="262" ht="13" customHeight="1" s="189">
      <c r="B262" s="290" t="n"/>
      <c r="C262" s="290" t="n"/>
      <c r="D262" s="291" t="n"/>
      <c r="E262" s="290" t="n"/>
      <c r="F262" s="290" t="n"/>
    </row>
    <row r="263" ht="13" customHeight="1" s="189">
      <c r="B263" s="290" t="n"/>
      <c r="C263" s="290" t="n"/>
      <c r="D263" s="291" t="n"/>
      <c r="E263" s="290" t="n"/>
      <c r="F263" s="290" t="n"/>
    </row>
    <row r="264" ht="13" customHeight="1" s="189">
      <c r="B264" s="290" t="n"/>
      <c r="C264" s="290" t="n"/>
      <c r="D264" s="291" t="n"/>
      <c r="E264" s="290" t="n"/>
      <c r="F264" s="290" t="n"/>
    </row>
    <row r="265" ht="13" customHeight="1" s="189">
      <c r="B265" s="290" t="n"/>
      <c r="C265" s="290" t="n"/>
      <c r="D265" s="291" t="n"/>
      <c r="E265" s="290" t="n"/>
      <c r="F265" s="290" t="n"/>
    </row>
    <row r="266" ht="13" customHeight="1" s="189">
      <c r="B266" s="290" t="n"/>
      <c r="C266" s="290" t="n"/>
      <c r="D266" s="291" t="n"/>
      <c r="E266" s="290" t="n"/>
      <c r="F266" s="290" t="n"/>
    </row>
    <row r="267" ht="13" customHeight="1" s="189">
      <c r="B267" s="290" t="n"/>
      <c r="C267" s="290" t="n"/>
      <c r="D267" s="291" t="n"/>
      <c r="E267" s="290" t="n"/>
      <c r="F267" s="290" t="n"/>
    </row>
    <row r="268" ht="13" customHeight="1" s="189">
      <c r="B268" s="290" t="n"/>
      <c r="C268" s="290" t="n"/>
      <c r="D268" s="291" t="n"/>
      <c r="E268" s="290" t="n"/>
      <c r="F268" s="290" t="n"/>
    </row>
    <row r="269" ht="13" customHeight="1" s="189">
      <c r="B269" s="290" t="n"/>
      <c r="C269" s="290" t="n"/>
      <c r="D269" s="291" t="n"/>
      <c r="E269" s="290" t="n"/>
      <c r="F269" s="290" t="n"/>
    </row>
    <row r="270" ht="13" customHeight="1" s="189">
      <c r="B270" s="290" t="n"/>
      <c r="C270" s="290" t="n"/>
      <c r="D270" s="291" t="n"/>
      <c r="E270" s="290" t="n"/>
      <c r="F270" s="290" t="n"/>
    </row>
    <row r="271" ht="13" customHeight="1" s="189">
      <c r="B271" s="290" t="n"/>
      <c r="C271" s="290" t="n"/>
      <c r="D271" s="291" t="n"/>
      <c r="E271" s="290" t="n"/>
      <c r="F271" s="290" t="n"/>
    </row>
    <row r="272" ht="13" customHeight="1" s="189">
      <c r="B272" s="290" t="n"/>
      <c r="C272" s="290" t="n"/>
      <c r="D272" s="291" t="n"/>
      <c r="E272" s="290" t="n"/>
      <c r="F272" s="290" t="n"/>
    </row>
    <row r="273" ht="13" customHeight="1" s="189">
      <c r="B273" s="290" t="n"/>
      <c r="C273" s="290" t="n"/>
      <c r="D273" s="291" t="n"/>
      <c r="E273" s="290" t="n"/>
      <c r="F273" s="290" t="n"/>
    </row>
    <row r="274" ht="13" customHeight="1" s="189">
      <c r="B274" s="290" t="n"/>
      <c r="C274" s="290" t="n"/>
      <c r="D274" s="291" t="n"/>
      <c r="E274" s="290" t="n"/>
      <c r="F274" s="290" t="n"/>
    </row>
    <row r="275" ht="13" customHeight="1" s="189">
      <c r="B275" s="290" t="n"/>
      <c r="C275" s="290" t="n"/>
      <c r="D275" s="291" t="n"/>
      <c r="E275" s="290" t="n"/>
      <c r="F275" s="290" t="n"/>
    </row>
    <row r="276" ht="13" customHeight="1" s="189">
      <c r="B276" s="290" t="n"/>
      <c r="C276" s="290" t="n"/>
      <c r="D276" s="291" t="n"/>
      <c r="E276" s="290" t="n"/>
      <c r="F276" s="290" t="n"/>
    </row>
    <row r="277" ht="13" customHeight="1" s="189">
      <c r="B277" s="290" t="n"/>
      <c r="C277" s="290" t="n"/>
      <c r="D277" s="291" t="n"/>
      <c r="E277" s="290" t="n"/>
      <c r="F277" s="290" t="n"/>
    </row>
    <row r="278" ht="13" customHeight="1" s="189">
      <c r="B278" s="290" t="n"/>
      <c r="C278" s="290" t="n"/>
      <c r="D278" s="291" t="n"/>
      <c r="E278" s="290" t="n"/>
      <c r="F278" s="290" t="n"/>
    </row>
    <row r="279" ht="13" customHeight="1" s="189">
      <c r="B279" s="290" t="n"/>
      <c r="C279" s="290" t="n"/>
      <c r="D279" s="291" t="n"/>
      <c r="E279" s="290" t="n"/>
      <c r="F279" s="290" t="n"/>
    </row>
    <row r="280" ht="13" customHeight="1" s="189">
      <c r="B280" s="290" t="n"/>
      <c r="C280" s="290" t="n"/>
      <c r="D280" s="291" t="n"/>
      <c r="E280" s="290" t="n"/>
      <c r="F280" s="290" t="n"/>
    </row>
    <row r="281" ht="13" customHeight="1" s="189">
      <c r="B281" s="290" t="n"/>
      <c r="C281" s="290" t="n"/>
      <c r="D281" s="291" t="n"/>
      <c r="E281" s="290" t="n"/>
      <c r="F281" s="290" t="n"/>
    </row>
    <row r="282" ht="13" customHeight="1" s="189">
      <c r="B282" s="290" t="n"/>
      <c r="C282" s="290" t="n"/>
      <c r="D282" s="291" t="n"/>
      <c r="E282" s="290" t="n"/>
      <c r="F282" s="290" t="n"/>
    </row>
    <row r="283" ht="13" customHeight="1" s="189">
      <c r="B283" s="290" t="n"/>
      <c r="C283" s="290" t="n"/>
      <c r="D283" s="291" t="n"/>
      <c r="E283" s="290" t="n"/>
      <c r="F283" s="290" t="n"/>
    </row>
    <row r="284" ht="13" customHeight="1" s="189">
      <c r="B284" s="290" t="n"/>
      <c r="C284" s="290" t="n"/>
      <c r="D284" s="291" t="n"/>
      <c r="E284" s="290" t="n"/>
      <c r="F284" s="290" t="n"/>
    </row>
    <row r="285" ht="13" customHeight="1" s="189">
      <c r="B285" s="290" t="n"/>
      <c r="C285" s="290" t="n"/>
      <c r="D285" s="291" t="n"/>
      <c r="E285" s="290" t="n"/>
      <c r="F285" s="290" t="n"/>
    </row>
    <row r="286" ht="13" customHeight="1" s="189">
      <c r="B286" s="290" t="n"/>
      <c r="C286" s="290" t="n"/>
      <c r="D286" s="291" t="n"/>
      <c r="E286" s="290" t="n"/>
      <c r="F286" s="290" t="n"/>
    </row>
    <row r="287" ht="13" customHeight="1" s="189">
      <c r="B287" s="290" t="n"/>
      <c r="C287" s="290" t="n"/>
      <c r="D287" s="291" t="n"/>
      <c r="E287" s="290" t="n"/>
      <c r="F287" s="290" t="n"/>
    </row>
    <row r="288" ht="13" customHeight="1" s="189">
      <c r="B288" s="290" t="n"/>
      <c r="C288" s="290" t="n"/>
      <c r="D288" s="291" t="n"/>
      <c r="E288" s="290" t="n"/>
      <c r="F288" s="290" t="n"/>
    </row>
    <row r="289" ht="13" customHeight="1" s="189">
      <c r="B289" s="290" t="n"/>
      <c r="C289" s="290" t="n"/>
      <c r="D289" s="291" t="n"/>
      <c r="E289" s="290" t="n"/>
      <c r="F289" s="290" t="n"/>
    </row>
    <row r="290" ht="13" customHeight="1" s="189">
      <c r="B290" s="290" t="n"/>
      <c r="C290" s="290" t="n"/>
      <c r="D290" s="291" t="n"/>
      <c r="E290" s="290" t="n"/>
      <c r="F290" s="290" t="n"/>
    </row>
    <row r="291" ht="13" customHeight="1" s="189">
      <c r="B291" s="290" t="n"/>
      <c r="C291" s="290" t="n"/>
      <c r="D291" s="291" t="n"/>
      <c r="E291" s="290" t="n"/>
      <c r="F291" s="290" t="n"/>
    </row>
    <row r="292" ht="13" customHeight="1" s="189">
      <c r="B292" s="290" t="n"/>
      <c r="C292" s="290" t="n"/>
      <c r="D292" s="291" t="n"/>
      <c r="E292" s="290" t="n"/>
      <c r="F292" s="290" t="n"/>
    </row>
    <row r="293" ht="13" customHeight="1" s="189">
      <c r="B293" s="290" t="n"/>
      <c r="C293" s="290" t="n"/>
      <c r="D293" s="291" t="n"/>
      <c r="E293" s="290" t="n"/>
      <c r="F293" s="290" t="n"/>
    </row>
    <row r="294" ht="13" customHeight="1" s="189">
      <c r="B294" s="290" t="n"/>
      <c r="C294" s="290" t="n"/>
      <c r="D294" s="291" t="n"/>
      <c r="E294" s="290" t="n"/>
      <c r="F294" s="290" t="n"/>
    </row>
    <row r="295" ht="13" customHeight="1" s="189">
      <c r="B295" s="290" t="n"/>
      <c r="C295" s="290" t="n"/>
      <c r="D295" s="291" t="n"/>
      <c r="E295" s="290" t="n"/>
      <c r="F295" s="290" t="n"/>
    </row>
    <row r="296" ht="13" customHeight="1" s="189">
      <c r="B296" s="290" t="n"/>
      <c r="C296" s="290" t="n"/>
      <c r="D296" s="291" t="n"/>
      <c r="E296" s="290" t="n"/>
      <c r="F296" s="290" t="n"/>
    </row>
    <row r="297" ht="13" customHeight="1" s="189">
      <c r="B297" s="290" t="n"/>
      <c r="C297" s="290" t="n"/>
      <c r="D297" s="291" t="n"/>
      <c r="E297" s="290" t="n"/>
      <c r="F297" s="290" t="n"/>
    </row>
    <row r="298" ht="13" customHeight="1" s="189">
      <c r="B298" s="290" t="n"/>
      <c r="C298" s="290" t="n"/>
      <c r="D298" s="291" t="n"/>
      <c r="E298" s="290" t="n"/>
      <c r="F298" s="290" t="n"/>
    </row>
    <row r="299" ht="13" customHeight="1" s="189">
      <c r="B299" s="290" t="n"/>
      <c r="C299" s="290" t="n"/>
      <c r="D299" s="291" t="n"/>
      <c r="E299" s="290" t="n"/>
      <c r="F299" s="290" t="n"/>
    </row>
    <row r="300" ht="13" customHeight="1" s="189">
      <c r="B300" s="290" t="n"/>
      <c r="C300" s="290" t="n"/>
      <c r="D300" s="291" t="n"/>
      <c r="E300" s="290" t="n"/>
      <c r="F300" s="290" t="n"/>
    </row>
    <row r="301" ht="13" customHeight="1" s="189">
      <c r="B301" s="290" t="n"/>
      <c r="C301" s="290" t="n"/>
      <c r="D301" s="291" t="n"/>
      <c r="E301" s="290" t="n"/>
      <c r="F301" s="290" t="n"/>
    </row>
    <row r="302" ht="13" customHeight="1" s="189">
      <c r="B302" s="290" t="n"/>
      <c r="C302" s="290" t="n"/>
      <c r="D302" s="291" t="n"/>
      <c r="E302" s="290" t="n"/>
      <c r="F302" s="290" t="n"/>
    </row>
    <row r="303" ht="13" customHeight="1" s="189">
      <c r="B303" s="290" t="n"/>
      <c r="C303" s="290" t="n"/>
      <c r="D303" s="291" t="n"/>
      <c r="E303" s="290" t="n"/>
      <c r="F303" s="290" t="n"/>
    </row>
    <row r="304" ht="13" customHeight="1" s="189">
      <c r="B304" s="290" t="n"/>
      <c r="C304" s="290" t="n"/>
      <c r="D304" s="291" t="n"/>
      <c r="E304" s="290" t="n"/>
      <c r="F304" s="290" t="n"/>
    </row>
    <row r="305" ht="13" customHeight="1" s="189">
      <c r="B305" s="290" t="n"/>
      <c r="C305" s="290" t="n"/>
      <c r="D305" s="291" t="n"/>
      <c r="E305" s="290" t="n"/>
      <c r="F305" s="290" t="n"/>
    </row>
    <row r="306" ht="13" customHeight="1" s="189">
      <c r="B306" s="290" t="n"/>
      <c r="C306" s="290" t="n"/>
      <c r="D306" s="291" t="n"/>
      <c r="E306" s="290" t="n"/>
      <c r="F306" s="290" t="n"/>
    </row>
    <row r="307" ht="13" customHeight="1" s="189">
      <c r="B307" s="290" t="n"/>
      <c r="C307" s="290" t="n"/>
      <c r="D307" s="291" t="n"/>
      <c r="E307" s="290" t="n"/>
      <c r="F307" s="290" t="n"/>
    </row>
    <row r="308" ht="13" customHeight="1" s="189">
      <c r="B308" s="290" t="n"/>
      <c r="C308" s="290" t="n"/>
      <c r="D308" s="291" t="n"/>
      <c r="E308" s="290" t="n"/>
      <c r="F308" s="290" t="n"/>
    </row>
    <row r="309" ht="13" customHeight="1" s="189">
      <c r="B309" s="290" t="n"/>
      <c r="C309" s="290" t="n"/>
      <c r="D309" s="291" t="n"/>
      <c r="E309" s="290" t="n"/>
      <c r="F309" s="290" t="n"/>
    </row>
    <row r="310" ht="13" customHeight="1" s="189">
      <c r="B310" s="290" t="n"/>
      <c r="C310" s="290" t="n"/>
      <c r="D310" s="291" t="n"/>
      <c r="E310" s="290" t="n"/>
      <c r="F310" s="290" t="n"/>
    </row>
    <row r="311" ht="13" customHeight="1" s="189">
      <c r="B311" s="290" t="n"/>
      <c r="C311" s="290" t="n"/>
      <c r="D311" s="291" t="n"/>
      <c r="E311" s="290" t="n"/>
      <c r="F311" s="290" t="n"/>
    </row>
    <row r="312" ht="13" customHeight="1" s="189">
      <c r="B312" s="290" t="n"/>
      <c r="C312" s="290" t="n"/>
      <c r="D312" s="291" t="n"/>
      <c r="E312" s="290" t="n"/>
      <c r="F312" s="290" t="n"/>
    </row>
    <row r="313" ht="13" customHeight="1" s="189">
      <c r="B313" s="290" t="n"/>
      <c r="C313" s="290" t="n"/>
      <c r="D313" s="291" t="n"/>
      <c r="E313" s="290" t="n"/>
      <c r="F313" s="290" t="n"/>
    </row>
    <row r="314" ht="13" customHeight="1" s="189">
      <c r="B314" s="290" t="n"/>
      <c r="C314" s="290" t="n"/>
      <c r="D314" s="291" t="n"/>
      <c r="E314" s="290" t="n"/>
      <c r="F314" s="290" t="n"/>
    </row>
    <row r="315" ht="13" customHeight="1" s="189">
      <c r="B315" s="290" t="n"/>
      <c r="C315" s="290" t="n"/>
      <c r="D315" s="291" t="n"/>
      <c r="E315" s="290" t="n"/>
      <c r="F315" s="290" t="n"/>
    </row>
    <row r="316" ht="13" customHeight="1" s="189">
      <c r="B316" s="290" t="n"/>
      <c r="C316" s="290" t="n"/>
      <c r="D316" s="291" t="n"/>
      <c r="E316" s="290" t="n"/>
      <c r="F316" s="290" t="n"/>
    </row>
    <row r="317" ht="13" customHeight="1" s="189">
      <c r="B317" s="290" t="n"/>
      <c r="C317" s="290" t="n"/>
      <c r="D317" s="291" t="n"/>
      <c r="E317" s="290" t="n"/>
      <c r="F317" s="290" t="n"/>
    </row>
    <row r="318" ht="13" customHeight="1" s="189">
      <c r="B318" s="290" t="n"/>
      <c r="C318" s="290" t="n"/>
      <c r="D318" s="291" t="n"/>
      <c r="E318" s="290" t="n"/>
      <c r="F318" s="290" t="n"/>
    </row>
    <row r="319" ht="13" customHeight="1" s="189">
      <c r="B319" s="290" t="n"/>
      <c r="C319" s="290" t="n"/>
      <c r="D319" s="291" t="n"/>
      <c r="E319" s="290" t="n"/>
      <c r="F319" s="290" t="n"/>
    </row>
    <row r="320" ht="13" customHeight="1" s="189">
      <c r="B320" s="290" t="n"/>
      <c r="C320" s="290" t="n"/>
      <c r="D320" s="291" t="n"/>
      <c r="E320" s="290" t="n"/>
      <c r="F320" s="290" t="n"/>
    </row>
    <row r="321" ht="13" customHeight="1" s="189">
      <c r="B321" s="290" t="n"/>
      <c r="C321" s="290" t="n"/>
      <c r="D321" s="291" t="n"/>
      <c r="E321" s="290" t="n"/>
      <c r="F321" s="290" t="n"/>
    </row>
    <row r="322" ht="13" customHeight="1" s="189">
      <c r="B322" s="290" t="n"/>
      <c r="C322" s="290" t="n"/>
      <c r="D322" s="291" t="n"/>
      <c r="E322" s="290" t="n"/>
      <c r="F322" s="290" t="n"/>
    </row>
    <row r="323" ht="13" customHeight="1" s="189">
      <c r="B323" s="290" t="n"/>
      <c r="C323" s="290" t="n"/>
      <c r="D323" s="291" t="n"/>
      <c r="E323" s="290" t="n"/>
      <c r="F323" s="290" t="n"/>
    </row>
    <row r="324" ht="13" customHeight="1" s="189">
      <c r="B324" s="290" t="n"/>
      <c r="C324" s="290" t="n"/>
      <c r="D324" s="291" t="n"/>
      <c r="E324" s="290" t="n"/>
      <c r="F324" s="290" t="n"/>
    </row>
    <row r="325" ht="13" customHeight="1" s="189">
      <c r="B325" s="290" t="n"/>
      <c r="C325" s="290" t="n"/>
      <c r="D325" s="291" t="n"/>
      <c r="E325" s="290" t="n"/>
      <c r="F325" s="290" t="n"/>
    </row>
    <row r="326" ht="13" customHeight="1" s="189">
      <c r="B326" s="290" t="n"/>
      <c r="C326" s="290" t="n"/>
      <c r="D326" s="291" t="n"/>
      <c r="E326" s="290" t="n"/>
      <c r="F326" s="290" t="n"/>
    </row>
    <row r="327" ht="13" customHeight="1" s="189">
      <c r="B327" s="290" t="n"/>
      <c r="C327" s="290" t="n"/>
      <c r="D327" s="291" t="n"/>
      <c r="E327" s="290" t="n"/>
      <c r="F327" s="290" t="n"/>
    </row>
    <row r="328" ht="13" customHeight="1" s="189">
      <c r="B328" s="290" t="n"/>
      <c r="C328" s="290" t="n"/>
      <c r="D328" s="291" t="n"/>
      <c r="E328" s="290" t="n"/>
      <c r="F328" s="290" t="n"/>
    </row>
    <row r="329" ht="13" customHeight="1" s="189">
      <c r="B329" s="290" t="n"/>
      <c r="C329" s="290" t="n"/>
      <c r="D329" s="291" t="n"/>
      <c r="E329" s="290" t="n"/>
      <c r="F329" s="290" t="n"/>
    </row>
    <row r="330" ht="13" customHeight="1" s="189">
      <c r="B330" s="290" t="n"/>
      <c r="C330" s="290" t="n"/>
      <c r="D330" s="291" t="n"/>
      <c r="E330" s="290" t="n"/>
      <c r="F330" s="290" t="n"/>
    </row>
    <row r="331" ht="13" customHeight="1" s="189">
      <c r="B331" s="290" t="n"/>
      <c r="C331" s="290" t="n"/>
      <c r="D331" s="291" t="n"/>
      <c r="E331" s="290" t="n"/>
      <c r="F331" s="290" t="n"/>
    </row>
    <row r="332" ht="13" customHeight="1" s="189">
      <c r="B332" s="290" t="n"/>
      <c r="C332" s="290" t="n"/>
      <c r="D332" s="291" t="n"/>
      <c r="E332" s="290" t="n"/>
      <c r="F332" s="290" t="n"/>
    </row>
    <row r="333" ht="13" customHeight="1" s="189">
      <c r="B333" s="290" t="n"/>
      <c r="C333" s="290" t="n"/>
      <c r="D333" s="291" t="n"/>
      <c r="E333" s="290" t="n"/>
      <c r="F333" s="290" t="n"/>
    </row>
    <row r="334" ht="13" customHeight="1" s="189">
      <c r="B334" s="290" t="n"/>
      <c r="C334" s="290" t="n"/>
      <c r="D334" s="291" t="n"/>
      <c r="E334" s="290" t="n"/>
      <c r="F334" s="290" t="n"/>
    </row>
    <row r="335" ht="13" customHeight="1" s="189">
      <c r="B335" s="290" t="n"/>
      <c r="C335" s="290" t="n"/>
      <c r="D335" s="291" t="n"/>
      <c r="E335" s="290" t="n"/>
      <c r="F335" s="290" t="n"/>
    </row>
    <row r="336" ht="13" customHeight="1" s="189">
      <c r="B336" s="290" t="n"/>
      <c r="C336" s="290" t="n"/>
      <c r="D336" s="291" t="n"/>
      <c r="E336" s="290" t="n"/>
      <c r="F336" s="290" t="n"/>
    </row>
    <row r="337" ht="13" customHeight="1" s="189">
      <c r="B337" s="290" t="n"/>
      <c r="C337" s="290" t="n"/>
      <c r="D337" s="291" t="n"/>
      <c r="E337" s="290" t="n"/>
      <c r="F337" s="290" t="n"/>
    </row>
    <row r="338" ht="13" customHeight="1" s="189">
      <c r="B338" s="290" t="n"/>
      <c r="C338" s="290" t="n"/>
      <c r="D338" s="291" t="n"/>
      <c r="E338" s="290" t="n"/>
      <c r="F338" s="290" t="n"/>
    </row>
    <row r="339" ht="13" customHeight="1" s="189">
      <c r="B339" s="290" t="n"/>
      <c r="C339" s="290" t="n"/>
      <c r="D339" s="291" t="n"/>
      <c r="E339" s="290" t="n"/>
      <c r="F339" s="290" t="n"/>
    </row>
    <row r="340" ht="13" customHeight="1" s="189">
      <c r="B340" s="290" t="n"/>
      <c r="C340" s="290" t="n"/>
      <c r="D340" s="291" t="n"/>
      <c r="E340" s="290" t="n"/>
      <c r="F340" s="290" t="n"/>
    </row>
    <row r="341" ht="13" customHeight="1" s="189">
      <c r="B341" s="290" t="n"/>
      <c r="C341" s="290" t="n"/>
      <c r="D341" s="291" t="n"/>
      <c r="E341" s="290" t="n"/>
      <c r="F341" s="290" t="n"/>
    </row>
    <row r="342" ht="13" customHeight="1" s="189">
      <c r="B342" s="290" t="n"/>
      <c r="C342" s="290" t="n"/>
      <c r="D342" s="291" t="n"/>
      <c r="E342" s="290" t="n"/>
      <c r="F342" s="290" t="n"/>
    </row>
    <row r="343" ht="13" customHeight="1" s="189">
      <c r="B343" s="290" t="n"/>
      <c r="C343" s="290" t="n"/>
      <c r="D343" s="291" t="n"/>
      <c r="E343" s="290" t="n"/>
      <c r="F343" s="290" t="n"/>
    </row>
    <row r="344" ht="13" customHeight="1" s="189">
      <c r="B344" s="290" t="n"/>
      <c r="C344" s="290" t="n"/>
      <c r="D344" s="291" t="n"/>
      <c r="E344" s="290" t="n"/>
      <c r="F344" s="290" t="n"/>
    </row>
    <row r="345" ht="13" customHeight="1" s="189">
      <c r="B345" s="290" t="n"/>
      <c r="C345" s="290" t="n"/>
      <c r="D345" s="291" t="n"/>
      <c r="E345" s="290" t="n"/>
      <c r="F345" s="290" t="n"/>
    </row>
    <row r="346" ht="13" customHeight="1" s="189">
      <c r="B346" s="290" t="n"/>
      <c r="C346" s="290" t="n"/>
      <c r="D346" s="291" t="n"/>
      <c r="E346" s="290" t="n"/>
      <c r="F346" s="290" t="n"/>
    </row>
    <row r="347" ht="13" customHeight="1" s="189">
      <c r="B347" s="290" t="n"/>
      <c r="C347" s="290" t="n"/>
      <c r="D347" s="291" t="n"/>
      <c r="E347" s="290" t="n"/>
      <c r="F347" s="290" t="n"/>
    </row>
    <row r="348" ht="13" customHeight="1" s="189">
      <c r="B348" s="290" t="n"/>
      <c r="C348" s="290" t="n"/>
      <c r="D348" s="291" t="n"/>
      <c r="E348" s="290" t="n"/>
      <c r="F348" s="290" t="n"/>
    </row>
    <row r="349" ht="13" customHeight="1" s="189">
      <c r="B349" s="290" t="n"/>
      <c r="C349" s="290" t="n"/>
      <c r="D349" s="291" t="n"/>
      <c r="E349" s="290" t="n"/>
      <c r="F349" s="290" t="n"/>
    </row>
    <row r="350" ht="13" customHeight="1" s="189">
      <c r="B350" s="290" t="n"/>
      <c r="C350" s="290" t="n"/>
      <c r="D350" s="291" t="n"/>
      <c r="E350" s="290" t="n"/>
      <c r="F350" s="290" t="n"/>
    </row>
    <row r="351" ht="13" customHeight="1" s="189">
      <c r="B351" s="290" t="n"/>
      <c r="C351" s="290" t="n"/>
      <c r="D351" s="291" t="n"/>
      <c r="E351" s="290" t="n"/>
      <c r="F351" s="290" t="n"/>
    </row>
    <row r="352" ht="13" customHeight="1" s="189">
      <c r="B352" s="290" t="n"/>
      <c r="C352" s="290" t="n"/>
      <c r="D352" s="291" t="n"/>
      <c r="E352" s="290" t="n"/>
      <c r="F352" s="290" t="n"/>
    </row>
    <row r="353" ht="13" customHeight="1" s="189">
      <c r="B353" s="290" t="n"/>
      <c r="C353" s="290" t="n"/>
      <c r="D353" s="291" t="n"/>
      <c r="E353" s="290" t="n"/>
      <c r="F353" s="290" t="n"/>
    </row>
    <row r="354" ht="13" customHeight="1" s="189">
      <c r="B354" s="290" t="n"/>
      <c r="C354" s="290" t="n"/>
      <c r="D354" s="291" t="n"/>
      <c r="E354" s="290" t="n"/>
      <c r="F354" s="290" t="n"/>
    </row>
    <row r="355" ht="13" customHeight="1" s="189">
      <c r="B355" s="290" t="n"/>
      <c r="C355" s="290" t="n"/>
      <c r="D355" s="291" t="n"/>
      <c r="E355" s="290" t="n"/>
      <c r="F355" s="290" t="n"/>
    </row>
    <row r="356" ht="13" customHeight="1" s="189">
      <c r="B356" s="290" t="n"/>
      <c r="C356" s="290" t="n"/>
      <c r="D356" s="291" t="n"/>
      <c r="E356" s="290" t="n"/>
      <c r="F356" s="290" t="n"/>
    </row>
    <row r="357" ht="13" customHeight="1" s="189">
      <c r="B357" s="290" t="n"/>
      <c r="C357" s="290" t="n"/>
      <c r="D357" s="291" t="n"/>
      <c r="E357" s="290" t="n"/>
      <c r="F357" s="290" t="n"/>
    </row>
    <row r="358" ht="13" customHeight="1" s="189">
      <c r="B358" s="290" t="n"/>
      <c r="C358" s="290" t="n"/>
      <c r="D358" s="291" t="n"/>
      <c r="E358" s="290" t="n"/>
      <c r="F358" s="290" t="n"/>
    </row>
    <row r="359" ht="13" customHeight="1" s="189">
      <c r="B359" s="290" t="n"/>
      <c r="C359" s="290" t="n"/>
      <c r="D359" s="291" t="n"/>
      <c r="E359" s="290" t="n"/>
      <c r="F359" s="290" t="n"/>
    </row>
    <row r="360" ht="13" customHeight="1" s="189">
      <c r="B360" s="290" t="n"/>
      <c r="C360" s="290" t="n"/>
      <c r="D360" s="291" t="n"/>
      <c r="E360" s="290" t="n"/>
      <c r="F360" s="290" t="n"/>
    </row>
    <row r="361" ht="13" customHeight="1" s="189">
      <c r="B361" s="290" t="n"/>
      <c r="C361" s="290" t="n"/>
      <c r="D361" s="291" t="n"/>
      <c r="E361" s="290" t="n"/>
      <c r="F361" s="290" t="n"/>
    </row>
    <row r="362" ht="13" customHeight="1" s="189">
      <c r="B362" s="290" t="n"/>
      <c r="C362" s="290" t="n"/>
      <c r="D362" s="291" t="n"/>
      <c r="E362" s="290" t="n"/>
      <c r="F362" s="290" t="n"/>
    </row>
    <row r="363" ht="13" customHeight="1" s="189">
      <c r="B363" s="290" t="n"/>
      <c r="C363" s="290" t="n"/>
      <c r="D363" s="291" t="n"/>
      <c r="E363" s="290" t="n"/>
      <c r="F363" s="290" t="n"/>
    </row>
    <row r="364" ht="13" customHeight="1" s="189">
      <c r="B364" s="290" t="n"/>
      <c r="C364" s="290" t="n"/>
      <c r="D364" s="291" t="n"/>
      <c r="E364" s="290" t="n"/>
      <c r="F364" s="290" t="n"/>
    </row>
    <row r="365" ht="13" customHeight="1" s="189">
      <c r="B365" s="290" t="n"/>
      <c r="C365" s="290" t="n"/>
      <c r="D365" s="291" t="n"/>
      <c r="E365" s="290" t="n"/>
      <c r="F365" s="290" t="n"/>
    </row>
    <row r="366" ht="13" customHeight="1" s="189">
      <c r="B366" s="290" t="n"/>
      <c r="C366" s="290" t="n"/>
      <c r="D366" s="291" t="n"/>
      <c r="E366" s="290" t="n"/>
      <c r="F366" s="290" t="n"/>
    </row>
    <row r="367" ht="13" customHeight="1" s="189">
      <c r="B367" s="290" t="n"/>
      <c r="C367" s="290" t="n"/>
      <c r="D367" s="291" t="n"/>
      <c r="E367" s="290" t="n"/>
      <c r="F367" s="290" t="n"/>
    </row>
    <row r="368" ht="13" customHeight="1" s="189">
      <c r="B368" s="290" t="n"/>
      <c r="C368" s="290" t="n"/>
      <c r="D368" s="291" t="n"/>
      <c r="E368" s="290" t="n"/>
      <c r="F368" s="290" t="n"/>
    </row>
    <row r="369" ht="13" customHeight="1" s="189">
      <c r="B369" s="290" t="n"/>
      <c r="C369" s="290" t="n"/>
      <c r="D369" s="291" t="n"/>
      <c r="E369" s="290" t="n"/>
      <c r="F369" s="290" t="n"/>
    </row>
    <row r="370" ht="13" customHeight="1" s="189">
      <c r="B370" s="290" t="n"/>
      <c r="C370" s="290" t="n"/>
      <c r="D370" s="291" t="n"/>
      <c r="E370" s="290" t="n"/>
      <c r="F370" s="290" t="n"/>
    </row>
    <row r="371" ht="13" customHeight="1" s="189">
      <c r="B371" s="290" t="n"/>
      <c r="C371" s="290" t="n"/>
      <c r="D371" s="291" t="n"/>
      <c r="E371" s="290" t="n"/>
      <c r="F371" s="290" t="n"/>
    </row>
    <row r="372" ht="13" customHeight="1" s="189">
      <c r="B372" s="290" t="n"/>
      <c r="C372" s="290" t="n"/>
      <c r="D372" s="291" t="n"/>
      <c r="E372" s="290" t="n"/>
      <c r="F372" s="290" t="n"/>
    </row>
    <row r="373" ht="13" customHeight="1" s="189">
      <c r="B373" s="290" t="n"/>
      <c r="C373" s="290" t="n"/>
      <c r="D373" s="291" t="n"/>
      <c r="E373" s="290" t="n"/>
      <c r="F373" s="290" t="n"/>
    </row>
    <row r="374" ht="13" customHeight="1" s="189">
      <c r="B374" s="290" t="n"/>
      <c r="C374" s="290" t="n"/>
      <c r="D374" s="291" t="n"/>
      <c r="E374" s="290" t="n"/>
      <c r="F374" s="290" t="n"/>
    </row>
    <row r="375" ht="13" customHeight="1" s="189">
      <c r="B375" s="290" t="n"/>
      <c r="C375" s="290" t="n"/>
      <c r="D375" s="291" t="n"/>
      <c r="E375" s="290" t="n"/>
      <c r="F375" s="290" t="n"/>
    </row>
    <row r="376" ht="13" customHeight="1" s="189">
      <c r="B376" s="290" t="n"/>
      <c r="C376" s="290" t="n"/>
      <c r="D376" s="291" t="n"/>
      <c r="E376" s="290" t="n"/>
      <c r="F376" s="290" t="n"/>
    </row>
    <row r="377" ht="13" customHeight="1" s="189">
      <c r="B377" s="290" t="n"/>
      <c r="C377" s="290" t="n"/>
      <c r="D377" s="291" t="n"/>
      <c r="E377" s="290" t="n"/>
      <c r="F377" s="290" t="n"/>
    </row>
    <row r="378" ht="13" customHeight="1" s="189">
      <c r="B378" s="290" t="n"/>
      <c r="C378" s="290" t="n"/>
      <c r="D378" s="291" t="n"/>
      <c r="E378" s="290" t="n"/>
      <c r="F378" s="290" t="n"/>
    </row>
    <row r="379" ht="13" customHeight="1" s="189">
      <c r="B379" s="290" t="n"/>
      <c r="C379" s="290" t="n"/>
      <c r="D379" s="291" t="n"/>
      <c r="E379" s="290" t="n"/>
      <c r="F379" s="290" t="n"/>
    </row>
    <row r="380" ht="13" customHeight="1" s="189">
      <c r="B380" s="290" t="n"/>
      <c r="C380" s="290" t="n"/>
      <c r="D380" s="291" t="n"/>
      <c r="E380" s="290" t="n"/>
      <c r="F380" s="290" t="n"/>
    </row>
    <row r="381" ht="13" customHeight="1" s="189">
      <c r="B381" s="290" t="n"/>
      <c r="C381" s="290" t="n"/>
      <c r="D381" s="291" t="n"/>
      <c r="E381" s="290" t="n"/>
      <c r="F381" s="290" t="n"/>
    </row>
    <row r="382" ht="13" customHeight="1" s="189">
      <c r="B382" s="290" t="n"/>
      <c r="C382" s="290" t="n"/>
      <c r="D382" s="291" t="n"/>
      <c r="E382" s="290" t="n"/>
      <c r="F382" s="290" t="n"/>
    </row>
    <row r="383" ht="13" customHeight="1" s="189">
      <c r="B383" s="290" t="n"/>
      <c r="C383" s="290" t="n"/>
      <c r="D383" s="291" t="n"/>
      <c r="E383" s="290" t="n"/>
      <c r="F383" s="290" t="n"/>
    </row>
    <row r="384" ht="13" customHeight="1" s="189">
      <c r="B384" s="290" t="n"/>
      <c r="C384" s="290" t="n"/>
      <c r="D384" s="291" t="n"/>
      <c r="E384" s="290" t="n"/>
      <c r="F384" s="290" t="n"/>
    </row>
    <row r="385" ht="13" customHeight="1" s="189">
      <c r="B385" s="290" t="n"/>
      <c r="C385" s="290" t="n"/>
      <c r="D385" s="291" t="n"/>
      <c r="E385" s="290" t="n"/>
      <c r="F385" s="290" t="n"/>
    </row>
    <row r="386" ht="13" customHeight="1" s="189">
      <c r="B386" s="290" t="n"/>
      <c r="C386" s="290" t="n"/>
      <c r="D386" s="291" t="n"/>
      <c r="E386" s="290" t="n"/>
      <c r="F386" s="290" t="n"/>
    </row>
    <row r="387" ht="13" customHeight="1" s="189">
      <c r="B387" s="290" t="n"/>
      <c r="C387" s="290" t="n"/>
      <c r="D387" s="291" t="n"/>
      <c r="E387" s="290" t="n"/>
      <c r="F387" s="290" t="n"/>
    </row>
    <row r="388" ht="13" customHeight="1" s="189">
      <c r="B388" s="290" t="n"/>
      <c r="C388" s="290" t="n"/>
      <c r="D388" s="291" t="n"/>
      <c r="E388" s="290" t="n"/>
      <c r="F388" s="290" t="n"/>
    </row>
    <row r="389" ht="13" customHeight="1" s="189">
      <c r="B389" s="290" t="n"/>
      <c r="C389" s="290" t="n"/>
      <c r="D389" s="291" t="n"/>
      <c r="E389" s="290" t="n"/>
      <c r="F389" s="290" t="n"/>
    </row>
    <row r="390" ht="13" customHeight="1" s="189">
      <c r="B390" s="290" t="n"/>
      <c r="C390" s="290" t="n"/>
      <c r="D390" s="291" t="n"/>
      <c r="E390" s="290" t="n"/>
      <c r="F390" s="290" t="n"/>
    </row>
    <row r="391" ht="13" customHeight="1" s="189">
      <c r="B391" s="290" t="n"/>
      <c r="C391" s="290" t="n"/>
      <c r="D391" s="291" t="n"/>
      <c r="E391" s="290" t="n"/>
      <c r="F391" s="290" t="n"/>
    </row>
    <row r="392" ht="13" customHeight="1" s="189">
      <c r="B392" s="290" t="n"/>
      <c r="C392" s="290" t="n"/>
      <c r="D392" s="291" t="n"/>
      <c r="E392" s="290" t="n"/>
      <c r="F392" s="290" t="n"/>
    </row>
    <row r="393" ht="13" customHeight="1" s="189">
      <c r="B393" s="290" t="n"/>
      <c r="C393" s="290" t="n"/>
      <c r="D393" s="291" t="n"/>
      <c r="E393" s="290" t="n"/>
      <c r="F393" s="290" t="n"/>
    </row>
    <row r="394" ht="13" customHeight="1" s="189">
      <c r="B394" s="290" t="n"/>
      <c r="C394" s="290" t="n"/>
      <c r="D394" s="291" t="n"/>
      <c r="E394" s="290" t="n"/>
      <c r="F394" s="290" t="n"/>
    </row>
    <row r="395" ht="13" customHeight="1" s="189">
      <c r="B395" s="290" t="n"/>
      <c r="C395" s="290" t="n"/>
      <c r="D395" s="291" t="n"/>
      <c r="E395" s="290" t="n"/>
      <c r="F395" s="290" t="n"/>
    </row>
    <row r="396" ht="13" customHeight="1" s="189">
      <c r="B396" s="290" t="n"/>
      <c r="C396" s="290" t="n"/>
      <c r="D396" s="291" t="n"/>
      <c r="E396" s="290" t="n"/>
      <c r="F396" s="290" t="n"/>
    </row>
    <row r="397" ht="13" customHeight="1" s="189">
      <c r="B397" s="290" t="n"/>
      <c r="C397" s="290" t="n"/>
      <c r="D397" s="291" t="n"/>
      <c r="E397" s="290" t="n"/>
      <c r="F397" s="290" t="n"/>
    </row>
    <row r="398" ht="13" customHeight="1" s="189">
      <c r="B398" s="290" t="n"/>
      <c r="C398" s="290" t="n"/>
      <c r="D398" s="291" t="n"/>
      <c r="E398" s="290" t="n"/>
      <c r="F398" s="290" t="n"/>
    </row>
    <row r="399" ht="13" customHeight="1" s="189">
      <c r="B399" s="290" t="n"/>
      <c r="C399" s="290" t="n"/>
      <c r="D399" s="291" t="n"/>
      <c r="E399" s="290" t="n"/>
      <c r="F399" s="290" t="n"/>
    </row>
    <row r="400" ht="13" customHeight="1" s="189">
      <c r="B400" s="290" t="n"/>
      <c r="C400" s="290" t="n"/>
      <c r="D400" s="291" t="n"/>
      <c r="E400" s="290" t="n"/>
      <c r="F400" s="290" t="n"/>
    </row>
    <row r="401" ht="13" customHeight="1" s="189">
      <c r="B401" s="290" t="n"/>
      <c r="C401" s="290" t="n"/>
      <c r="D401" s="291" t="n"/>
      <c r="E401" s="290" t="n"/>
      <c r="F401" s="290" t="n"/>
    </row>
    <row r="402" ht="13" customHeight="1" s="189">
      <c r="B402" s="290" t="n"/>
      <c r="C402" s="290" t="n"/>
      <c r="D402" s="291" t="n"/>
      <c r="E402" s="290" t="n"/>
      <c r="F402" s="290" t="n"/>
    </row>
    <row r="403" ht="13" customHeight="1" s="189">
      <c r="B403" s="290" t="n"/>
      <c r="C403" s="290" t="n"/>
      <c r="D403" s="291" t="n"/>
      <c r="E403" s="290" t="n"/>
      <c r="F403" s="290" t="n"/>
    </row>
    <row r="404" ht="13" customHeight="1" s="189">
      <c r="B404" s="290" t="n"/>
      <c r="C404" s="290" t="n"/>
      <c r="D404" s="291" t="n"/>
      <c r="E404" s="290" t="n"/>
      <c r="F404" s="290" t="n"/>
    </row>
    <row r="405" ht="13" customHeight="1" s="189">
      <c r="B405" s="290" t="n"/>
      <c r="C405" s="290" t="n"/>
      <c r="D405" s="291" t="n"/>
      <c r="E405" s="290" t="n"/>
      <c r="F405" s="290" t="n"/>
    </row>
    <row r="406" ht="13" customHeight="1" s="189">
      <c r="B406" s="290" t="n"/>
      <c r="C406" s="290" t="n"/>
      <c r="D406" s="291" t="n"/>
      <c r="E406" s="290" t="n"/>
      <c r="F406" s="290" t="n"/>
    </row>
    <row r="407" ht="13" customHeight="1" s="189">
      <c r="B407" s="290" t="n"/>
      <c r="C407" s="290" t="n"/>
      <c r="D407" s="291" t="n"/>
      <c r="E407" s="290" t="n"/>
      <c r="F407" s="290" t="n"/>
    </row>
    <row r="408" ht="13" customHeight="1" s="189">
      <c r="B408" s="290" t="n"/>
      <c r="C408" s="290" t="n"/>
      <c r="D408" s="291" t="n"/>
      <c r="E408" s="290" t="n"/>
      <c r="F408" s="290" t="n"/>
    </row>
    <row r="409" ht="13" customHeight="1" s="189">
      <c r="B409" s="290" t="n"/>
      <c r="C409" s="290" t="n"/>
      <c r="D409" s="291" t="n"/>
      <c r="E409" s="290" t="n"/>
      <c r="F409" s="290" t="n"/>
    </row>
    <row r="410" ht="13" customHeight="1" s="189">
      <c r="B410" s="290" t="n"/>
      <c r="C410" s="290" t="n"/>
      <c r="D410" s="291" t="n"/>
      <c r="E410" s="290" t="n"/>
      <c r="F410" s="290" t="n"/>
    </row>
    <row r="411" ht="13" customHeight="1" s="189">
      <c r="B411" s="290" t="n"/>
      <c r="C411" s="290" t="n"/>
      <c r="D411" s="291" t="n"/>
      <c r="E411" s="290" t="n"/>
      <c r="F411" s="290" t="n"/>
    </row>
    <row r="412" ht="13" customHeight="1" s="189">
      <c r="B412" s="290" t="n"/>
      <c r="C412" s="290" t="n"/>
      <c r="D412" s="291" t="n"/>
      <c r="E412" s="290" t="n"/>
      <c r="F412" s="290" t="n"/>
    </row>
    <row r="413" ht="13" customHeight="1" s="189">
      <c r="B413" s="290" t="n"/>
      <c r="C413" s="290" t="n"/>
      <c r="D413" s="291" t="n"/>
      <c r="E413" s="290" t="n"/>
      <c r="F413" s="290" t="n"/>
    </row>
    <row r="414" ht="13" customHeight="1" s="189">
      <c r="B414" s="290" t="n"/>
      <c r="C414" s="290" t="n"/>
      <c r="D414" s="291" t="n"/>
      <c r="E414" s="290" t="n"/>
      <c r="F414" s="290" t="n"/>
    </row>
    <row r="415" ht="13" customHeight="1" s="189">
      <c r="B415" s="290" t="n"/>
      <c r="C415" s="290" t="n"/>
      <c r="D415" s="291" t="n"/>
      <c r="E415" s="290" t="n"/>
      <c r="F415" s="290" t="n"/>
    </row>
    <row r="416" ht="13" customHeight="1" s="189">
      <c r="B416" s="290" t="n"/>
      <c r="C416" s="290" t="n"/>
      <c r="D416" s="291" t="n"/>
      <c r="E416" s="290" t="n"/>
      <c r="F416" s="290" t="n"/>
    </row>
    <row r="417" ht="13" customHeight="1" s="189">
      <c r="B417" s="290" t="n"/>
      <c r="C417" s="290" t="n"/>
      <c r="D417" s="291" t="n"/>
      <c r="E417" s="290" t="n"/>
      <c r="F417" s="290" t="n"/>
    </row>
    <row r="418" ht="13" customHeight="1" s="189">
      <c r="B418" s="290" t="n"/>
      <c r="C418" s="290" t="n"/>
      <c r="D418" s="291" t="n"/>
      <c r="E418" s="290" t="n"/>
      <c r="F418" s="290" t="n"/>
    </row>
    <row r="419" ht="13" customHeight="1" s="189">
      <c r="B419" s="290" t="n"/>
      <c r="C419" s="290" t="n"/>
      <c r="D419" s="291" t="n"/>
      <c r="E419" s="290" t="n"/>
      <c r="F419" s="290" t="n"/>
    </row>
    <row r="420" ht="13" customHeight="1" s="189">
      <c r="B420" s="290" t="n"/>
      <c r="C420" s="290" t="n"/>
      <c r="D420" s="291" t="n"/>
      <c r="E420" s="290" t="n"/>
      <c r="F420" s="290" t="n"/>
    </row>
    <row r="421" ht="13" customHeight="1" s="189">
      <c r="B421" s="290" t="n"/>
      <c r="C421" s="290" t="n"/>
      <c r="D421" s="291" t="n"/>
      <c r="E421" s="290" t="n"/>
      <c r="F421" s="290" t="n"/>
    </row>
    <row r="422" ht="13" customHeight="1" s="189">
      <c r="B422" s="290" t="n"/>
      <c r="C422" s="290" t="n"/>
      <c r="D422" s="291" t="n"/>
      <c r="E422" s="290" t="n"/>
      <c r="F422" s="290" t="n"/>
    </row>
    <row r="423" ht="13" customHeight="1" s="189">
      <c r="B423" s="290" t="n"/>
      <c r="C423" s="290" t="n"/>
      <c r="D423" s="291" t="n"/>
      <c r="E423" s="290" t="n"/>
      <c r="F423" s="290" t="n"/>
    </row>
    <row r="424" ht="13" customHeight="1" s="189">
      <c r="B424" s="290" t="n"/>
      <c r="C424" s="290" t="n"/>
      <c r="D424" s="291" t="n"/>
      <c r="E424" s="290" t="n"/>
      <c r="F424" s="290" t="n"/>
    </row>
    <row r="425" ht="13" customHeight="1" s="189">
      <c r="B425" s="290" t="n"/>
      <c r="C425" s="290" t="n"/>
      <c r="D425" s="291" t="n"/>
      <c r="E425" s="290" t="n"/>
      <c r="F425" s="290" t="n"/>
    </row>
    <row r="426" ht="13" customHeight="1" s="189">
      <c r="B426" s="290" t="n"/>
      <c r="C426" s="290" t="n"/>
      <c r="D426" s="291" t="n"/>
      <c r="E426" s="290" t="n"/>
      <c r="F426" s="290" t="n"/>
    </row>
    <row r="427" ht="13" customHeight="1" s="189">
      <c r="B427" s="290" t="n"/>
      <c r="C427" s="290" t="n"/>
      <c r="D427" s="291" t="n"/>
      <c r="E427" s="290" t="n"/>
      <c r="F427" s="290" t="n"/>
    </row>
    <row r="428" ht="13" customHeight="1" s="189">
      <c r="B428" s="290" t="n"/>
      <c r="C428" s="290" t="n"/>
      <c r="D428" s="291" t="n"/>
      <c r="E428" s="290" t="n"/>
      <c r="F428" s="290" t="n"/>
    </row>
    <row r="429" ht="13" customHeight="1" s="189">
      <c r="B429" s="290" t="n"/>
      <c r="C429" s="290" t="n"/>
      <c r="D429" s="291" t="n"/>
      <c r="E429" s="290" t="n"/>
      <c r="F429" s="290" t="n"/>
    </row>
    <row r="430" ht="13" customHeight="1" s="189">
      <c r="B430" s="290" t="n"/>
      <c r="C430" s="290" t="n"/>
      <c r="D430" s="291" t="n"/>
      <c r="E430" s="290" t="n"/>
      <c r="F430" s="290" t="n"/>
    </row>
    <row r="431" ht="13" customHeight="1" s="189">
      <c r="B431" s="290" t="n"/>
      <c r="C431" s="290" t="n"/>
      <c r="D431" s="291" t="n"/>
      <c r="E431" s="290" t="n"/>
      <c r="F431" s="290" t="n"/>
    </row>
    <row r="432" ht="13" customHeight="1" s="189">
      <c r="B432" s="290" t="n"/>
      <c r="C432" s="290" t="n"/>
      <c r="D432" s="291" t="n"/>
      <c r="E432" s="290" t="n"/>
      <c r="F432" s="290" t="n"/>
    </row>
    <row r="433" ht="13" customHeight="1" s="189">
      <c r="B433" s="290" t="n"/>
      <c r="C433" s="290" t="n"/>
      <c r="D433" s="291" t="n"/>
      <c r="E433" s="290" t="n"/>
      <c r="F433" s="290" t="n"/>
    </row>
    <row r="434" ht="13" customHeight="1" s="189">
      <c r="B434" s="290" t="n"/>
      <c r="C434" s="290" t="n"/>
      <c r="D434" s="291" t="n"/>
      <c r="E434" s="290" t="n"/>
      <c r="F434" s="290" t="n"/>
    </row>
    <row r="435" ht="13" customHeight="1" s="189">
      <c r="B435" s="290" t="n"/>
      <c r="C435" s="290" t="n"/>
      <c r="D435" s="291" t="n"/>
      <c r="E435" s="290" t="n"/>
      <c r="F435" s="290" t="n"/>
    </row>
    <row r="436" ht="13" customHeight="1" s="189">
      <c r="B436" s="290" t="n"/>
      <c r="C436" s="290" t="n"/>
      <c r="D436" s="291" t="n"/>
      <c r="E436" s="290" t="n"/>
      <c r="F436" s="290" t="n"/>
    </row>
    <row r="437" ht="13" customHeight="1" s="189">
      <c r="B437" s="290" t="n"/>
      <c r="C437" s="290" t="n"/>
      <c r="D437" s="291" t="n"/>
      <c r="E437" s="290" t="n"/>
      <c r="F437" s="290" t="n"/>
    </row>
    <row r="438" ht="13" customHeight="1" s="189">
      <c r="B438" s="290" t="n"/>
      <c r="C438" s="290" t="n"/>
      <c r="D438" s="291" t="n"/>
      <c r="E438" s="290" t="n"/>
      <c r="F438" s="290" t="n"/>
    </row>
    <row r="439" ht="13" customHeight="1" s="189">
      <c r="B439" s="290" t="n"/>
      <c r="C439" s="290" t="n"/>
      <c r="D439" s="291" t="n"/>
      <c r="E439" s="290" t="n"/>
      <c r="F439" s="290" t="n"/>
    </row>
    <row r="440" ht="13" customHeight="1" s="189">
      <c r="B440" s="290" t="n"/>
      <c r="C440" s="290" t="n"/>
      <c r="D440" s="291" t="n"/>
      <c r="E440" s="290" t="n"/>
      <c r="F440" s="290" t="n"/>
    </row>
    <row r="441" ht="13" customHeight="1" s="189">
      <c r="B441" s="290" t="n"/>
      <c r="C441" s="290" t="n"/>
      <c r="D441" s="291" t="n"/>
      <c r="E441" s="290" t="n"/>
      <c r="F441" s="290" t="n"/>
    </row>
    <row r="442" ht="13" customHeight="1" s="189">
      <c r="B442" s="290" t="n"/>
      <c r="C442" s="290" t="n"/>
      <c r="D442" s="291" t="n"/>
      <c r="E442" s="290" t="n"/>
      <c r="F442" s="290" t="n"/>
    </row>
    <row r="443" ht="13" customHeight="1" s="189">
      <c r="B443" s="290" t="n"/>
      <c r="C443" s="290" t="n"/>
      <c r="D443" s="291" t="n"/>
      <c r="E443" s="290" t="n"/>
      <c r="F443" s="290" t="n"/>
    </row>
    <row r="444" ht="13" customHeight="1" s="189">
      <c r="B444" s="290" t="n"/>
      <c r="C444" s="290" t="n"/>
      <c r="D444" s="291" t="n"/>
      <c r="E444" s="290" t="n"/>
      <c r="F444" s="290" t="n"/>
    </row>
    <row r="445" ht="13" customHeight="1" s="189">
      <c r="B445" s="290" t="n"/>
      <c r="C445" s="290" t="n"/>
      <c r="D445" s="291" t="n"/>
      <c r="E445" s="290" t="n"/>
      <c r="F445" s="290" t="n"/>
    </row>
    <row r="446" ht="13" customHeight="1" s="189">
      <c r="B446" s="290" t="n"/>
      <c r="C446" s="290" t="n"/>
      <c r="D446" s="291" t="n"/>
      <c r="E446" s="290" t="n"/>
      <c r="F446" s="290" t="n"/>
    </row>
    <row r="447" ht="13" customHeight="1" s="189">
      <c r="B447" s="290" t="n"/>
      <c r="C447" s="290" t="n"/>
      <c r="D447" s="291" t="n"/>
      <c r="E447" s="290" t="n"/>
      <c r="F447" s="290" t="n"/>
    </row>
    <row r="448" ht="13" customHeight="1" s="189">
      <c r="B448" s="290" t="n"/>
      <c r="C448" s="290" t="n"/>
      <c r="D448" s="291" t="n"/>
      <c r="E448" s="290" t="n"/>
      <c r="F448" s="290" t="n"/>
    </row>
    <row r="449" ht="13" customHeight="1" s="189">
      <c r="B449" s="290" t="n"/>
      <c r="C449" s="290" t="n"/>
      <c r="D449" s="291" t="n"/>
      <c r="E449" s="290" t="n"/>
      <c r="F449" s="290" t="n"/>
    </row>
    <row r="450" ht="13" customHeight="1" s="189">
      <c r="B450" s="290" t="n"/>
      <c r="C450" s="290" t="n"/>
      <c r="D450" s="291" t="n"/>
      <c r="E450" s="290" t="n"/>
      <c r="F450" s="290" t="n"/>
    </row>
    <row r="451" ht="13" customHeight="1" s="189">
      <c r="B451" s="290" t="n"/>
      <c r="C451" s="290" t="n"/>
      <c r="D451" s="291" t="n"/>
      <c r="E451" s="290" t="n"/>
      <c r="F451" s="290" t="n"/>
    </row>
    <row r="452" ht="13" customHeight="1" s="189">
      <c r="B452" s="290" t="n"/>
      <c r="C452" s="290" t="n"/>
      <c r="D452" s="291" t="n"/>
      <c r="E452" s="290" t="n"/>
      <c r="F452" s="290" t="n"/>
    </row>
    <row r="453" ht="13" customHeight="1" s="189">
      <c r="B453" s="290" t="n"/>
      <c r="C453" s="290" t="n"/>
      <c r="D453" s="291" t="n"/>
      <c r="E453" s="290" t="n"/>
      <c r="F453" s="290" t="n"/>
    </row>
    <row r="454" ht="13" customHeight="1" s="189">
      <c r="B454" s="290" t="n"/>
      <c r="C454" s="290" t="n"/>
      <c r="D454" s="291" t="n"/>
      <c r="E454" s="290" t="n"/>
      <c r="F454" s="290" t="n"/>
    </row>
    <row r="455" ht="13" customHeight="1" s="189">
      <c r="B455" s="290" t="n"/>
      <c r="C455" s="290" t="n"/>
      <c r="D455" s="291" t="n"/>
      <c r="E455" s="290" t="n"/>
      <c r="F455" s="290" t="n"/>
    </row>
    <row r="456" ht="13" customHeight="1" s="189">
      <c r="B456" s="290" t="n"/>
      <c r="C456" s="290" t="n"/>
      <c r="D456" s="291" t="n"/>
      <c r="E456" s="290" t="n"/>
      <c r="F456" s="290" t="n"/>
    </row>
    <row r="457" ht="13" customHeight="1" s="189">
      <c r="B457" s="290" t="n"/>
      <c r="C457" s="290" t="n"/>
      <c r="D457" s="291" t="n"/>
      <c r="E457" s="290" t="n"/>
      <c r="F457" s="290" t="n"/>
    </row>
    <row r="458" ht="13" customHeight="1" s="189">
      <c r="B458" s="290" t="n"/>
      <c r="C458" s="290" t="n"/>
      <c r="D458" s="291" t="n"/>
      <c r="E458" s="290" t="n"/>
      <c r="F458" s="290" t="n"/>
    </row>
    <row r="459" ht="13" customHeight="1" s="189">
      <c r="B459" s="290" t="n"/>
      <c r="C459" s="290" t="n"/>
      <c r="D459" s="291" t="n"/>
      <c r="E459" s="290" t="n"/>
      <c r="F459" s="290" t="n"/>
    </row>
    <row r="460" ht="13" customHeight="1" s="189">
      <c r="B460" s="290" t="n"/>
      <c r="C460" s="290" t="n"/>
      <c r="D460" s="291" t="n"/>
      <c r="E460" s="290" t="n"/>
      <c r="F460" s="290" t="n"/>
    </row>
    <row r="461" ht="13" customHeight="1" s="189">
      <c r="B461" s="290" t="n"/>
      <c r="C461" s="290" t="n"/>
      <c r="D461" s="291" t="n"/>
      <c r="E461" s="290" t="n"/>
      <c r="F461" s="290" t="n"/>
    </row>
    <row r="462" ht="13" customHeight="1" s="189">
      <c r="B462" s="290" t="n"/>
      <c r="C462" s="290" t="n"/>
      <c r="D462" s="291" t="n"/>
      <c r="E462" s="290" t="n"/>
      <c r="F462" s="290" t="n"/>
    </row>
    <row r="463" ht="13" customHeight="1" s="189">
      <c r="B463" s="290" t="n"/>
      <c r="C463" s="290" t="n"/>
      <c r="D463" s="291" t="n"/>
      <c r="E463" s="290" t="n"/>
      <c r="F463" s="290" t="n"/>
    </row>
    <row r="464" ht="13" customHeight="1" s="189">
      <c r="B464" s="290" t="n"/>
      <c r="C464" s="290" t="n"/>
      <c r="D464" s="291" t="n"/>
      <c r="E464" s="290" t="n"/>
      <c r="F464" s="290" t="n"/>
    </row>
    <row r="465" ht="13" customHeight="1" s="189">
      <c r="B465" s="290" t="n"/>
      <c r="C465" s="290" t="n"/>
      <c r="D465" s="291" t="n"/>
      <c r="E465" s="290" t="n"/>
      <c r="F465" s="290" t="n"/>
    </row>
    <row r="466" ht="13" customHeight="1" s="189">
      <c r="B466" s="290" t="n"/>
      <c r="C466" s="290" t="n"/>
      <c r="D466" s="291" t="n"/>
      <c r="E466" s="290" t="n"/>
      <c r="F466" s="290" t="n"/>
    </row>
    <row r="467" ht="13" customHeight="1" s="189">
      <c r="B467" s="290" t="n"/>
      <c r="C467" s="290" t="n"/>
      <c r="D467" s="291" t="n"/>
      <c r="E467" s="290" t="n"/>
      <c r="F467" s="290" t="n"/>
    </row>
    <row r="468" ht="13" customHeight="1" s="189">
      <c r="B468" s="290" t="n"/>
      <c r="C468" s="290" t="n"/>
      <c r="D468" s="291" t="n"/>
      <c r="E468" s="290" t="n"/>
      <c r="F468" s="290" t="n"/>
    </row>
    <row r="469" ht="13" customHeight="1" s="189">
      <c r="B469" s="290" t="n"/>
      <c r="C469" s="290" t="n"/>
      <c r="D469" s="291" t="n"/>
      <c r="E469" s="290" t="n"/>
      <c r="F469" s="290" t="n"/>
    </row>
    <row r="470" ht="13" customHeight="1" s="189">
      <c r="B470" s="290" t="n"/>
      <c r="C470" s="290" t="n"/>
      <c r="D470" s="291" t="n"/>
      <c r="E470" s="290" t="n"/>
      <c r="F470" s="290" t="n"/>
    </row>
    <row r="471" ht="13" customHeight="1" s="189">
      <c r="B471" s="290" t="n"/>
      <c r="C471" s="290" t="n"/>
      <c r="D471" s="291" t="n"/>
      <c r="E471" s="290" t="n"/>
      <c r="F471" s="290" t="n"/>
    </row>
    <row r="472" ht="13" customHeight="1" s="189">
      <c r="B472" s="290" t="n"/>
      <c r="C472" s="290" t="n"/>
      <c r="D472" s="291" t="n"/>
      <c r="E472" s="290" t="n"/>
      <c r="F472" s="290" t="n"/>
    </row>
    <row r="473" ht="13" customHeight="1" s="189">
      <c r="B473" s="290" t="n"/>
      <c r="C473" s="290" t="n"/>
      <c r="D473" s="291" t="n"/>
      <c r="E473" s="290" t="n"/>
      <c r="F473" s="290" t="n"/>
    </row>
    <row r="474" ht="13" customHeight="1" s="189">
      <c r="B474" s="290" t="n"/>
      <c r="C474" s="290" t="n"/>
      <c r="D474" s="291" t="n"/>
      <c r="E474" s="290" t="n"/>
      <c r="F474" s="290" t="n"/>
    </row>
    <row r="475" ht="13" customHeight="1" s="189">
      <c r="B475" s="290" t="n"/>
      <c r="C475" s="290" t="n"/>
      <c r="D475" s="291" t="n"/>
      <c r="E475" s="290" t="n"/>
      <c r="F475" s="290" t="n"/>
    </row>
    <row r="476" ht="13" customHeight="1" s="189">
      <c r="B476" s="290" t="n"/>
      <c r="C476" s="290" t="n"/>
      <c r="D476" s="291" t="n"/>
      <c r="E476" s="290" t="n"/>
      <c r="F476" s="290" t="n"/>
    </row>
    <row r="477" ht="13" customHeight="1" s="189">
      <c r="B477" s="290" t="n"/>
      <c r="C477" s="290" t="n"/>
      <c r="D477" s="291" t="n"/>
      <c r="E477" s="290" t="n"/>
      <c r="F477" s="290" t="n"/>
    </row>
    <row r="478" ht="13" customHeight="1" s="189">
      <c r="B478" s="290" t="n"/>
      <c r="C478" s="290" t="n"/>
      <c r="D478" s="291" t="n"/>
      <c r="E478" s="290" t="n"/>
      <c r="F478" s="290" t="n"/>
    </row>
    <row r="479" ht="13" customHeight="1" s="189">
      <c r="B479" s="290" t="n"/>
      <c r="C479" s="290" t="n"/>
      <c r="D479" s="291" t="n"/>
      <c r="E479" s="290" t="n"/>
      <c r="F479" s="290" t="n"/>
    </row>
    <row r="480" ht="13" customHeight="1" s="189">
      <c r="B480" s="290" t="n"/>
      <c r="C480" s="290" t="n"/>
      <c r="D480" s="291" t="n"/>
      <c r="E480" s="290" t="n"/>
      <c r="F480" s="290" t="n"/>
    </row>
    <row r="481" ht="13" customHeight="1" s="189">
      <c r="B481" s="290" t="n"/>
      <c r="C481" s="290" t="n"/>
      <c r="D481" s="291" t="n"/>
      <c r="E481" s="290" t="n"/>
      <c r="F481" s="290" t="n"/>
    </row>
    <row r="482" ht="13" customHeight="1" s="189">
      <c r="B482" s="290" t="n"/>
      <c r="C482" s="290" t="n"/>
      <c r="D482" s="291" t="n"/>
      <c r="E482" s="290" t="n"/>
      <c r="F482" s="290" t="n"/>
    </row>
    <row r="483" ht="13" customHeight="1" s="189">
      <c r="B483" s="290" t="n"/>
      <c r="C483" s="290" t="n"/>
      <c r="D483" s="291" t="n"/>
      <c r="E483" s="290" t="n"/>
      <c r="F483" s="290" t="n"/>
    </row>
    <row r="484" ht="13" customHeight="1" s="189">
      <c r="B484" s="290" t="n"/>
      <c r="C484" s="290" t="n"/>
      <c r="D484" s="291" t="n"/>
      <c r="E484" s="290" t="n"/>
      <c r="F484" s="290" t="n"/>
    </row>
    <row r="485" ht="13" customHeight="1" s="189">
      <c r="B485" s="290" t="n"/>
      <c r="C485" s="290" t="n"/>
      <c r="D485" s="291" t="n"/>
      <c r="E485" s="290" t="n"/>
      <c r="F485" s="290" t="n"/>
    </row>
    <row r="486" ht="13" customHeight="1" s="189">
      <c r="B486" s="290" t="n"/>
      <c r="C486" s="290" t="n"/>
      <c r="D486" s="291" t="n"/>
      <c r="E486" s="290" t="n"/>
      <c r="F486" s="290" t="n"/>
    </row>
    <row r="487" ht="13" customHeight="1" s="189">
      <c r="B487" s="290" t="n"/>
      <c r="C487" s="290" t="n"/>
      <c r="D487" s="291" t="n"/>
      <c r="E487" s="290" t="n"/>
      <c r="F487" s="290" t="n"/>
    </row>
    <row r="488" ht="13" customHeight="1" s="189">
      <c r="B488" s="290" t="n"/>
      <c r="C488" s="290" t="n"/>
      <c r="D488" s="291" t="n"/>
      <c r="E488" s="290" t="n"/>
      <c r="F488" s="290" t="n"/>
    </row>
    <row r="489" ht="13" customHeight="1" s="189">
      <c r="B489" s="290" t="n"/>
      <c r="C489" s="290" t="n"/>
      <c r="D489" s="291" t="n"/>
      <c r="E489" s="290" t="n"/>
      <c r="F489" s="290" t="n"/>
    </row>
    <row r="490" ht="13" customHeight="1" s="189">
      <c r="B490" s="290" t="n"/>
      <c r="C490" s="290" t="n"/>
      <c r="D490" s="291" t="n"/>
      <c r="E490" s="290" t="n"/>
      <c r="F490" s="290" t="n"/>
    </row>
    <row r="491" ht="13" customHeight="1" s="189">
      <c r="B491" s="290" t="n"/>
      <c r="C491" s="290" t="n"/>
      <c r="D491" s="291" t="n"/>
      <c r="E491" s="290" t="n"/>
      <c r="F491" s="290" t="n"/>
    </row>
    <row r="492" ht="13" customHeight="1" s="189">
      <c r="B492" s="290" t="n"/>
      <c r="C492" s="290" t="n"/>
      <c r="D492" s="291" t="n"/>
      <c r="E492" s="290" t="n"/>
      <c r="F492" s="290" t="n"/>
    </row>
    <row r="493" ht="13" customHeight="1" s="189">
      <c r="B493" s="290" t="n"/>
      <c r="C493" s="290" t="n"/>
      <c r="D493" s="291" t="n"/>
      <c r="E493" s="290" t="n"/>
      <c r="F493" s="290" t="n"/>
    </row>
    <row r="494" ht="13" customHeight="1" s="189">
      <c r="B494" s="290" t="n"/>
      <c r="C494" s="290" t="n"/>
      <c r="D494" s="291" t="n"/>
      <c r="E494" s="290" t="n"/>
      <c r="F494" s="290" t="n"/>
    </row>
    <row r="495" ht="13" customHeight="1" s="189">
      <c r="B495" s="290" t="n"/>
      <c r="C495" s="290" t="n"/>
      <c r="D495" s="291" t="n"/>
      <c r="E495" s="290" t="n"/>
      <c r="F495" s="290" t="n"/>
    </row>
    <row r="496" ht="13" customHeight="1" s="189">
      <c r="B496" s="290" t="n"/>
      <c r="C496" s="290" t="n"/>
      <c r="D496" s="291" t="n"/>
      <c r="E496" s="290" t="n"/>
      <c r="F496" s="290" t="n"/>
    </row>
    <row r="497" ht="13" customHeight="1" s="189">
      <c r="B497" s="290" t="n"/>
      <c r="C497" s="290" t="n"/>
      <c r="D497" s="291" t="n"/>
      <c r="E497" s="290" t="n"/>
      <c r="F497" s="290" t="n"/>
    </row>
    <row r="498" ht="13" customHeight="1" s="189">
      <c r="B498" s="290" t="n"/>
      <c r="C498" s="290" t="n"/>
      <c r="D498" s="291" t="n"/>
      <c r="E498" s="290" t="n"/>
      <c r="F498" s="290" t="n"/>
    </row>
    <row r="499" ht="13" customHeight="1" s="189">
      <c r="B499" s="290" t="n"/>
      <c r="C499" s="290" t="n"/>
      <c r="D499" s="291" t="n"/>
      <c r="E499" s="290" t="n"/>
      <c r="F499" s="290" t="n"/>
    </row>
    <row r="500" ht="13" customHeight="1" s="189">
      <c r="B500" s="290" t="n"/>
      <c r="C500" s="290" t="n"/>
      <c r="D500" s="291" t="n"/>
      <c r="E500" s="290" t="n"/>
      <c r="F500" s="290" t="n"/>
    </row>
    <row r="501" ht="13" customHeight="1" s="189">
      <c r="B501" s="290" t="n"/>
      <c r="C501" s="290" t="n"/>
      <c r="D501" s="291" t="n"/>
      <c r="E501" s="290" t="n"/>
      <c r="F501" s="290" t="n"/>
    </row>
    <row r="502" ht="13" customHeight="1" s="189">
      <c r="B502" s="290" t="n"/>
      <c r="C502" s="290" t="n"/>
      <c r="D502" s="291" t="n"/>
      <c r="E502" s="290" t="n"/>
      <c r="F502" s="290" t="n"/>
    </row>
    <row r="503" ht="13" customHeight="1" s="189">
      <c r="B503" s="290" t="n"/>
      <c r="C503" s="290" t="n"/>
      <c r="D503" s="291" t="n"/>
      <c r="E503" s="290" t="n"/>
      <c r="F503" s="290" t="n"/>
    </row>
    <row r="504" ht="13" customHeight="1" s="189">
      <c r="B504" s="290" t="n"/>
      <c r="C504" s="290" t="n"/>
      <c r="D504" s="291" t="n"/>
      <c r="E504" s="290" t="n"/>
      <c r="F504" s="290" t="n"/>
    </row>
    <row r="505" ht="13" customHeight="1" s="189">
      <c r="B505" s="290" t="n"/>
      <c r="C505" s="290" t="n"/>
      <c r="D505" s="291" t="n"/>
      <c r="E505" s="290" t="n"/>
      <c r="F505" s="290" t="n"/>
    </row>
    <row r="506" ht="13" customHeight="1" s="189">
      <c r="B506" s="290" t="n"/>
      <c r="C506" s="290" t="n"/>
      <c r="D506" s="291" t="n"/>
      <c r="E506" s="290" t="n"/>
      <c r="F506" s="290" t="n"/>
    </row>
    <row r="507" ht="13" customHeight="1" s="189">
      <c r="B507" s="290" t="n"/>
      <c r="C507" s="290" t="n"/>
      <c r="D507" s="291" t="n"/>
      <c r="E507" s="290" t="n"/>
      <c r="F507" s="290" t="n"/>
    </row>
    <row r="508" ht="13" customHeight="1" s="189">
      <c r="B508" s="290" t="n"/>
      <c r="C508" s="290" t="n"/>
      <c r="D508" s="291" t="n"/>
      <c r="E508" s="290" t="n"/>
      <c r="F508" s="290" t="n"/>
    </row>
    <row r="509" ht="13" customHeight="1" s="189">
      <c r="B509" s="290" t="n"/>
      <c r="C509" s="290" t="n"/>
      <c r="D509" s="291" t="n"/>
      <c r="E509" s="290" t="n"/>
      <c r="F509" s="290" t="n"/>
    </row>
    <row r="510" ht="13" customHeight="1" s="189">
      <c r="B510" s="290" t="n"/>
      <c r="C510" s="290" t="n"/>
      <c r="D510" s="291" t="n"/>
      <c r="E510" s="290" t="n"/>
      <c r="F510" s="290" t="n"/>
    </row>
    <row r="511" ht="13" customHeight="1" s="189">
      <c r="B511" s="290" t="n"/>
      <c r="C511" s="290" t="n"/>
      <c r="D511" s="291" t="n"/>
      <c r="E511" s="290" t="n"/>
      <c r="F511" s="290" t="n"/>
    </row>
    <row r="512" ht="13" customHeight="1" s="189">
      <c r="B512" s="290" t="n"/>
      <c r="C512" s="290" t="n"/>
      <c r="D512" s="291" t="n"/>
      <c r="E512" s="290" t="n"/>
      <c r="F512" s="290" t="n"/>
    </row>
    <row r="513" ht="13" customHeight="1" s="189">
      <c r="B513" s="290" t="n"/>
      <c r="C513" s="290" t="n"/>
      <c r="D513" s="291" t="n"/>
      <c r="E513" s="290" t="n"/>
      <c r="F513" s="290" t="n"/>
    </row>
    <row r="514" ht="13" customHeight="1" s="189">
      <c r="B514" s="290" t="n"/>
      <c r="C514" s="290" t="n"/>
      <c r="D514" s="291" t="n"/>
      <c r="E514" s="290" t="n"/>
      <c r="F514" s="290" t="n"/>
    </row>
    <row r="515" ht="13" customHeight="1" s="189">
      <c r="B515" s="290" t="n"/>
      <c r="C515" s="290" t="n"/>
      <c r="D515" s="291" t="n"/>
      <c r="E515" s="290" t="n"/>
      <c r="F515" s="290" t="n"/>
    </row>
    <row r="516" ht="13" customHeight="1" s="189">
      <c r="B516" s="290" t="n"/>
      <c r="C516" s="290" t="n"/>
      <c r="D516" s="291" t="n"/>
      <c r="E516" s="290" t="n"/>
      <c r="F516" s="290" t="n"/>
    </row>
    <row r="517" ht="13" customHeight="1" s="189">
      <c r="B517" s="290" t="n"/>
      <c r="C517" s="290" t="n"/>
      <c r="D517" s="291" t="n"/>
      <c r="E517" s="290" t="n"/>
      <c r="F517" s="290" t="n"/>
    </row>
    <row r="518" ht="13" customHeight="1" s="189">
      <c r="B518" s="290" t="n"/>
      <c r="C518" s="290" t="n"/>
      <c r="D518" s="291" t="n"/>
      <c r="E518" s="290" t="n"/>
      <c r="F518" s="290" t="n"/>
    </row>
    <row r="519" ht="13" customHeight="1" s="189">
      <c r="B519" s="290" t="n"/>
      <c r="C519" s="290" t="n"/>
      <c r="D519" s="291" t="n"/>
      <c r="E519" s="290" t="n"/>
      <c r="F519" s="290" t="n"/>
    </row>
    <row r="520" ht="13" customHeight="1" s="189">
      <c r="B520" s="290" t="n"/>
      <c r="C520" s="290" t="n"/>
      <c r="D520" s="291" t="n"/>
      <c r="E520" s="290" t="n"/>
      <c r="F520" s="290" t="n"/>
    </row>
    <row r="521" ht="13" customHeight="1" s="189">
      <c r="B521" s="290" t="n"/>
      <c r="C521" s="290" t="n"/>
      <c r="D521" s="291" t="n"/>
      <c r="E521" s="290" t="n"/>
      <c r="F521" s="290" t="n"/>
    </row>
    <row r="522" ht="13" customHeight="1" s="189">
      <c r="B522" s="290" t="n"/>
      <c r="C522" s="290" t="n"/>
      <c r="D522" s="291" t="n"/>
      <c r="E522" s="290" t="n"/>
      <c r="F522" s="290" t="n"/>
    </row>
    <row r="523" ht="13" customHeight="1" s="189">
      <c r="B523" s="290" t="n"/>
      <c r="C523" s="290" t="n"/>
      <c r="D523" s="291" t="n"/>
      <c r="E523" s="290" t="n"/>
      <c r="F523" s="290" t="n"/>
    </row>
    <row r="524" ht="13" customHeight="1" s="189">
      <c r="B524" s="290" t="n"/>
      <c r="C524" s="290" t="n"/>
      <c r="D524" s="291" t="n"/>
      <c r="E524" s="290" t="n"/>
      <c r="F524" s="290" t="n"/>
    </row>
    <row r="525" ht="13" customHeight="1" s="189">
      <c r="B525" s="290" t="n"/>
      <c r="C525" s="290" t="n"/>
      <c r="D525" s="291" t="n"/>
      <c r="E525" s="290" t="n"/>
      <c r="F525" s="290" t="n"/>
    </row>
    <row r="526" ht="13" customHeight="1" s="189">
      <c r="B526" s="290" t="n"/>
      <c r="C526" s="290" t="n"/>
      <c r="D526" s="291" t="n"/>
      <c r="E526" s="290" t="n"/>
      <c r="F526" s="290" t="n"/>
    </row>
    <row r="527" ht="13" customHeight="1" s="189">
      <c r="B527" s="290" t="n"/>
      <c r="C527" s="290" t="n"/>
      <c r="D527" s="291" t="n"/>
      <c r="E527" s="290" t="n"/>
      <c r="F527" s="290" t="n"/>
    </row>
    <row r="528" ht="13" customHeight="1" s="189">
      <c r="B528" s="290" t="n"/>
      <c r="C528" s="290" t="n"/>
      <c r="D528" s="291" t="n"/>
      <c r="E528" s="290" t="n"/>
      <c r="F528" s="290" t="n"/>
    </row>
    <row r="529" ht="13" customHeight="1" s="189">
      <c r="B529" s="290" t="n"/>
      <c r="C529" s="290" t="n"/>
      <c r="D529" s="291" t="n"/>
      <c r="E529" s="290" t="n"/>
      <c r="F529" s="290" t="n"/>
    </row>
    <row r="530" ht="13" customHeight="1" s="189">
      <c r="B530" s="290" t="n"/>
      <c r="C530" s="290" t="n"/>
      <c r="D530" s="291" t="n"/>
      <c r="E530" s="290" t="n"/>
      <c r="F530" s="290" t="n"/>
    </row>
    <row r="531" ht="13" customHeight="1" s="189">
      <c r="B531" s="290" t="n"/>
      <c r="C531" s="290" t="n"/>
      <c r="D531" s="291" t="n"/>
      <c r="E531" s="290" t="n"/>
      <c r="F531" s="290" t="n"/>
    </row>
    <row r="532" ht="13" customHeight="1" s="189">
      <c r="B532" s="290" t="n"/>
      <c r="C532" s="290" t="n"/>
      <c r="D532" s="291" t="n"/>
      <c r="E532" s="290" t="n"/>
      <c r="F532" s="290" t="n"/>
    </row>
    <row r="533" ht="13" customHeight="1" s="189">
      <c r="B533" s="290" t="n"/>
      <c r="C533" s="290" t="n"/>
      <c r="D533" s="291" t="n"/>
      <c r="E533" s="290" t="n"/>
      <c r="F533" s="290" t="n"/>
    </row>
    <row r="534" ht="13" customHeight="1" s="189">
      <c r="B534" s="290" t="n"/>
      <c r="C534" s="290" t="n"/>
      <c r="D534" s="291" t="n"/>
      <c r="E534" s="290" t="n"/>
      <c r="F534" s="290" t="n"/>
    </row>
    <row r="535" ht="13" customHeight="1" s="189">
      <c r="B535" s="290" t="n"/>
      <c r="C535" s="290" t="n"/>
      <c r="D535" s="291" t="n"/>
      <c r="E535" s="290" t="n"/>
      <c r="F535" s="290" t="n"/>
    </row>
    <row r="536" ht="13" customHeight="1" s="189">
      <c r="B536" s="290" t="n"/>
      <c r="C536" s="290" t="n"/>
      <c r="D536" s="291" t="n"/>
      <c r="E536" s="290" t="n"/>
      <c r="F536" s="290" t="n"/>
    </row>
    <row r="537" ht="13" customHeight="1" s="189">
      <c r="B537" s="290" t="n"/>
      <c r="C537" s="290" t="n"/>
      <c r="D537" s="291" t="n"/>
      <c r="E537" s="290" t="n"/>
      <c r="F537" s="290" t="n"/>
    </row>
    <row r="538" ht="13" customHeight="1" s="189">
      <c r="B538" s="290" t="n"/>
      <c r="C538" s="290" t="n"/>
      <c r="D538" s="291" t="n"/>
      <c r="E538" s="290" t="n"/>
      <c r="F538" s="290" t="n"/>
    </row>
    <row r="539" ht="13" customHeight="1" s="189">
      <c r="B539" s="290" t="n"/>
      <c r="C539" s="290" t="n"/>
      <c r="D539" s="291" t="n"/>
      <c r="E539" s="290" t="n"/>
      <c r="F539" s="290" t="n"/>
    </row>
    <row r="540" ht="13" customHeight="1" s="189">
      <c r="B540" s="290" t="n"/>
      <c r="C540" s="290" t="n"/>
      <c r="D540" s="291" t="n"/>
      <c r="E540" s="290" t="n"/>
      <c r="F540" s="290" t="n"/>
    </row>
    <row r="541" ht="13" customHeight="1" s="189">
      <c r="B541" s="290" t="n"/>
      <c r="C541" s="290" t="n"/>
      <c r="D541" s="291" t="n"/>
      <c r="E541" s="290" t="n"/>
      <c r="F541" s="290" t="n"/>
    </row>
    <row r="542" ht="13" customHeight="1" s="189">
      <c r="B542" s="290" t="n"/>
      <c r="C542" s="290" t="n"/>
      <c r="D542" s="291" t="n"/>
      <c r="E542" s="290" t="n"/>
      <c r="F542" s="290" t="n"/>
    </row>
    <row r="543" ht="13" customHeight="1" s="189">
      <c r="B543" s="290" t="n"/>
      <c r="C543" s="290" t="n"/>
      <c r="D543" s="291" t="n"/>
      <c r="E543" s="290" t="n"/>
      <c r="F543" s="290" t="n"/>
    </row>
    <row r="544" ht="13" customHeight="1" s="189">
      <c r="B544" s="290" t="n"/>
      <c r="C544" s="290" t="n"/>
      <c r="D544" s="291" t="n"/>
      <c r="E544" s="290" t="n"/>
      <c r="F544" s="290" t="n"/>
    </row>
    <row r="545" ht="13" customHeight="1" s="189">
      <c r="B545" s="290" t="n"/>
      <c r="C545" s="290" t="n"/>
      <c r="D545" s="291" t="n"/>
      <c r="E545" s="290" t="n"/>
      <c r="F545" s="290" t="n"/>
    </row>
    <row r="546" ht="13" customHeight="1" s="189">
      <c r="B546" s="290" t="n"/>
      <c r="C546" s="290" t="n"/>
      <c r="D546" s="291" t="n"/>
      <c r="E546" s="290" t="n"/>
      <c r="F546" s="290" t="n"/>
    </row>
    <row r="547" ht="13" customHeight="1" s="189">
      <c r="B547" s="290" t="n"/>
      <c r="C547" s="290" t="n"/>
      <c r="D547" s="291" t="n"/>
      <c r="E547" s="290" t="n"/>
      <c r="F547" s="290" t="n"/>
    </row>
    <row r="548" ht="13" customHeight="1" s="189">
      <c r="B548" s="290" t="n"/>
      <c r="C548" s="290" t="n"/>
      <c r="D548" s="291" t="n"/>
      <c r="E548" s="290" t="n"/>
      <c r="F548" s="290" t="n"/>
    </row>
    <row r="549" ht="13" customHeight="1" s="189">
      <c r="B549" s="290" t="n"/>
      <c r="C549" s="290" t="n"/>
      <c r="D549" s="291" t="n"/>
      <c r="E549" s="290" t="n"/>
      <c r="F549" s="290" t="n"/>
    </row>
    <row r="550" ht="13" customHeight="1" s="189">
      <c r="B550" s="290" t="n"/>
      <c r="C550" s="290" t="n"/>
      <c r="D550" s="291" t="n"/>
      <c r="E550" s="290" t="n"/>
      <c r="F550" s="290" t="n"/>
    </row>
    <row r="551" ht="13" customHeight="1" s="189">
      <c r="B551" s="290" t="n"/>
      <c r="C551" s="290" t="n"/>
      <c r="D551" s="291" t="n"/>
      <c r="E551" s="290" t="n"/>
      <c r="F551" s="290" t="n"/>
    </row>
    <row r="552" ht="13" customHeight="1" s="189">
      <c r="B552" s="290" t="n"/>
      <c r="C552" s="290" t="n"/>
      <c r="D552" s="291" t="n"/>
      <c r="E552" s="290" t="n"/>
      <c r="F552" s="290" t="n"/>
    </row>
    <row r="553" ht="13" customHeight="1" s="189">
      <c r="B553" s="290" t="n"/>
      <c r="C553" s="290" t="n"/>
      <c r="D553" s="291" t="n"/>
      <c r="E553" s="290" t="n"/>
      <c r="F553" s="290" t="n"/>
    </row>
    <row r="554" ht="13" customHeight="1" s="189">
      <c r="B554" s="290" t="n"/>
      <c r="C554" s="290" t="n"/>
      <c r="D554" s="291" t="n"/>
      <c r="E554" s="290" t="n"/>
      <c r="F554" s="290" t="n"/>
    </row>
    <row r="555" ht="13" customHeight="1" s="189">
      <c r="B555" s="290" t="n"/>
      <c r="C555" s="290" t="n"/>
      <c r="D555" s="291" t="n"/>
      <c r="E555" s="290" t="n"/>
      <c r="F555" s="290" t="n"/>
    </row>
    <row r="556" ht="13" customHeight="1" s="189">
      <c r="B556" s="290" t="n"/>
      <c r="C556" s="290" t="n"/>
      <c r="D556" s="291" t="n"/>
      <c r="E556" s="290" t="n"/>
      <c r="F556" s="290" t="n"/>
    </row>
    <row r="557" ht="13" customHeight="1" s="189">
      <c r="B557" s="290" t="n"/>
      <c r="C557" s="290" t="n"/>
      <c r="D557" s="291" t="n"/>
      <c r="E557" s="290" t="n"/>
      <c r="F557" s="290" t="n"/>
    </row>
    <row r="558" ht="13" customHeight="1" s="189">
      <c r="B558" s="290" t="n"/>
      <c r="C558" s="290" t="n"/>
      <c r="D558" s="291" t="n"/>
      <c r="E558" s="290" t="n"/>
      <c r="F558" s="290" t="n"/>
    </row>
    <row r="559" ht="13" customHeight="1" s="189">
      <c r="B559" s="290" t="n"/>
      <c r="C559" s="290" t="n"/>
      <c r="D559" s="291" t="n"/>
      <c r="E559" s="290" t="n"/>
      <c r="F559" s="290" t="n"/>
    </row>
    <row r="560" ht="13" customHeight="1" s="189">
      <c r="B560" s="290" t="n"/>
      <c r="C560" s="290" t="n"/>
      <c r="D560" s="291" t="n"/>
      <c r="E560" s="290" t="n"/>
      <c r="F560" s="290" t="n"/>
    </row>
    <row r="561" ht="13" customHeight="1" s="189">
      <c r="B561" s="290" t="n"/>
      <c r="C561" s="290" t="n"/>
      <c r="D561" s="291" t="n"/>
      <c r="E561" s="290" t="n"/>
      <c r="F561" s="290" t="n"/>
    </row>
    <row r="562" ht="13" customHeight="1" s="189">
      <c r="B562" s="290" t="n"/>
      <c r="C562" s="290" t="n"/>
      <c r="D562" s="291" t="n"/>
      <c r="E562" s="290" t="n"/>
      <c r="F562" s="290" t="n"/>
    </row>
    <row r="563" ht="13" customHeight="1" s="189">
      <c r="B563" s="290" t="n"/>
      <c r="C563" s="290" t="n"/>
      <c r="D563" s="291" t="n"/>
      <c r="E563" s="290" t="n"/>
      <c r="F563" s="290" t="n"/>
    </row>
    <row r="564" ht="13" customHeight="1" s="189">
      <c r="B564" s="290" t="n"/>
      <c r="C564" s="290" t="n"/>
      <c r="D564" s="291" t="n"/>
      <c r="E564" s="290" t="n"/>
      <c r="F564" s="290" t="n"/>
    </row>
    <row r="565" ht="13" customHeight="1" s="189">
      <c r="B565" s="290" t="n"/>
      <c r="C565" s="290" t="n"/>
      <c r="D565" s="291" t="n"/>
      <c r="E565" s="290" t="n"/>
      <c r="F565" s="290" t="n"/>
    </row>
    <row r="566" ht="13" customHeight="1" s="189">
      <c r="B566" s="290" t="n"/>
      <c r="C566" s="290" t="n"/>
      <c r="D566" s="291" t="n"/>
      <c r="E566" s="290" t="n"/>
      <c r="F566" s="290" t="n"/>
    </row>
    <row r="567" ht="13" customHeight="1" s="189">
      <c r="B567" s="290" t="n"/>
      <c r="C567" s="290" t="n"/>
      <c r="D567" s="291" t="n"/>
      <c r="E567" s="290" t="n"/>
      <c r="F567" s="290" t="n"/>
    </row>
    <row r="568" ht="13" customHeight="1" s="189">
      <c r="B568" s="290" t="n"/>
      <c r="C568" s="290" t="n"/>
      <c r="D568" s="291" t="n"/>
      <c r="E568" s="290" t="n"/>
      <c r="F568" s="290" t="n"/>
    </row>
    <row r="569" ht="13" customHeight="1" s="189">
      <c r="B569" s="290" t="n"/>
      <c r="C569" s="290" t="n"/>
      <c r="D569" s="291" t="n"/>
      <c r="E569" s="290" t="n"/>
      <c r="F569" s="290" t="n"/>
    </row>
    <row r="570" ht="13" customHeight="1" s="189">
      <c r="B570" s="290" t="n"/>
      <c r="C570" s="290" t="n"/>
      <c r="D570" s="291" t="n"/>
      <c r="E570" s="290" t="n"/>
      <c r="F570" s="290" t="n"/>
    </row>
    <row r="571" ht="13" customHeight="1" s="189">
      <c r="B571" s="290" t="n"/>
      <c r="C571" s="290" t="n"/>
      <c r="D571" s="291" t="n"/>
      <c r="E571" s="290" t="n"/>
      <c r="F571" s="290" t="n"/>
    </row>
    <row r="572" ht="13" customHeight="1" s="189">
      <c r="B572" s="290" t="n"/>
      <c r="C572" s="290" t="n"/>
      <c r="D572" s="291" t="n"/>
      <c r="E572" s="290" t="n"/>
      <c r="F572" s="290" t="n"/>
    </row>
    <row r="573" ht="13" customHeight="1" s="189">
      <c r="B573" s="290" t="n"/>
      <c r="C573" s="290" t="n"/>
      <c r="D573" s="291" t="n"/>
      <c r="E573" s="290" t="n"/>
      <c r="F573" s="290" t="n"/>
    </row>
    <row r="574" ht="13" customHeight="1" s="189">
      <c r="B574" s="290" t="n"/>
      <c r="C574" s="290" t="n"/>
      <c r="D574" s="291" t="n"/>
      <c r="E574" s="290" t="n"/>
      <c r="F574" s="290" t="n"/>
    </row>
    <row r="575" ht="13" customHeight="1" s="189">
      <c r="B575" s="290" t="n"/>
      <c r="C575" s="290" t="n"/>
      <c r="D575" s="291" t="n"/>
      <c r="E575" s="290" t="n"/>
      <c r="F575" s="290" t="n"/>
    </row>
    <row r="576" ht="13" customHeight="1" s="189">
      <c r="B576" s="290" t="n"/>
      <c r="C576" s="290" t="n"/>
      <c r="D576" s="291" t="n"/>
      <c r="E576" s="290" t="n"/>
      <c r="F576" s="290" t="n"/>
    </row>
    <row r="577" ht="13" customHeight="1" s="189">
      <c r="B577" s="290" t="n"/>
      <c r="C577" s="290" t="n"/>
      <c r="D577" s="291" t="n"/>
      <c r="E577" s="290" t="n"/>
      <c r="F577" s="290" t="n"/>
    </row>
    <row r="578" ht="13" customHeight="1" s="189">
      <c r="B578" s="290" t="n"/>
      <c r="C578" s="290" t="n"/>
      <c r="D578" s="291" t="n"/>
      <c r="E578" s="290" t="n"/>
      <c r="F578" s="290" t="n"/>
    </row>
    <row r="579" ht="13" customHeight="1" s="189">
      <c r="B579" s="290" t="n"/>
      <c r="C579" s="290" t="n"/>
      <c r="D579" s="291" t="n"/>
      <c r="E579" s="290" t="n"/>
      <c r="F579" s="290" t="n"/>
    </row>
    <row r="580" ht="13" customHeight="1" s="189">
      <c r="B580" s="290" t="n"/>
      <c r="C580" s="290" t="n"/>
      <c r="D580" s="291" t="n"/>
      <c r="E580" s="290" t="n"/>
      <c r="F580" s="290" t="n"/>
    </row>
    <row r="581" ht="13" customHeight="1" s="189">
      <c r="B581" s="290" t="n"/>
      <c r="C581" s="290" t="n"/>
      <c r="D581" s="291" t="n"/>
      <c r="E581" s="290" t="n"/>
      <c r="F581" s="290" t="n"/>
    </row>
    <row r="582" ht="13" customHeight="1" s="189">
      <c r="B582" s="290" t="n"/>
      <c r="C582" s="290" t="n"/>
      <c r="D582" s="291" t="n"/>
      <c r="E582" s="290" t="n"/>
      <c r="F582" s="290" t="n"/>
    </row>
    <row r="583" ht="13" customHeight="1" s="189">
      <c r="B583" s="290" t="n"/>
      <c r="C583" s="290" t="n"/>
      <c r="D583" s="291" t="n"/>
      <c r="E583" s="290" t="n"/>
      <c r="F583" s="290" t="n"/>
    </row>
    <row r="584" ht="13" customHeight="1" s="189">
      <c r="B584" s="290" t="n"/>
      <c r="C584" s="290" t="n"/>
      <c r="D584" s="291" t="n"/>
      <c r="E584" s="290" t="n"/>
      <c r="F584" s="290" t="n"/>
    </row>
    <row r="585" ht="13" customHeight="1" s="189">
      <c r="B585" s="290" t="n"/>
      <c r="C585" s="290" t="n"/>
      <c r="D585" s="291" t="n"/>
      <c r="E585" s="290" t="n"/>
      <c r="F585" s="290" t="n"/>
    </row>
    <row r="586" ht="13" customHeight="1" s="189">
      <c r="B586" s="290" t="n"/>
      <c r="C586" s="290" t="n"/>
      <c r="D586" s="291" t="n"/>
      <c r="E586" s="290" t="n"/>
      <c r="F586" s="290" t="n"/>
    </row>
    <row r="587" ht="13" customHeight="1" s="189">
      <c r="B587" s="290" t="n"/>
      <c r="C587" s="290" t="n"/>
      <c r="D587" s="291" t="n"/>
      <c r="E587" s="290" t="n"/>
      <c r="F587" s="290" t="n"/>
    </row>
    <row r="588" ht="13" customHeight="1" s="189">
      <c r="B588" s="290" t="n"/>
      <c r="C588" s="290" t="n"/>
      <c r="D588" s="291" t="n"/>
      <c r="E588" s="290" t="n"/>
      <c r="F588" s="290" t="n"/>
    </row>
    <row r="589" ht="13" customHeight="1" s="189">
      <c r="B589" s="290" t="n"/>
      <c r="C589" s="290" t="n"/>
      <c r="D589" s="291" t="n"/>
      <c r="E589" s="290" t="n"/>
      <c r="F589" s="290" t="n"/>
    </row>
    <row r="590" ht="13" customHeight="1" s="189">
      <c r="B590" s="290" t="n"/>
      <c r="C590" s="290" t="n"/>
      <c r="D590" s="291" t="n"/>
      <c r="E590" s="290" t="n"/>
      <c r="F590" s="290" t="n"/>
    </row>
    <row r="591" ht="13" customHeight="1" s="189">
      <c r="B591" s="290" t="n"/>
      <c r="C591" s="290" t="n"/>
      <c r="D591" s="291" t="n"/>
      <c r="E591" s="290" t="n"/>
      <c r="F591" s="290" t="n"/>
    </row>
    <row r="592" ht="13" customHeight="1" s="189">
      <c r="B592" s="290" t="n"/>
      <c r="C592" s="290" t="n"/>
      <c r="D592" s="291" t="n"/>
      <c r="E592" s="290" t="n"/>
      <c r="F592" s="290" t="n"/>
    </row>
    <row r="593" ht="13" customHeight="1" s="189">
      <c r="B593" s="290" t="n"/>
      <c r="C593" s="290" t="n"/>
      <c r="D593" s="291" t="n"/>
      <c r="E593" s="290" t="n"/>
      <c r="F593" s="290" t="n"/>
    </row>
    <row r="594" ht="13" customHeight="1" s="189">
      <c r="B594" s="290" t="n"/>
      <c r="C594" s="290" t="n"/>
      <c r="D594" s="291" t="n"/>
      <c r="E594" s="290" t="n"/>
      <c r="F594" s="290" t="n"/>
    </row>
    <row r="595" ht="13" customHeight="1" s="189">
      <c r="B595" s="290" t="n"/>
      <c r="C595" s="290" t="n"/>
      <c r="D595" s="291" t="n"/>
      <c r="E595" s="290" t="n"/>
      <c r="F595" s="290" t="n"/>
    </row>
    <row r="596" ht="13" customHeight="1" s="189">
      <c r="B596" s="290" t="n"/>
      <c r="C596" s="290" t="n"/>
      <c r="D596" s="291" t="n"/>
      <c r="E596" s="290" t="n"/>
      <c r="F596" s="290" t="n"/>
    </row>
    <row r="597" ht="13" customHeight="1" s="189">
      <c r="B597" s="290" t="n"/>
      <c r="C597" s="290" t="n"/>
      <c r="D597" s="291" t="n"/>
      <c r="E597" s="290" t="n"/>
      <c r="F597" s="290" t="n"/>
    </row>
    <row r="598" ht="13" customHeight="1" s="189">
      <c r="B598" s="290" t="n"/>
      <c r="C598" s="290" t="n"/>
      <c r="D598" s="291" t="n"/>
      <c r="E598" s="290" t="n"/>
      <c r="F598" s="290" t="n"/>
    </row>
    <row r="599" ht="13" customHeight="1" s="189">
      <c r="B599" s="290" t="n"/>
      <c r="C599" s="290" t="n"/>
      <c r="D599" s="291" t="n"/>
      <c r="E599" s="290" t="n"/>
      <c r="F599" s="290" t="n"/>
    </row>
    <row r="600" ht="13" customHeight="1" s="189">
      <c r="B600" s="290" t="n"/>
      <c r="C600" s="290" t="n"/>
      <c r="D600" s="291" t="n"/>
      <c r="E600" s="290" t="n"/>
      <c r="F600" s="290" t="n"/>
    </row>
    <row r="601" ht="13" customHeight="1" s="189">
      <c r="B601" s="290" t="n"/>
      <c r="C601" s="290" t="n"/>
      <c r="D601" s="291" t="n"/>
      <c r="E601" s="290" t="n"/>
      <c r="F601" s="290" t="n"/>
    </row>
    <row r="602" ht="13" customHeight="1" s="189">
      <c r="B602" s="290" t="n"/>
      <c r="C602" s="290" t="n"/>
      <c r="D602" s="291" t="n"/>
      <c r="E602" s="290" t="n"/>
      <c r="F602" s="290" t="n"/>
    </row>
    <row r="603" ht="13" customHeight="1" s="189">
      <c r="B603" s="290" t="n"/>
      <c r="C603" s="290" t="n"/>
      <c r="D603" s="291" t="n"/>
      <c r="E603" s="290" t="n"/>
      <c r="F603" s="290" t="n"/>
    </row>
    <row r="604" ht="13" customHeight="1" s="189">
      <c r="B604" s="290" t="n"/>
      <c r="C604" s="290" t="n"/>
      <c r="D604" s="291" t="n"/>
      <c r="E604" s="290" t="n"/>
      <c r="F604" s="290" t="n"/>
    </row>
    <row r="605" ht="13" customHeight="1" s="189">
      <c r="B605" s="290" t="n"/>
      <c r="C605" s="290" t="n"/>
      <c r="D605" s="291" t="n"/>
      <c r="E605" s="290" t="n"/>
      <c r="F605" s="290" t="n"/>
    </row>
    <row r="606" ht="13" customHeight="1" s="189">
      <c r="B606" s="290" t="n"/>
      <c r="C606" s="290" t="n"/>
      <c r="D606" s="291" t="n"/>
      <c r="E606" s="290" t="n"/>
      <c r="F606" s="290" t="n"/>
    </row>
    <row r="607" ht="13" customHeight="1" s="189">
      <c r="B607" s="290" t="n"/>
      <c r="C607" s="290" t="n"/>
      <c r="D607" s="291" t="n"/>
      <c r="E607" s="290" t="n"/>
      <c r="F607" s="290" t="n"/>
    </row>
    <row r="608" ht="13" customHeight="1" s="189">
      <c r="B608" s="290" t="n"/>
      <c r="C608" s="290" t="n"/>
      <c r="D608" s="291" t="n"/>
      <c r="E608" s="290" t="n"/>
      <c r="F608" s="290" t="n"/>
    </row>
    <row r="609" ht="13" customHeight="1" s="189">
      <c r="B609" s="290" t="n"/>
      <c r="C609" s="290" t="n"/>
      <c r="D609" s="291" t="n"/>
      <c r="E609" s="290" t="n"/>
      <c r="F609" s="290" t="n"/>
    </row>
    <row r="610" ht="13" customHeight="1" s="189">
      <c r="B610" s="290" t="n"/>
      <c r="C610" s="290" t="n"/>
      <c r="D610" s="291" t="n"/>
      <c r="E610" s="290" t="n"/>
      <c r="F610" s="290" t="n"/>
    </row>
    <row r="611" ht="13" customHeight="1" s="189">
      <c r="B611" s="290" t="n"/>
      <c r="C611" s="290" t="n"/>
      <c r="D611" s="291" t="n"/>
      <c r="E611" s="290" t="n"/>
      <c r="F611" s="290" t="n"/>
    </row>
    <row r="612" ht="13" customHeight="1" s="189">
      <c r="B612" s="290" t="n"/>
      <c r="C612" s="290" t="n"/>
      <c r="D612" s="291" t="n"/>
      <c r="E612" s="290" t="n"/>
      <c r="F612" s="290" t="n"/>
    </row>
    <row r="613" ht="13" customHeight="1" s="189">
      <c r="B613" s="290" t="n"/>
      <c r="C613" s="290" t="n"/>
      <c r="D613" s="291" t="n"/>
      <c r="E613" s="290" t="n"/>
      <c r="F613" s="290" t="n"/>
    </row>
    <row r="614" ht="13" customHeight="1" s="189">
      <c r="B614" s="290" t="n"/>
      <c r="C614" s="290" t="n"/>
      <c r="D614" s="291" t="n"/>
      <c r="E614" s="290" t="n"/>
      <c r="F614" s="290" t="n"/>
    </row>
    <row r="615" ht="13" customHeight="1" s="189">
      <c r="B615" s="290" t="n"/>
      <c r="C615" s="290" t="n"/>
      <c r="D615" s="291" t="n"/>
      <c r="E615" s="290" t="n"/>
      <c r="F615" s="290" t="n"/>
    </row>
    <row r="616" ht="13" customHeight="1" s="189">
      <c r="B616" s="290" t="n"/>
      <c r="C616" s="290" t="n"/>
      <c r="D616" s="291" t="n"/>
      <c r="E616" s="290" t="n"/>
      <c r="F616" s="290" t="n"/>
    </row>
    <row r="617" ht="13" customHeight="1" s="189">
      <c r="B617" s="290" t="n"/>
      <c r="C617" s="290" t="n"/>
      <c r="D617" s="291" t="n"/>
      <c r="E617" s="290" t="n"/>
      <c r="F617" s="290" t="n"/>
    </row>
    <row r="618" ht="13" customHeight="1" s="189">
      <c r="B618" s="290" t="n"/>
      <c r="C618" s="290" t="n"/>
      <c r="D618" s="291" t="n"/>
      <c r="E618" s="290" t="n"/>
      <c r="F618" s="290" t="n"/>
    </row>
    <row r="619" ht="13" customHeight="1" s="189">
      <c r="B619" s="290" t="n"/>
      <c r="C619" s="290" t="n"/>
      <c r="D619" s="291" t="n"/>
      <c r="E619" s="290" t="n"/>
      <c r="F619" s="290" t="n"/>
    </row>
    <row r="620" ht="13" customHeight="1" s="189">
      <c r="B620" s="290" t="n"/>
      <c r="C620" s="290" t="n"/>
      <c r="D620" s="291" t="n"/>
      <c r="E620" s="290" t="n"/>
      <c r="F620" s="290" t="n"/>
    </row>
    <row r="621" ht="13" customHeight="1" s="189">
      <c r="B621" s="290" t="n"/>
      <c r="C621" s="290" t="n"/>
      <c r="D621" s="291" t="n"/>
      <c r="E621" s="290" t="n"/>
      <c r="F621" s="290" t="n"/>
    </row>
    <row r="622" ht="13" customHeight="1" s="189">
      <c r="B622" s="290" t="n"/>
      <c r="C622" s="290" t="n"/>
      <c r="D622" s="291" t="n"/>
      <c r="E622" s="290" t="n"/>
      <c r="F622" s="290" t="n"/>
    </row>
    <row r="623" ht="13" customHeight="1" s="189">
      <c r="B623" s="290" t="n"/>
      <c r="C623" s="290" t="n"/>
      <c r="D623" s="291" t="n"/>
      <c r="E623" s="290" t="n"/>
      <c r="F623" s="290" t="n"/>
    </row>
    <row r="624" ht="13" customHeight="1" s="189">
      <c r="B624" s="290" t="n"/>
      <c r="C624" s="290" t="n"/>
      <c r="D624" s="291" t="n"/>
      <c r="E624" s="290" t="n"/>
      <c r="F624" s="290" t="n"/>
    </row>
    <row r="625" ht="13" customHeight="1" s="189">
      <c r="B625" s="290" t="n"/>
      <c r="C625" s="290" t="n"/>
      <c r="D625" s="291" t="n"/>
      <c r="E625" s="290" t="n"/>
      <c r="F625" s="290" t="n"/>
    </row>
    <row r="626" ht="13" customHeight="1" s="189">
      <c r="B626" s="290" t="n"/>
      <c r="C626" s="290" t="n"/>
      <c r="D626" s="291" t="n"/>
      <c r="E626" s="290" t="n"/>
      <c r="F626" s="290" t="n"/>
    </row>
    <row r="627" ht="13" customHeight="1" s="189">
      <c r="B627" s="290" t="n"/>
      <c r="C627" s="290" t="n"/>
      <c r="D627" s="291" t="n"/>
      <c r="E627" s="290" t="n"/>
      <c r="F627" s="290" t="n"/>
    </row>
    <row r="628" ht="13" customHeight="1" s="189">
      <c r="B628" s="290" t="n"/>
      <c r="C628" s="290" t="n"/>
      <c r="D628" s="291" t="n"/>
      <c r="E628" s="290" t="n"/>
      <c r="F628" s="290" t="n"/>
    </row>
    <row r="629" ht="13" customHeight="1" s="189">
      <c r="B629" s="290" t="n"/>
      <c r="C629" s="290" t="n"/>
      <c r="D629" s="291" t="n"/>
      <c r="E629" s="290" t="n"/>
      <c r="F629" s="290" t="n"/>
    </row>
    <row r="630" ht="13" customHeight="1" s="189">
      <c r="B630" s="290" t="n"/>
      <c r="C630" s="290" t="n"/>
      <c r="D630" s="291" t="n"/>
      <c r="E630" s="290" t="n"/>
      <c r="F630" s="290" t="n"/>
    </row>
    <row r="631" ht="13" customHeight="1" s="189">
      <c r="B631" s="290" t="n"/>
      <c r="C631" s="290" t="n"/>
      <c r="D631" s="291" t="n"/>
      <c r="E631" s="290" t="n"/>
      <c r="F631" s="290" t="n"/>
    </row>
    <row r="632" ht="13" customHeight="1" s="189">
      <c r="B632" s="290" t="n"/>
      <c r="C632" s="290" t="n"/>
      <c r="D632" s="291" t="n"/>
      <c r="E632" s="290" t="n"/>
      <c r="F632" s="290" t="n"/>
    </row>
    <row r="633" ht="13" customHeight="1" s="189">
      <c r="B633" s="290" t="n"/>
      <c r="C633" s="290" t="n"/>
      <c r="D633" s="291" t="n"/>
      <c r="E633" s="290" t="n"/>
      <c r="F633" s="290" t="n"/>
    </row>
    <row r="634" ht="13" customHeight="1" s="189">
      <c r="B634" s="290" t="n"/>
      <c r="C634" s="290" t="n"/>
      <c r="D634" s="291" t="n"/>
      <c r="E634" s="290" t="n"/>
      <c r="F634" s="290" t="n"/>
    </row>
    <row r="635" ht="13" customHeight="1" s="189">
      <c r="B635" s="290" t="n"/>
      <c r="C635" s="290" t="n"/>
      <c r="D635" s="291" t="n"/>
      <c r="E635" s="290" t="n"/>
      <c r="F635" s="290" t="n"/>
    </row>
    <row r="636" ht="13" customHeight="1" s="189">
      <c r="B636" s="290" t="n"/>
      <c r="C636" s="290" t="n"/>
      <c r="D636" s="291" t="n"/>
      <c r="E636" s="290" t="n"/>
      <c r="F636" s="290" t="n"/>
    </row>
    <row r="637" ht="13" customHeight="1" s="189">
      <c r="B637" s="290" t="n"/>
      <c r="C637" s="290" t="n"/>
      <c r="D637" s="291" t="n"/>
      <c r="E637" s="290" t="n"/>
      <c r="F637" s="290" t="n"/>
    </row>
    <row r="638" ht="13" customHeight="1" s="189">
      <c r="B638" s="290" t="n"/>
      <c r="C638" s="290" t="n"/>
      <c r="D638" s="291" t="n"/>
      <c r="E638" s="290" t="n"/>
      <c r="F638" s="290" t="n"/>
    </row>
    <row r="639" ht="13" customHeight="1" s="189">
      <c r="B639" s="290" t="n"/>
      <c r="C639" s="290" t="n"/>
      <c r="D639" s="291" t="n"/>
      <c r="E639" s="290" t="n"/>
      <c r="F639" s="290" t="n"/>
    </row>
    <row r="640" ht="13" customHeight="1" s="189">
      <c r="B640" s="290" t="n"/>
      <c r="C640" s="290" t="n"/>
      <c r="D640" s="291" t="n"/>
      <c r="E640" s="290" t="n"/>
      <c r="F640" s="290" t="n"/>
    </row>
    <row r="641" ht="13" customHeight="1" s="189">
      <c r="B641" s="290" t="n"/>
      <c r="C641" s="290" t="n"/>
      <c r="D641" s="291" t="n"/>
      <c r="E641" s="290" t="n"/>
      <c r="F641" s="290" t="n"/>
    </row>
    <row r="642" ht="13" customHeight="1" s="189">
      <c r="B642" s="290" t="n"/>
      <c r="C642" s="290" t="n"/>
      <c r="D642" s="291" t="n"/>
      <c r="E642" s="290" t="n"/>
      <c r="F642" s="290" t="n"/>
    </row>
    <row r="643" ht="13" customHeight="1" s="189">
      <c r="B643" s="290" t="n"/>
      <c r="C643" s="290" t="n"/>
      <c r="D643" s="291" t="n"/>
      <c r="E643" s="290" t="n"/>
      <c r="F643" s="290" t="n"/>
    </row>
    <row r="644" ht="13" customHeight="1" s="189">
      <c r="B644" s="290" t="n"/>
      <c r="C644" s="290" t="n"/>
      <c r="D644" s="291" t="n"/>
      <c r="E644" s="290" t="n"/>
      <c r="F644" s="290" t="n"/>
    </row>
    <row r="645" ht="13" customHeight="1" s="189">
      <c r="B645" s="290" t="n"/>
      <c r="C645" s="290" t="n"/>
      <c r="D645" s="291" t="n"/>
      <c r="E645" s="290" t="n"/>
      <c r="F645" s="290" t="n"/>
    </row>
    <row r="646" ht="13" customHeight="1" s="189">
      <c r="B646" s="290" t="n"/>
      <c r="C646" s="290" t="n"/>
      <c r="D646" s="291" t="n"/>
      <c r="E646" s="290" t="n"/>
      <c r="F646" s="290" t="n"/>
    </row>
    <row r="647" ht="13" customHeight="1" s="189">
      <c r="B647" s="290" t="n"/>
      <c r="C647" s="290" t="n"/>
      <c r="D647" s="291" t="n"/>
      <c r="E647" s="290" t="n"/>
      <c r="F647" s="290" t="n"/>
    </row>
    <row r="648" ht="13" customHeight="1" s="189">
      <c r="B648" s="290" t="n"/>
      <c r="C648" s="290" t="n"/>
      <c r="D648" s="291" t="n"/>
      <c r="E648" s="290" t="n"/>
      <c r="F648" s="290" t="n"/>
    </row>
    <row r="649" ht="13" customHeight="1" s="189">
      <c r="B649" s="290" t="n"/>
      <c r="C649" s="290" t="n"/>
      <c r="D649" s="291" t="n"/>
      <c r="E649" s="290" t="n"/>
      <c r="F649" s="290" t="n"/>
    </row>
    <row r="650" ht="13" customHeight="1" s="189">
      <c r="B650" s="290" t="n"/>
      <c r="C650" s="290" t="n"/>
      <c r="D650" s="291" t="n"/>
      <c r="E650" s="290" t="n"/>
      <c r="F650" s="290" t="n"/>
    </row>
    <row r="651" ht="13" customHeight="1" s="189">
      <c r="B651" s="290" t="n"/>
      <c r="C651" s="290" t="n"/>
      <c r="D651" s="291" t="n"/>
      <c r="E651" s="290" t="n"/>
      <c r="F651" s="290" t="n"/>
    </row>
    <row r="652" ht="13" customHeight="1" s="189">
      <c r="B652" s="290" t="n"/>
      <c r="C652" s="290" t="n"/>
      <c r="D652" s="291" t="n"/>
      <c r="E652" s="290" t="n"/>
      <c r="F652" s="290" t="n"/>
    </row>
    <row r="653" ht="13" customHeight="1" s="189">
      <c r="B653" s="290" t="n"/>
      <c r="C653" s="290" t="n"/>
      <c r="D653" s="291" t="n"/>
      <c r="E653" s="290" t="n"/>
      <c r="F653" s="290" t="n"/>
    </row>
    <row r="654" ht="13" customHeight="1" s="189">
      <c r="B654" s="290" t="n"/>
      <c r="C654" s="290" t="n"/>
      <c r="D654" s="291" t="n"/>
      <c r="E654" s="290" t="n"/>
      <c r="F654" s="290" t="n"/>
    </row>
    <row r="655" ht="13" customHeight="1" s="189">
      <c r="B655" s="290" t="n"/>
      <c r="C655" s="290" t="n"/>
      <c r="D655" s="291" t="n"/>
      <c r="E655" s="290" t="n"/>
      <c r="F655" s="290" t="n"/>
    </row>
    <row r="656" ht="13" customHeight="1" s="189">
      <c r="B656" s="290" t="n"/>
      <c r="C656" s="290" t="n"/>
      <c r="D656" s="291" t="n"/>
      <c r="E656" s="290" t="n"/>
      <c r="F656" s="290" t="n"/>
    </row>
    <row r="657" ht="13" customHeight="1" s="189">
      <c r="B657" s="290" t="n"/>
      <c r="C657" s="290" t="n"/>
      <c r="D657" s="291" t="n"/>
      <c r="E657" s="290" t="n"/>
      <c r="F657" s="290" t="n"/>
    </row>
    <row r="658" ht="13" customHeight="1" s="189">
      <c r="B658" s="290" t="n"/>
      <c r="C658" s="290" t="n"/>
      <c r="D658" s="291" t="n"/>
      <c r="E658" s="290" t="n"/>
      <c r="F658" s="290" t="n"/>
    </row>
    <row r="659" ht="13" customHeight="1" s="189">
      <c r="B659" s="290" t="n"/>
      <c r="C659" s="290" t="n"/>
      <c r="D659" s="291" t="n"/>
      <c r="E659" s="290" t="n"/>
      <c r="F659" s="290" t="n"/>
    </row>
    <row r="660" ht="13" customHeight="1" s="189">
      <c r="B660" s="290" t="n"/>
      <c r="C660" s="290" t="n"/>
      <c r="D660" s="291" t="n"/>
      <c r="E660" s="290" t="n"/>
      <c r="F660" s="290" t="n"/>
    </row>
    <row r="661" ht="13" customHeight="1" s="189">
      <c r="B661" s="290" t="n"/>
      <c r="C661" s="290" t="n"/>
      <c r="D661" s="291" t="n"/>
      <c r="E661" s="290" t="n"/>
      <c r="F661" s="290" t="n"/>
    </row>
    <row r="662" ht="13" customHeight="1" s="189">
      <c r="B662" s="290" t="n"/>
      <c r="C662" s="290" t="n"/>
      <c r="D662" s="291" t="n"/>
      <c r="E662" s="290" t="n"/>
      <c r="F662" s="290" t="n"/>
    </row>
    <row r="663" ht="13" customHeight="1" s="189">
      <c r="B663" s="290" t="n"/>
      <c r="C663" s="290" t="n"/>
      <c r="D663" s="291" t="n"/>
      <c r="E663" s="290" t="n"/>
      <c r="F663" s="290" t="n"/>
    </row>
    <row r="664" ht="13" customHeight="1" s="189">
      <c r="B664" s="290" t="n"/>
      <c r="C664" s="290" t="n"/>
      <c r="D664" s="291" t="n"/>
      <c r="E664" s="290" t="n"/>
      <c r="F664" s="290" t="n"/>
    </row>
    <row r="665" ht="13" customHeight="1" s="189">
      <c r="B665" s="290" t="n"/>
      <c r="C665" s="290" t="n"/>
      <c r="D665" s="291" t="n"/>
      <c r="E665" s="290" t="n"/>
      <c r="F665" s="290" t="n"/>
    </row>
    <row r="666" ht="13" customHeight="1" s="189">
      <c r="B666" s="290" t="n"/>
      <c r="C666" s="290" t="n"/>
      <c r="D666" s="291" t="n"/>
      <c r="E666" s="290" t="n"/>
      <c r="F666" s="290" t="n"/>
    </row>
    <row r="667" ht="13" customHeight="1" s="189">
      <c r="B667" s="290" t="n"/>
      <c r="C667" s="290" t="n"/>
      <c r="D667" s="291" t="n"/>
      <c r="E667" s="290" t="n"/>
      <c r="F667" s="290" t="n"/>
    </row>
    <row r="668" ht="13" customHeight="1" s="189">
      <c r="B668" s="290" t="n"/>
      <c r="C668" s="290" t="n"/>
      <c r="D668" s="291" t="n"/>
      <c r="E668" s="290" t="n"/>
      <c r="F668" s="290" t="n"/>
    </row>
    <row r="669" ht="13" customHeight="1" s="189">
      <c r="B669" s="290" t="n"/>
      <c r="C669" s="290" t="n"/>
      <c r="D669" s="291" t="n"/>
      <c r="E669" s="290" t="n"/>
      <c r="F669" s="290" t="n"/>
    </row>
    <row r="670" ht="13" customHeight="1" s="189">
      <c r="B670" s="290" t="n"/>
      <c r="C670" s="290" t="n"/>
      <c r="D670" s="291" t="n"/>
      <c r="E670" s="290" t="n"/>
      <c r="F670" s="290" t="n"/>
    </row>
    <row r="671" ht="13" customHeight="1" s="189">
      <c r="B671" s="290" t="n"/>
      <c r="C671" s="290" t="n"/>
      <c r="D671" s="291" t="n"/>
      <c r="E671" s="290" t="n"/>
      <c r="F671" s="290" t="n"/>
    </row>
    <row r="672" ht="13" customHeight="1" s="189">
      <c r="B672" s="290" t="n"/>
      <c r="C672" s="290" t="n"/>
      <c r="D672" s="291" t="n"/>
      <c r="E672" s="290" t="n"/>
      <c r="F672" s="290" t="n"/>
    </row>
    <row r="673" ht="13" customHeight="1" s="189">
      <c r="B673" s="290" t="n"/>
      <c r="C673" s="290" t="n"/>
      <c r="D673" s="291" t="n"/>
      <c r="E673" s="290" t="n"/>
      <c r="F673" s="290" t="n"/>
    </row>
    <row r="674" ht="13" customHeight="1" s="189">
      <c r="B674" s="290" t="n"/>
      <c r="C674" s="290" t="n"/>
      <c r="D674" s="291" t="n"/>
      <c r="E674" s="290" t="n"/>
      <c r="F674" s="290" t="n"/>
    </row>
    <row r="675" ht="13" customHeight="1" s="189">
      <c r="B675" s="290" t="n"/>
      <c r="C675" s="290" t="n"/>
      <c r="D675" s="291" t="n"/>
      <c r="E675" s="290" t="n"/>
      <c r="F675" s="290" t="n"/>
    </row>
    <row r="676" ht="13" customHeight="1" s="189">
      <c r="B676" s="290" t="n"/>
      <c r="C676" s="290" t="n"/>
      <c r="D676" s="291" t="n"/>
      <c r="E676" s="290" t="n"/>
      <c r="F676" s="290" t="n"/>
    </row>
    <row r="677" ht="13" customHeight="1" s="189">
      <c r="B677" s="290" t="n"/>
      <c r="C677" s="290" t="n"/>
      <c r="D677" s="291" t="n"/>
      <c r="E677" s="290" t="n"/>
      <c r="F677" s="290" t="n"/>
    </row>
    <row r="678" ht="13" customHeight="1" s="189">
      <c r="B678" s="290" t="n"/>
      <c r="C678" s="290" t="n"/>
      <c r="D678" s="291" t="n"/>
      <c r="E678" s="290" t="n"/>
      <c r="F678" s="290" t="n"/>
    </row>
    <row r="679" ht="13" customHeight="1" s="189">
      <c r="B679" s="290" t="n"/>
      <c r="C679" s="290" t="n"/>
      <c r="D679" s="291" t="n"/>
      <c r="E679" s="290" t="n"/>
      <c r="F679" s="290" t="n"/>
    </row>
    <row r="680" ht="13" customHeight="1" s="189">
      <c r="B680" s="290" t="n"/>
      <c r="C680" s="290" t="n"/>
      <c r="D680" s="291" t="n"/>
      <c r="E680" s="290" t="n"/>
      <c r="F680" s="290" t="n"/>
    </row>
    <row r="681" ht="13" customHeight="1" s="189">
      <c r="B681" s="290" t="n"/>
      <c r="C681" s="290" t="n"/>
      <c r="D681" s="291" t="n"/>
      <c r="E681" s="290" t="n"/>
      <c r="F681" s="290" t="n"/>
    </row>
    <row r="682" ht="13" customHeight="1" s="189">
      <c r="B682" s="290" t="n"/>
      <c r="C682" s="290" t="n"/>
      <c r="D682" s="291" t="n"/>
      <c r="E682" s="290" t="n"/>
      <c r="F682" s="290" t="n"/>
    </row>
    <row r="683" ht="13" customHeight="1" s="189">
      <c r="B683" s="290" t="n"/>
      <c r="C683" s="290" t="n"/>
      <c r="D683" s="291" t="n"/>
      <c r="E683" s="290" t="n"/>
      <c r="F683" s="290" t="n"/>
    </row>
    <row r="684" ht="13" customHeight="1" s="189">
      <c r="B684" s="290" t="n"/>
      <c r="C684" s="290" t="n"/>
      <c r="D684" s="291" t="n"/>
      <c r="E684" s="290" t="n"/>
      <c r="F684" s="290" t="n"/>
    </row>
    <row r="685" ht="13" customHeight="1" s="189">
      <c r="B685" s="290" t="n"/>
      <c r="C685" s="290" t="n"/>
      <c r="D685" s="291" t="n"/>
      <c r="E685" s="290" t="n"/>
      <c r="F685" s="290" t="n"/>
    </row>
    <row r="686" ht="13" customHeight="1" s="189">
      <c r="B686" s="290" t="n"/>
      <c r="C686" s="290" t="n"/>
      <c r="D686" s="291" t="n"/>
      <c r="E686" s="290" t="n"/>
      <c r="F686" s="290" t="n"/>
    </row>
    <row r="687" ht="13" customHeight="1" s="189">
      <c r="B687" s="290" t="n"/>
      <c r="C687" s="290" t="n"/>
      <c r="D687" s="291" t="n"/>
      <c r="E687" s="290" t="n"/>
      <c r="F687" s="290" t="n"/>
    </row>
    <row r="688" ht="13" customHeight="1" s="189">
      <c r="B688" s="290" t="n"/>
      <c r="C688" s="290" t="n"/>
      <c r="D688" s="291" t="n"/>
      <c r="E688" s="290" t="n"/>
      <c r="F688" s="290" t="n"/>
    </row>
    <row r="689" ht="13" customHeight="1" s="189">
      <c r="B689" s="290" t="n"/>
      <c r="C689" s="290" t="n"/>
      <c r="D689" s="291" t="n"/>
      <c r="E689" s="290" t="n"/>
      <c r="F689" s="290" t="n"/>
    </row>
    <row r="690" ht="13" customHeight="1" s="189">
      <c r="B690" s="290" t="n"/>
      <c r="C690" s="290" t="n"/>
      <c r="D690" s="291" t="n"/>
      <c r="E690" s="290" t="n"/>
      <c r="F690" s="290" t="n"/>
    </row>
    <row r="691" ht="13" customHeight="1" s="189">
      <c r="B691" s="290" t="n"/>
      <c r="C691" s="290" t="n"/>
      <c r="D691" s="291" t="n"/>
      <c r="E691" s="290" t="n"/>
      <c r="F691" s="290" t="n"/>
    </row>
    <row r="692" ht="13" customHeight="1" s="189">
      <c r="B692" s="290" t="n"/>
      <c r="C692" s="290" t="n"/>
      <c r="D692" s="291" t="n"/>
      <c r="E692" s="290" t="n"/>
      <c r="F692" s="290" t="n"/>
    </row>
    <row r="693" ht="13" customHeight="1" s="189">
      <c r="B693" s="290" t="n"/>
      <c r="C693" s="290" t="n"/>
      <c r="D693" s="291" t="n"/>
      <c r="E693" s="290" t="n"/>
      <c r="F693" s="290" t="n"/>
    </row>
    <row r="694" ht="13" customHeight="1" s="189">
      <c r="B694" s="290" t="n"/>
      <c r="C694" s="290" t="n"/>
      <c r="D694" s="291" t="n"/>
      <c r="E694" s="290" t="n"/>
      <c r="F694" s="290" t="n"/>
    </row>
    <row r="695" ht="13" customHeight="1" s="189">
      <c r="B695" s="290" t="n"/>
      <c r="C695" s="290" t="n"/>
      <c r="D695" s="291" t="n"/>
      <c r="E695" s="290" t="n"/>
      <c r="F695" s="290" t="n"/>
    </row>
    <row r="696" ht="13" customHeight="1" s="189">
      <c r="B696" s="290" t="n"/>
      <c r="C696" s="290" t="n"/>
      <c r="D696" s="291" t="n"/>
      <c r="E696" s="290" t="n"/>
      <c r="F696" s="290" t="n"/>
    </row>
    <row r="697" ht="13" customHeight="1" s="189">
      <c r="B697" s="290" t="n"/>
      <c r="C697" s="290" t="n"/>
      <c r="D697" s="291" t="n"/>
      <c r="E697" s="290" t="n"/>
      <c r="F697" s="290" t="n"/>
    </row>
    <row r="698" ht="13" customHeight="1" s="189">
      <c r="B698" s="290" t="n"/>
      <c r="C698" s="290" t="n"/>
      <c r="D698" s="291" t="n"/>
      <c r="E698" s="290" t="n"/>
      <c r="F698" s="290" t="n"/>
    </row>
    <row r="699" ht="13" customHeight="1" s="189">
      <c r="B699" s="290" t="n"/>
      <c r="C699" s="290" t="n"/>
      <c r="D699" s="291" t="n"/>
      <c r="E699" s="290" t="n"/>
      <c r="F699" s="290" t="n"/>
    </row>
    <row r="700" ht="13" customHeight="1" s="189">
      <c r="B700" s="290" t="n"/>
      <c r="C700" s="290" t="n"/>
      <c r="D700" s="291" t="n"/>
      <c r="E700" s="290" t="n"/>
      <c r="F700" s="290" t="n"/>
    </row>
    <row r="701" ht="13" customHeight="1" s="189">
      <c r="B701" s="290" t="n"/>
      <c r="C701" s="290" t="n"/>
      <c r="D701" s="291" t="n"/>
      <c r="E701" s="290" t="n"/>
      <c r="F701" s="290" t="n"/>
    </row>
    <row r="702" ht="13" customHeight="1" s="189">
      <c r="B702" s="290" t="n"/>
      <c r="C702" s="290" t="n"/>
      <c r="D702" s="291" t="n"/>
      <c r="E702" s="290" t="n"/>
      <c r="F702" s="290" t="n"/>
    </row>
    <row r="703" ht="13" customHeight="1" s="189">
      <c r="B703" s="290" t="n"/>
      <c r="C703" s="290" t="n"/>
      <c r="D703" s="291" t="n"/>
      <c r="E703" s="290" t="n"/>
      <c r="F703" s="290" t="n"/>
    </row>
    <row r="704" ht="13" customHeight="1" s="189">
      <c r="B704" s="290" t="n"/>
      <c r="C704" s="290" t="n"/>
      <c r="D704" s="291" t="n"/>
      <c r="E704" s="290" t="n"/>
      <c r="F704" s="290" t="n"/>
    </row>
    <row r="705" ht="13" customHeight="1" s="189">
      <c r="B705" s="290" t="n"/>
      <c r="C705" s="290" t="n"/>
      <c r="D705" s="291" t="n"/>
      <c r="E705" s="290" t="n"/>
      <c r="F705" s="290" t="n"/>
    </row>
    <row r="706" ht="13" customHeight="1" s="189">
      <c r="B706" s="290" t="n"/>
      <c r="C706" s="290" t="n"/>
      <c r="D706" s="291" t="n"/>
      <c r="E706" s="290" t="n"/>
      <c r="F706" s="290" t="n"/>
    </row>
    <row r="707" ht="13" customHeight="1" s="189">
      <c r="B707" s="290" t="n"/>
      <c r="C707" s="290" t="n"/>
      <c r="D707" s="291" t="n"/>
      <c r="E707" s="290" t="n"/>
      <c r="F707" s="290" t="n"/>
    </row>
    <row r="708" ht="13" customHeight="1" s="189">
      <c r="B708" s="290" t="n"/>
      <c r="C708" s="290" t="n"/>
      <c r="D708" s="291" t="n"/>
      <c r="E708" s="290" t="n"/>
      <c r="F708" s="290" t="n"/>
    </row>
    <row r="709" ht="13" customHeight="1" s="189">
      <c r="B709" s="290" t="n"/>
      <c r="C709" s="290" t="n"/>
      <c r="D709" s="291" t="n"/>
      <c r="E709" s="290" t="n"/>
      <c r="F709" s="290" t="n"/>
    </row>
    <row r="710" ht="13" customHeight="1" s="189">
      <c r="B710" s="290" t="n"/>
      <c r="C710" s="290" t="n"/>
      <c r="D710" s="291" t="n"/>
      <c r="E710" s="290" t="n"/>
      <c r="F710" s="290" t="n"/>
    </row>
    <row r="711" ht="13" customHeight="1" s="189">
      <c r="B711" s="290" t="n"/>
      <c r="C711" s="290" t="n"/>
      <c r="D711" s="291" t="n"/>
      <c r="E711" s="290" t="n"/>
      <c r="F711" s="290" t="n"/>
    </row>
    <row r="712" ht="13" customHeight="1" s="189">
      <c r="B712" s="290" t="n"/>
      <c r="C712" s="290" t="n"/>
      <c r="D712" s="291" t="n"/>
      <c r="E712" s="290" t="n"/>
      <c r="F712" s="290" t="n"/>
    </row>
    <row r="713" ht="13" customHeight="1" s="189">
      <c r="B713" s="290" t="n"/>
      <c r="C713" s="290" t="n"/>
      <c r="D713" s="291" t="n"/>
      <c r="E713" s="290" t="n"/>
      <c r="F713" s="290" t="n"/>
    </row>
    <row r="714" ht="13" customHeight="1" s="189">
      <c r="B714" s="290" t="n"/>
      <c r="C714" s="290" t="n"/>
      <c r="D714" s="291" t="n"/>
      <c r="E714" s="290" t="n"/>
      <c r="F714" s="290" t="n"/>
    </row>
    <row r="715" ht="13" customHeight="1" s="189">
      <c r="B715" s="290" t="n"/>
      <c r="C715" s="290" t="n"/>
      <c r="D715" s="291" t="n"/>
      <c r="E715" s="290" t="n"/>
      <c r="F715" s="290" t="n"/>
    </row>
    <row r="716" ht="13" customHeight="1" s="189">
      <c r="B716" s="290" t="n"/>
      <c r="C716" s="290" t="n"/>
      <c r="D716" s="291" t="n"/>
      <c r="E716" s="290" t="n"/>
      <c r="F716" s="290" t="n"/>
    </row>
    <row r="717" ht="13" customHeight="1" s="189">
      <c r="B717" s="290" t="n"/>
      <c r="C717" s="290" t="n"/>
      <c r="D717" s="291" t="n"/>
      <c r="E717" s="290" t="n"/>
      <c r="F717" s="290" t="n"/>
    </row>
    <row r="718" ht="13" customHeight="1" s="189">
      <c r="B718" s="290" t="n"/>
      <c r="C718" s="290" t="n"/>
      <c r="D718" s="291" t="n"/>
      <c r="E718" s="290" t="n"/>
      <c r="F718" s="290" t="n"/>
    </row>
    <row r="719" ht="13" customHeight="1" s="189">
      <c r="B719" s="290" t="n"/>
      <c r="C719" s="290" t="n"/>
      <c r="D719" s="291" t="n"/>
      <c r="E719" s="290" t="n"/>
      <c r="F719" s="290" t="n"/>
    </row>
    <row r="720" ht="13" customHeight="1" s="189">
      <c r="B720" s="290" t="n"/>
      <c r="C720" s="290" t="n"/>
      <c r="D720" s="291" t="n"/>
      <c r="E720" s="290" t="n"/>
      <c r="F720" s="290" t="n"/>
    </row>
    <row r="721" ht="13" customHeight="1" s="189">
      <c r="B721" s="290" t="n"/>
      <c r="C721" s="290" t="n"/>
      <c r="D721" s="291" t="n"/>
      <c r="E721" s="290" t="n"/>
      <c r="F721" s="290" t="n"/>
    </row>
    <row r="722" ht="13" customHeight="1" s="189">
      <c r="B722" s="290" t="n"/>
      <c r="C722" s="290" t="n"/>
      <c r="D722" s="291" t="n"/>
      <c r="E722" s="290" t="n"/>
      <c r="F722" s="290" t="n"/>
    </row>
    <row r="723" ht="13" customHeight="1" s="189">
      <c r="B723" s="290" t="n"/>
      <c r="C723" s="290" t="n"/>
      <c r="D723" s="291" t="n"/>
      <c r="E723" s="290" t="n"/>
      <c r="F723" s="290" t="n"/>
    </row>
    <row r="724" ht="13" customHeight="1" s="189">
      <c r="B724" s="290" t="n"/>
      <c r="C724" s="290" t="n"/>
      <c r="D724" s="291" t="n"/>
      <c r="E724" s="290" t="n"/>
      <c r="F724" s="290" t="n"/>
    </row>
    <row r="725" ht="13" customHeight="1" s="189">
      <c r="B725" s="290" t="n"/>
      <c r="C725" s="290" t="n"/>
      <c r="D725" s="291" t="n"/>
      <c r="E725" s="290" t="n"/>
      <c r="F725" s="290" t="n"/>
    </row>
    <row r="726" ht="13" customHeight="1" s="189">
      <c r="B726" s="290" t="n"/>
      <c r="C726" s="290" t="n"/>
      <c r="D726" s="291" t="n"/>
      <c r="E726" s="290" t="n"/>
      <c r="F726" s="290" t="n"/>
    </row>
    <row r="727" ht="13" customHeight="1" s="189">
      <c r="B727" s="290" t="n"/>
      <c r="C727" s="290" t="n"/>
      <c r="D727" s="291" t="n"/>
      <c r="E727" s="290" t="n"/>
      <c r="F727" s="290" t="n"/>
    </row>
    <row r="728" ht="13" customHeight="1" s="189">
      <c r="B728" s="290" t="n"/>
      <c r="C728" s="290" t="n"/>
      <c r="D728" s="291" t="n"/>
      <c r="E728" s="290" t="n"/>
      <c r="F728" s="290" t="n"/>
    </row>
    <row r="729" ht="13" customHeight="1" s="189">
      <c r="B729" s="290" t="n"/>
      <c r="C729" s="290" t="n"/>
      <c r="D729" s="291" t="n"/>
      <c r="E729" s="290" t="n"/>
      <c r="F729" s="290" t="n"/>
    </row>
    <row r="730" ht="13" customHeight="1" s="189">
      <c r="B730" s="290" t="n"/>
      <c r="C730" s="290" t="n"/>
      <c r="D730" s="291" t="n"/>
      <c r="E730" s="290" t="n"/>
      <c r="F730" s="290" t="n"/>
    </row>
    <row r="731" ht="13" customHeight="1" s="189">
      <c r="B731" s="290" t="n"/>
      <c r="C731" s="290" t="n"/>
      <c r="D731" s="291" t="n"/>
      <c r="E731" s="290" t="n"/>
      <c r="F731" s="290" t="n"/>
    </row>
    <row r="732" ht="13" customHeight="1" s="189">
      <c r="B732" s="290" t="n"/>
      <c r="C732" s="290" t="n"/>
      <c r="D732" s="291" t="n"/>
      <c r="E732" s="290" t="n"/>
      <c r="F732" s="290" t="n"/>
    </row>
    <row r="733" ht="13" customHeight="1" s="189">
      <c r="B733" s="290" t="n"/>
      <c r="C733" s="290" t="n"/>
      <c r="D733" s="291" t="n"/>
      <c r="E733" s="290" t="n"/>
      <c r="F733" s="290" t="n"/>
    </row>
    <row r="734" ht="13" customHeight="1" s="189">
      <c r="B734" s="290" t="n"/>
      <c r="C734" s="290" t="n"/>
      <c r="D734" s="291" t="n"/>
      <c r="E734" s="290" t="n"/>
      <c r="F734" s="290" t="n"/>
    </row>
    <row r="735" ht="13" customHeight="1" s="189">
      <c r="B735" s="290" t="n"/>
      <c r="C735" s="290" t="n"/>
      <c r="D735" s="291" t="n"/>
      <c r="E735" s="290" t="n"/>
      <c r="F735" s="290" t="n"/>
    </row>
    <row r="736" ht="13" customHeight="1" s="189">
      <c r="B736" s="290" t="n"/>
      <c r="C736" s="290" t="n"/>
      <c r="D736" s="291" t="n"/>
      <c r="E736" s="290" t="n"/>
      <c r="F736" s="290" t="n"/>
    </row>
    <row r="737" ht="13" customHeight="1" s="189">
      <c r="B737" s="290" t="n"/>
      <c r="C737" s="290" t="n"/>
      <c r="D737" s="291" t="n"/>
      <c r="E737" s="290" t="n"/>
      <c r="F737" s="290" t="n"/>
    </row>
    <row r="738" ht="13" customHeight="1" s="189">
      <c r="B738" s="290" t="n"/>
      <c r="C738" s="290" t="n"/>
      <c r="D738" s="291" t="n"/>
      <c r="E738" s="290" t="n"/>
      <c r="F738" s="290" t="n"/>
    </row>
    <row r="739" ht="13" customHeight="1" s="189">
      <c r="B739" s="290" t="n"/>
      <c r="C739" s="290" t="n"/>
      <c r="D739" s="291" t="n"/>
      <c r="E739" s="290" t="n"/>
      <c r="F739" s="290" t="n"/>
    </row>
    <row r="740" ht="13" customHeight="1" s="189">
      <c r="B740" s="290" t="n"/>
      <c r="C740" s="290" t="n"/>
      <c r="D740" s="291" t="n"/>
      <c r="E740" s="290" t="n"/>
      <c r="F740" s="290" t="n"/>
    </row>
    <row r="741" ht="13" customHeight="1" s="189">
      <c r="B741" s="290" t="n"/>
      <c r="C741" s="290" t="n"/>
      <c r="D741" s="291" t="n"/>
      <c r="E741" s="290" t="n"/>
      <c r="F741" s="290" t="n"/>
    </row>
    <row r="742" ht="13" customHeight="1" s="189">
      <c r="B742" s="290" t="n"/>
      <c r="C742" s="290" t="n"/>
      <c r="D742" s="291" t="n"/>
      <c r="E742" s="290" t="n"/>
      <c r="F742" s="290" t="n"/>
    </row>
    <row r="743" ht="13" customHeight="1" s="189">
      <c r="B743" s="290" t="n"/>
      <c r="C743" s="290" t="n"/>
      <c r="D743" s="291" t="n"/>
      <c r="E743" s="290" t="n"/>
      <c r="F743" s="290" t="n"/>
    </row>
    <row r="744" ht="13" customHeight="1" s="189">
      <c r="B744" s="290" t="n"/>
      <c r="C744" s="290" t="n"/>
      <c r="D744" s="291" t="n"/>
      <c r="E744" s="290" t="n"/>
      <c r="F744" s="290" t="n"/>
    </row>
    <row r="745" ht="13" customHeight="1" s="189">
      <c r="B745" s="290" t="n"/>
      <c r="C745" s="290" t="n"/>
      <c r="D745" s="291" t="n"/>
      <c r="E745" s="290" t="n"/>
      <c r="F745" s="290" t="n"/>
    </row>
    <row r="746" ht="13" customHeight="1" s="189">
      <c r="B746" s="290" t="n"/>
      <c r="C746" s="290" t="n"/>
      <c r="D746" s="291" t="n"/>
      <c r="E746" s="290" t="n"/>
      <c r="F746" s="290" t="n"/>
    </row>
    <row r="747" ht="13" customHeight="1" s="189">
      <c r="B747" s="290" t="n"/>
      <c r="C747" s="290" t="n"/>
      <c r="D747" s="291" t="n"/>
      <c r="E747" s="290" t="n"/>
      <c r="F747" s="290" t="n"/>
    </row>
    <row r="748" ht="13" customHeight="1" s="189">
      <c r="B748" s="290" t="n"/>
      <c r="C748" s="290" t="n"/>
      <c r="D748" s="291" t="n"/>
      <c r="E748" s="290" t="n"/>
      <c r="F748" s="290" t="n"/>
    </row>
    <row r="749" ht="13" customHeight="1" s="189">
      <c r="B749" s="290" t="n"/>
      <c r="C749" s="290" t="n"/>
      <c r="D749" s="291" t="n"/>
      <c r="E749" s="290" t="n"/>
      <c r="F749" s="290" t="n"/>
    </row>
    <row r="750" ht="13" customHeight="1" s="189">
      <c r="B750" s="290" t="n"/>
      <c r="C750" s="290" t="n"/>
      <c r="D750" s="291" t="n"/>
      <c r="E750" s="290" t="n"/>
      <c r="F750" s="290" t="n"/>
    </row>
    <row r="751" ht="13" customHeight="1" s="189">
      <c r="B751" s="290" t="n"/>
      <c r="C751" s="290" t="n"/>
      <c r="D751" s="291" t="n"/>
      <c r="E751" s="290" t="n"/>
      <c r="F751" s="290" t="n"/>
    </row>
    <row r="752" ht="13" customHeight="1" s="189">
      <c r="B752" s="290" t="n"/>
      <c r="C752" s="290" t="n"/>
      <c r="D752" s="291" t="n"/>
      <c r="E752" s="290" t="n"/>
      <c r="F752" s="290" t="n"/>
    </row>
    <row r="753" ht="13" customHeight="1" s="189">
      <c r="B753" s="290" t="n"/>
      <c r="C753" s="290" t="n"/>
      <c r="D753" s="291" t="n"/>
      <c r="E753" s="290" t="n"/>
      <c r="F753" s="290" t="n"/>
    </row>
    <row r="754" ht="13" customHeight="1" s="189">
      <c r="B754" s="290" t="n"/>
      <c r="C754" s="290" t="n"/>
      <c r="D754" s="291" t="n"/>
      <c r="E754" s="290" t="n"/>
      <c r="F754" s="290" t="n"/>
    </row>
    <row r="755" ht="13" customHeight="1" s="189">
      <c r="B755" s="290" t="n"/>
      <c r="C755" s="290" t="n"/>
      <c r="D755" s="291" t="n"/>
      <c r="E755" s="290" t="n"/>
      <c r="F755" s="290" t="n"/>
    </row>
    <row r="756" ht="13" customHeight="1" s="189">
      <c r="B756" s="290" t="n"/>
      <c r="C756" s="290" t="n"/>
      <c r="D756" s="291" t="n"/>
      <c r="E756" s="290" t="n"/>
      <c r="F756" s="290" t="n"/>
    </row>
    <row r="757" ht="13" customHeight="1" s="189">
      <c r="B757" s="290" t="n"/>
      <c r="C757" s="290" t="n"/>
      <c r="D757" s="291" t="n"/>
      <c r="E757" s="290" t="n"/>
      <c r="F757" s="290" t="n"/>
    </row>
    <row r="758" ht="13" customHeight="1" s="189">
      <c r="B758" s="290" t="n"/>
      <c r="C758" s="290" t="n"/>
      <c r="D758" s="291" t="n"/>
      <c r="E758" s="290" t="n"/>
      <c r="F758" s="290" t="n"/>
    </row>
    <row r="759" ht="13" customHeight="1" s="189">
      <c r="B759" s="290" t="n"/>
      <c r="C759" s="290" t="n"/>
      <c r="D759" s="291" t="n"/>
      <c r="E759" s="290" t="n"/>
      <c r="F759" s="290" t="n"/>
    </row>
    <row r="760" ht="13" customHeight="1" s="189">
      <c r="B760" s="290" t="n"/>
      <c r="C760" s="290" t="n"/>
      <c r="D760" s="291" t="n"/>
      <c r="E760" s="290" t="n"/>
      <c r="F760" s="290" t="n"/>
    </row>
    <row r="761" ht="13" customHeight="1" s="189">
      <c r="B761" s="290" t="n"/>
      <c r="C761" s="290" t="n"/>
      <c r="D761" s="291" t="n"/>
      <c r="E761" s="290" t="n"/>
      <c r="F761" s="290" t="n"/>
    </row>
    <row r="762" ht="13" customHeight="1" s="189">
      <c r="B762" s="290" t="n"/>
      <c r="C762" s="290" t="n"/>
      <c r="D762" s="291" t="n"/>
      <c r="E762" s="290" t="n"/>
      <c r="F762" s="290" t="n"/>
    </row>
    <row r="763" ht="13" customHeight="1" s="189">
      <c r="B763" s="290" t="n"/>
      <c r="C763" s="290" t="n"/>
      <c r="D763" s="291" t="n"/>
      <c r="E763" s="290" t="n"/>
      <c r="F763" s="290" t="n"/>
    </row>
    <row r="764" ht="13" customHeight="1" s="189">
      <c r="B764" s="290" t="n"/>
      <c r="C764" s="290" t="n"/>
      <c r="D764" s="291" t="n"/>
      <c r="E764" s="290" t="n"/>
      <c r="F764" s="290" t="n"/>
    </row>
    <row r="765" ht="13" customHeight="1" s="189">
      <c r="B765" s="290" t="n"/>
      <c r="C765" s="290" t="n"/>
      <c r="D765" s="291" t="n"/>
      <c r="E765" s="290" t="n"/>
      <c r="F765" s="290" t="n"/>
    </row>
    <row r="766" ht="13" customHeight="1" s="189">
      <c r="B766" s="290" t="n"/>
      <c r="C766" s="290" t="n"/>
      <c r="D766" s="291" t="n"/>
      <c r="E766" s="290" t="n"/>
      <c r="F766" s="290" t="n"/>
    </row>
    <row r="767" ht="13" customHeight="1" s="189">
      <c r="B767" s="290" t="n"/>
      <c r="C767" s="290" t="n"/>
      <c r="D767" s="291" t="n"/>
      <c r="E767" s="290" t="n"/>
      <c r="F767" s="290" t="n"/>
    </row>
    <row r="768" ht="13" customHeight="1" s="189">
      <c r="B768" s="290" t="n"/>
      <c r="C768" s="290" t="n"/>
      <c r="D768" s="291" t="n"/>
      <c r="E768" s="290" t="n"/>
      <c r="F768" s="290" t="n"/>
    </row>
    <row r="769" ht="13" customHeight="1" s="189">
      <c r="B769" s="290" t="n"/>
      <c r="C769" s="290" t="n"/>
      <c r="D769" s="291" t="n"/>
      <c r="E769" s="290" t="n"/>
      <c r="F769" s="290" t="n"/>
    </row>
    <row r="770" ht="13" customHeight="1" s="189">
      <c r="B770" s="290" t="n"/>
      <c r="C770" s="290" t="n"/>
      <c r="D770" s="291" t="n"/>
      <c r="E770" s="290" t="n"/>
      <c r="F770" s="290" t="n"/>
    </row>
    <row r="771" ht="13" customHeight="1" s="189">
      <c r="B771" s="290" t="n"/>
      <c r="C771" s="290" t="n"/>
      <c r="D771" s="291" t="n"/>
      <c r="E771" s="290" t="n"/>
      <c r="F771" s="290" t="n"/>
    </row>
    <row r="772" ht="13" customHeight="1" s="189">
      <c r="B772" s="290" t="n"/>
      <c r="C772" s="290" t="n"/>
      <c r="D772" s="291" t="n"/>
      <c r="E772" s="290" t="n"/>
      <c r="F772" s="290" t="n"/>
    </row>
    <row r="773" ht="13" customHeight="1" s="189">
      <c r="B773" s="290" t="n"/>
      <c r="C773" s="290" t="n"/>
      <c r="D773" s="291" t="n"/>
      <c r="E773" s="290" t="n"/>
      <c r="F773" s="290" t="n"/>
    </row>
    <row r="774" ht="13" customHeight="1" s="189">
      <c r="B774" s="290" t="n"/>
      <c r="C774" s="290" t="n"/>
      <c r="D774" s="291" t="n"/>
      <c r="E774" s="290" t="n"/>
      <c r="F774" s="290" t="n"/>
    </row>
    <row r="775" ht="13" customHeight="1" s="189">
      <c r="B775" s="290" t="n"/>
      <c r="C775" s="290" t="n"/>
      <c r="D775" s="291" t="n"/>
      <c r="E775" s="290" t="n"/>
      <c r="F775" s="290" t="n"/>
    </row>
    <row r="776" ht="13" customHeight="1" s="189">
      <c r="B776" s="290" t="n"/>
      <c r="C776" s="290" t="n"/>
      <c r="D776" s="291" t="n"/>
      <c r="E776" s="290" t="n"/>
      <c r="F776" s="290" t="n"/>
    </row>
    <row r="777" ht="13" customHeight="1" s="189">
      <c r="B777" s="290" t="n"/>
      <c r="C777" s="290" t="n"/>
      <c r="D777" s="291" t="n"/>
      <c r="E777" s="290" t="n"/>
      <c r="F777" s="290" t="n"/>
    </row>
    <row r="778" ht="13" customHeight="1" s="189">
      <c r="B778" s="290" t="n"/>
      <c r="C778" s="290" t="n"/>
      <c r="D778" s="291" t="n"/>
      <c r="E778" s="290" t="n"/>
      <c r="F778" s="290" t="n"/>
    </row>
    <row r="779" ht="13" customHeight="1" s="189">
      <c r="B779" s="290" t="n"/>
      <c r="C779" s="290" t="n"/>
      <c r="D779" s="291" t="n"/>
      <c r="E779" s="290" t="n"/>
      <c r="F779" s="290" t="n"/>
    </row>
    <row r="780" ht="13" customHeight="1" s="189">
      <c r="B780" s="290" t="n"/>
      <c r="C780" s="290" t="n"/>
      <c r="D780" s="291" t="n"/>
      <c r="E780" s="290" t="n"/>
      <c r="F780" s="290" t="n"/>
    </row>
    <row r="781" ht="13" customHeight="1" s="189">
      <c r="B781" s="290" t="n"/>
      <c r="C781" s="290" t="n"/>
      <c r="D781" s="291" t="n"/>
      <c r="E781" s="290" t="n"/>
      <c r="F781" s="290" t="n"/>
    </row>
    <row r="782" ht="13" customHeight="1" s="189">
      <c r="B782" s="290" t="n"/>
      <c r="C782" s="290" t="n"/>
      <c r="D782" s="291" t="n"/>
      <c r="E782" s="290" t="n"/>
      <c r="F782" s="290" t="n"/>
    </row>
    <row r="783" ht="13" customHeight="1" s="189">
      <c r="B783" s="290" t="n"/>
      <c r="C783" s="290" t="n"/>
      <c r="D783" s="291" t="n"/>
      <c r="E783" s="290" t="n"/>
      <c r="F783" s="290" t="n"/>
    </row>
    <row r="784" ht="13" customHeight="1" s="189">
      <c r="B784" s="290" t="n"/>
      <c r="C784" s="290" t="n"/>
      <c r="D784" s="291" t="n"/>
      <c r="E784" s="290" t="n"/>
      <c r="F784" s="290" t="n"/>
    </row>
    <row r="785" ht="13" customHeight="1" s="189">
      <c r="B785" s="290" t="n"/>
      <c r="C785" s="290" t="n"/>
      <c r="D785" s="291" t="n"/>
      <c r="E785" s="290" t="n"/>
      <c r="F785" s="290" t="n"/>
    </row>
    <row r="786" ht="13" customHeight="1" s="189">
      <c r="B786" s="290" t="n"/>
      <c r="C786" s="290" t="n"/>
      <c r="D786" s="291" t="n"/>
      <c r="E786" s="290" t="n"/>
      <c r="F786" s="290" t="n"/>
    </row>
    <row r="787" ht="13" customHeight="1" s="189">
      <c r="B787" s="290" t="n"/>
      <c r="C787" s="290" t="n"/>
      <c r="D787" s="291" t="n"/>
      <c r="E787" s="290" t="n"/>
      <c r="F787" s="290" t="n"/>
    </row>
    <row r="788" ht="13" customHeight="1" s="189">
      <c r="B788" s="290" t="n"/>
      <c r="C788" s="290" t="n"/>
      <c r="D788" s="291" t="n"/>
      <c r="E788" s="290" t="n"/>
      <c r="F788" s="290" t="n"/>
    </row>
    <row r="789" ht="13" customHeight="1" s="189">
      <c r="B789" s="290" t="n"/>
      <c r="C789" s="290" t="n"/>
      <c r="D789" s="291" t="n"/>
      <c r="E789" s="290" t="n"/>
      <c r="F789" s="290" t="n"/>
    </row>
    <row r="790" ht="13" customHeight="1" s="189">
      <c r="B790" s="290" t="n"/>
      <c r="C790" s="290" t="n"/>
      <c r="D790" s="291" t="n"/>
      <c r="E790" s="290" t="n"/>
      <c r="F790" s="290" t="n"/>
    </row>
    <row r="791" ht="13" customHeight="1" s="189">
      <c r="B791" s="290" t="n"/>
      <c r="C791" s="290" t="n"/>
      <c r="D791" s="291" t="n"/>
      <c r="E791" s="290" t="n"/>
      <c r="F791" s="290" t="n"/>
    </row>
    <row r="792" ht="13" customHeight="1" s="189">
      <c r="B792" s="290" t="n"/>
      <c r="C792" s="290" t="n"/>
      <c r="D792" s="291" t="n"/>
      <c r="E792" s="290" t="n"/>
      <c r="F792" s="290" t="n"/>
    </row>
    <row r="793" ht="13" customHeight="1" s="189">
      <c r="B793" s="290" t="n"/>
      <c r="C793" s="290" t="n"/>
      <c r="D793" s="291" t="n"/>
      <c r="E793" s="290" t="n"/>
      <c r="F793" s="290" t="n"/>
    </row>
    <row r="794" ht="13" customHeight="1" s="189">
      <c r="B794" s="290" t="n"/>
      <c r="C794" s="290" t="n"/>
      <c r="D794" s="291" t="n"/>
      <c r="E794" s="290" t="n"/>
      <c r="F794" s="290" t="n"/>
    </row>
    <row r="795" ht="13" customHeight="1" s="189">
      <c r="B795" s="290" t="n"/>
      <c r="C795" s="290" t="n"/>
      <c r="D795" s="291" t="n"/>
      <c r="E795" s="290" t="n"/>
      <c r="F795" s="290" t="n"/>
    </row>
    <row r="796" ht="13" customHeight="1" s="189">
      <c r="B796" s="290" t="n"/>
      <c r="C796" s="290" t="n"/>
      <c r="D796" s="291" t="n"/>
      <c r="E796" s="290" t="n"/>
      <c r="F796" s="290" t="n"/>
    </row>
    <row r="797" ht="13" customHeight="1" s="189">
      <c r="B797" s="290" t="n"/>
      <c r="C797" s="290" t="n"/>
      <c r="D797" s="291" t="n"/>
      <c r="E797" s="290" t="n"/>
      <c r="F797" s="290" t="n"/>
    </row>
    <row r="798" ht="13" customHeight="1" s="189">
      <c r="B798" s="290" t="n"/>
      <c r="C798" s="290" t="n"/>
      <c r="D798" s="291" t="n"/>
      <c r="E798" s="290" t="n"/>
      <c r="F798" s="290" t="n"/>
    </row>
    <row r="799" ht="13" customHeight="1" s="189">
      <c r="B799" s="290" t="n"/>
      <c r="C799" s="290" t="n"/>
      <c r="D799" s="291" t="n"/>
      <c r="E799" s="290" t="n"/>
      <c r="F799" s="290" t="n"/>
    </row>
    <row r="800" ht="13" customHeight="1" s="189">
      <c r="B800" s="290" t="n"/>
      <c r="C800" s="290" t="n"/>
      <c r="D800" s="291" t="n"/>
      <c r="E800" s="290" t="n"/>
      <c r="F800" s="290" t="n"/>
    </row>
    <row r="801" ht="13" customHeight="1" s="189">
      <c r="B801" s="290" t="n"/>
      <c r="C801" s="290" t="n"/>
      <c r="D801" s="291" t="n"/>
      <c r="E801" s="290" t="n"/>
      <c r="F801" s="290" t="n"/>
    </row>
    <row r="802" ht="13" customHeight="1" s="189">
      <c r="B802" s="290" t="n"/>
      <c r="C802" s="290" t="n"/>
      <c r="D802" s="291" t="n"/>
      <c r="E802" s="290" t="n"/>
      <c r="F802" s="290" t="n"/>
    </row>
    <row r="803" ht="13" customHeight="1" s="189">
      <c r="B803" s="290" t="n"/>
      <c r="C803" s="290" t="n"/>
      <c r="D803" s="291" t="n"/>
      <c r="E803" s="290" t="n"/>
      <c r="F803" s="290" t="n"/>
    </row>
    <row r="804" ht="13" customHeight="1" s="189">
      <c r="B804" s="290" t="n"/>
      <c r="C804" s="290" t="n"/>
      <c r="D804" s="291" t="n"/>
      <c r="E804" s="290" t="n"/>
      <c r="F804" s="290" t="n"/>
    </row>
    <row r="805" ht="13" customHeight="1" s="189">
      <c r="B805" s="290" t="n"/>
      <c r="C805" s="290" t="n"/>
      <c r="D805" s="291" t="n"/>
      <c r="E805" s="290" t="n"/>
      <c r="F805" s="290" t="n"/>
    </row>
    <row r="806" ht="13" customHeight="1" s="189">
      <c r="B806" s="290" t="n"/>
      <c r="C806" s="290" t="n"/>
      <c r="D806" s="291" t="n"/>
      <c r="E806" s="290" t="n"/>
      <c r="F806" s="290" t="n"/>
    </row>
    <row r="807" ht="13" customHeight="1" s="189">
      <c r="B807" s="290" t="n"/>
      <c r="C807" s="290" t="n"/>
      <c r="D807" s="291" t="n"/>
      <c r="E807" s="290" t="n"/>
      <c r="F807" s="290" t="n"/>
    </row>
    <row r="808" ht="13" customHeight="1" s="189">
      <c r="B808" s="290" t="n"/>
      <c r="C808" s="290" t="n"/>
      <c r="D808" s="291" t="n"/>
      <c r="E808" s="290" t="n"/>
      <c r="F808" s="290" t="n"/>
    </row>
    <row r="809" ht="13" customHeight="1" s="189">
      <c r="B809" s="290" t="n"/>
      <c r="C809" s="290" t="n"/>
      <c r="D809" s="291" t="n"/>
      <c r="E809" s="290" t="n"/>
      <c r="F809" s="290" t="n"/>
    </row>
    <row r="810" ht="13" customHeight="1" s="189">
      <c r="B810" s="290" t="n"/>
      <c r="C810" s="290" t="n"/>
      <c r="D810" s="291" t="n"/>
      <c r="E810" s="290" t="n"/>
      <c r="F810" s="290" t="n"/>
    </row>
    <row r="811" ht="13" customHeight="1" s="189">
      <c r="B811" s="290" t="n"/>
      <c r="C811" s="290" t="n"/>
      <c r="D811" s="291" t="n"/>
      <c r="E811" s="290" t="n"/>
      <c r="F811" s="290" t="n"/>
    </row>
    <row r="812" ht="13" customHeight="1" s="189">
      <c r="B812" s="290" t="n"/>
      <c r="C812" s="290" t="n"/>
      <c r="D812" s="291" t="n"/>
      <c r="E812" s="290" t="n"/>
      <c r="F812" s="290" t="n"/>
    </row>
    <row r="813" ht="13" customHeight="1" s="189">
      <c r="B813" s="290" t="n"/>
      <c r="C813" s="290" t="n"/>
      <c r="D813" s="291" t="n"/>
      <c r="E813" s="290" t="n"/>
      <c r="F813" s="290" t="n"/>
    </row>
    <row r="814" ht="13" customHeight="1" s="189">
      <c r="B814" s="290" t="n"/>
      <c r="C814" s="290" t="n"/>
      <c r="D814" s="291" t="n"/>
      <c r="E814" s="290" t="n"/>
      <c r="F814" s="290" t="n"/>
    </row>
    <row r="815" ht="13" customHeight="1" s="189">
      <c r="B815" s="290" t="n"/>
      <c r="C815" s="290" t="n"/>
      <c r="D815" s="291" t="n"/>
      <c r="E815" s="290" t="n"/>
      <c r="F815" s="290" t="n"/>
    </row>
    <row r="816" ht="13" customHeight="1" s="189">
      <c r="B816" s="290" t="n"/>
      <c r="C816" s="290" t="n"/>
      <c r="D816" s="291" t="n"/>
      <c r="E816" s="290" t="n"/>
      <c r="F816" s="290" t="n"/>
    </row>
    <row r="817" ht="13" customHeight="1" s="189">
      <c r="B817" s="290" t="n"/>
      <c r="C817" s="290" t="n"/>
      <c r="D817" s="291" t="n"/>
      <c r="E817" s="290" t="n"/>
      <c r="F817" s="290" t="n"/>
    </row>
    <row r="818" ht="13" customHeight="1" s="189">
      <c r="B818" s="290" t="n"/>
      <c r="C818" s="290" t="n"/>
      <c r="D818" s="291" t="n"/>
      <c r="E818" s="290" t="n"/>
      <c r="F818" s="290" t="n"/>
    </row>
    <row r="819" ht="13" customHeight="1" s="189">
      <c r="B819" s="290" t="n"/>
      <c r="C819" s="290" t="n"/>
      <c r="D819" s="291" t="n"/>
      <c r="E819" s="290" t="n"/>
      <c r="F819" s="290" t="n"/>
    </row>
    <row r="820" ht="13" customHeight="1" s="189">
      <c r="B820" s="290" t="n"/>
      <c r="C820" s="290" t="n"/>
      <c r="D820" s="291" t="n"/>
      <c r="E820" s="290" t="n"/>
      <c r="F820" s="290" t="n"/>
    </row>
    <row r="821" ht="13" customHeight="1" s="189">
      <c r="B821" s="290" t="n"/>
      <c r="C821" s="290" t="n"/>
      <c r="D821" s="291" t="n"/>
      <c r="E821" s="290" t="n"/>
      <c r="F821" s="290" t="n"/>
    </row>
    <row r="822" ht="13" customHeight="1" s="189">
      <c r="B822" s="290" t="n"/>
      <c r="C822" s="290" t="n"/>
      <c r="D822" s="291" t="n"/>
      <c r="E822" s="290" t="n"/>
      <c r="F822" s="290" t="n"/>
    </row>
    <row r="823" ht="13" customHeight="1" s="189">
      <c r="B823" s="290" t="n"/>
      <c r="C823" s="290" t="n"/>
      <c r="D823" s="291" t="n"/>
      <c r="E823" s="290" t="n"/>
      <c r="F823" s="290" t="n"/>
    </row>
    <row r="824" ht="13" customHeight="1" s="189">
      <c r="B824" s="290" t="n"/>
      <c r="C824" s="290" t="n"/>
      <c r="D824" s="291" t="n"/>
      <c r="E824" s="290" t="n"/>
      <c r="F824" s="290" t="n"/>
    </row>
    <row r="825" ht="13" customHeight="1" s="189">
      <c r="B825" s="290" t="n"/>
      <c r="C825" s="290" t="n"/>
      <c r="D825" s="291" t="n"/>
      <c r="E825" s="290" t="n"/>
      <c r="F825" s="290" t="n"/>
    </row>
    <row r="826" ht="13" customHeight="1" s="189">
      <c r="B826" s="290" t="n"/>
      <c r="C826" s="290" t="n"/>
      <c r="D826" s="291" t="n"/>
      <c r="E826" s="290" t="n"/>
      <c r="F826" s="290" t="n"/>
    </row>
    <row r="827" ht="13" customHeight="1" s="189">
      <c r="B827" s="290" t="n"/>
      <c r="C827" s="290" t="n"/>
      <c r="D827" s="291" t="n"/>
      <c r="E827" s="290" t="n"/>
      <c r="F827" s="290" t="n"/>
    </row>
    <row r="828" ht="13" customHeight="1" s="189">
      <c r="B828" s="290" t="n"/>
      <c r="C828" s="290" t="n"/>
      <c r="D828" s="291" t="n"/>
      <c r="E828" s="290" t="n"/>
      <c r="F828" s="290" t="n"/>
    </row>
    <row r="829" ht="13" customHeight="1" s="189">
      <c r="B829" s="290" t="n"/>
      <c r="C829" s="290" t="n"/>
      <c r="D829" s="291" t="n"/>
      <c r="E829" s="290" t="n"/>
      <c r="F829" s="290" t="n"/>
    </row>
    <row r="830" ht="13" customHeight="1" s="189">
      <c r="B830" s="290" t="n"/>
      <c r="C830" s="290" t="n"/>
      <c r="D830" s="291" t="n"/>
      <c r="E830" s="290" t="n"/>
      <c r="F830" s="290" t="n"/>
    </row>
    <row r="831" ht="13" customHeight="1" s="189">
      <c r="B831" s="290" t="n"/>
      <c r="C831" s="290" t="n"/>
      <c r="D831" s="291" t="n"/>
      <c r="E831" s="290" t="n"/>
      <c r="F831" s="290" t="n"/>
    </row>
    <row r="832" ht="13" customHeight="1" s="189">
      <c r="B832" s="290" t="n"/>
      <c r="C832" s="290" t="n"/>
      <c r="D832" s="291" t="n"/>
      <c r="E832" s="290" t="n"/>
      <c r="F832" s="290" t="n"/>
    </row>
    <row r="833" ht="13" customHeight="1" s="189">
      <c r="B833" s="290" t="n"/>
      <c r="C833" s="290" t="n"/>
      <c r="D833" s="291" t="n"/>
      <c r="E833" s="290" t="n"/>
      <c r="F833" s="290" t="n"/>
    </row>
    <row r="834" ht="13" customHeight="1" s="189">
      <c r="B834" s="290" t="n"/>
      <c r="C834" s="290" t="n"/>
      <c r="D834" s="291" t="n"/>
      <c r="E834" s="290" t="n"/>
      <c r="F834" s="290" t="n"/>
    </row>
    <row r="835" ht="13" customHeight="1" s="189">
      <c r="B835" s="290" t="n"/>
      <c r="C835" s="290" t="n"/>
      <c r="D835" s="291" t="n"/>
      <c r="E835" s="290" t="n"/>
      <c r="F835" s="290" t="n"/>
    </row>
    <row r="836" ht="13" customHeight="1" s="189">
      <c r="B836" s="290" t="n"/>
      <c r="C836" s="290" t="n"/>
      <c r="D836" s="291" t="n"/>
      <c r="E836" s="290" t="n"/>
      <c r="F836" s="290" t="n"/>
    </row>
    <row r="837" ht="13" customHeight="1" s="189">
      <c r="B837" s="290" t="n"/>
      <c r="C837" s="290" t="n"/>
      <c r="D837" s="291" t="n"/>
      <c r="E837" s="290" t="n"/>
      <c r="F837" s="290" t="n"/>
    </row>
    <row r="838" ht="13" customHeight="1" s="189">
      <c r="B838" s="290" t="n"/>
      <c r="C838" s="290" t="n"/>
      <c r="D838" s="291" t="n"/>
      <c r="E838" s="290" t="n"/>
      <c r="F838" s="290" t="n"/>
    </row>
    <row r="839" ht="13" customHeight="1" s="189">
      <c r="B839" s="290" t="n"/>
      <c r="C839" s="290" t="n"/>
      <c r="D839" s="291" t="n"/>
      <c r="E839" s="290" t="n"/>
      <c r="F839" s="290" t="n"/>
    </row>
    <row r="840" ht="13" customHeight="1" s="189">
      <c r="B840" s="290" t="n"/>
      <c r="C840" s="290" t="n"/>
      <c r="D840" s="291" t="n"/>
      <c r="E840" s="290" t="n"/>
      <c r="F840" s="290" t="n"/>
    </row>
    <row r="841" ht="13" customHeight="1" s="189">
      <c r="B841" s="290" t="n"/>
      <c r="C841" s="290" t="n"/>
      <c r="D841" s="291" t="n"/>
      <c r="E841" s="290" t="n"/>
      <c r="F841" s="290" t="n"/>
    </row>
    <row r="842" ht="13" customHeight="1" s="189">
      <c r="B842" s="290" t="n"/>
      <c r="C842" s="290" t="n"/>
      <c r="D842" s="291" t="n"/>
      <c r="E842" s="290" t="n"/>
      <c r="F842" s="290" t="n"/>
    </row>
    <row r="843" ht="13" customHeight="1" s="189">
      <c r="B843" s="290" t="n"/>
      <c r="C843" s="290" t="n"/>
      <c r="D843" s="291" t="n"/>
      <c r="E843" s="290" t="n"/>
      <c r="F843" s="290" t="n"/>
    </row>
    <row r="844" ht="13" customHeight="1" s="189">
      <c r="B844" s="290" t="n"/>
      <c r="C844" s="290" t="n"/>
      <c r="D844" s="291" t="n"/>
      <c r="E844" s="290" t="n"/>
      <c r="F844" s="290" t="n"/>
    </row>
    <row r="845" ht="13" customHeight="1" s="189">
      <c r="B845" s="290" t="n"/>
      <c r="C845" s="290" t="n"/>
      <c r="D845" s="291" t="n"/>
      <c r="E845" s="290" t="n"/>
      <c r="F845" s="290" t="n"/>
    </row>
    <row r="846" ht="13" customHeight="1" s="189">
      <c r="B846" s="290" t="n"/>
      <c r="C846" s="290" t="n"/>
      <c r="D846" s="291" t="n"/>
      <c r="E846" s="290" t="n"/>
      <c r="F846" s="290" t="n"/>
    </row>
    <row r="847" ht="13" customHeight="1" s="189">
      <c r="B847" s="290" t="n"/>
      <c r="C847" s="290" t="n"/>
      <c r="D847" s="291" t="n"/>
      <c r="E847" s="290" t="n"/>
      <c r="F847" s="290" t="n"/>
    </row>
    <row r="848" ht="13" customHeight="1" s="189">
      <c r="B848" s="290" t="n"/>
      <c r="C848" s="290" t="n"/>
      <c r="D848" s="291" t="n"/>
      <c r="E848" s="290" t="n"/>
      <c r="F848" s="290" t="n"/>
    </row>
    <row r="849" ht="13" customHeight="1" s="189">
      <c r="B849" s="290" t="n"/>
      <c r="C849" s="290" t="n"/>
      <c r="D849" s="291" t="n"/>
      <c r="E849" s="290" t="n"/>
      <c r="F849" s="290" t="n"/>
    </row>
    <row r="850" ht="13" customHeight="1" s="189">
      <c r="B850" s="290" t="n"/>
      <c r="C850" s="290" t="n"/>
      <c r="D850" s="291" t="n"/>
      <c r="E850" s="290" t="n"/>
      <c r="F850" s="290" t="n"/>
    </row>
    <row r="851" ht="13" customHeight="1" s="189">
      <c r="B851" s="290" t="n"/>
      <c r="C851" s="290" t="n"/>
      <c r="D851" s="291" t="n"/>
      <c r="E851" s="290" t="n"/>
      <c r="F851" s="290" t="n"/>
    </row>
    <row r="852" ht="13" customHeight="1" s="189">
      <c r="B852" s="290" t="n"/>
      <c r="C852" s="290" t="n"/>
      <c r="D852" s="291" t="n"/>
      <c r="E852" s="290" t="n"/>
      <c r="F852" s="290" t="n"/>
    </row>
    <row r="853" ht="13" customHeight="1" s="189">
      <c r="B853" s="290" t="n"/>
      <c r="C853" s="290" t="n"/>
      <c r="D853" s="291" t="n"/>
      <c r="E853" s="290" t="n"/>
      <c r="F853" s="290" t="n"/>
    </row>
    <row r="854" ht="13" customHeight="1" s="189">
      <c r="B854" s="290" t="n"/>
      <c r="C854" s="290" t="n"/>
      <c r="D854" s="291" t="n"/>
      <c r="E854" s="290" t="n"/>
      <c r="F854" s="290" t="n"/>
    </row>
    <row r="855" ht="13" customHeight="1" s="189">
      <c r="B855" s="290" t="n"/>
      <c r="C855" s="290" t="n"/>
      <c r="D855" s="291" t="n"/>
      <c r="E855" s="290" t="n"/>
      <c r="F855" s="290" t="n"/>
    </row>
    <row r="856" ht="13" customHeight="1" s="189">
      <c r="B856" s="290" t="n"/>
      <c r="C856" s="290" t="n"/>
      <c r="D856" s="291" t="n"/>
      <c r="E856" s="290" t="n"/>
      <c r="F856" s="290" t="n"/>
    </row>
    <row r="857" ht="13" customHeight="1" s="189">
      <c r="B857" s="290" t="n"/>
      <c r="C857" s="290" t="n"/>
      <c r="D857" s="291" t="n"/>
      <c r="E857" s="290" t="n"/>
      <c r="F857" s="290" t="n"/>
    </row>
    <row r="858" ht="13" customHeight="1" s="189">
      <c r="B858" s="290" t="n"/>
      <c r="C858" s="290" t="n"/>
      <c r="D858" s="291" t="n"/>
      <c r="E858" s="290" t="n"/>
      <c r="F858" s="290" t="n"/>
    </row>
    <row r="859" ht="13" customHeight="1" s="189">
      <c r="B859" s="290" t="n"/>
      <c r="C859" s="290" t="n"/>
      <c r="D859" s="291" t="n"/>
      <c r="E859" s="290" t="n"/>
      <c r="F859" s="290" t="n"/>
    </row>
    <row r="860" ht="13" customHeight="1" s="189">
      <c r="B860" s="290" t="n"/>
      <c r="C860" s="290" t="n"/>
      <c r="D860" s="291" t="n"/>
      <c r="E860" s="290" t="n"/>
      <c r="F860" s="290" t="n"/>
    </row>
    <row r="861" ht="13" customHeight="1" s="189">
      <c r="B861" s="290" t="n"/>
      <c r="C861" s="290" t="n"/>
      <c r="D861" s="291" t="n"/>
      <c r="E861" s="290" t="n"/>
      <c r="F861" s="290" t="n"/>
    </row>
    <row r="862" ht="13" customHeight="1" s="189">
      <c r="B862" s="290" t="n"/>
      <c r="C862" s="290" t="n"/>
      <c r="D862" s="291" t="n"/>
      <c r="E862" s="290" t="n"/>
      <c r="F862" s="290" t="n"/>
    </row>
    <row r="863" ht="13" customHeight="1" s="189">
      <c r="B863" s="290" t="n"/>
      <c r="C863" s="290" t="n"/>
      <c r="D863" s="291" t="n"/>
      <c r="E863" s="290" t="n"/>
      <c r="F863" s="290" t="n"/>
    </row>
    <row r="864" ht="13" customHeight="1" s="189">
      <c r="B864" s="290" t="n"/>
      <c r="C864" s="290" t="n"/>
      <c r="D864" s="291" t="n"/>
      <c r="E864" s="290" t="n"/>
      <c r="F864" s="290" t="n"/>
    </row>
    <row r="865" ht="13" customHeight="1" s="189">
      <c r="B865" s="290" t="n"/>
      <c r="C865" s="290" t="n"/>
      <c r="D865" s="291" t="n"/>
      <c r="E865" s="290" t="n"/>
      <c r="F865" s="290" t="n"/>
    </row>
    <row r="866" ht="13" customHeight="1" s="189">
      <c r="B866" s="290" t="n"/>
      <c r="C866" s="290" t="n"/>
      <c r="D866" s="291" t="n"/>
      <c r="E866" s="290" t="n"/>
      <c r="F866" s="290" t="n"/>
    </row>
    <row r="867" ht="13" customHeight="1" s="189">
      <c r="B867" s="290" t="n"/>
      <c r="C867" s="290" t="n"/>
      <c r="D867" s="291" t="n"/>
      <c r="E867" s="290" t="n"/>
      <c r="F867" s="290" t="n"/>
    </row>
    <row r="868" ht="13" customHeight="1" s="189">
      <c r="B868" s="290" t="n"/>
      <c r="C868" s="290" t="n"/>
      <c r="D868" s="291" t="n"/>
      <c r="E868" s="290" t="n"/>
      <c r="F868" s="290" t="n"/>
    </row>
    <row r="869" ht="13" customHeight="1" s="189">
      <c r="B869" s="290" t="n"/>
      <c r="C869" s="290" t="n"/>
      <c r="D869" s="291" t="n"/>
      <c r="E869" s="290" t="n"/>
      <c r="F869" s="290" t="n"/>
    </row>
    <row r="870" ht="13" customHeight="1" s="189">
      <c r="B870" s="290" t="n"/>
      <c r="C870" s="290" t="n"/>
      <c r="D870" s="291" t="n"/>
      <c r="E870" s="290" t="n"/>
      <c r="F870" s="290" t="n"/>
    </row>
    <row r="871" ht="13" customHeight="1" s="189">
      <c r="B871" s="290" t="n"/>
      <c r="C871" s="290" t="n"/>
      <c r="D871" s="291" t="n"/>
      <c r="E871" s="290" t="n"/>
      <c r="F871" s="290" t="n"/>
    </row>
    <row r="872" ht="13" customHeight="1" s="189">
      <c r="B872" s="290" t="n"/>
      <c r="C872" s="290" t="n"/>
      <c r="D872" s="291" t="n"/>
      <c r="E872" s="290" t="n"/>
      <c r="F872" s="290" t="n"/>
    </row>
    <row r="873" ht="13" customHeight="1" s="189">
      <c r="B873" s="290" t="n"/>
      <c r="C873" s="290" t="n"/>
      <c r="D873" s="291" t="n"/>
      <c r="E873" s="290" t="n"/>
      <c r="F873" s="290" t="n"/>
    </row>
    <row r="874" ht="13" customHeight="1" s="189">
      <c r="B874" s="290" t="n"/>
      <c r="C874" s="290" t="n"/>
      <c r="D874" s="291" t="n"/>
      <c r="E874" s="290" t="n"/>
      <c r="F874" s="290" t="n"/>
    </row>
    <row r="875" ht="13" customHeight="1" s="189">
      <c r="B875" s="290" t="n"/>
      <c r="C875" s="290" t="n"/>
      <c r="D875" s="291" t="n"/>
      <c r="E875" s="290" t="n"/>
      <c r="F875" s="290" t="n"/>
    </row>
    <row r="876" ht="13" customHeight="1" s="189">
      <c r="B876" s="290" t="n"/>
      <c r="C876" s="290" t="n"/>
      <c r="D876" s="291" t="n"/>
      <c r="E876" s="290" t="n"/>
      <c r="F876" s="290" t="n"/>
    </row>
    <row r="877" ht="13" customHeight="1" s="189">
      <c r="B877" s="290" t="n"/>
      <c r="C877" s="290" t="n"/>
      <c r="D877" s="291" t="n"/>
      <c r="E877" s="290" t="n"/>
      <c r="F877" s="290" t="n"/>
    </row>
    <row r="878" ht="13" customHeight="1" s="189">
      <c r="B878" s="290" t="n"/>
      <c r="C878" s="290" t="n"/>
      <c r="D878" s="291" t="n"/>
      <c r="E878" s="290" t="n"/>
      <c r="F878" s="290" t="n"/>
    </row>
    <row r="879" ht="13" customHeight="1" s="189">
      <c r="B879" s="290" t="n"/>
      <c r="C879" s="290" t="n"/>
      <c r="D879" s="291" t="n"/>
      <c r="E879" s="290" t="n"/>
      <c r="F879" s="290" t="n"/>
    </row>
    <row r="880" ht="13" customHeight="1" s="189">
      <c r="B880" s="290" t="n"/>
      <c r="C880" s="290" t="n"/>
      <c r="D880" s="291" t="n"/>
      <c r="E880" s="290" t="n"/>
      <c r="F880" s="290" t="n"/>
    </row>
    <row r="881" ht="13" customHeight="1" s="189">
      <c r="B881" s="290" t="n"/>
      <c r="C881" s="290" t="n"/>
      <c r="D881" s="291" t="n"/>
      <c r="E881" s="290" t="n"/>
      <c r="F881" s="290" t="n"/>
    </row>
    <row r="882" ht="13" customHeight="1" s="189">
      <c r="B882" s="290" t="n"/>
      <c r="C882" s="290" t="n"/>
      <c r="D882" s="291" t="n"/>
      <c r="E882" s="290" t="n"/>
      <c r="F882" s="290" t="n"/>
    </row>
    <row r="883" ht="13" customHeight="1" s="189">
      <c r="B883" s="290" t="n"/>
      <c r="C883" s="290" t="n"/>
      <c r="D883" s="291" t="n"/>
      <c r="E883" s="290" t="n"/>
      <c r="F883" s="290" t="n"/>
    </row>
    <row r="884" ht="13" customHeight="1" s="189">
      <c r="B884" s="290" t="n"/>
      <c r="C884" s="290" t="n"/>
      <c r="D884" s="291" t="n"/>
      <c r="E884" s="290" t="n"/>
      <c r="F884" s="290" t="n"/>
    </row>
    <row r="885" ht="13" customHeight="1" s="189">
      <c r="B885" s="290" t="n"/>
      <c r="C885" s="290" t="n"/>
      <c r="D885" s="291" t="n"/>
      <c r="E885" s="290" t="n"/>
      <c r="F885" s="290" t="n"/>
    </row>
    <row r="886" ht="13" customHeight="1" s="189">
      <c r="B886" s="290" t="n"/>
      <c r="C886" s="290" t="n"/>
      <c r="D886" s="291" t="n"/>
      <c r="E886" s="290" t="n"/>
      <c r="F886" s="290" t="n"/>
    </row>
    <row r="887" ht="13" customHeight="1" s="189">
      <c r="B887" s="290" t="n"/>
      <c r="C887" s="290" t="n"/>
      <c r="D887" s="291" t="n"/>
      <c r="E887" s="290" t="n"/>
      <c r="F887" s="290" t="n"/>
    </row>
    <row r="888" ht="13" customHeight="1" s="189">
      <c r="B888" s="290" t="n"/>
      <c r="C888" s="290" t="n"/>
      <c r="D888" s="291" t="n"/>
      <c r="E888" s="290" t="n"/>
      <c r="F888" s="290" t="n"/>
    </row>
    <row r="889" ht="13" customHeight="1" s="189">
      <c r="B889" s="290" t="n"/>
      <c r="C889" s="290" t="n"/>
      <c r="D889" s="291" t="n"/>
      <c r="E889" s="290" t="n"/>
      <c r="F889" s="290" t="n"/>
    </row>
    <row r="890" ht="13" customHeight="1" s="189">
      <c r="B890" s="290" t="n"/>
      <c r="C890" s="290" t="n"/>
      <c r="D890" s="291" t="n"/>
      <c r="E890" s="290" t="n"/>
      <c r="F890" s="290" t="n"/>
    </row>
    <row r="891" ht="13" customHeight="1" s="189">
      <c r="B891" s="290" t="n"/>
      <c r="C891" s="290" t="n"/>
      <c r="D891" s="291" t="n"/>
      <c r="E891" s="290" t="n"/>
      <c r="F891" s="290" t="n"/>
    </row>
    <row r="892" ht="13" customHeight="1" s="189">
      <c r="B892" s="290" t="n"/>
      <c r="C892" s="290" t="n"/>
      <c r="D892" s="291" t="n"/>
      <c r="E892" s="290" t="n"/>
      <c r="F892" s="290" t="n"/>
    </row>
    <row r="893" ht="13" customHeight="1" s="189">
      <c r="B893" s="290" t="n"/>
      <c r="C893" s="290" t="n"/>
      <c r="D893" s="291" t="n"/>
      <c r="E893" s="290" t="n"/>
      <c r="F893" s="290" t="n"/>
    </row>
    <row r="894" ht="13" customHeight="1" s="189">
      <c r="B894" s="290" t="n"/>
      <c r="C894" s="290" t="n"/>
      <c r="D894" s="291" t="n"/>
      <c r="E894" s="290" t="n"/>
      <c r="F894" s="290" t="n"/>
    </row>
    <row r="895" ht="13" customHeight="1" s="189">
      <c r="B895" s="290" t="n"/>
      <c r="C895" s="290" t="n"/>
      <c r="D895" s="291" t="n"/>
      <c r="E895" s="290" t="n"/>
      <c r="F895" s="290" t="n"/>
    </row>
    <row r="896" ht="13" customHeight="1" s="189">
      <c r="B896" s="290" t="n"/>
      <c r="C896" s="290" t="n"/>
      <c r="D896" s="291" t="n"/>
      <c r="E896" s="290" t="n"/>
      <c r="F896" s="290" t="n"/>
    </row>
    <row r="897" ht="13" customHeight="1" s="189">
      <c r="B897" s="290" t="n"/>
      <c r="C897" s="290" t="n"/>
      <c r="D897" s="291" t="n"/>
      <c r="E897" s="290" t="n"/>
      <c r="F897" s="290" t="n"/>
    </row>
    <row r="898" ht="13" customHeight="1" s="189">
      <c r="B898" s="290" t="n"/>
      <c r="C898" s="290" t="n"/>
      <c r="D898" s="291" t="n"/>
      <c r="E898" s="290" t="n"/>
      <c r="F898" s="290" t="n"/>
    </row>
    <row r="899" ht="13" customHeight="1" s="189">
      <c r="B899" s="290" t="n"/>
      <c r="C899" s="290" t="n"/>
      <c r="D899" s="291" t="n"/>
      <c r="E899" s="290" t="n"/>
      <c r="F899" s="290" t="n"/>
    </row>
    <row r="900" ht="13" customHeight="1" s="189">
      <c r="B900" s="290" t="n"/>
      <c r="C900" s="290" t="n"/>
      <c r="D900" s="291" t="n"/>
      <c r="E900" s="290" t="n"/>
      <c r="F900" s="290" t="n"/>
    </row>
    <row r="901" ht="13" customHeight="1" s="189">
      <c r="B901" s="290" t="n"/>
      <c r="C901" s="290" t="n"/>
      <c r="D901" s="291" t="n"/>
      <c r="E901" s="290" t="n"/>
      <c r="F901" s="290" t="n"/>
    </row>
    <row r="902" ht="13" customHeight="1" s="189">
      <c r="B902" s="203" t="n"/>
      <c r="C902" s="203" t="n"/>
      <c r="D902" s="289" t="n"/>
      <c r="E902" s="203" t="n"/>
      <c r="F902" s="203" t="n"/>
    </row>
    <row r="903" ht="13" customHeight="1" s="189">
      <c r="B903" s="203" t="n"/>
      <c r="C903" s="203" t="n"/>
      <c r="D903" s="289" t="n"/>
      <c r="E903" s="203" t="n"/>
      <c r="F903" s="203" t="n"/>
    </row>
    <row r="904" ht="13" customHeight="1" s="189">
      <c r="B904" s="203" t="n"/>
      <c r="C904" s="203" t="n"/>
      <c r="D904" s="289" t="n"/>
      <c r="E904" s="203" t="n"/>
      <c r="F904" s="203" t="n"/>
    </row>
    <row r="905" ht="13" customHeight="1" s="189">
      <c r="B905" s="203" t="n"/>
      <c r="C905" s="203" t="n"/>
      <c r="D905" s="289" t="n"/>
      <c r="E905" s="203" t="n"/>
      <c r="F905" s="203" t="n"/>
    </row>
    <row r="906" ht="13" customHeight="1" s="189">
      <c r="B906" s="203" t="n"/>
      <c r="C906" s="203" t="n"/>
      <c r="D906" s="289" t="n"/>
      <c r="E906" s="203" t="n"/>
      <c r="F906" s="203" t="n"/>
    </row>
    <row r="907" ht="13" customHeight="1" s="189">
      <c r="B907" s="203" t="n"/>
      <c r="C907" s="203" t="n"/>
      <c r="D907" s="289" t="n"/>
      <c r="E907" s="203" t="n"/>
      <c r="F907" s="203" t="n"/>
    </row>
    <row r="908" ht="13" customHeight="1" s="189">
      <c r="B908" s="203" t="n"/>
      <c r="C908" s="203" t="n"/>
      <c r="D908" s="289" t="n"/>
      <c r="E908" s="203" t="n"/>
      <c r="F908" s="203" t="n"/>
    </row>
    <row r="909" ht="13" customHeight="1" s="189">
      <c r="B909" s="203" t="n"/>
      <c r="C909" s="203" t="n"/>
      <c r="D909" s="289" t="n"/>
      <c r="E909" s="203" t="n"/>
      <c r="F909" s="203" t="n"/>
    </row>
    <row r="910" ht="13" customHeight="1" s="189">
      <c r="B910" s="203" t="n"/>
      <c r="C910" s="203" t="n"/>
      <c r="D910" s="289" t="n"/>
      <c r="E910" s="203" t="n"/>
      <c r="F910" s="203" t="n"/>
    </row>
    <row r="911" ht="13" customHeight="1" s="189">
      <c r="B911" s="203" t="n"/>
      <c r="C911" s="203" t="n"/>
      <c r="D911" s="289" t="n"/>
      <c r="E911" s="203" t="n"/>
      <c r="F911" s="203" t="n"/>
    </row>
    <row r="912" ht="13" customHeight="1" s="189">
      <c r="B912" s="203" t="n"/>
      <c r="C912" s="203" t="n"/>
      <c r="D912" s="289" t="n"/>
      <c r="E912" s="203" t="n"/>
      <c r="F912" s="203" t="n"/>
    </row>
    <row r="913" ht="13" customHeight="1" s="189">
      <c r="B913" s="203" t="n"/>
      <c r="C913" s="203" t="n"/>
      <c r="D913" s="289" t="n"/>
      <c r="E913" s="203" t="n"/>
      <c r="F913" s="203" t="n"/>
    </row>
    <row r="914" ht="13" customHeight="1" s="189">
      <c r="B914" s="203" t="n"/>
      <c r="C914" s="203" t="n"/>
      <c r="D914" s="289" t="n"/>
      <c r="E914" s="203" t="n"/>
      <c r="F914" s="203" t="n"/>
    </row>
    <row r="915" ht="13" customHeight="1" s="189">
      <c r="B915" s="203" t="n"/>
      <c r="C915" s="203" t="n"/>
      <c r="D915" s="289" t="n"/>
      <c r="E915" s="203" t="n"/>
      <c r="F915" s="203" t="n"/>
    </row>
    <row r="916" ht="13" customHeight="1" s="189">
      <c r="B916" s="203" t="n"/>
      <c r="C916" s="203" t="n"/>
      <c r="D916" s="289" t="n"/>
      <c r="E916" s="203" t="n"/>
      <c r="F916" s="203" t="n"/>
    </row>
    <row r="917" ht="13" customHeight="1" s="189">
      <c r="B917" s="203" t="n"/>
      <c r="C917" s="203" t="n"/>
      <c r="D917" s="289" t="n"/>
      <c r="E917" s="203" t="n"/>
      <c r="F917" s="203" t="n"/>
    </row>
    <row r="918" ht="13" customHeight="1" s="189">
      <c r="B918" s="203" t="n"/>
      <c r="C918" s="203" t="n"/>
      <c r="D918" s="289" t="n"/>
      <c r="E918" s="203" t="n"/>
      <c r="F918" s="203" t="n"/>
    </row>
    <row r="919" ht="13" customHeight="1" s="189">
      <c r="B919" s="203" t="n"/>
      <c r="C919" s="203" t="n"/>
      <c r="D919" s="289" t="n"/>
      <c r="E919" s="203" t="n"/>
      <c r="F919" s="203" t="n"/>
    </row>
    <row r="920" ht="13" customHeight="1" s="189">
      <c r="B920" s="203" t="n"/>
      <c r="C920" s="203" t="n"/>
      <c r="D920" s="289" t="n"/>
      <c r="E920" s="203" t="n"/>
      <c r="F920" s="203" t="n"/>
    </row>
    <row r="921" ht="13" customHeight="1" s="189">
      <c r="B921" s="203" t="n"/>
      <c r="C921" s="203" t="n"/>
      <c r="D921" s="289" t="n"/>
      <c r="E921" s="203" t="n"/>
      <c r="F921" s="203" t="n"/>
    </row>
    <row r="922" ht="13" customHeight="1" s="189">
      <c r="B922" s="203" t="n"/>
      <c r="C922" s="203" t="n"/>
      <c r="D922" s="289" t="n"/>
      <c r="E922" s="203" t="n"/>
      <c r="F922" s="203" t="n"/>
    </row>
    <row r="923" ht="13" customHeight="1" s="189">
      <c r="B923" s="203" t="n"/>
      <c r="C923" s="203" t="n"/>
      <c r="D923" s="289" t="n"/>
      <c r="E923" s="203" t="n"/>
      <c r="F923" s="203" t="n"/>
    </row>
    <row r="924" ht="13" customHeight="1" s="189">
      <c r="B924" s="203" t="n"/>
      <c r="C924" s="203" t="n"/>
      <c r="D924" s="289" t="n"/>
      <c r="E924" s="203" t="n"/>
      <c r="F924" s="203" t="n"/>
    </row>
    <row r="925" ht="13" customHeight="1" s="189">
      <c r="B925" s="203" t="n"/>
      <c r="C925" s="203" t="n"/>
      <c r="D925" s="289" t="n"/>
      <c r="E925" s="203" t="n"/>
      <c r="F925" s="203" t="n"/>
    </row>
    <row r="926" ht="13" customHeight="1" s="189">
      <c r="B926" s="203" t="n"/>
      <c r="C926" s="203" t="n"/>
      <c r="D926" s="289" t="n"/>
      <c r="E926" s="203" t="n"/>
      <c r="F926" s="203" t="n"/>
    </row>
    <row r="927" ht="13" customHeight="1" s="189">
      <c r="B927" s="203" t="n"/>
      <c r="C927" s="203" t="n"/>
      <c r="D927" s="289" t="n"/>
      <c r="E927" s="203" t="n"/>
      <c r="F927" s="203" t="n"/>
    </row>
    <row r="928" ht="13" customHeight="1" s="189">
      <c r="B928" s="203" t="n"/>
      <c r="C928" s="203" t="n"/>
      <c r="D928" s="289" t="n"/>
      <c r="E928" s="203" t="n"/>
      <c r="F928" s="203" t="n"/>
    </row>
    <row r="929" ht="13" customHeight="1" s="189">
      <c r="B929" s="203" t="n"/>
      <c r="C929" s="203" t="n"/>
      <c r="D929" s="289" t="n"/>
      <c r="E929" s="203" t="n"/>
      <c r="F929" s="203" t="n"/>
    </row>
    <row r="930" ht="13" customHeight="1" s="189">
      <c r="B930" s="203" t="n"/>
      <c r="C930" s="203" t="n"/>
      <c r="D930" s="289" t="n"/>
      <c r="E930" s="203" t="n"/>
      <c r="F930" s="203" t="n"/>
    </row>
    <row r="931" ht="13" customHeight="1" s="189">
      <c r="B931" s="203" t="n"/>
      <c r="C931" s="203" t="n"/>
      <c r="D931" s="289" t="n"/>
      <c r="E931" s="203" t="n"/>
      <c r="F931" s="203" t="n"/>
    </row>
    <row r="932" ht="13" customHeight="1" s="189">
      <c r="B932" s="203" t="n"/>
      <c r="C932" s="203" t="n"/>
      <c r="D932" s="289" t="n"/>
      <c r="E932" s="203" t="n"/>
      <c r="F932" s="203" t="n"/>
    </row>
    <row r="933" ht="13" customHeight="1" s="189">
      <c r="B933" s="203" t="n"/>
      <c r="C933" s="203" t="n"/>
      <c r="D933" s="289" t="n"/>
      <c r="E933" s="203" t="n"/>
      <c r="F933" s="203" t="n"/>
    </row>
    <row r="934" ht="13" customHeight="1" s="189">
      <c r="B934" s="203" t="n"/>
      <c r="C934" s="203" t="n"/>
      <c r="D934" s="289" t="n"/>
      <c r="E934" s="203" t="n"/>
      <c r="F934" s="203" t="n"/>
    </row>
    <row r="935" ht="13" customHeight="1" s="189">
      <c r="B935" s="203" t="n"/>
      <c r="C935" s="203" t="n"/>
      <c r="D935" s="289" t="n"/>
      <c r="E935" s="203" t="n"/>
      <c r="F935" s="203" t="n"/>
    </row>
    <row r="936" ht="13" customHeight="1" s="189">
      <c r="B936" s="203" t="n"/>
      <c r="C936" s="203" t="n"/>
      <c r="D936" s="289" t="n"/>
      <c r="E936" s="203" t="n"/>
      <c r="F936" s="203" t="n"/>
    </row>
    <row r="937" ht="13" customHeight="1" s="189">
      <c r="B937" s="203" t="n"/>
      <c r="C937" s="203" t="n"/>
      <c r="D937" s="289" t="n"/>
      <c r="E937" s="203" t="n"/>
      <c r="F937" s="203" t="n"/>
    </row>
    <row r="938" ht="13" customHeight="1" s="189">
      <c r="B938" s="203" t="n"/>
      <c r="C938" s="203" t="n"/>
      <c r="D938" s="289" t="n"/>
      <c r="E938" s="203" t="n"/>
      <c r="F938" s="203" t="n"/>
    </row>
    <row r="939" ht="13" customHeight="1" s="189">
      <c r="B939" s="203" t="n"/>
      <c r="C939" s="203" t="n"/>
      <c r="D939" s="289" t="n"/>
      <c r="E939" s="203" t="n"/>
      <c r="F939" s="203" t="n"/>
    </row>
    <row r="940" ht="13" customHeight="1" s="189">
      <c r="B940" s="203" t="n"/>
      <c r="C940" s="203" t="n"/>
      <c r="D940" s="289" t="n"/>
      <c r="E940" s="203" t="n"/>
      <c r="F940" s="203" t="n"/>
    </row>
    <row r="941" ht="13" customHeight="1" s="189">
      <c r="B941" s="203" t="n"/>
      <c r="C941" s="203" t="n"/>
      <c r="D941" s="289" t="n"/>
      <c r="E941" s="203" t="n"/>
      <c r="F941" s="203" t="n"/>
    </row>
    <row r="942" ht="13" customHeight="1" s="189">
      <c r="B942" s="203" t="n"/>
      <c r="C942" s="203" t="n"/>
      <c r="D942" s="289" t="n"/>
      <c r="E942" s="203" t="n"/>
      <c r="F942" s="203" t="n"/>
    </row>
    <row r="943" ht="13" customHeight="1" s="189">
      <c r="B943" s="203" t="n"/>
      <c r="C943" s="203" t="n"/>
      <c r="D943" s="289" t="n"/>
      <c r="E943" s="203" t="n"/>
      <c r="F943" s="203" t="n"/>
    </row>
    <row r="944" ht="13" customHeight="1" s="189">
      <c r="B944" s="203" t="n"/>
      <c r="C944" s="203" t="n"/>
      <c r="D944" s="289" t="n"/>
      <c r="E944" s="203" t="n"/>
      <c r="F944" s="203" t="n"/>
    </row>
    <row r="945" ht="13" customHeight="1" s="189">
      <c r="B945" s="203" t="n"/>
      <c r="C945" s="203" t="n"/>
      <c r="D945" s="289" t="n"/>
      <c r="E945" s="203" t="n"/>
      <c r="F945" s="203" t="n"/>
    </row>
    <row r="946" ht="13" customHeight="1" s="189">
      <c r="B946" s="203" t="n"/>
      <c r="C946" s="203" t="n"/>
      <c r="D946" s="289" t="n"/>
      <c r="E946" s="203" t="n"/>
      <c r="F946" s="203" t="n"/>
    </row>
    <row r="947" ht="13" customHeight="1" s="189">
      <c r="B947" s="203" t="n"/>
      <c r="C947" s="203" t="n"/>
      <c r="D947" s="289" t="n"/>
      <c r="E947" s="203" t="n"/>
      <c r="F947" s="203" t="n"/>
    </row>
    <row r="948" ht="13" customHeight="1" s="189">
      <c r="B948" s="203" t="n"/>
      <c r="C948" s="203" t="n"/>
      <c r="D948" s="289" t="n"/>
      <c r="E948" s="203" t="n"/>
      <c r="F948" s="203" t="n"/>
    </row>
    <row r="949" ht="13" customHeight="1" s="189">
      <c r="B949" s="203" t="n"/>
      <c r="C949" s="203" t="n"/>
      <c r="D949" s="289" t="n"/>
      <c r="E949" s="203" t="n"/>
      <c r="F949" s="203" t="n"/>
    </row>
    <row r="950" ht="13" customHeight="1" s="189">
      <c r="B950" s="203" t="n"/>
      <c r="C950" s="203" t="n"/>
      <c r="D950" s="289" t="n"/>
      <c r="E950" s="203" t="n"/>
      <c r="F950" s="203" t="n"/>
    </row>
    <row r="951" ht="13" customHeight="1" s="189">
      <c r="B951" s="203" t="n"/>
      <c r="C951" s="203" t="n"/>
      <c r="D951" s="289" t="n"/>
      <c r="E951" s="203" t="n"/>
      <c r="F951" s="203" t="n"/>
    </row>
    <row r="952" ht="13" customHeight="1" s="189">
      <c r="B952" s="203" t="n"/>
      <c r="C952" s="203" t="n"/>
      <c r="D952" s="289" t="n"/>
      <c r="E952" s="203" t="n"/>
      <c r="F952" s="203" t="n"/>
    </row>
    <row r="953" ht="13" customHeight="1" s="189">
      <c r="B953" s="203" t="n"/>
      <c r="C953" s="203" t="n"/>
      <c r="D953" s="289" t="n"/>
      <c r="E953" s="203" t="n"/>
      <c r="F953" s="203" t="n"/>
    </row>
    <row r="954" ht="13" customHeight="1" s="189">
      <c r="B954" s="203" t="n"/>
      <c r="C954" s="203" t="n"/>
      <c r="D954" s="289" t="n"/>
      <c r="E954" s="203" t="n"/>
      <c r="F954" s="203" t="n"/>
    </row>
    <row r="955" ht="13" customHeight="1" s="189">
      <c r="B955" s="203" t="n"/>
      <c r="C955" s="203" t="n"/>
      <c r="D955" s="289" t="n"/>
      <c r="E955" s="203" t="n"/>
      <c r="F955" s="203" t="n"/>
    </row>
    <row r="956" ht="13" customHeight="1" s="189">
      <c r="B956" s="203" t="n"/>
      <c r="C956" s="203" t="n"/>
      <c r="D956" s="289" t="n"/>
      <c r="E956" s="203" t="n"/>
      <c r="F956" s="203" t="n"/>
    </row>
    <row r="957" ht="13" customHeight="1" s="189">
      <c r="B957" s="203" t="n"/>
      <c r="C957" s="203" t="n"/>
      <c r="D957" s="289" t="n"/>
      <c r="E957" s="203" t="n"/>
      <c r="F957" s="203" t="n"/>
    </row>
    <row r="958" ht="13" customHeight="1" s="189">
      <c r="B958" s="203" t="n"/>
      <c r="C958" s="203" t="n"/>
      <c r="D958" s="289" t="n"/>
      <c r="E958" s="203" t="n"/>
      <c r="F958" s="203" t="n"/>
    </row>
    <row r="959" ht="13" customHeight="1" s="189">
      <c r="B959" s="203" t="n"/>
      <c r="C959" s="203" t="n"/>
      <c r="D959" s="289" t="n"/>
      <c r="E959" s="203" t="n"/>
      <c r="F959" s="203" t="n"/>
    </row>
    <row r="960" ht="13" customHeight="1" s="189">
      <c r="B960" s="203" t="n"/>
      <c r="C960" s="203" t="n"/>
      <c r="D960" s="289" t="n"/>
      <c r="E960" s="203" t="n"/>
      <c r="F960" s="203" t="n"/>
    </row>
    <row r="961" ht="13" customHeight="1" s="189">
      <c r="B961" s="203" t="n"/>
      <c r="C961" s="203" t="n"/>
      <c r="D961" s="289" t="n"/>
      <c r="E961" s="203" t="n"/>
      <c r="F961" s="203" t="n"/>
    </row>
    <row r="962" ht="13" customHeight="1" s="189">
      <c r="B962" s="203" t="n"/>
      <c r="C962" s="203" t="n"/>
      <c r="D962" s="289" t="n"/>
      <c r="E962" s="203" t="n"/>
      <c r="F962" s="203" t="n"/>
    </row>
    <row r="963" ht="13" customHeight="1" s="189">
      <c r="B963" s="203" t="n"/>
      <c r="C963" s="203" t="n"/>
      <c r="D963" s="289" t="n"/>
      <c r="E963" s="203" t="n"/>
      <c r="F963" s="203" t="n"/>
    </row>
    <row r="964" ht="13" customHeight="1" s="189">
      <c r="B964" s="203" t="n"/>
      <c r="C964" s="203" t="n"/>
      <c r="D964" s="289" t="n"/>
      <c r="E964" s="203" t="n"/>
      <c r="F964" s="203" t="n"/>
    </row>
    <row r="965" ht="13" customHeight="1" s="189">
      <c r="B965" s="203" t="n"/>
      <c r="C965" s="203" t="n"/>
      <c r="D965" s="289" t="n"/>
      <c r="E965" s="203" t="n"/>
      <c r="F965" s="203" t="n"/>
    </row>
    <row r="966" ht="13" customHeight="1" s="189">
      <c r="B966" s="203" t="n"/>
      <c r="C966" s="203" t="n"/>
      <c r="D966" s="289" t="n"/>
      <c r="E966" s="203" t="n"/>
      <c r="F966" s="203" t="n"/>
    </row>
    <row r="967" ht="13" customHeight="1" s="189">
      <c r="B967" s="203" t="n"/>
      <c r="C967" s="203" t="n"/>
      <c r="D967" s="289" t="n"/>
      <c r="E967" s="203" t="n"/>
      <c r="F967" s="203" t="n"/>
    </row>
    <row r="968" ht="13" customHeight="1" s="189">
      <c r="B968" s="203" t="n"/>
      <c r="C968" s="203" t="n"/>
      <c r="D968" s="289" t="n"/>
      <c r="E968" s="203" t="n"/>
      <c r="F968" s="203" t="n"/>
    </row>
    <row r="969" ht="13" customHeight="1" s="189">
      <c r="B969" s="203" t="n"/>
      <c r="C969" s="203" t="n"/>
      <c r="D969" s="289" t="n"/>
      <c r="E969" s="203" t="n"/>
      <c r="F969" s="203" t="n"/>
    </row>
    <row r="970" ht="13" customHeight="1" s="189">
      <c r="B970" s="203" t="n"/>
      <c r="C970" s="203" t="n"/>
      <c r="D970" s="289" t="n"/>
      <c r="E970" s="203" t="n"/>
      <c r="F970" s="203" t="n"/>
    </row>
    <row r="971" ht="13" customHeight="1" s="189">
      <c r="B971" s="203" t="n"/>
      <c r="C971" s="203" t="n"/>
      <c r="D971" s="289" t="n"/>
      <c r="E971" s="203" t="n"/>
      <c r="F971" s="203" t="n"/>
    </row>
    <row r="972" ht="13" customHeight="1" s="189">
      <c r="B972" s="203" t="n"/>
      <c r="C972" s="203" t="n"/>
      <c r="D972" s="289" t="n"/>
      <c r="E972" s="203" t="n"/>
      <c r="F972" s="203" t="n"/>
    </row>
    <row r="973" ht="13" customHeight="1" s="189">
      <c r="B973" s="203" t="n"/>
      <c r="C973" s="203" t="n"/>
      <c r="D973" s="289" t="n"/>
      <c r="E973" s="203" t="n"/>
      <c r="F973" s="203" t="n"/>
    </row>
    <row r="974" ht="13" customHeight="1" s="189">
      <c r="B974" s="203" t="n"/>
      <c r="C974" s="203" t="n"/>
      <c r="D974" s="289" t="n"/>
      <c r="E974" s="203" t="n"/>
      <c r="F974" s="203" t="n"/>
    </row>
    <row r="975" ht="13" customHeight="1" s="189">
      <c r="B975" s="203" t="n"/>
      <c r="C975" s="203" t="n"/>
      <c r="D975" s="289" t="n"/>
      <c r="E975" s="203" t="n"/>
      <c r="F975" s="203" t="n"/>
    </row>
    <row r="976" ht="13" customHeight="1" s="189">
      <c r="B976" s="203" t="n"/>
      <c r="C976" s="203" t="n"/>
      <c r="D976" s="289" t="n"/>
      <c r="E976" s="203" t="n"/>
      <c r="F976" s="203" t="n"/>
    </row>
    <row r="977" ht="13" customHeight="1" s="189">
      <c r="B977" s="203" t="n"/>
      <c r="C977" s="203" t="n"/>
      <c r="D977" s="289" t="n"/>
      <c r="E977" s="203" t="n"/>
      <c r="F977" s="203" t="n"/>
    </row>
    <row r="978" ht="13" customHeight="1" s="189">
      <c r="B978" s="203" t="n"/>
      <c r="C978" s="203" t="n"/>
      <c r="D978" s="289" t="n"/>
      <c r="E978" s="203" t="n"/>
      <c r="F978" s="203" t="n"/>
    </row>
    <row r="979" ht="13" customHeight="1" s="189">
      <c r="B979" s="203" t="n"/>
      <c r="C979" s="203" t="n"/>
      <c r="D979" s="289" t="n"/>
      <c r="E979" s="203" t="n"/>
      <c r="F979" s="203" t="n"/>
    </row>
    <row r="980" ht="13" customHeight="1" s="189">
      <c r="B980" s="203" t="n"/>
      <c r="C980" s="203" t="n"/>
      <c r="D980" s="289" t="n"/>
      <c r="E980" s="203" t="n"/>
      <c r="F980" s="203" t="n"/>
    </row>
    <row r="981" ht="13" customHeight="1" s="189">
      <c r="B981" s="203" t="n"/>
      <c r="C981" s="203" t="n"/>
      <c r="D981" s="289" t="n"/>
      <c r="E981" s="203" t="n"/>
      <c r="F981" s="203" t="n"/>
    </row>
    <row r="982" ht="13" customHeight="1" s="189">
      <c r="B982" s="203" t="n"/>
      <c r="C982" s="203" t="n"/>
      <c r="D982" s="289" t="n"/>
      <c r="E982" s="203" t="n"/>
      <c r="F982" s="203" t="n"/>
    </row>
    <row r="983" ht="13" customHeight="1" s="189">
      <c r="B983" s="203" t="n"/>
      <c r="C983" s="203" t="n"/>
      <c r="D983" s="289" t="n"/>
      <c r="E983" s="203" t="n"/>
      <c r="F983" s="203" t="n"/>
    </row>
    <row r="984" ht="13" customHeight="1" s="189">
      <c r="B984" s="203" t="n"/>
      <c r="C984" s="203" t="n"/>
      <c r="D984" s="289" t="n"/>
      <c r="E984" s="203" t="n"/>
      <c r="F984" s="203" t="n"/>
    </row>
    <row r="985" ht="13" customHeight="1" s="189">
      <c r="B985" s="203" t="n"/>
      <c r="C985" s="203" t="n"/>
      <c r="D985" s="289" t="n"/>
      <c r="E985" s="203" t="n"/>
      <c r="F985" s="203" t="n"/>
    </row>
    <row r="986" ht="13" customHeight="1" s="189">
      <c r="B986" s="203" t="n"/>
      <c r="C986" s="203" t="n"/>
      <c r="D986" s="289" t="n"/>
      <c r="E986" s="203" t="n"/>
      <c r="F986" s="203" t="n"/>
    </row>
    <row r="987" ht="13" customHeight="1" s="189">
      <c r="B987" s="203" t="n"/>
      <c r="C987" s="203" t="n"/>
      <c r="D987" s="289" t="n"/>
      <c r="E987" s="203" t="n"/>
      <c r="F987" s="203" t="n"/>
    </row>
    <row r="988" ht="13" customHeight="1" s="189">
      <c r="B988" s="203" t="n"/>
      <c r="C988" s="203" t="n"/>
      <c r="D988" s="289" t="n"/>
      <c r="E988" s="203" t="n"/>
      <c r="F988" s="203" t="n"/>
    </row>
    <row r="989" ht="13" customHeight="1" s="189">
      <c r="B989" s="203" t="n"/>
      <c r="C989" s="203" t="n"/>
      <c r="D989" s="289" t="n"/>
      <c r="E989" s="203" t="n"/>
      <c r="F989" s="203" t="n"/>
    </row>
    <row r="990" ht="13" customHeight="1" s="189">
      <c r="B990" s="203" t="n"/>
      <c r="C990" s="203" t="n"/>
      <c r="D990" s="289" t="n"/>
      <c r="E990" s="203" t="n"/>
      <c r="F990" s="203" t="n"/>
    </row>
    <row r="991" ht="13" customHeight="1" s="189">
      <c r="B991" s="203" t="n"/>
      <c r="C991" s="203" t="n"/>
      <c r="D991" s="289" t="n"/>
      <c r="E991" s="203" t="n"/>
      <c r="F991" s="203" t="n"/>
    </row>
    <row r="992" ht="13" customHeight="1" s="189">
      <c r="B992" s="203" t="n"/>
      <c r="C992" s="203" t="n"/>
      <c r="D992" s="289" t="n"/>
      <c r="E992" s="203" t="n"/>
      <c r="F992" s="203" t="n"/>
    </row>
    <row r="993" ht="13" customHeight="1" s="189">
      <c r="B993" s="203" t="n"/>
      <c r="C993" s="203" t="n"/>
      <c r="D993" s="289" t="n"/>
      <c r="E993" s="203" t="n"/>
      <c r="F993" s="203" t="n"/>
    </row>
    <row r="994" ht="13" customHeight="1" s="189">
      <c r="B994" s="203" t="n"/>
      <c r="C994" s="203" t="n"/>
      <c r="D994" s="289" t="n"/>
      <c r="E994" s="203" t="n"/>
      <c r="F994" s="203" t="n"/>
    </row>
    <row r="995" ht="13" customHeight="1" s="189">
      <c r="B995" s="203" t="n"/>
      <c r="C995" s="203" t="n"/>
      <c r="D995" s="289" t="n"/>
      <c r="E995" s="203" t="n"/>
      <c r="F995" s="203" t="n"/>
    </row>
    <row r="996" ht="13" customHeight="1" s="189">
      <c r="B996" s="203" t="n"/>
      <c r="C996" s="203" t="n"/>
      <c r="D996" s="289" t="n"/>
      <c r="E996" s="203" t="n"/>
      <c r="F996" s="203" t="n"/>
    </row>
    <row r="997" ht="13" customHeight="1" s="189">
      <c r="B997" s="203" t="n"/>
      <c r="C997" s="203" t="n"/>
      <c r="D997" s="289" t="n"/>
      <c r="E997" s="203" t="n"/>
      <c r="F997" s="203" t="n"/>
    </row>
    <row r="998" ht="13" customHeight="1" s="189">
      <c r="B998" s="203" t="n"/>
      <c r="C998" s="203" t="n"/>
      <c r="D998" s="289" t="n"/>
      <c r="E998" s="203" t="n"/>
      <c r="F998" s="203" t="n"/>
    </row>
    <row r="999" ht="13" customHeight="1" s="189">
      <c r="B999" s="203" t="n"/>
      <c r="C999" s="203" t="n"/>
      <c r="D999" s="289" t="n"/>
      <c r="E999" s="203" t="n"/>
      <c r="F999" s="203" t="n"/>
    </row>
    <row r="1000" ht="13" customHeight="1" s="189">
      <c r="B1000" s="203" t="n"/>
      <c r="C1000" s="203" t="n"/>
      <c r="D1000" s="289" t="n"/>
      <c r="E1000" s="203" t="n"/>
      <c r="F1000" s="203" t="n"/>
    </row>
    <row r="1001" ht="13" customHeight="1" s="189">
      <c r="B1001" s="203" t="n"/>
      <c r="C1001" s="203" t="n"/>
      <c r="D1001" s="289" t="n"/>
      <c r="E1001" s="203" t="n"/>
      <c r="F1001" s="203" t="n"/>
    </row>
    <row r="1002" ht="13" customHeight="1" s="189">
      <c r="B1002" s="203" t="n"/>
      <c r="C1002" s="203" t="n"/>
      <c r="D1002" s="289" t="n"/>
      <c r="E1002" s="203" t="n"/>
      <c r="F1002" s="203" t="n"/>
    </row>
    <row r="1003" ht="13" customHeight="1" s="189">
      <c r="B1003" s="203" t="n"/>
      <c r="C1003" s="203" t="n"/>
      <c r="D1003" s="289" t="n"/>
      <c r="E1003" s="203" t="n"/>
      <c r="F1003" s="203" t="n"/>
    </row>
    <row r="1004" ht="13" customHeight="1" s="189">
      <c r="B1004" s="203" t="n"/>
      <c r="C1004" s="203" t="n"/>
      <c r="D1004" s="289" t="n"/>
      <c r="E1004" s="203" t="n"/>
      <c r="F1004" s="203" t="n"/>
    </row>
    <row r="1005" ht="13" customHeight="1" s="189">
      <c r="B1005" s="203" t="n"/>
      <c r="C1005" s="203" t="n"/>
      <c r="D1005" s="289" t="n"/>
      <c r="E1005" s="203" t="n"/>
      <c r="F1005" s="203" t="n"/>
    </row>
    <row r="1006" ht="13" customHeight="1" s="189">
      <c r="B1006" s="203" t="n"/>
      <c r="C1006" s="203" t="n"/>
      <c r="D1006" s="289" t="n"/>
      <c r="E1006" s="203" t="n"/>
      <c r="F1006" s="203" t="n"/>
    </row>
    <row r="1007" ht="13" customHeight="1" s="189">
      <c r="B1007" s="203" t="n"/>
      <c r="C1007" s="203" t="n"/>
      <c r="D1007" s="289" t="n"/>
      <c r="E1007" s="203" t="n"/>
      <c r="F1007" s="203" t="n"/>
    </row>
    <row r="1008" ht="13" customHeight="1" s="189">
      <c r="B1008" s="203" t="n"/>
      <c r="C1008" s="203" t="n"/>
      <c r="D1008" s="289" t="n"/>
      <c r="E1008" s="203" t="n"/>
      <c r="F1008" s="203" t="n"/>
    </row>
    <row r="1009" ht="13" customHeight="1" s="189">
      <c r="B1009" s="203" t="n"/>
      <c r="C1009" s="203" t="n"/>
      <c r="D1009" s="289" t="n"/>
      <c r="E1009" s="203" t="n"/>
      <c r="F1009" s="203" t="n"/>
    </row>
    <row r="1010" ht="13" customHeight="1" s="189">
      <c r="B1010" s="203" t="n"/>
      <c r="C1010" s="203" t="n"/>
      <c r="D1010" s="289" t="n"/>
      <c r="E1010" s="203" t="n"/>
      <c r="F1010" s="203" t="n"/>
    </row>
    <row r="1011" ht="13" customHeight="1" s="189">
      <c r="B1011" s="203" t="n"/>
      <c r="C1011" s="203" t="n"/>
      <c r="D1011" s="289" t="n"/>
      <c r="E1011" s="203" t="n"/>
      <c r="F1011" s="203" t="n"/>
    </row>
    <row r="1012" ht="13" customHeight="1" s="189">
      <c r="B1012" s="203" t="n"/>
      <c r="C1012" s="203" t="n"/>
      <c r="D1012" s="289" t="n"/>
      <c r="E1012" s="203" t="n"/>
      <c r="F1012" s="203" t="n"/>
    </row>
    <row r="1013" ht="13" customHeight="1" s="189">
      <c r="B1013" s="203" t="n"/>
      <c r="C1013" s="203" t="n"/>
      <c r="D1013" s="289" t="n"/>
      <c r="E1013" s="203" t="n"/>
      <c r="F1013" s="203" t="n"/>
    </row>
    <row r="1014" ht="13" customHeight="1" s="189">
      <c r="B1014" s="203" t="n"/>
      <c r="C1014" s="203" t="n"/>
      <c r="D1014" s="289" t="n"/>
      <c r="E1014" s="203" t="n"/>
      <c r="F1014" s="203" t="n"/>
    </row>
    <row r="1015" ht="13" customHeight="1" s="189">
      <c r="B1015" s="203" t="n"/>
      <c r="C1015" s="203" t="n"/>
      <c r="D1015" s="289" t="n"/>
      <c r="E1015" s="203" t="n"/>
      <c r="F1015" s="203" t="n"/>
    </row>
    <row r="1016" ht="13" customHeight="1" s="189">
      <c r="B1016" s="203" t="n"/>
      <c r="C1016" s="203" t="n"/>
      <c r="D1016" s="289" t="n"/>
      <c r="E1016" s="203" t="n"/>
      <c r="F1016" s="203" t="n"/>
    </row>
    <row r="1017" ht="13" customHeight="1" s="189">
      <c r="B1017" s="203" t="n"/>
      <c r="C1017" s="203" t="n"/>
      <c r="D1017" s="289" t="n"/>
      <c r="E1017" s="203" t="n"/>
      <c r="F1017" s="203" t="n"/>
    </row>
    <row r="1018" ht="13" customHeight="1" s="189">
      <c r="B1018" s="203" t="n"/>
      <c r="C1018" s="203" t="n"/>
      <c r="D1018" s="289" t="n"/>
      <c r="E1018" s="203" t="n"/>
      <c r="F1018" s="203" t="n"/>
    </row>
    <row r="1019" ht="13" customHeight="1" s="189">
      <c r="B1019" s="203" t="n"/>
      <c r="C1019" s="203" t="n"/>
      <c r="D1019" s="289" t="n"/>
      <c r="E1019" s="203" t="n"/>
      <c r="F1019" s="203" t="n"/>
    </row>
    <row r="1020" ht="13" customHeight="1" s="189">
      <c r="B1020" s="203" t="n"/>
      <c r="C1020" s="203" t="n"/>
      <c r="D1020" s="289" t="n"/>
      <c r="E1020" s="203" t="n"/>
      <c r="F1020" s="203" t="n"/>
    </row>
    <row r="1021" ht="13" customHeight="1" s="189">
      <c r="B1021" s="203" t="n"/>
      <c r="C1021" s="203" t="n"/>
      <c r="D1021" s="289" t="n"/>
      <c r="E1021" s="203" t="n"/>
      <c r="F1021" s="203" t="n"/>
    </row>
    <row r="1022" ht="13" customHeight="1" s="189">
      <c r="B1022" s="203" t="n"/>
      <c r="C1022" s="203" t="n"/>
      <c r="D1022" s="289" t="n"/>
      <c r="E1022" s="203" t="n"/>
      <c r="F1022" s="203" t="n"/>
    </row>
    <row r="1023" ht="13" customHeight="1" s="189">
      <c r="B1023" s="203" t="n"/>
      <c r="C1023" s="203" t="n"/>
      <c r="D1023" s="289" t="n"/>
      <c r="E1023" s="203" t="n"/>
      <c r="F1023" s="203" t="n"/>
    </row>
    <row r="1024" ht="13" customHeight="1" s="189">
      <c r="B1024" s="203" t="n"/>
      <c r="C1024" s="203" t="n"/>
      <c r="D1024" s="289" t="n"/>
      <c r="E1024" s="203" t="n"/>
      <c r="F1024" s="203" t="n"/>
    </row>
    <row r="1025" ht="13" customHeight="1" s="189">
      <c r="B1025" s="203" t="n"/>
      <c r="C1025" s="203" t="n"/>
      <c r="D1025" s="289" t="n"/>
      <c r="E1025" s="203" t="n"/>
      <c r="F1025" s="203" t="n"/>
    </row>
    <row r="1026" ht="13" customHeight="1" s="189">
      <c r="B1026" s="203" t="n"/>
      <c r="C1026" s="203" t="n"/>
      <c r="D1026" s="289" t="n"/>
      <c r="E1026" s="203" t="n"/>
      <c r="F1026" s="203" t="n"/>
    </row>
    <row r="1027" ht="13" customHeight="1" s="189">
      <c r="B1027" s="203" t="n"/>
      <c r="C1027" s="203" t="n"/>
      <c r="D1027" s="289" t="n"/>
      <c r="E1027" s="203" t="n"/>
      <c r="F1027" s="203" t="n"/>
    </row>
    <row r="1028" ht="13" customHeight="1" s="189">
      <c r="B1028" s="203" t="n"/>
      <c r="C1028" s="203" t="n"/>
      <c r="D1028" s="289" t="n"/>
      <c r="E1028" s="203" t="n"/>
      <c r="F1028" s="203" t="n"/>
    </row>
    <row r="1029" ht="13" customHeight="1" s="189">
      <c r="B1029" s="203" t="n"/>
      <c r="C1029" s="203" t="n"/>
      <c r="D1029" s="289" t="n"/>
      <c r="E1029" s="203" t="n"/>
      <c r="F1029" s="203" t="n"/>
    </row>
    <row r="1030" ht="13" customHeight="1" s="189">
      <c r="B1030" s="203" t="n"/>
      <c r="C1030" s="203" t="n"/>
      <c r="D1030" s="289" t="n"/>
      <c r="E1030" s="203" t="n"/>
      <c r="F1030" s="203" t="n"/>
    </row>
    <row r="1031" ht="13" customHeight="1" s="189">
      <c r="B1031" s="203" t="n"/>
      <c r="C1031" s="203" t="n"/>
      <c r="D1031" s="289" t="n"/>
      <c r="E1031" s="203" t="n"/>
      <c r="F1031" s="203" t="n"/>
    </row>
    <row r="1032" ht="13" customHeight="1" s="189">
      <c r="B1032" s="203" t="n"/>
      <c r="C1032" s="203" t="n"/>
      <c r="D1032" s="289" t="n"/>
      <c r="E1032" s="203" t="n"/>
      <c r="F1032" s="203" t="n"/>
    </row>
    <row r="1033" ht="13" customHeight="1" s="189">
      <c r="B1033" s="203" t="n"/>
      <c r="C1033" s="203" t="n"/>
      <c r="D1033" s="289" t="n"/>
      <c r="E1033" s="203" t="n"/>
      <c r="F1033" s="203" t="n"/>
    </row>
    <row r="1034" ht="13" customHeight="1" s="189">
      <c r="B1034" s="203" t="n"/>
      <c r="C1034" s="203" t="n"/>
      <c r="D1034" s="289" t="n"/>
      <c r="E1034" s="203" t="n"/>
      <c r="F1034" s="203" t="n"/>
    </row>
    <row r="1035" ht="13" customHeight="1" s="189">
      <c r="B1035" s="203" t="n"/>
      <c r="C1035" s="203" t="n"/>
      <c r="D1035" s="289" t="n"/>
      <c r="E1035" s="203" t="n"/>
      <c r="F1035" s="203" t="n"/>
    </row>
    <row r="1036" ht="13" customHeight="1" s="189">
      <c r="B1036" s="203" t="n"/>
      <c r="C1036" s="203" t="n"/>
      <c r="D1036" s="289" t="n"/>
      <c r="E1036" s="203" t="n"/>
      <c r="F1036" s="203" t="n"/>
    </row>
    <row r="1037" ht="13" customHeight="1" s="189">
      <c r="B1037" s="203" t="n"/>
      <c r="C1037" s="203" t="n"/>
      <c r="D1037" s="289" t="n"/>
      <c r="E1037" s="203" t="n"/>
      <c r="F1037" s="203" t="n"/>
    </row>
    <row r="1038" ht="13" customHeight="1" s="189">
      <c r="B1038" s="203" t="n"/>
      <c r="C1038" s="203" t="n"/>
      <c r="D1038" s="289" t="n"/>
      <c r="E1038" s="203" t="n"/>
      <c r="F1038" s="203" t="n"/>
    </row>
    <row r="1039" ht="13" customHeight="1" s="189">
      <c r="B1039" s="203" t="n"/>
      <c r="C1039" s="203" t="n"/>
      <c r="D1039" s="289" t="n"/>
      <c r="E1039" s="203" t="n"/>
      <c r="F1039" s="203" t="n"/>
    </row>
    <row r="1040" ht="13" customHeight="1" s="189"/>
    <row r="1041" ht="13" customHeight="1" s="189"/>
    <row r="1042" ht="13" customHeight="1" s="189"/>
    <row r="1043" ht="13" customHeight="1" s="189"/>
    <row r="1044" ht="13" customHeight="1" s="189"/>
    <row r="1045" ht="13" customHeight="1" s="189"/>
    <row r="1046" ht="13" customHeight="1" s="189"/>
    <row r="1047" ht="13" customHeight="1" s="189"/>
    <row r="1048" ht="13" customHeight="1" s="189"/>
    <row r="1049" ht="13" customHeight="1" s="189"/>
    <row r="1050" ht="13" customHeight="1" s="189"/>
    <row r="1051" ht="13" customHeight="1" s="189"/>
    <row r="1052" ht="13" customHeight="1" s="189"/>
    <row r="1053" ht="13" customHeight="1" s="189"/>
    <row r="1054" ht="13" customHeight="1" s="189"/>
    <row r="1055" ht="13" customHeight="1" s="189"/>
    <row r="1056" ht="13" customHeight="1" s="189"/>
    <row r="1057" ht="13" customHeight="1" s="189"/>
    <row r="1058" ht="13" customHeight="1" s="189"/>
    <row r="1059" ht="13" customHeight="1" s="189"/>
    <row r="1060" ht="13" customHeight="1" s="189"/>
    <row r="1061" ht="13" customHeight="1" s="189"/>
    <row r="1062" ht="13" customHeight="1" s="189"/>
    <row r="1063" ht="13" customHeight="1" s="189"/>
    <row r="1064" ht="13" customHeight="1" s="189"/>
    <row r="1065" ht="13" customHeight="1" s="189"/>
    <row r="1066" ht="13" customHeight="1" s="189"/>
    <row r="1067" ht="13" customHeight="1" s="189"/>
    <row r="1068" ht="13" customHeight="1" s="189"/>
    <row r="1069" ht="13" customHeight="1" s="189"/>
    <row r="1070" ht="13" customHeight="1" s="189"/>
    <row r="1071" ht="13" customHeight="1" s="189"/>
    <row r="1072" ht="13" customHeight="1" s="189"/>
    <row r="1073" ht="13" customHeight="1" s="189"/>
    <row r="1074" ht="13" customHeight="1" s="189"/>
    <row r="1075" ht="13" customHeight="1" s="189"/>
    <row r="1076" ht="13" customHeight="1" s="189"/>
    <row r="1077" ht="13" customHeight="1" s="189"/>
    <row r="1078" ht="13" customHeight="1" s="189"/>
    <row r="1079" ht="13" customHeight="1" s="189"/>
    <row r="1080" ht="13" customHeight="1" s="189"/>
    <row r="1081" ht="13" customHeight="1" s="189"/>
    <row r="1082" ht="13" customHeight="1" s="189"/>
    <row r="1083" ht="13" customHeight="1" s="189"/>
    <row r="1084" ht="13" customHeight="1" s="189"/>
    <row r="1085" ht="13" customHeight="1" s="189"/>
    <row r="1086" ht="13" customHeight="1" s="189"/>
    <row r="1087" ht="13" customHeight="1" s="189"/>
    <row r="1088" ht="13" customHeight="1" s="189"/>
    <row r="1089" ht="13" customHeight="1" s="189"/>
    <row r="1090" ht="13" customHeight="1" s="189"/>
    <row r="1091" ht="13" customHeight="1" s="189"/>
    <row r="1092" ht="13" customHeight="1" s="189"/>
    <row r="1093" ht="13" customHeight="1" s="189"/>
    <row r="1094" ht="13" customHeight="1" s="189"/>
    <row r="1095" ht="13" customHeight="1" s="189"/>
    <row r="1096" ht="13" customHeight="1" s="189"/>
    <row r="1097" ht="13" customHeight="1" s="189"/>
    <row r="1098" ht="13" customHeight="1" s="189"/>
    <row r="1099" ht="13" customHeight="1" s="189"/>
    <row r="1100" ht="13" customHeight="1" s="189"/>
    <row r="1101" ht="13" customHeight="1" s="189"/>
    <row r="1102" ht="13" customHeight="1" s="189"/>
    <row r="1103" ht="13" customHeight="1" s="189"/>
    <row r="1104" ht="13" customHeight="1" s="189"/>
    <row r="1105" ht="13" customHeight="1" s="189"/>
    <row r="1106" ht="13" customHeight="1" s="189"/>
    <row r="1107" ht="13" customHeight="1" s="189"/>
    <row r="1108" ht="13" customHeight="1" s="189"/>
    <row r="1109" ht="13" customHeight="1" s="189"/>
    <row r="1110" ht="13" customHeight="1" s="189"/>
    <row r="1111" ht="13" customHeight="1" s="189"/>
    <row r="1112" ht="13" customHeight="1" s="189"/>
    <row r="1113" ht="13" customHeight="1" s="189"/>
    <row r="1114" ht="13" customHeight="1" s="189"/>
    <row r="1115" ht="13" customHeight="1" s="189"/>
    <row r="1116" ht="13" customHeight="1" s="189"/>
    <row r="1117" ht="13" customHeight="1" s="189"/>
    <row r="1118" ht="13" customHeight="1" s="189"/>
    <row r="1119" ht="13" customHeight="1" s="189"/>
    <row r="1120" ht="13" customHeight="1" s="189"/>
    <row r="1121" ht="13" customHeight="1" s="189"/>
    <row r="1122" ht="13" customHeight="1" s="189"/>
    <row r="1123" ht="13" customHeight="1" s="189"/>
    <row r="1124" ht="13" customHeight="1" s="189"/>
    <row r="1125" ht="13" customHeight="1" s="189"/>
    <row r="1126" ht="13" customHeight="1" s="189"/>
    <row r="1127" ht="13" customHeight="1" s="189"/>
    <row r="1128" ht="13" customHeight="1" s="189"/>
    <row r="1129" ht="13" customHeight="1" s="189"/>
    <row r="1130" ht="13" customHeight="1" s="189"/>
    <row r="1131" ht="13" customHeight="1" s="189"/>
    <row r="1132" ht="13" customHeight="1" s="189"/>
    <row r="1133" ht="13" customHeight="1" s="189"/>
    <row r="1134" ht="13" customHeight="1" s="189"/>
    <row r="1135" ht="13" customHeight="1" s="189"/>
    <row r="1136" ht="13" customHeight="1" s="189"/>
    <row r="1137" ht="13" customHeight="1" s="189"/>
    <row r="1138" ht="13" customHeight="1" s="189"/>
    <row r="1139" ht="13" customHeight="1" s="189"/>
    <row r="1140" ht="13" customHeight="1" s="189"/>
    <row r="1141" ht="13" customHeight="1" s="189"/>
    <row r="1142" ht="13" customHeight="1" s="189"/>
    <row r="1143" ht="13" customHeight="1" s="189"/>
    <row r="1144" ht="13" customHeight="1" s="189"/>
    <row r="1145" ht="13" customHeight="1" s="189"/>
    <row r="1146" ht="13" customHeight="1" s="189"/>
    <row r="1147" ht="13" customHeight="1" s="189"/>
    <row r="1148" ht="13" customHeight="1" s="189"/>
    <row r="1149" ht="13" customHeight="1" s="189"/>
    <row r="1150" ht="13" customHeight="1" s="189"/>
    <row r="1151" ht="13" customHeight="1" s="189"/>
    <row r="1152" ht="13" customHeight="1" s="189"/>
    <row r="1153" ht="13" customHeight="1" s="189"/>
    <row r="1154" ht="13" customHeight="1" s="189"/>
    <row r="1155" ht="13" customHeight="1" s="189"/>
    <row r="1156" ht="13" customHeight="1" s="189"/>
    <row r="1157" ht="13" customHeight="1" s="189"/>
    <row r="1158" ht="13" customHeight="1" s="189"/>
    <row r="1159" ht="13" customHeight="1" s="189"/>
    <row r="1160" ht="13" customHeight="1" s="189"/>
    <row r="1161" ht="13" customHeight="1" s="189"/>
    <row r="1162" ht="13" customHeight="1" s="189"/>
    <row r="1163" ht="13" customHeight="1" s="189"/>
    <row r="1164" ht="13" customHeight="1" s="189"/>
    <row r="1165" ht="13" customHeight="1" s="189"/>
    <row r="1166" ht="13" customHeight="1" s="189"/>
    <row r="1167" ht="13" customHeight="1" s="189"/>
    <row r="1168" ht="13" customHeight="1" s="189"/>
    <row r="1169" ht="13" customHeight="1" s="189"/>
    <row r="1170" ht="13" customHeight="1" s="189"/>
    <row r="1171" ht="13" customHeight="1" s="189"/>
    <row r="1172" ht="13" customHeight="1" s="189"/>
    <row r="1173" ht="13" customHeight="1" s="189"/>
    <row r="1174" ht="13" customHeight="1" s="189"/>
    <row r="1175" ht="13" customHeight="1" s="189"/>
    <row r="1176" ht="13" customHeight="1" s="189"/>
    <row r="1177" ht="13" customHeight="1" s="189"/>
    <row r="1178" ht="13" customHeight="1" s="189"/>
    <row r="1179" ht="13" customHeight="1" s="189"/>
    <row r="1180" ht="13" customHeight="1" s="189"/>
    <row r="1181" ht="13" customHeight="1" s="189"/>
    <row r="1182" ht="13" customHeight="1" s="189"/>
  </sheetData>
  <mergeCells count="12">
    <mergeCell ref="B4:F4"/>
    <mergeCell ref="G4:H4"/>
    <mergeCell ref="B2:F2"/>
    <mergeCell ref="I2:N2"/>
    <mergeCell ref="G2:H2"/>
    <mergeCell ref="B3:F3"/>
    <mergeCell ref="I3:N3"/>
    <mergeCell ref="A5:N5"/>
    <mergeCell ref="B6:N6"/>
    <mergeCell ref="I4:N4"/>
    <mergeCell ref="G3:H3"/>
    <mergeCell ref="A1:N1"/>
  </mergeCells>
  <printOptions horizontalCentered="0" verticalCentered="0" headings="0" gridLines="1"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G1024"/>
  <sheetViews>
    <sheetView showFormulas="0" showGridLines="1" showRowColHeaders="1" showZeros="1" rightToLeft="0" tabSelected="0" showOutlineSymbols="1" defaultGridColor="1" view="normal" topLeftCell="A13" colorId="64" zoomScale="100" zoomScaleNormal="100" zoomScalePageLayoutView="100" workbookViewId="0">
      <selection pane="topLeft" activeCell="F24" activeCellId="0" sqref="F24"/>
    </sheetView>
  </sheetViews>
  <sheetFormatPr baseColWidth="8" defaultColWidth="9.0546875" defaultRowHeight="12.5" zeroHeight="0" outlineLevelRow="0"/>
  <cols>
    <col width="3.17" customWidth="1" style="287" min="1" max="1"/>
    <col width="42.72" customWidth="1" style="188" min="2" max="3"/>
    <col width="10.72" customWidth="1" style="293" min="4" max="4"/>
    <col width="10.72" customWidth="1" style="188" min="5" max="5"/>
    <col width="11.44" customWidth="1" style="188" min="6" max="6"/>
    <col width="40.72" customWidth="1" style="188" min="7" max="7"/>
  </cols>
  <sheetData>
    <row r="1" ht="15.5" customHeight="1" s="189">
      <c r="A1" s="243" t="inlineStr">
        <is>
          <t>Assumptions and Constraints</t>
        </is>
      </c>
      <c r="B1" s="213" t="n"/>
      <c r="C1" s="213" t="n"/>
      <c r="D1" s="213" t="n"/>
      <c r="E1" s="213" t="n"/>
      <c r="F1" s="214" t="n"/>
      <c r="G1" s="315" t="n"/>
    </row>
    <row r="2" ht="13" customHeight="1" s="189">
      <c r="A2" s="266" t="inlineStr">
        <is>
          <t>Project</t>
        </is>
      </c>
      <c r="B2" s="214" t="n"/>
      <c r="C2" s="208">
        <f>Data!B1</f>
        <v/>
      </c>
      <c r="D2" s="266" t="inlineStr">
        <is>
          <t>Project #</t>
        </is>
      </c>
      <c r="E2" s="208">
        <f>Data!B2</f>
        <v/>
      </c>
      <c r="F2" s="214" t="n"/>
    </row>
    <row r="3" ht="13" customHeight="1" s="189">
      <c r="A3" s="266" t="inlineStr">
        <is>
          <t>Project manager</t>
        </is>
      </c>
      <c r="B3" s="214" t="n"/>
      <c r="C3" s="208">
        <f>Data!B3</f>
        <v/>
      </c>
      <c r="D3" s="266" t="inlineStr">
        <is>
          <t>Sponsor</t>
        </is>
      </c>
      <c r="E3" s="208">
        <f>Data!B4</f>
        <v/>
      </c>
      <c r="F3" s="214" t="n"/>
    </row>
    <row r="4" ht="13" customHeight="1" s="189">
      <c r="A4" s="266" t="inlineStr">
        <is>
          <t>Project artifacts</t>
        </is>
      </c>
      <c r="B4" s="214" t="n"/>
      <c r="C4" s="208">
        <f>Data!B5</f>
        <v/>
      </c>
      <c r="D4" s="266" t="inlineStr">
        <is>
          <t>Updated</t>
        </is>
      </c>
      <c r="E4" s="208">
        <f>Data!B6</f>
        <v/>
      </c>
      <c r="F4" s="214" t="n"/>
      <c r="G4" s="188" t="n"/>
    </row>
    <row r="5" ht="12.5" customHeight="1" s="189">
      <c r="A5" s="288" t="n"/>
      <c r="B5" s="213" t="n"/>
      <c r="C5" s="213" t="n"/>
      <c r="D5" s="213" t="n"/>
      <c r="E5" s="213" t="n"/>
      <c r="F5" s="214" t="n"/>
      <c r="G5" s="188" t="n"/>
    </row>
    <row r="6" ht="61.5" customHeight="1" s="189">
      <c r="A6" s="281" t="inlineStr">
        <is>
          <t>ID</t>
        </is>
      </c>
      <c r="B6" s="281" t="inlineStr">
        <is>
          <t>Description</t>
        </is>
      </c>
      <c r="C6" s="281" t="inlineStr">
        <is>
          <t>Comments</t>
        </is>
      </c>
      <c r="D6" s="281" t="inlineStr">
        <is>
          <t>Type</t>
        </is>
      </c>
      <c r="E6" s="281" t="inlineStr">
        <is>
          <t>Status</t>
        </is>
      </c>
      <c r="F6" s="281" t="inlineStr">
        <is>
          <t>Date Entered</t>
        </is>
      </c>
      <c r="G6" s="188" t="n"/>
    </row>
    <row r="7" ht="21.75" customHeight="1" s="189">
      <c r="A7" s="272" t="n">
        <v>1</v>
      </c>
      <c r="B7" s="295" t="inlineStr">
        <is>
          <t>The scanner will run on Windows, Linux, and macOS systems</t>
        </is>
      </c>
      <c r="C7" s="199" t="inlineStr"/>
      <c r="D7" s="285" t="inlineStr">
        <is>
          <t>Assumption</t>
        </is>
      </c>
      <c r="E7" s="199" t="inlineStr">
        <is>
          <t>Active</t>
        </is>
      </c>
      <c r="F7" s="285" t="inlineStr">
        <is>
          <t>2/4/2026</t>
        </is>
      </c>
      <c r="G7" s="290" t="n"/>
    </row>
    <row r="8" ht="21.75" customHeight="1" s="189">
      <c r="A8" s="272" t="n">
        <v>2</v>
      </c>
      <c r="B8" s="199" t="inlineStr">
        <is>
          <t>Users will have basic internet access to receive updates</t>
        </is>
      </c>
      <c r="C8" s="199" t="inlineStr"/>
      <c r="D8" s="285" t="inlineStr">
        <is>
          <t>Assumption</t>
        </is>
      </c>
      <c r="E8" s="199" t="inlineStr">
        <is>
          <t>Active</t>
        </is>
      </c>
      <c r="F8" s="285" t="inlineStr">
        <is>
          <t>2/4/2026</t>
        </is>
      </c>
      <c r="G8" s="290" t="n"/>
    </row>
    <row r="9" ht="21.75" customHeight="1" s="189">
      <c r="A9" s="272" t="n">
        <v>3</v>
      </c>
      <c r="B9" s="199" t="inlineStr">
        <is>
          <t>Open-source libraries (nmap, bandit, zxcvbn) will be used to reduce costs</t>
        </is>
      </c>
      <c r="C9" s="199" t="inlineStr"/>
      <c r="D9" s="285" t="inlineStr">
        <is>
          <t>Assumption</t>
        </is>
      </c>
      <c r="E9" s="199" t="inlineStr">
        <is>
          <t>Active</t>
        </is>
      </c>
      <c r="F9" s="285" t="inlineStr">
        <is>
          <t>2/4/2026</t>
        </is>
      </c>
      <c r="G9" s="290" t="n"/>
    </row>
    <row r="10" ht="21.75" customHeight="1" s="189">
      <c r="A10" s="272" t="n">
        <v>4</v>
      </c>
      <c r="B10" s="199" t="inlineStr">
        <is>
          <t>The project budget is fixed and approved by the sponsor</t>
        </is>
      </c>
      <c r="C10" s="199" t="inlineStr"/>
      <c r="D10" s="285" t="inlineStr">
        <is>
          <t>Constraint</t>
        </is>
      </c>
      <c r="E10" s="199" t="inlineStr">
        <is>
          <t>Active</t>
        </is>
      </c>
      <c r="F10" s="285" t="inlineStr">
        <is>
          <t>2/4/2026</t>
        </is>
      </c>
      <c r="G10" s="290" t="n"/>
    </row>
    <row r="11" ht="21.75" customHeight="1" s="189">
      <c r="A11" s="272" t="n">
        <v>5</v>
      </c>
      <c r="B11" s="199" t="inlineStr">
        <is>
          <t>Project must be completed by May 7, 2026</t>
        </is>
      </c>
      <c r="C11" s="199" t="inlineStr"/>
      <c r="D11" s="285" t="inlineStr">
        <is>
          <t>Constraint</t>
        </is>
      </c>
      <c r="E11" s="199" t="inlineStr">
        <is>
          <t>Active</t>
        </is>
      </c>
      <c r="F11" s="285" t="inlineStr">
        <is>
          <t>2/4/2026</t>
        </is>
      </c>
      <c r="G11" s="290" t="n"/>
    </row>
    <row r="12" ht="21.75" customHeight="1" s="189">
      <c r="A12" s="272" t="n">
        <v>6</v>
      </c>
      <c r="B12" s="199" t="inlineStr">
        <is>
          <t>All user data collected must comply with GDPR</t>
        </is>
      </c>
      <c r="C12" s="199" t="inlineStr"/>
      <c r="D12" s="285" t="inlineStr">
        <is>
          <t>Constraint</t>
        </is>
      </c>
      <c r="E12" s="199" t="inlineStr">
        <is>
          <t>Active</t>
        </is>
      </c>
      <c r="F12" s="285" t="inlineStr">
        <is>
          <t>2/4/2026</t>
        </is>
      </c>
      <c r="G12" s="290" t="n"/>
    </row>
    <row r="13" ht="21.75" customHeight="1" s="189">
      <c r="A13" s="272" t="n">
        <v>7</v>
      </c>
      <c r="B13" s="199" t="inlineStr">
        <is>
          <t>Scanner must be able to run offline (no internet required during scan)</t>
        </is>
      </c>
      <c r="C13" s="199" t="inlineStr"/>
      <c r="D13" s="285" t="inlineStr">
        <is>
          <t>Assumption</t>
        </is>
      </c>
      <c r="E13" s="199" t="inlineStr">
        <is>
          <t>Active</t>
        </is>
      </c>
      <c r="F13" s="285" t="inlineStr">
        <is>
          <t>2/4/2026</t>
        </is>
      </c>
      <c r="G13" s="290" t="n"/>
    </row>
    <row r="14" ht="21.75" customHeight="1" s="189">
      <c r="A14" s="272" t="n">
        <v>8</v>
      </c>
      <c r="B14" s="199" t="inlineStr">
        <is>
          <t>Team has necessary technical skills in Python and network security</t>
        </is>
      </c>
      <c r="C14" s="199" t="inlineStr"/>
      <c r="D14" s="285" t="inlineStr">
        <is>
          <t>Assumption</t>
        </is>
      </c>
      <c r="E14" s="199" t="inlineStr">
        <is>
          <t>Active</t>
        </is>
      </c>
      <c r="F14" s="285" t="inlineStr">
        <is>
          <t>2/4/2026</t>
        </is>
      </c>
      <c r="G14" s="290" t="n"/>
    </row>
    <row r="15" ht="21.75" customHeight="1" s="189">
      <c r="A15" s="272" t="n">
        <v>9</v>
      </c>
      <c r="B15" s="199" t="inlineStr">
        <is>
          <t>Third-party threat intelligence APIs will remain available throughout</t>
        </is>
      </c>
      <c r="C15" s="199" t="inlineStr"/>
      <c r="D15" s="285" t="inlineStr">
        <is>
          <t>Assumption</t>
        </is>
      </c>
      <c r="E15" s="199" t="inlineStr">
        <is>
          <t>Active</t>
        </is>
      </c>
      <c r="F15" s="285" t="inlineStr">
        <is>
          <t>2/4/2026</t>
        </is>
      </c>
      <c r="G15" s="290" t="n"/>
    </row>
    <row r="16" ht="21.75" customHeight="1" s="189">
      <c r="A16" s="272" t="n">
        <v>10</v>
      </c>
      <c r="B16" s="199" t="inlineStr">
        <is>
          <t>v1 will be a desktop/CLI tool, not a cloud service</t>
        </is>
      </c>
      <c r="C16" s="199" t="inlineStr"/>
      <c r="D16" s="285" t="inlineStr">
        <is>
          <t>Constraint</t>
        </is>
      </c>
      <c r="E16" s="199" t="inlineStr">
        <is>
          <t>Active</t>
        </is>
      </c>
      <c r="F16" s="285" t="inlineStr">
        <is>
          <t>2/4/2026</t>
        </is>
      </c>
      <c r="G16" s="290" t="n"/>
    </row>
    <row r="17" ht="21.75" customHeight="1" s="189">
      <c r="A17" s="272" t="n">
        <v>11</v>
      </c>
      <c r="B17" s="199" t="n"/>
      <c r="C17" s="199" t="n"/>
      <c r="D17" s="285" t="n"/>
      <c r="E17" s="199" t="n"/>
      <c r="F17" s="285" t="n"/>
      <c r="G17" s="290" t="n"/>
    </row>
    <row r="18" ht="21.75" customHeight="1" s="189">
      <c r="A18" s="272" t="n">
        <v>12</v>
      </c>
      <c r="B18" s="199" t="n"/>
      <c r="C18" s="199" t="n"/>
      <c r="D18" s="285" t="n"/>
      <c r="E18" s="199" t="n"/>
      <c r="F18" s="285" t="n"/>
      <c r="G18" s="290" t="n"/>
    </row>
    <row r="19" ht="21.75" customHeight="1" s="189">
      <c r="A19" s="272" t="n">
        <v>13</v>
      </c>
      <c r="B19" s="199" t="n"/>
      <c r="C19" s="199" t="n"/>
      <c r="D19" s="285" t="n"/>
      <c r="E19" s="199" t="n"/>
      <c r="F19" s="285" t="n"/>
      <c r="G19" s="290" t="n"/>
    </row>
    <row r="20" ht="21.75" customHeight="1" s="189">
      <c r="A20" s="272" t="n">
        <v>14</v>
      </c>
      <c r="B20" s="199" t="n"/>
      <c r="C20" s="199" t="n"/>
      <c r="D20" s="285" t="n"/>
      <c r="E20" s="199" t="n"/>
      <c r="F20" s="285" t="n"/>
      <c r="G20" s="290" t="n"/>
    </row>
    <row r="21" ht="21.75" customHeight="1" s="189">
      <c r="A21" s="272" t="n">
        <v>15</v>
      </c>
      <c r="B21" s="199" t="n"/>
      <c r="C21" s="199" t="n"/>
      <c r="D21" s="285" t="n"/>
      <c r="E21" s="199" t="n"/>
      <c r="F21" s="285" t="n"/>
      <c r="G21" s="290" t="n"/>
    </row>
    <row r="22" ht="21.75" customHeight="1" s="189">
      <c r="A22" s="272" t="n"/>
      <c r="B22" s="199" t="n"/>
      <c r="C22" s="199" t="n"/>
      <c r="D22" s="285" t="n"/>
      <c r="E22" s="199" t="n"/>
      <c r="F22" s="285" t="n"/>
      <c r="G22" s="290" t="n"/>
    </row>
    <row r="23" ht="21.75" customHeight="1" s="189">
      <c r="A23" s="289" t="n"/>
      <c r="B23" s="290" t="n"/>
      <c r="C23" s="290" t="n"/>
      <c r="D23" s="291" t="n"/>
      <c r="E23" s="290" t="n"/>
      <c r="F23" s="291" t="n"/>
      <c r="G23" s="290" t="n"/>
    </row>
    <row r="24" ht="13" customHeight="1" s="189">
      <c r="A24" s="289" t="n"/>
      <c r="B24" s="290" t="n"/>
      <c r="C24" s="290" t="n"/>
      <c r="D24" s="291" t="n"/>
      <c r="E24" s="290" t="n"/>
      <c r="F24" s="201" t="inlineStr">
        <is>
          <t>© Global Knowledge Training LLC</t>
        </is>
      </c>
      <c r="G24" s="290" t="n"/>
    </row>
    <row r="25" ht="21.75" customHeight="1" s="189">
      <c r="A25" s="289" t="n"/>
      <c r="B25" s="290" t="n"/>
      <c r="C25" s="290" t="n"/>
      <c r="D25" s="291" t="n"/>
      <c r="E25" s="290" t="n"/>
      <c r="F25" s="291" t="n"/>
      <c r="G25" s="290" t="n"/>
    </row>
    <row r="26" ht="21.75" customHeight="1" s="189">
      <c r="A26" s="289" t="n"/>
      <c r="B26" s="290" t="n"/>
      <c r="C26" s="290" t="n"/>
      <c r="D26" s="291" t="n"/>
      <c r="E26" s="290" t="n"/>
      <c r="F26" s="291" t="n"/>
      <c r="G26" s="290" t="n"/>
    </row>
    <row r="27" ht="13" customHeight="1" s="189">
      <c r="A27" s="289" t="n"/>
      <c r="B27" s="290" t="n"/>
      <c r="C27" s="290" t="n"/>
      <c r="D27" s="291" t="n"/>
      <c r="E27" s="290" t="n"/>
      <c r="F27" s="290" t="n"/>
      <c r="G27" s="290" t="n"/>
    </row>
    <row r="28" ht="13" customHeight="1" s="189">
      <c r="A28" s="289" t="n"/>
      <c r="B28" s="290" t="n"/>
      <c r="C28" s="290" t="n"/>
      <c r="D28" s="291" t="n"/>
      <c r="E28" s="290" t="n"/>
      <c r="F28" s="290" t="n"/>
      <c r="G28" s="290" t="n"/>
    </row>
    <row r="29" ht="13" customHeight="1" s="189">
      <c r="A29" s="289" t="n"/>
      <c r="B29" s="290" t="n"/>
      <c r="C29" s="290" t="n"/>
      <c r="D29" s="291" t="n"/>
      <c r="E29" s="290" t="n"/>
      <c r="F29" s="290" t="n"/>
      <c r="G29" s="290" t="n"/>
    </row>
    <row r="30" ht="13" customHeight="1" s="189">
      <c r="A30" s="289" t="n"/>
      <c r="B30" s="290" t="n"/>
      <c r="C30" s="290" t="n"/>
      <c r="D30" s="291" t="n"/>
      <c r="E30" s="290" t="n"/>
      <c r="F30" s="290" t="n"/>
      <c r="G30" s="290" t="n"/>
    </row>
    <row r="31" ht="13" customHeight="1" s="189">
      <c r="A31" s="289" t="n"/>
      <c r="B31" s="290" t="n"/>
      <c r="C31" s="290" t="n"/>
      <c r="D31" s="291" t="n"/>
      <c r="E31" s="290" t="n"/>
      <c r="F31" s="290" t="n"/>
      <c r="G31" s="290" t="n"/>
    </row>
    <row r="32" ht="13" customHeight="1" s="189">
      <c r="A32" s="289" t="n"/>
      <c r="B32" s="290" t="n"/>
      <c r="C32" s="290" t="n"/>
      <c r="D32" s="291" t="n"/>
      <c r="E32" s="290" t="n"/>
      <c r="F32" s="290" t="n"/>
      <c r="G32" s="290" t="n"/>
    </row>
    <row r="33" ht="13" customHeight="1" s="189">
      <c r="A33" s="289" t="n"/>
      <c r="B33" s="290" t="n"/>
      <c r="C33" s="290" t="n"/>
      <c r="D33" s="291" t="n"/>
      <c r="E33" s="290" t="n"/>
      <c r="F33" s="290" t="n"/>
      <c r="G33" s="290" t="n"/>
    </row>
    <row r="34" ht="13" customHeight="1" s="189">
      <c r="A34" s="289" t="n"/>
      <c r="B34" s="290" t="n"/>
      <c r="C34" s="290" t="n"/>
      <c r="D34" s="291" t="n"/>
      <c r="E34" s="290" t="n"/>
      <c r="F34" s="290" t="n"/>
      <c r="G34" s="290" t="n"/>
    </row>
    <row r="35" ht="13" customHeight="1" s="189">
      <c r="A35" s="289" t="n"/>
      <c r="B35" s="290" t="n"/>
      <c r="C35" s="290" t="n"/>
      <c r="D35" s="291" t="n"/>
      <c r="E35" s="290" t="n"/>
      <c r="F35" s="290" t="n"/>
      <c r="G35" s="290" t="n"/>
    </row>
    <row r="36" ht="13" customHeight="1" s="189">
      <c r="A36" s="289" t="n"/>
      <c r="B36" s="290" t="n"/>
      <c r="C36" s="290" t="n"/>
      <c r="D36" s="291" t="n"/>
      <c r="E36" s="290" t="n"/>
      <c r="F36" s="290" t="n"/>
      <c r="G36" s="290" t="n"/>
    </row>
    <row r="37" ht="13" customHeight="1" s="189">
      <c r="A37" s="289" t="n"/>
      <c r="B37" s="290" t="n"/>
      <c r="C37" s="290" t="n"/>
      <c r="D37" s="291" t="n"/>
      <c r="E37" s="290" t="n"/>
      <c r="F37" s="290" t="n"/>
      <c r="G37" s="290" t="n"/>
    </row>
    <row r="38" ht="13" customHeight="1" s="189">
      <c r="A38" s="289" t="n"/>
      <c r="B38" s="290" t="n"/>
      <c r="C38" s="290" t="n"/>
      <c r="D38" s="291" t="n"/>
      <c r="E38" s="290" t="n"/>
      <c r="F38" s="290" t="n"/>
      <c r="G38" s="290" t="n"/>
    </row>
    <row r="39" ht="13" customHeight="1" s="189">
      <c r="A39" s="289" t="n"/>
      <c r="B39" s="290" t="n"/>
      <c r="C39" s="290" t="n"/>
      <c r="D39" s="291" t="n"/>
      <c r="E39" s="290" t="n"/>
      <c r="F39" s="290" t="n"/>
      <c r="G39" s="290" t="n"/>
    </row>
    <row r="40" ht="13" customHeight="1" s="189">
      <c r="A40" s="289" t="n"/>
      <c r="B40" s="290" t="n"/>
      <c r="C40" s="290" t="n"/>
      <c r="D40" s="291" t="n"/>
      <c r="E40" s="290" t="n"/>
      <c r="F40" s="290" t="n"/>
      <c r="G40" s="290" t="n"/>
    </row>
    <row r="41" ht="13" customHeight="1" s="189">
      <c r="A41" s="289" t="n"/>
      <c r="B41" s="290" t="n"/>
      <c r="C41" s="290" t="n"/>
      <c r="D41" s="291" t="n"/>
      <c r="E41" s="290" t="n"/>
      <c r="F41" s="290" t="n"/>
      <c r="G41" s="290" t="n"/>
    </row>
    <row r="42" ht="13" customHeight="1" s="189">
      <c r="A42" s="289" t="n"/>
      <c r="B42" s="290" t="n"/>
      <c r="C42" s="290" t="n"/>
      <c r="D42" s="291" t="n"/>
      <c r="E42" s="290" t="n"/>
      <c r="F42" s="290" t="n"/>
      <c r="G42" s="290" t="n"/>
    </row>
    <row r="43" ht="13" customHeight="1" s="189">
      <c r="A43" s="289" t="n"/>
      <c r="B43" s="290" t="n"/>
      <c r="C43" s="290" t="n"/>
      <c r="D43" s="291" t="n"/>
      <c r="E43" s="290" t="n"/>
      <c r="F43" s="290" t="n"/>
      <c r="G43" s="290" t="n"/>
    </row>
    <row r="44" ht="13" customHeight="1" s="189">
      <c r="A44" s="289" t="n"/>
      <c r="B44" s="290" t="n"/>
      <c r="C44" s="290" t="n"/>
      <c r="D44" s="291" t="n"/>
      <c r="E44" s="290" t="n"/>
      <c r="F44" s="290" t="n"/>
      <c r="G44" s="290" t="n"/>
    </row>
    <row r="45" ht="13" customHeight="1" s="189">
      <c r="A45" s="289" t="n"/>
      <c r="B45" s="290" t="n"/>
      <c r="C45" s="290" t="n"/>
      <c r="D45" s="291" t="n"/>
      <c r="E45" s="290" t="n"/>
      <c r="F45" s="290" t="n"/>
      <c r="G45" s="290" t="n"/>
    </row>
    <row r="46" ht="13" customHeight="1" s="189">
      <c r="A46" s="289" t="n"/>
      <c r="B46" s="290" t="n"/>
      <c r="C46" s="290" t="n"/>
      <c r="D46" s="291" t="n"/>
      <c r="E46" s="290" t="n"/>
      <c r="F46" s="290" t="n"/>
      <c r="G46" s="290" t="n"/>
    </row>
    <row r="47" ht="13" customHeight="1" s="189">
      <c r="A47" s="289" t="n"/>
      <c r="B47" s="290" t="n"/>
      <c r="C47" s="290" t="n"/>
      <c r="D47" s="291" t="n"/>
      <c r="E47" s="290" t="n"/>
      <c r="F47" s="290" t="n"/>
      <c r="G47" s="290" t="n"/>
    </row>
    <row r="48" ht="13" customHeight="1" s="189">
      <c r="A48" s="289" t="n"/>
      <c r="B48" s="290" t="n"/>
      <c r="C48" s="290" t="n"/>
      <c r="D48" s="291" t="n"/>
      <c r="E48" s="290" t="n"/>
      <c r="F48" s="290" t="n"/>
      <c r="G48" s="290" t="n"/>
    </row>
    <row r="49" ht="13" customHeight="1" s="189">
      <c r="A49" s="289" t="n"/>
      <c r="B49" s="290" t="n"/>
      <c r="C49" s="290" t="n"/>
      <c r="D49" s="291" t="n"/>
      <c r="E49" s="290" t="n"/>
      <c r="F49" s="290" t="n"/>
      <c r="G49" s="290" t="n"/>
    </row>
    <row r="50" ht="13" customHeight="1" s="189">
      <c r="A50" s="289" t="n"/>
      <c r="B50" s="290" t="n"/>
      <c r="C50" s="290" t="n"/>
      <c r="D50" s="291" t="n"/>
      <c r="E50" s="290" t="n"/>
      <c r="F50" s="290" t="n"/>
      <c r="G50" s="290" t="n"/>
    </row>
    <row r="51" ht="13" customHeight="1" s="189">
      <c r="A51" s="289" t="n"/>
      <c r="B51" s="290" t="n"/>
      <c r="C51" s="290" t="n"/>
      <c r="D51" s="291" t="n"/>
      <c r="E51" s="290" t="n"/>
      <c r="F51" s="290" t="n"/>
      <c r="G51" s="290" t="n"/>
    </row>
    <row r="52" ht="13" customHeight="1" s="189">
      <c r="A52" s="289" t="n"/>
      <c r="B52" s="290" t="n"/>
      <c r="C52" s="290" t="n"/>
      <c r="D52" s="291" t="n"/>
      <c r="E52" s="290" t="n"/>
      <c r="F52" s="290" t="n"/>
      <c r="G52" s="290" t="n"/>
    </row>
    <row r="53" ht="13" customHeight="1" s="189">
      <c r="A53" s="289" t="n"/>
      <c r="B53" s="290" t="n"/>
      <c r="C53" s="290" t="n"/>
      <c r="D53" s="291" t="n"/>
      <c r="E53" s="290" t="n"/>
      <c r="F53" s="290" t="n"/>
      <c r="G53" s="290" t="n"/>
    </row>
    <row r="54" ht="13" customHeight="1" s="189">
      <c r="A54" s="289" t="n"/>
      <c r="B54" s="290" t="n"/>
      <c r="C54" s="290" t="n"/>
      <c r="D54" s="291" t="n"/>
      <c r="E54" s="290" t="n"/>
      <c r="F54" s="290" t="n"/>
      <c r="G54" s="290" t="n"/>
    </row>
    <row r="55" ht="13" customHeight="1" s="189">
      <c r="A55" s="289" t="n"/>
      <c r="B55" s="290" t="n"/>
      <c r="C55" s="290" t="n"/>
      <c r="D55" s="291" t="n"/>
      <c r="E55" s="290" t="n"/>
      <c r="F55" s="290" t="n"/>
      <c r="G55" s="290" t="n"/>
    </row>
    <row r="56" ht="13" customHeight="1" s="189">
      <c r="A56" s="289" t="n"/>
      <c r="B56" s="290" t="n"/>
      <c r="C56" s="290" t="n"/>
      <c r="D56" s="291" t="n"/>
      <c r="E56" s="290" t="n"/>
      <c r="F56" s="290" t="n"/>
      <c r="G56" s="290" t="n"/>
    </row>
    <row r="57" ht="13" customHeight="1" s="189">
      <c r="A57" s="289" t="n"/>
      <c r="B57" s="290" t="n"/>
      <c r="C57" s="290" t="n"/>
      <c r="D57" s="291" t="n"/>
      <c r="E57" s="290" t="n"/>
      <c r="F57" s="290" t="n"/>
      <c r="G57" s="290" t="n"/>
    </row>
    <row r="58" ht="13" customHeight="1" s="189">
      <c r="A58" s="289" t="n"/>
      <c r="B58" s="290" t="n"/>
      <c r="C58" s="290" t="n"/>
      <c r="D58" s="291" t="n"/>
      <c r="E58" s="290" t="n"/>
      <c r="F58" s="290" t="n"/>
      <c r="G58" s="290" t="n"/>
    </row>
    <row r="59" ht="13" customHeight="1" s="189">
      <c r="A59" s="289" t="n"/>
      <c r="B59" s="290" t="n"/>
      <c r="C59" s="290" t="n"/>
      <c r="D59" s="291" t="n"/>
      <c r="E59" s="290" t="n"/>
      <c r="F59" s="290" t="n"/>
      <c r="G59" s="290" t="n"/>
    </row>
    <row r="60" ht="13" customHeight="1" s="189">
      <c r="A60" s="289" t="n"/>
      <c r="B60" s="290" t="n"/>
      <c r="C60" s="290" t="n"/>
      <c r="D60" s="291" t="n"/>
      <c r="E60" s="290" t="n"/>
      <c r="F60" s="290" t="n"/>
      <c r="G60" s="290" t="n"/>
    </row>
    <row r="61" ht="13" customHeight="1" s="189">
      <c r="A61" s="289" t="n"/>
      <c r="B61" s="290" t="n"/>
      <c r="C61" s="290" t="n"/>
      <c r="D61" s="291" t="n"/>
      <c r="E61" s="290" t="n"/>
      <c r="F61" s="290" t="n"/>
      <c r="G61" s="290" t="n"/>
    </row>
    <row r="62" ht="13" customHeight="1" s="189">
      <c r="A62" s="289" t="n"/>
      <c r="B62" s="290" t="n"/>
      <c r="C62" s="290" t="n"/>
      <c r="D62" s="291" t="n"/>
      <c r="E62" s="290" t="n"/>
      <c r="F62" s="290" t="n"/>
      <c r="G62" s="290" t="n"/>
    </row>
    <row r="63" ht="13" customHeight="1" s="189">
      <c r="A63" s="289" t="n"/>
      <c r="B63" s="290" t="n"/>
      <c r="C63" s="290" t="n"/>
      <c r="D63" s="291" t="n"/>
      <c r="E63" s="290" t="n"/>
      <c r="F63" s="290" t="n"/>
      <c r="G63" s="290" t="n"/>
    </row>
    <row r="64" ht="13" customHeight="1" s="189">
      <c r="A64" s="289" t="n"/>
      <c r="B64" s="290" t="n"/>
      <c r="C64" s="290" t="n"/>
      <c r="D64" s="291" t="n"/>
      <c r="E64" s="290" t="n"/>
      <c r="F64" s="290" t="n"/>
      <c r="G64" s="290" t="n"/>
    </row>
    <row r="65" ht="13" customHeight="1" s="189">
      <c r="A65" s="289" t="n"/>
      <c r="B65" s="290" t="n"/>
      <c r="C65" s="290" t="n"/>
      <c r="D65" s="291" t="n"/>
      <c r="E65" s="290" t="n"/>
      <c r="F65" s="290" t="n"/>
      <c r="G65" s="290" t="n"/>
    </row>
    <row r="66" ht="13" customHeight="1" s="189">
      <c r="A66" s="289" t="n"/>
      <c r="B66" s="290" t="n"/>
      <c r="C66" s="290" t="n"/>
      <c r="D66" s="291" t="n"/>
      <c r="E66" s="290" t="n"/>
      <c r="F66" s="290" t="n"/>
      <c r="G66" s="290" t="n"/>
    </row>
    <row r="67" ht="13" customHeight="1" s="189">
      <c r="A67" s="289" t="n"/>
      <c r="B67" s="290" t="n"/>
      <c r="C67" s="290" t="n"/>
      <c r="D67" s="291" t="n"/>
      <c r="E67" s="290" t="n"/>
      <c r="F67" s="290" t="n"/>
      <c r="G67" s="290" t="n"/>
    </row>
    <row r="68" ht="13" customHeight="1" s="189">
      <c r="A68" s="289" t="n"/>
      <c r="B68" s="290" t="n"/>
      <c r="C68" s="290" t="n"/>
      <c r="D68" s="291" t="n"/>
      <c r="E68" s="290" t="n"/>
      <c r="F68" s="290" t="n"/>
      <c r="G68" s="290" t="n"/>
    </row>
    <row r="69" ht="13" customHeight="1" s="189">
      <c r="A69" s="289" t="n"/>
      <c r="B69" s="290" t="n"/>
      <c r="C69" s="290" t="n"/>
      <c r="D69" s="291" t="n"/>
      <c r="E69" s="290" t="n"/>
      <c r="F69" s="290" t="n"/>
      <c r="G69" s="290" t="n"/>
    </row>
    <row r="70" ht="13" customHeight="1" s="189">
      <c r="A70" s="289" t="n"/>
      <c r="B70" s="290" t="n"/>
      <c r="C70" s="290" t="n"/>
      <c r="D70" s="291" t="n"/>
      <c r="E70" s="290" t="n"/>
      <c r="F70" s="290" t="n"/>
      <c r="G70" s="290" t="n"/>
    </row>
    <row r="71" ht="13" customHeight="1" s="189">
      <c r="A71" s="289" t="n"/>
      <c r="B71" s="290" t="n"/>
      <c r="C71" s="290" t="n"/>
      <c r="D71" s="291" t="n"/>
      <c r="E71" s="290" t="n"/>
      <c r="F71" s="290" t="n"/>
      <c r="G71" s="290" t="n"/>
    </row>
    <row r="72" ht="13" customHeight="1" s="189">
      <c r="A72" s="289" t="n"/>
      <c r="B72" s="290" t="n"/>
      <c r="C72" s="290" t="n"/>
      <c r="D72" s="291" t="n"/>
      <c r="E72" s="290" t="n"/>
      <c r="F72" s="290" t="n"/>
      <c r="G72" s="290" t="n"/>
    </row>
    <row r="73" ht="13" customHeight="1" s="189">
      <c r="A73" s="289" t="n"/>
      <c r="B73" s="290" t="n"/>
      <c r="C73" s="290" t="n"/>
      <c r="D73" s="291" t="n"/>
      <c r="E73" s="290" t="n"/>
      <c r="F73" s="290" t="n"/>
      <c r="G73" s="290" t="n"/>
    </row>
    <row r="74" ht="13" customHeight="1" s="189">
      <c r="A74" s="289" t="n"/>
      <c r="B74" s="290" t="n"/>
      <c r="C74" s="290" t="n"/>
      <c r="D74" s="291" t="n"/>
      <c r="E74" s="290" t="n"/>
      <c r="F74" s="290" t="n"/>
      <c r="G74" s="290" t="n"/>
    </row>
    <row r="75" ht="13" customHeight="1" s="189">
      <c r="A75" s="289" t="n"/>
      <c r="B75" s="290" t="n"/>
      <c r="C75" s="290" t="n"/>
      <c r="D75" s="291" t="n"/>
      <c r="E75" s="290" t="n"/>
      <c r="F75" s="290" t="n"/>
      <c r="G75" s="290" t="n"/>
    </row>
    <row r="76" ht="13" customHeight="1" s="189">
      <c r="A76" s="289" t="n"/>
      <c r="B76" s="290" t="n"/>
      <c r="C76" s="290" t="n"/>
      <c r="D76" s="291" t="n"/>
      <c r="E76" s="290" t="n"/>
      <c r="F76" s="290" t="n"/>
      <c r="G76" s="290" t="n"/>
    </row>
    <row r="77" ht="13" customHeight="1" s="189">
      <c r="A77" s="289" t="n"/>
      <c r="B77" s="290" t="n"/>
      <c r="C77" s="290" t="n"/>
      <c r="D77" s="291" t="n"/>
      <c r="E77" s="290" t="n"/>
      <c r="F77" s="290" t="n"/>
      <c r="G77" s="290" t="n"/>
    </row>
    <row r="78" ht="13" customHeight="1" s="189">
      <c r="A78" s="289" t="n"/>
      <c r="B78" s="290" t="n"/>
      <c r="C78" s="290" t="n"/>
      <c r="D78" s="291" t="n"/>
      <c r="E78" s="290" t="n"/>
      <c r="F78" s="290" t="n"/>
      <c r="G78" s="290" t="n"/>
    </row>
    <row r="79" ht="13" customHeight="1" s="189">
      <c r="A79" s="289" t="n"/>
      <c r="B79" s="290" t="n"/>
      <c r="C79" s="290" t="n"/>
      <c r="D79" s="291" t="n"/>
      <c r="E79" s="290" t="n"/>
      <c r="F79" s="290" t="n"/>
      <c r="G79" s="290" t="n"/>
    </row>
    <row r="80" ht="13" customHeight="1" s="189">
      <c r="A80" s="289" t="n"/>
      <c r="B80" s="290" t="n"/>
      <c r="C80" s="290" t="n"/>
      <c r="D80" s="291" t="n"/>
      <c r="E80" s="290" t="n"/>
      <c r="F80" s="290" t="n"/>
      <c r="G80" s="290" t="n"/>
    </row>
    <row r="81" ht="13" customHeight="1" s="189">
      <c r="A81" s="289" t="n"/>
      <c r="B81" s="290" t="n"/>
      <c r="C81" s="290" t="n"/>
      <c r="D81" s="291" t="n"/>
      <c r="E81" s="290" t="n"/>
      <c r="F81" s="290" t="n"/>
      <c r="G81" s="290" t="n"/>
    </row>
    <row r="82" ht="13" customHeight="1" s="189">
      <c r="A82" s="289" t="n"/>
      <c r="B82" s="290" t="n"/>
      <c r="C82" s="290" t="n"/>
      <c r="D82" s="291" t="n"/>
      <c r="E82" s="290" t="n"/>
      <c r="F82" s="290" t="n"/>
      <c r="G82" s="290" t="n"/>
    </row>
    <row r="83" ht="13" customHeight="1" s="189">
      <c r="A83" s="289" t="n"/>
      <c r="B83" s="290" t="n"/>
      <c r="C83" s="290" t="n"/>
      <c r="D83" s="291" t="n"/>
      <c r="E83" s="290" t="n"/>
      <c r="F83" s="290" t="n"/>
      <c r="G83" s="290" t="n"/>
    </row>
    <row r="84" ht="13" customHeight="1" s="189">
      <c r="A84" s="289" t="n"/>
      <c r="B84" s="290" t="n"/>
      <c r="C84" s="290" t="n"/>
      <c r="D84" s="291" t="n"/>
      <c r="E84" s="290" t="n"/>
      <c r="F84" s="290" t="n"/>
      <c r="G84" s="290" t="n"/>
    </row>
    <row r="85" ht="13" customHeight="1" s="189">
      <c r="A85" s="289" t="n"/>
      <c r="B85" s="290" t="n"/>
      <c r="C85" s="290" t="n"/>
      <c r="D85" s="291" t="n"/>
      <c r="E85" s="290" t="n"/>
      <c r="F85" s="290" t="n"/>
      <c r="G85" s="290" t="n"/>
    </row>
    <row r="86" ht="13" customHeight="1" s="189">
      <c r="A86" s="289" t="n"/>
      <c r="B86" s="290" t="n"/>
      <c r="C86" s="290" t="n"/>
      <c r="D86" s="291" t="n"/>
      <c r="E86" s="290" t="n"/>
      <c r="F86" s="290" t="n"/>
      <c r="G86" s="290" t="n"/>
    </row>
    <row r="87" ht="13" customHeight="1" s="189">
      <c r="A87" s="289" t="n"/>
      <c r="B87" s="290" t="n"/>
      <c r="C87" s="290" t="n"/>
      <c r="D87" s="291" t="n"/>
      <c r="E87" s="290" t="n"/>
      <c r="F87" s="290" t="n"/>
      <c r="G87" s="290" t="n"/>
    </row>
    <row r="88" ht="13" customHeight="1" s="189">
      <c r="A88" s="289" t="n"/>
      <c r="B88" s="290" t="n"/>
      <c r="C88" s="290" t="n"/>
      <c r="D88" s="291" t="n"/>
      <c r="E88" s="290" t="n"/>
      <c r="F88" s="290" t="n"/>
      <c r="G88" s="290" t="n"/>
    </row>
    <row r="89" ht="13" customHeight="1" s="189">
      <c r="A89" s="289" t="n"/>
      <c r="B89" s="290" t="n"/>
      <c r="C89" s="290" t="n"/>
      <c r="D89" s="291" t="n"/>
      <c r="E89" s="290" t="n"/>
      <c r="F89" s="290" t="n"/>
      <c r="G89" s="290" t="n"/>
    </row>
    <row r="90" ht="13" customHeight="1" s="189">
      <c r="A90" s="289" t="n"/>
      <c r="B90" s="290" t="n"/>
      <c r="C90" s="290" t="n"/>
      <c r="D90" s="291" t="n"/>
      <c r="E90" s="290" t="n"/>
      <c r="F90" s="290" t="n"/>
      <c r="G90" s="290" t="n"/>
    </row>
    <row r="91" ht="13" customHeight="1" s="189">
      <c r="A91" s="289" t="n"/>
      <c r="B91" s="290" t="n"/>
      <c r="C91" s="290" t="n"/>
      <c r="D91" s="291" t="n"/>
      <c r="E91" s="290" t="n"/>
      <c r="F91" s="290" t="n"/>
      <c r="G91" s="290" t="n"/>
    </row>
    <row r="92" ht="13" customHeight="1" s="189">
      <c r="A92" s="289" t="n"/>
      <c r="B92" s="290" t="n"/>
      <c r="C92" s="290" t="n"/>
      <c r="D92" s="291" t="n"/>
      <c r="E92" s="290" t="n"/>
      <c r="F92" s="290" t="n"/>
      <c r="G92" s="290" t="n"/>
    </row>
    <row r="93" ht="13" customHeight="1" s="189">
      <c r="A93" s="289" t="n"/>
      <c r="B93" s="290" t="n"/>
      <c r="C93" s="290" t="n"/>
      <c r="D93" s="291" t="n"/>
      <c r="E93" s="290" t="n"/>
      <c r="F93" s="290" t="n"/>
      <c r="G93" s="290" t="n"/>
    </row>
    <row r="94" ht="13" customHeight="1" s="189">
      <c r="A94" s="289" t="n"/>
      <c r="B94" s="290" t="n"/>
      <c r="C94" s="290" t="n"/>
      <c r="D94" s="291" t="n"/>
      <c r="E94" s="290" t="n"/>
      <c r="F94" s="290" t="n"/>
      <c r="G94" s="290" t="n"/>
    </row>
    <row r="95" ht="13" customHeight="1" s="189">
      <c r="A95" s="289" t="n"/>
      <c r="B95" s="290" t="n"/>
      <c r="C95" s="290" t="n"/>
      <c r="D95" s="291" t="n"/>
      <c r="E95" s="290" t="n"/>
      <c r="F95" s="290" t="n"/>
      <c r="G95" s="290" t="n"/>
    </row>
    <row r="96" ht="13" customHeight="1" s="189">
      <c r="A96" s="289" t="n"/>
      <c r="B96" s="290" t="n"/>
      <c r="C96" s="290" t="n"/>
      <c r="D96" s="291" t="n"/>
      <c r="E96" s="290" t="n"/>
      <c r="F96" s="290" t="n"/>
      <c r="G96" s="290" t="n"/>
    </row>
    <row r="97" ht="13" customHeight="1" s="189">
      <c r="A97" s="289" t="n"/>
      <c r="B97" s="290" t="n"/>
      <c r="C97" s="290" t="n"/>
      <c r="D97" s="291" t="n"/>
      <c r="E97" s="290" t="n"/>
      <c r="F97" s="290" t="n"/>
      <c r="G97" s="290" t="n"/>
    </row>
    <row r="98" ht="13" customHeight="1" s="189">
      <c r="A98" s="289" t="n"/>
      <c r="B98" s="290" t="n"/>
      <c r="C98" s="290" t="n"/>
      <c r="D98" s="291" t="n"/>
      <c r="E98" s="290" t="n"/>
      <c r="F98" s="290" t="n"/>
      <c r="G98" s="290" t="n"/>
    </row>
    <row r="99" ht="13" customHeight="1" s="189">
      <c r="A99" s="289" t="n"/>
      <c r="B99" s="290" t="n"/>
      <c r="C99" s="290" t="n"/>
      <c r="D99" s="291" t="n"/>
      <c r="E99" s="290" t="n"/>
      <c r="F99" s="290" t="n"/>
      <c r="G99" s="290" t="n"/>
    </row>
    <row r="100" ht="13" customHeight="1" s="189">
      <c r="A100" s="289" t="n"/>
      <c r="B100" s="290" t="n"/>
      <c r="C100" s="290" t="n"/>
      <c r="D100" s="291" t="n"/>
      <c r="E100" s="290" t="n"/>
      <c r="F100" s="290" t="n"/>
      <c r="G100" s="290" t="n"/>
    </row>
    <row r="101" ht="13" customHeight="1" s="189">
      <c r="A101" s="289" t="n"/>
      <c r="B101" s="290" t="n"/>
      <c r="C101" s="290" t="n"/>
      <c r="D101" s="291" t="n"/>
      <c r="E101" s="290" t="n"/>
      <c r="F101" s="290" t="n"/>
      <c r="G101" s="290" t="n"/>
    </row>
    <row r="102" ht="13" customHeight="1" s="189">
      <c r="A102" s="289" t="n"/>
      <c r="B102" s="290" t="n"/>
      <c r="C102" s="290" t="n"/>
      <c r="D102" s="291" t="n"/>
      <c r="E102" s="290" t="n"/>
      <c r="F102" s="290" t="n"/>
      <c r="G102" s="290" t="n"/>
    </row>
    <row r="103" ht="13" customHeight="1" s="189">
      <c r="A103" s="289" t="n"/>
      <c r="B103" s="290" t="n"/>
      <c r="C103" s="290" t="n"/>
      <c r="D103" s="291" t="n"/>
      <c r="E103" s="290" t="n"/>
      <c r="F103" s="290" t="n"/>
      <c r="G103" s="290" t="n"/>
    </row>
    <row r="104" ht="13" customHeight="1" s="189">
      <c r="A104" s="289" t="n"/>
      <c r="B104" s="290" t="n"/>
      <c r="C104" s="290" t="n"/>
      <c r="D104" s="291" t="n"/>
      <c r="E104" s="290" t="n"/>
      <c r="F104" s="290" t="n"/>
      <c r="G104" s="290" t="n"/>
    </row>
    <row r="105" ht="13" customHeight="1" s="189">
      <c r="A105" s="289" t="n"/>
      <c r="B105" s="290" t="n"/>
      <c r="C105" s="290" t="n"/>
      <c r="D105" s="291" t="n"/>
      <c r="E105" s="290" t="n"/>
      <c r="F105" s="290" t="n"/>
      <c r="G105" s="290" t="n"/>
    </row>
    <row r="106" ht="13" customHeight="1" s="189">
      <c r="A106" s="289" t="n"/>
      <c r="B106" s="290" t="n"/>
      <c r="C106" s="290" t="n"/>
      <c r="D106" s="291" t="n"/>
      <c r="E106" s="290" t="n"/>
      <c r="F106" s="290" t="n"/>
      <c r="G106" s="290" t="n"/>
    </row>
    <row r="107" ht="13" customHeight="1" s="189">
      <c r="A107" s="289" t="n"/>
      <c r="B107" s="290" t="n"/>
      <c r="C107" s="290" t="n"/>
      <c r="D107" s="291" t="n"/>
      <c r="E107" s="290" t="n"/>
      <c r="F107" s="290" t="n"/>
      <c r="G107" s="290" t="n"/>
    </row>
    <row r="108" ht="13" customHeight="1" s="189">
      <c r="A108" s="289" t="n"/>
      <c r="B108" s="290" t="n"/>
      <c r="C108" s="290" t="n"/>
      <c r="D108" s="291" t="n"/>
      <c r="E108" s="290" t="n"/>
      <c r="F108" s="290" t="n"/>
      <c r="G108" s="290" t="n"/>
    </row>
    <row r="109" ht="13" customHeight="1" s="189">
      <c r="A109" s="289" t="n"/>
      <c r="B109" s="290" t="n"/>
      <c r="C109" s="290" t="n"/>
      <c r="D109" s="291" t="n"/>
      <c r="E109" s="290" t="n"/>
      <c r="F109" s="290" t="n"/>
      <c r="G109" s="290" t="n"/>
    </row>
    <row r="110" ht="13" customHeight="1" s="189">
      <c r="A110" s="289" t="n"/>
      <c r="B110" s="290" t="n"/>
      <c r="C110" s="290" t="n"/>
      <c r="D110" s="291" t="n"/>
      <c r="E110" s="290" t="n"/>
      <c r="F110" s="290" t="n"/>
      <c r="G110" s="290" t="n"/>
    </row>
    <row r="111" ht="13" customHeight="1" s="189">
      <c r="A111" s="289" t="n"/>
      <c r="B111" s="290" t="n"/>
      <c r="C111" s="290" t="n"/>
      <c r="D111" s="291" t="n"/>
      <c r="E111" s="290" t="n"/>
      <c r="F111" s="290" t="n"/>
      <c r="G111" s="290" t="n"/>
    </row>
    <row r="112" ht="13" customHeight="1" s="189">
      <c r="A112" s="289" t="n"/>
      <c r="B112" s="290" t="n"/>
      <c r="C112" s="290" t="n"/>
      <c r="D112" s="291" t="n"/>
      <c r="E112" s="290" t="n"/>
      <c r="F112" s="290" t="n"/>
      <c r="G112" s="290" t="n"/>
    </row>
    <row r="113" ht="13" customHeight="1" s="189">
      <c r="A113" s="289" t="n"/>
      <c r="B113" s="290" t="n"/>
      <c r="C113" s="290" t="n"/>
      <c r="D113" s="291" t="n"/>
      <c r="E113" s="290" t="n"/>
      <c r="F113" s="290" t="n"/>
      <c r="G113" s="290" t="n"/>
    </row>
    <row r="114" ht="13" customHeight="1" s="189">
      <c r="A114" s="289" t="n"/>
      <c r="B114" s="290" t="n"/>
      <c r="C114" s="290" t="n"/>
      <c r="D114" s="291" t="n"/>
      <c r="E114" s="290" t="n"/>
      <c r="F114" s="290" t="n"/>
      <c r="G114" s="290" t="n"/>
    </row>
    <row r="115" ht="13" customHeight="1" s="189">
      <c r="A115" s="289" t="n"/>
      <c r="B115" s="290" t="n"/>
      <c r="C115" s="290" t="n"/>
      <c r="D115" s="291" t="n"/>
      <c r="E115" s="290" t="n"/>
      <c r="F115" s="290" t="n"/>
      <c r="G115" s="290" t="n"/>
    </row>
    <row r="116" ht="13" customHeight="1" s="189">
      <c r="A116" s="289" t="n"/>
      <c r="B116" s="290" t="n"/>
      <c r="C116" s="290" t="n"/>
      <c r="D116" s="291" t="n"/>
      <c r="E116" s="290" t="n"/>
      <c r="F116" s="290" t="n"/>
      <c r="G116" s="290" t="n"/>
    </row>
    <row r="117" ht="13" customHeight="1" s="189">
      <c r="A117" s="289" t="n"/>
      <c r="B117" s="290" t="n"/>
      <c r="C117" s="290" t="n"/>
      <c r="D117" s="291" t="n"/>
      <c r="E117" s="290" t="n"/>
      <c r="F117" s="290" t="n"/>
      <c r="G117" s="290" t="n"/>
    </row>
    <row r="118" ht="13" customHeight="1" s="189">
      <c r="A118" s="289" t="n"/>
      <c r="B118" s="290" t="n"/>
      <c r="C118" s="290" t="n"/>
      <c r="D118" s="291" t="n"/>
      <c r="E118" s="290" t="n"/>
      <c r="F118" s="290" t="n"/>
      <c r="G118" s="290" t="n"/>
    </row>
    <row r="119" ht="13" customHeight="1" s="189">
      <c r="A119" s="289" t="n"/>
      <c r="B119" s="290" t="n"/>
      <c r="C119" s="290" t="n"/>
      <c r="D119" s="291" t="n"/>
      <c r="E119" s="290" t="n"/>
      <c r="F119" s="290" t="n"/>
      <c r="G119" s="290" t="n"/>
    </row>
    <row r="120" ht="13" customHeight="1" s="189">
      <c r="A120" s="289" t="n"/>
      <c r="B120" s="290" t="n"/>
      <c r="C120" s="290" t="n"/>
      <c r="D120" s="291" t="n"/>
      <c r="E120" s="290" t="n"/>
      <c r="F120" s="290" t="n"/>
      <c r="G120" s="290" t="n"/>
    </row>
    <row r="121" ht="13" customHeight="1" s="189">
      <c r="A121" s="289" t="n"/>
      <c r="B121" s="290" t="n"/>
      <c r="C121" s="290" t="n"/>
      <c r="D121" s="291" t="n"/>
      <c r="E121" s="290" t="n"/>
      <c r="F121" s="290" t="n"/>
      <c r="G121" s="290" t="n"/>
    </row>
    <row r="122" ht="13" customHeight="1" s="189">
      <c r="A122" s="289" t="n"/>
      <c r="B122" s="290" t="n"/>
      <c r="C122" s="290" t="n"/>
      <c r="D122" s="291" t="n"/>
      <c r="E122" s="290" t="n"/>
      <c r="F122" s="290" t="n"/>
      <c r="G122" s="290" t="n"/>
    </row>
    <row r="123" ht="13" customHeight="1" s="189">
      <c r="A123" s="289" t="n"/>
      <c r="B123" s="290" t="n"/>
      <c r="C123" s="290" t="n"/>
      <c r="D123" s="291" t="n"/>
      <c r="E123" s="290" t="n"/>
      <c r="F123" s="290" t="n"/>
      <c r="G123" s="290" t="n"/>
    </row>
    <row r="124" ht="13" customHeight="1" s="189">
      <c r="A124" s="289" t="n"/>
      <c r="B124" s="290" t="n"/>
      <c r="C124" s="290" t="n"/>
      <c r="D124" s="291" t="n"/>
      <c r="E124" s="290" t="n"/>
      <c r="F124" s="290" t="n"/>
      <c r="G124" s="290" t="n"/>
    </row>
    <row r="125" ht="13" customHeight="1" s="189">
      <c r="A125" s="289" t="n"/>
      <c r="B125" s="290" t="n"/>
      <c r="C125" s="290" t="n"/>
      <c r="D125" s="291" t="n"/>
      <c r="E125" s="290" t="n"/>
      <c r="F125" s="290" t="n"/>
      <c r="G125" s="290" t="n"/>
    </row>
    <row r="126" ht="13" customHeight="1" s="189">
      <c r="A126" s="289" t="n"/>
      <c r="B126" s="290" t="n"/>
      <c r="C126" s="290" t="n"/>
      <c r="D126" s="291" t="n"/>
      <c r="E126" s="290" t="n"/>
      <c r="F126" s="290" t="n"/>
      <c r="G126" s="290" t="n"/>
    </row>
    <row r="127" ht="13" customHeight="1" s="189">
      <c r="A127" s="289" t="n"/>
      <c r="B127" s="290" t="n"/>
      <c r="C127" s="290" t="n"/>
      <c r="D127" s="291" t="n"/>
      <c r="E127" s="290" t="n"/>
      <c r="F127" s="290" t="n"/>
      <c r="G127" s="290" t="n"/>
    </row>
    <row r="128" ht="13" customHeight="1" s="189">
      <c r="A128" s="289" t="n"/>
      <c r="B128" s="290" t="n"/>
      <c r="C128" s="290" t="n"/>
      <c r="D128" s="291" t="n"/>
      <c r="E128" s="290" t="n"/>
      <c r="F128" s="290" t="n"/>
      <c r="G128" s="290" t="n"/>
    </row>
    <row r="129" ht="13" customHeight="1" s="189">
      <c r="A129" s="289" t="n"/>
      <c r="B129" s="290" t="n"/>
      <c r="C129" s="290" t="n"/>
      <c r="D129" s="291" t="n"/>
      <c r="E129" s="290" t="n"/>
      <c r="F129" s="290" t="n"/>
      <c r="G129" s="290" t="n"/>
    </row>
    <row r="130" ht="13" customHeight="1" s="189">
      <c r="A130" s="289" t="n"/>
      <c r="B130" s="290" t="n"/>
      <c r="C130" s="290" t="n"/>
      <c r="D130" s="291" t="n"/>
      <c r="E130" s="290" t="n"/>
      <c r="F130" s="290" t="n"/>
      <c r="G130" s="290" t="n"/>
    </row>
    <row r="131" ht="13" customHeight="1" s="189">
      <c r="A131" s="289" t="n"/>
      <c r="B131" s="290" t="n"/>
      <c r="C131" s="290" t="n"/>
      <c r="D131" s="291" t="n"/>
      <c r="E131" s="290" t="n"/>
      <c r="F131" s="290" t="n"/>
      <c r="G131" s="290" t="n"/>
    </row>
    <row r="132" ht="13" customHeight="1" s="189">
      <c r="A132" s="289" t="n"/>
      <c r="B132" s="290" t="n"/>
      <c r="C132" s="290" t="n"/>
      <c r="D132" s="291" t="n"/>
      <c r="E132" s="290" t="n"/>
      <c r="F132" s="290" t="n"/>
      <c r="G132" s="290" t="n"/>
    </row>
    <row r="133" ht="13" customHeight="1" s="189">
      <c r="A133" s="289" t="n"/>
      <c r="B133" s="290" t="n"/>
      <c r="C133" s="290" t="n"/>
      <c r="D133" s="291" t="n"/>
      <c r="E133" s="290" t="n"/>
      <c r="F133" s="290" t="n"/>
      <c r="G133" s="290" t="n"/>
    </row>
    <row r="134" ht="13" customHeight="1" s="189">
      <c r="A134" s="289" t="n"/>
      <c r="B134" s="290" t="n"/>
      <c r="C134" s="290" t="n"/>
      <c r="D134" s="291" t="n"/>
      <c r="E134" s="290" t="n"/>
      <c r="F134" s="290" t="n"/>
      <c r="G134" s="290" t="n"/>
    </row>
    <row r="135" ht="13" customHeight="1" s="189">
      <c r="A135" s="289" t="n"/>
      <c r="B135" s="290" t="n"/>
      <c r="C135" s="290" t="n"/>
      <c r="D135" s="291" t="n"/>
      <c r="E135" s="290" t="n"/>
      <c r="F135" s="290" t="n"/>
      <c r="G135" s="290" t="n"/>
    </row>
    <row r="136" ht="13" customHeight="1" s="189">
      <c r="A136" s="289" t="n"/>
      <c r="B136" s="290" t="n"/>
      <c r="C136" s="290" t="n"/>
      <c r="D136" s="291" t="n"/>
      <c r="E136" s="290" t="n"/>
      <c r="F136" s="290" t="n"/>
      <c r="G136" s="290" t="n"/>
    </row>
    <row r="137" ht="13" customHeight="1" s="189">
      <c r="A137" s="289" t="n"/>
      <c r="B137" s="290" t="n"/>
      <c r="C137" s="290" t="n"/>
      <c r="D137" s="291" t="n"/>
      <c r="E137" s="290" t="n"/>
      <c r="F137" s="290" t="n"/>
      <c r="G137" s="290" t="n"/>
    </row>
    <row r="138" ht="13" customHeight="1" s="189">
      <c r="A138" s="289" t="n"/>
      <c r="B138" s="290" t="n"/>
      <c r="C138" s="290" t="n"/>
      <c r="D138" s="291" t="n"/>
      <c r="E138" s="290" t="n"/>
      <c r="F138" s="290" t="n"/>
      <c r="G138" s="290" t="n"/>
    </row>
    <row r="139" ht="13" customHeight="1" s="189">
      <c r="A139" s="289" t="n"/>
      <c r="B139" s="290" t="n"/>
      <c r="C139" s="290" t="n"/>
      <c r="D139" s="291" t="n"/>
      <c r="E139" s="290" t="n"/>
      <c r="F139" s="290" t="n"/>
      <c r="G139" s="290" t="n"/>
    </row>
    <row r="140" ht="13" customHeight="1" s="189">
      <c r="A140" s="289" t="n"/>
      <c r="B140" s="290" t="n"/>
      <c r="C140" s="290" t="n"/>
      <c r="D140" s="291" t="n"/>
      <c r="E140" s="290" t="n"/>
      <c r="F140" s="290" t="n"/>
      <c r="G140" s="290" t="n"/>
    </row>
    <row r="141" ht="13" customHeight="1" s="189">
      <c r="A141" s="289" t="n"/>
      <c r="B141" s="290" t="n"/>
      <c r="C141" s="290" t="n"/>
      <c r="D141" s="291" t="n"/>
      <c r="E141" s="290" t="n"/>
      <c r="F141" s="290" t="n"/>
      <c r="G141" s="290" t="n"/>
    </row>
    <row r="142" ht="13" customHeight="1" s="189">
      <c r="A142" s="289" t="n"/>
      <c r="B142" s="290" t="n"/>
      <c r="C142" s="290" t="n"/>
      <c r="D142" s="291" t="n"/>
      <c r="E142" s="290" t="n"/>
      <c r="F142" s="290" t="n"/>
      <c r="G142" s="290" t="n"/>
    </row>
    <row r="143" ht="13" customHeight="1" s="189">
      <c r="A143" s="289" t="n"/>
      <c r="B143" s="290" t="n"/>
      <c r="C143" s="290" t="n"/>
      <c r="D143" s="291" t="n"/>
      <c r="E143" s="290" t="n"/>
      <c r="F143" s="290" t="n"/>
      <c r="G143" s="290" t="n"/>
    </row>
    <row r="144" ht="13" customHeight="1" s="189">
      <c r="A144" s="289" t="n"/>
      <c r="B144" s="290" t="n"/>
      <c r="C144" s="290" t="n"/>
      <c r="D144" s="291" t="n"/>
      <c r="E144" s="290" t="n"/>
      <c r="F144" s="290" t="n"/>
      <c r="G144" s="290" t="n"/>
    </row>
    <row r="145" ht="13" customHeight="1" s="189">
      <c r="A145" s="289" t="n"/>
      <c r="B145" s="290" t="n"/>
      <c r="C145" s="290" t="n"/>
      <c r="D145" s="291" t="n"/>
      <c r="E145" s="290" t="n"/>
      <c r="F145" s="290" t="n"/>
      <c r="G145" s="290" t="n"/>
    </row>
    <row r="146" ht="13" customHeight="1" s="189">
      <c r="A146" s="289" t="n"/>
      <c r="B146" s="290" t="n"/>
      <c r="C146" s="290" t="n"/>
      <c r="D146" s="291" t="n"/>
      <c r="E146" s="290" t="n"/>
      <c r="F146" s="290" t="n"/>
      <c r="G146" s="290" t="n"/>
    </row>
    <row r="147" ht="13" customHeight="1" s="189">
      <c r="A147" s="289" t="n"/>
      <c r="B147" s="290" t="n"/>
      <c r="C147" s="290" t="n"/>
      <c r="D147" s="291" t="n"/>
      <c r="E147" s="290" t="n"/>
      <c r="F147" s="290" t="n"/>
      <c r="G147" s="290" t="n"/>
    </row>
    <row r="148" ht="13" customHeight="1" s="189">
      <c r="A148" s="289" t="n"/>
      <c r="B148" s="290" t="n"/>
      <c r="C148" s="290" t="n"/>
      <c r="D148" s="291" t="n"/>
      <c r="E148" s="290" t="n"/>
      <c r="F148" s="290" t="n"/>
      <c r="G148" s="290" t="n"/>
    </row>
    <row r="149" ht="13" customHeight="1" s="189">
      <c r="A149" s="289" t="n"/>
      <c r="B149" s="290" t="n"/>
      <c r="C149" s="290" t="n"/>
      <c r="D149" s="291" t="n"/>
      <c r="E149" s="290" t="n"/>
      <c r="F149" s="290" t="n"/>
      <c r="G149" s="290" t="n"/>
    </row>
    <row r="150" ht="13" customHeight="1" s="189">
      <c r="A150" s="289" t="n"/>
      <c r="B150" s="290" t="n"/>
      <c r="C150" s="290" t="n"/>
      <c r="D150" s="291" t="n"/>
      <c r="E150" s="290" t="n"/>
      <c r="F150" s="290" t="n"/>
      <c r="G150" s="290" t="n"/>
    </row>
    <row r="151" ht="13" customHeight="1" s="189">
      <c r="A151" s="289" t="n"/>
      <c r="B151" s="290" t="n"/>
      <c r="C151" s="290" t="n"/>
      <c r="D151" s="291" t="n"/>
      <c r="E151" s="290" t="n"/>
      <c r="F151" s="290" t="n"/>
      <c r="G151" s="290" t="n"/>
    </row>
    <row r="152" ht="13" customHeight="1" s="189">
      <c r="A152" s="289" t="n"/>
      <c r="B152" s="290" t="n"/>
      <c r="C152" s="290" t="n"/>
      <c r="D152" s="291" t="n"/>
      <c r="E152" s="290" t="n"/>
      <c r="F152" s="290" t="n"/>
      <c r="G152" s="290" t="n"/>
    </row>
    <row r="153" ht="13" customHeight="1" s="189">
      <c r="A153" s="289" t="n"/>
      <c r="B153" s="290" t="n"/>
      <c r="C153" s="290" t="n"/>
      <c r="D153" s="291" t="n"/>
      <c r="E153" s="290" t="n"/>
      <c r="F153" s="290" t="n"/>
      <c r="G153" s="290" t="n"/>
    </row>
    <row r="154" ht="13" customHeight="1" s="189">
      <c r="A154" s="289" t="n"/>
      <c r="B154" s="290" t="n"/>
      <c r="C154" s="290" t="n"/>
      <c r="D154" s="291" t="n"/>
      <c r="E154" s="290" t="n"/>
      <c r="F154" s="290" t="n"/>
      <c r="G154" s="290" t="n"/>
    </row>
    <row r="155" ht="13" customHeight="1" s="189">
      <c r="A155" s="289" t="n"/>
      <c r="B155" s="290" t="n"/>
      <c r="C155" s="290" t="n"/>
      <c r="D155" s="291" t="n"/>
      <c r="E155" s="290" t="n"/>
      <c r="F155" s="290" t="n"/>
      <c r="G155" s="290" t="n"/>
    </row>
    <row r="156" ht="13" customHeight="1" s="189">
      <c r="A156" s="289" t="n"/>
      <c r="B156" s="290" t="n"/>
      <c r="C156" s="290" t="n"/>
      <c r="D156" s="291" t="n"/>
      <c r="E156" s="290" t="n"/>
      <c r="F156" s="290" t="n"/>
      <c r="G156" s="290" t="n"/>
    </row>
    <row r="157" ht="13" customHeight="1" s="189">
      <c r="A157" s="289" t="n"/>
      <c r="B157" s="290" t="n"/>
      <c r="C157" s="290" t="n"/>
      <c r="D157" s="291" t="n"/>
      <c r="E157" s="290" t="n"/>
      <c r="F157" s="290" t="n"/>
      <c r="G157" s="290" t="n"/>
    </row>
    <row r="158" ht="13" customHeight="1" s="189">
      <c r="A158" s="289" t="n"/>
      <c r="B158" s="290" t="n"/>
      <c r="C158" s="290" t="n"/>
      <c r="D158" s="291" t="n"/>
      <c r="E158" s="290" t="n"/>
      <c r="F158" s="290" t="n"/>
      <c r="G158" s="290" t="n"/>
    </row>
    <row r="159" ht="13" customHeight="1" s="189">
      <c r="A159" s="289" t="n"/>
      <c r="B159" s="290" t="n"/>
      <c r="C159" s="290" t="n"/>
      <c r="D159" s="291" t="n"/>
      <c r="E159" s="290" t="n"/>
      <c r="F159" s="290" t="n"/>
      <c r="G159" s="290" t="n"/>
    </row>
    <row r="160" ht="13" customHeight="1" s="189">
      <c r="A160" s="289" t="n"/>
      <c r="B160" s="290" t="n"/>
      <c r="C160" s="290" t="n"/>
      <c r="D160" s="291" t="n"/>
      <c r="E160" s="290" t="n"/>
      <c r="F160" s="290" t="n"/>
      <c r="G160" s="290" t="n"/>
    </row>
    <row r="161" ht="13" customHeight="1" s="189">
      <c r="A161" s="289" t="n"/>
      <c r="B161" s="290" t="n"/>
      <c r="C161" s="290" t="n"/>
      <c r="D161" s="291" t="n"/>
      <c r="E161" s="290" t="n"/>
      <c r="F161" s="290" t="n"/>
      <c r="G161" s="290" t="n"/>
    </row>
    <row r="162" ht="13" customHeight="1" s="189">
      <c r="A162" s="289" t="n"/>
      <c r="B162" s="290" t="n"/>
      <c r="C162" s="290" t="n"/>
      <c r="D162" s="291" t="n"/>
      <c r="E162" s="290" t="n"/>
      <c r="F162" s="290" t="n"/>
      <c r="G162" s="290" t="n"/>
    </row>
    <row r="163" ht="13" customHeight="1" s="189">
      <c r="A163" s="289" t="n"/>
      <c r="B163" s="290" t="n"/>
      <c r="C163" s="290" t="n"/>
      <c r="D163" s="291" t="n"/>
      <c r="E163" s="290" t="n"/>
      <c r="F163" s="290" t="n"/>
      <c r="G163" s="290" t="n"/>
    </row>
    <row r="164" ht="13" customHeight="1" s="189">
      <c r="A164" s="289" t="n"/>
      <c r="B164" s="290" t="n"/>
      <c r="C164" s="290" t="n"/>
      <c r="D164" s="291" t="n"/>
      <c r="E164" s="290" t="n"/>
      <c r="F164" s="290" t="n"/>
      <c r="G164" s="290" t="n"/>
    </row>
    <row r="165" ht="13" customHeight="1" s="189">
      <c r="A165" s="289" t="n"/>
      <c r="B165" s="290" t="n"/>
      <c r="C165" s="290" t="n"/>
      <c r="D165" s="291" t="n"/>
      <c r="E165" s="290" t="n"/>
      <c r="F165" s="290" t="n"/>
      <c r="G165" s="290" t="n"/>
    </row>
    <row r="166" ht="13" customHeight="1" s="189">
      <c r="A166" s="289" t="n"/>
      <c r="B166" s="290" t="n"/>
      <c r="C166" s="290" t="n"/>
      <c r="D166" s="291" t="n"/>
      <c r="E166" s="290" t="n"/>
      <c r="F166" s="290" t="n"/>
      <c r="G166" s="290" t="n"/>
    </row>
    <row r="167" ht="13" customHeight="1" s="189">
      <c r="A167" s="289" t="n"/>
      <c r="B167" s="290" t="n"/>
      <c r="C167" s="290" t="n"/>
      <c r="D167" s="291" t="n"/>
      <c r="E167" s="290" t="n"/>
      <c r="F167" s="290" t="n"/>
      <c r="G167" s="290" t="n"/>
    </row>
    <row r="168" ht="13" customHeight="1" s="189">
      <c r="A168" s="289" t="n"/>
      <c r="B168" s="290" t="n"/>
      <c r="C168" s="290" t="n"/>
      <c r="D168" s="291" t="n"/>
      <c r="E168" s="290" t="n"/>
      <c r="F168" s="290" t="n"/>
      <c r="G168" s="290" t="n"/>
    </row>
    <row r="169" ht="13" customHeight="1" s="189">
      <c r="A169" s="289" t="n"/>
      <c r="B169" s="290" t="n"/>
      <c r="C169" s="290" t="n"/>
      <c r="D169" s="291" t="n"/>
      <c r="E169" s="290" t="n"/>
      <c r="F169" s="290" t="n"/>
      <c r="G169" s="290" t="n"/>
    </row>
    <row r="170" ht="13" customHeight="1" s="189">
      <c r="A170" s="289" t="n"/>
      <c r="B170" s="290" t="n"/>
      <c r="C170" s="290" t="n"/>
      <c r="D170" s="291" t="n"/>
      <c r="E170" s="290" t="n"/>
      <c r="F170" s="290" t="n"/>
      <c r="G170" s="290" t="n"/>
    </row>
    <row r="171" ht="13" customHeight="1" s="189">
      <c r="A171" s="289" t="n"/>
      <c r="B171" s="290" t="n"/>
      <c r="C171" s="290" t="n"/>
      <c r="D171" s="291" t="n"/>
      <c r="E171" s="290" t="n"/>
      <c r="F171" s="290" t="n"/>
      <c r="G171" s="290" t="n"/>
    </row>
    <row r="172" ht="13" customHeight="1" s="189">
      <c r="A172" s="289" t="n"/>
      <c r="B172" s="290" t="n"/>
      <c r="C172" s="290" t="n"/>
      <c r="D172" s="291" t="n"/>
      <c r="E172" s="290" t="n"/>
      <c r="F172" s="290" t="n"/>
      <c r="G172" s="290" t="n"/>
    </row>
    <row r="173" ht="13" customHeight="1" s="189">
      <c r="A173" s="289" t="n"/>
      <c r="B173" s="290" t="n"/>
      <c r="C173" s="290" t="n"/>
      <c r="D173" s="291" t="n"/>
      <c r="E173" s="290" t="n"/>
      <c r="F173" s="290" t="n"/>
      <c r="G173" s="290" t="n"/>
    </row>
    <row r="174" ht="13" customHeight="1" s="189">
      <c r="A174" s="289" t="n"/>
      <c r="B174" s="290" t="n"/>
      <c r="C174" s="290" t="n"/>
      <c r="D174" s="291" t="n"/>
      <c r="E174" s="290" t="n"/>
      <c r="F174" s="290" t="n"/>
      <c r="G174" s="290" t="n"/>
    </row>
    <row r="175" ht="13" customHeight="1" s="189">
      <c r="A175" s="289" t="n"/>
      <c r="B175" s="290" t="n"/>
      <c r="C175" s="290" t="n"/>
      <c r="D175" s="291" t="n"/>
      <c r="E175" s="290" t="n"/>
      <c r="F175" s="290" t="n"/>
      <c r="G175" s="290" t="n"/>
    </row>
    <row r="176" ht="13" customHeight="1" s="189">
      <c r="A176" s="289" t="n"/>
      <c r="B176" s="290" t="n"/>
      <c r="C176" s="290" t="n"/>
      <c r="D176" s="291" t="n"/>
      <c r="E176" s="290" t="n"/>
      <c r="F176" s="290" t="n"/>
      <c r="G176" s="290" t="n"/>
    </row>
    <row r="177" ht="13" customHeight="1" s="189">
      <c r="A177" s="289" t="n"/>
      <c r="B177" s="290" t="n"/>
      <c r="C177" s="290" t="n"/>
      <c r="D177" s="291" t="n"/>
      <c r="E177" s="290" t="n"/>
      <c r="F177" s="290" t="n"/>
      <c r="G177" s="290" t="n"/>
    </row>
    <row r="178" ht="13" customHeight="1" s="189">
      <c r="A178" s="289" t="n"/>
      <c r="B178" s="290" t="n"/>
      <c r="C178" s="290" t="n"/>
      <c r="D178" s="291" t="n"/>
      <c r="E178" s="290" t="n"/>
      <c r="F178" s="290" t="n"/>
      <c r="G178" s="290" t="n"/>
    </row>
    <row r="179" ht="13" customHeight="1" s="189">
      <c r="A179" s="289" t="n"/>
      <c r="B179" s="290" t="n"/>
      <c r="C179" s="290" t="n"/>
      <c r="D179" s="291" t="n"/>
      <c r="E179" s="290" t="n"/>
      <c r="F179" s="290" t="n"/>
      <c r="G179" s="290" t="n"/>
    </row>
    <row r="180" ht="13" customHeight="1" s="189">
      <c r="A180" s="289" t="n"/>
      <c r="B180" s="290" t="n"/>
      <c r="C180" s="290" t="n"/>
      <c r="D180" s="291" t="n"/>
      <c r="E180" s="290" t="n"/>
      <c r="F180" s="290" t="n"/>
      <c r="G180" s="290" t="n"/>
    </row>
    <row r="181" ht="13" customHeight="1" s="189">
      <c r="A181" s="289" t="n"/>
      <c r="B181" s="290" t="n"/>
      <c r="C181" s="290" t="n"/>
      <c r="D181" s="291" t="n"/>
      <c r="E181" s="290" t="n"/>
      <c r="F181" s="290" t="n"/>
      <c r="G181" s="290" t="n"/>
    </row>
    <row r="182" ht="13" customHeight="1" s="189">
      <c r="A182" s="289" t="n"/>
      <c r="B182" s="290" t="n"/>
      <c r="C182" s="290" t="n"/>
      <c r="D182" s="291" t="n"/>
      <c r="E182" s="290" t="n"/>
      <c r="F182" s="290" t="n"/>
      <c r="G182" s="290" t="n"/>
    </row>
    <row r="183" ht="13" customHeight="1" s="189">
      <c r="A183" s="289" t="n"/>
      <c r="B183" s="290" t="n"/>
      <c r="C183" s="290" t="n"/>
      <c r="D183" s="291" t="n"/>
      <c r="E183" s="290" t="n"/>
      <c r="F183" s="290" t="n"/>
      <c r="G183" s="290" t="n"/>
    </row>
    <row r="184" ht="13" customHeight="1" s="189">
      <c r="A184" s="289" t="n"/>
      <c r="B184" s="290" t="n"/>
      <c r="C184" s="290" t="n"/>
      <c r="D184" s="291" t="n"/>
      <c r="E184" s="290" t="n"/>
      <c r="F184" s="290" t="n"/>
      <c r="G184" s="290" t="n"/>
    </row>
    <row r="185" ht="13" customHeight="1" s="189">
      <c r="A185" s="289" t="n"/>
      <c r="B185" s="290" t="n"/>
      <c r="C185" s="290" t="n"/>
      <c r="D185" s="291" t="n"/>
      <c r="E185" s="290" t="n"/>
      <c r="F185" s="290" t="n"/>
      <c r="G185" s="290" t="n"/>
    </row>
    <row r="186" ht="13" customHeight="1" s="189">
      <c r="A186" s="289" t="n"/>
      <c r="B186" s="290" t="n"/>
      <c r="C186" s="290" t="n"/>
      <c r="D186" s="291" t="n"/>
      <c r="E186" s="290" t="n"/>
      <c r="F186" s="290" t="n"/>
      <c r="G186" s="290" t="n"/>
    </row>
    <row r="187" ht="13" customHeight="1" s="189">
      <c r="A187" s="289" t="n"/>
      <c r="B187" s="290" t="n"/>
      <c r="C187" s="290" t="n"/>
      <c r="D187" s="291" t="n"/>
      <c r="E187" s="290" t="n"/>
      <c r="F187" s="290" t="n"/>
      <c r="G187" s="290" t="n"/>
    </row>
    <row r="188" ht="13" customHeight="1" s="189">
      <c r="A188" s="289" t="n"/>
      <c r="B188" s="290" t="n"/>
      <c r="C188" s="290" t="n"/>
      <c r="D188" s="291" t="n"/>
      <c r="E188" s="290" t="n"/>
      <c r="F188" s="290" t="n"/>
      <c r="G188" s="290" t="n"/>
    </row>
    <row r="189" ht="13" customHeight="1" s="189">
      <c r="A189" s="289" t="n"/>
      <c r="B189" s="290" t="n"/>
      <c r="C189" s="290" t="n"/>
      <c r="D189" s="291" t="n"/>
      <c r="E189" s="290" t="n"/>
      <c r="F189" s="290" t="n"/>
      <c r="G189" s="290" t="n"/>
    </row>
    <row r="190" ht="13" customHeight="1" s="189">
      <c r="A190" s="289" t="n"/>
      <c r="B190" s="290" t="n"/>
      <c r="C190" s="290" t="n"/>
      <c r="D190" s="291" t="n"/>
      <c r="E190" s="290" t="n"/>
      <c r="F190" s="290" t="n"/>
      <c r="G190" s="290" t="n"/>
    </row>
    <row r="191" ht="13" customHeight="1" s="189">
      <c r="A191" s="289" t="n"/>
      <c r="B191" s="290" t="n"/>
      <c r="C191" s="290" t="n"/>
      <c r="D191" s="291" t="n"/>
      <c r="E191" s="290" t="n"/>
      <c r="F191" s="290" t="n"/>
      <c r="G191" s="290" t="n"/>
    </row>
    <row r="192" ht="13" customHeight="1" s="189">
      <c r="A192" s="289" t="n"/>
      <c r="B192" s="290" t="n"/>
      <c r="C192" s="290" t="n"/>
      <c r="D192" s="291" t="n"/>
      <c r="E192" s="290" t="n"/>
      <c r="F192" s="290" t="n"/>
      <c r="G192" s="290" t="n"/>
    </row>
    <row r="193" ht="13" customHeight="1" s="189">
      <c r="A193" s="289" t="n"/>
      <c r="B193" s="290" t="n"/>
      <c r="C193" s="290" t="n"/>
      <c r="D193" s="291" t="n"/>
      <c r="E193" s="290" t="n"/>
      <c r="F193" s="290" t="n"/>
      <c r="G193" s="290" t="n"/>
    </row>
    <row r="194" ht="13" customHeight="1" s="189">
      <c r="A194" s="289" t="n"/>
      <c r="B194" s="290" t="n"/>
      <c r="C194" s="290" t="n"/>
      <c r="D194" s="291" t="n"/>
      <c r="E194" s="290" t="n"/>
      <c r="F194" s="290" t="n"/>
      <c r="G194" s="290" t="n"/>
    </row>
    <row r="195" ht="13" customHeight="1" s="189">
      <c r="A195" s="289" t="n"/>
      <c r="B195" s="290" t="n"/>
      <c r="C195" s="290" t="n"/>
      <c r="D195" s="291" t="n"/>
      <c r="E195" s="290" t="n"/>
      <c r="F195" s="290" t="n"/>
      <c r="G195" s="290" t="n"/>
    </row>
    <row r="196" ht="13" customHeight="1" s="189">
      <c r="A196" s="289" t="n"/>
      <c r="B196" s="290" t="n"/>
      <c r="C196" s="290" t="n"/>
      <c r="D196" s="291" t="n"/>
      <c r="E196" s="290" t="n"/>
      <c r="F196" s="290" t="n"/>
      <c r="G196" s="290" t="n"/>
    </row>
    <row r="197" ht="13" customHeight="1" s="189">
      <c r="A197" s="289" t="n"/>
      <c r="B197" s="290" t="n"/>
      <c r="C197" s="290" t="n"/>
      <c r="D197" s="291" t="n"/>
      <c r="E197" s="290" t="n"/>
      <c r="F197" s="290" t="n"/>
      <c r="G197" s="290" t="n"/>
    </row>
    <row r="198" ht="13" customHeight="1" s="189">
      <c r="A198" s="289" t="n"/>
      <c r="B198" s="290" t="n"/>
      <c r="C198" s="290" t="n"/>
      <c r="D198" s="291" t="n"/>
      <c r="E198" s="290" t="n"/>
      <c r="F198" s="290" t="n"/>
      <c r="G198" s="290" t="n"/>
    </row>
    <row r="199" ht="13" customHeight="1" s="189">
      <c r="A199" s="289" t="n"/>
      <c r="B199" s="290" t="n"/>
      <c r="C199" s="290" t="n"/>
      <c r="D199" s="291" t="n"/>
      <c r="E199" s="290" t="n"/>
      <c r="F199" s="290" t="n"/>
      <c r="G199" s="290" t="n"/>
    </row>
    <row r="200" ht="13" customHeight="1" s="189">
      <c r="A200" s="289" t="n"/>
      <c r="B200" s="290" t="n"/>
      <c r="C200" s="290" t="n"/>
      <c r="D200" s="291" t="n"/>
      <c r="E200" s="290" t="n"/>
      <c r="F200" s="290" t="n"/>
      <c r="G200" s="290" t="n"/>
    </row>
    <row r="201" ht="13" customHeight="1" s="189">
      <c r="A201" s="289" t="n"/>
      <c r="B201" s="290" t="n"/>
      <c r="C201" s="290" t="n"/>
      <c r="D201" s="291" t="n"/>
      <c r="E201" s="290" t="n"/>
      <c r="F201" s="290" t="n"/>
      <c r="G201" s="290" t="n"/>
    </row>
    <row r="202" ht="13" customHeight="1" s="189">
      <c r="A202" s="289" t="n"/>
      <c r="B202" s="290" t="n"/>
      <c r="C202" s="290" t="n"/>
      <c r="D202" s="291" t="n"/>
      <c r="E202" s="290" t="n"/>
      <c r="F202" s="290" t="n"/>
      <c r="G202" s="290" t="n"/>
    </row>
    <row r="203" ht="13" customHeight="1" s="189">
      <c r="A203" s="289" t="n"/>
      <c r="B203" s="290" t="n"/>
      <c r="C203" s="290" t="n"/>
      <c r="D203" s="291" t="n"/>
      <c r="E203" s="290" t="n"/>
      <c r="F203" s="290" t="n"/>
      <c r="G203" s="290" t="n"/>
    </row>
    <row r="204" ht="13" customHeight="1" s="189">
      <c r="A204" s="289" t="n"/>
      <c r="B204" s="290" t="n"/>
      <c r="C204" s="290" t="n"/>
      <c r="D204" s="291" t="n"/>
      <c r="E204" s="290" t="n"/>
      <c r="F204" s="290" t="n"/>
      <c r="G204" s="290" t="n"/>
    </row>
    <row r="205" ht="13" customHeight="1" s="189">
      <c r="A205" s="289" t="n"/>
      <c r="B205" s="290" t="n"/>
      <c r="C205" s="290" t="n"/>
      <c r="D205" s="291" t="n"/>
      <c r="E205" s="290" t="n"/>
      <c r="F205" s="290" t="n"/>
      <c r="G205" s="290" t="n"/>
    </row>
    <row r="206" ht="13" customHeight="1" s="189">
      <c r="A206" s="289" t="n"/>
      <c r="B206" s="290" t="n"/>
      <c r="C206" s="290" t="n"/>
      <c r="D206" s="291" t="n"/>
      <c r="E206" s="290" t="n"/>
      <c r="F206" s="290" t="n"/>
      <c r="G206" s="290" t="n"/>
    </row>
    <row r="207" ht="13" customHeight="1" s="189">
      <c r="A207" s="289" t="n"/>
      <c r="B207" s="290" t="n"/>
      <c r="C207" s="290" t="n"/>
      <c r="D207" s="291" t="n"/>
      <c r="E207" s="290" t="n"/>
      <c r="F207" s="290" t="n"/>
      <c r="G207" s="290" t="n"/>
    </row>
    <row r="208" ht="13" customHeight="1" s="189">
      <c r="A208" s="289" t="n"/>
      <c r="B208" s="290" t="n"/>
      <c r="C208" s="290" t="n"/>
      <c r="D208" s="291" t="n"/>
      <c r="E208" s="290" t="n"/>
      <c r="F208" s="290" t="n"/>
      <c r="G208" s="290" t="n"/>
    </row>
    <row r="209" ht="13" customHeight="1" s="189">
      <c r="A209" s="289" t="n"/>
      <c r="B209" s="290" t="n"/>
      <c r="C209" s="290" t="n"/>
      <c r="D209" s="291" t="n"/>
      <c r="E209" s="290" t="n"/>
      <c r="F209" s="290" t="n"/>
      <c r="G209" s="290" t="n"/>
    </row>
    <row r="210" ht="13" customHeight="1" s="189">
      <c r="A210" s="289" t="n"/>
      <c r="B210" s="290" t="n"/>
      <c r="C210" s="290" t="n"/>
      <c r="D210" s="291" t="n"/>
      <c r="E210" s="290" t="n"/>
      <c r="F210" s="290" t="n"/>
      <c r="G210" s="290" t="n"/>
    </row>
    <row r="211" ht="13" customHeight="1" s="189">
      <c r="A211" s="289" t="n"/>
      <c r="B211" s="290" t="n"/>
      <c r="C211" s="290" t="n"/>
      <c r="D211" s="291" t="n"/>
      <c r="E211" s="290" t="n"/>
      <c r="F211" s="290" t="n"/>
      <c r="G211" s="290" t="n"/>
    </row>
    <row r="212" ht="13" customHeight="1" s="189">
      <c r="A212" s="289" t="n"/>
      <c r="B212" s="290" t="n"/>
      <c r="C212" s="290" t="n"/>
      <c r="D212" s="291" t="n"/>
      <c r="E212" s="290" t="n"/>
      <c r="F212" s="290" t="n"/>
      <c r="G212" s="290" t="n"/>
    </row>
    <row r="213" ht="13" customHeight="1" s="189">
      <c r="A213" s="289" t="n"/>
      <c r="B213" s="290" t="n"/>
      <c r="C213" s="290" t="n"/>
      <c r="D213" s="291" t="n"/>
      <c r="E213" s="290" t="n"/>
      <c r="F213" s="290" t="n"/>
      <c r="G213" s="290" t="n"/>
    </row>
    <row r="214" ht="13" customHeight="1" s="189">
      <c r="A214" s="289" t="n"/>
      <c r="B214" s="290" t="n"/>
      <c r="C214" s="290" t="n"/>
      <c r="D214" s="291" t="n"/>
      <c r="E214" s="290" t="n"/>
      <c r="F214" s="290" t="n"/>
      <c r="G214" s="290" t="n"/>
    </row>
    <row r="215" ht="13" customHeight="1" s="189">
      <c r="A215" s="289" t="n"/>
      <c r="B215" s="290" t="n"/>
      <c r="C215" s="290" t="n"/>
      <c r="D215" s="291" t="n"/>
      <c r="E215" s="290" t="n"/>
      <c r="F215" s="290" t="n"/>
      <c r="G215" s="290" t="n"/>
    </row>
    <row r="216" ht="13" customHeight="1" s="189">
      <c r="A216" s="289" t="n"/>
      <c r="B216" s="290" t="n"/>
      <c r="C216" s="290" t="n"/>
      <c r="D216" s="291" t="n"/>
      <c r="E216" s="290" t="n"/>
      <c r="F216" s="290" t="n"/>
      <c r="G216" s="290" t="n"/>
    </row>
    <row r="217" ht="13" customHeight="1" s="189">
      <c r="A217" s="289" t="n"/>
      <c r="B217" s="290" t="n"/>
      <c r="C217" s="290" t="n"/>
      <c r="D217" s="291" t="n"/>
      <c r="E217" s="290" t="n"/>
      <c r="F217" s="290" t="n"/>
      <c r="G217" s="290" t="n"/>
    </row>
    <row r="218" ht="13" customHeight="1" s="189">
      <c r="A218" s="289" t="n"/>
      <c r="B218" s="290" t="n"/>
      <c r="C218" s="290" t="n"/>
      <c r="D218" s="291" t="n"/>
      <c r="E218" s="290" t="n"/>
      <c r="F218" s="290" t="n"/>
      <c r="G218" s="290" t="n"/>
    </row>
    <row r="219" ht="13" customHeight="1" s="189">
      <c r="A219" s="289" t="n"/>
      <c r="B219" s="290" t="n"/>
      <c r="C219" s="290" t="n"/>
      <c r="D219" s="291" t="n"/>
      <c r="E219" s="290" t="n"/>
      <c r="F219" s="290" t="n"/>
      <c r="G219" s="290" t="n"/>
    </row>
    <row r="220" ht="13" customHeight="1" s="189">
      <c r="A220" s="289" t="n"/>
      <c r="B220" s="290" t="n"/>
      <c r="C220" s="290" t="n"/>
      <c r="D220" s="291" t="n"/>
      <c r="E220" s="290" t="n"/>
      <c r="F220" s="290" t="n"/>
      <c r="G220" s="290" t="n"/>
    </row>
    <row r="221" ht="13" customHeight="1" s="189">
      <c r="A221" s="289" t="n"/>
      <c r="B221" s="290" t="n"/>
      <c r="C221" s="290" t="n"/>
      <c r="D221" s="291" t="n"/>
      <c r="E221" s="290" t="n"/>
      <c r="F221" s="290" t="n"/>
      <c r="G221" s="290" t="n"/>
    </row>
    <row r="222" ht="13" customHeight="1" s="189">
      <c r="A222" s="289" t="n"/>
      <c r="B222" s="290" t="n"/>
      <c r="C222" s="290" t="n"/>
      <c r="D222" s="291" t="n"/>
      <c r="E222" s="290" t="n"/>
      <c r="F222" s="290" t="n"/>
      <c r="G222" s="290" t="n"/>
    </row>
    <row r="223" ht="13" customHeight="1" s="189">
      <c r="A223" s="289" t="n"/>
      <c r="B223" s="290" t="n"/>
      <c r="C223" s="290" t="n"/>
      <c r="D223" s="291" t="n"/>
      <c r="E223" s="290" t="n"/>
      <c r="F223" s="290" t="n"/>
      <c r="G223" s="290" t="n"/>
    </row>
    <row r="224" ht="13" customHeight="1" s="189">
      <c r="A224" s="289" t="n"/>
      <c r="B224" s="290" t="n"/>
      <c r="C224" s="290" t="n"/>
      <c r="D224" s="291" t="n"/>
      <c r="E224" s="290" t="n"/>
      <c r="F224" s="290" t="n"/>
      <c r="G224" s="290" t="n"/>
    </row>
    <row r="225" ht="13" customHeight="1" s="189">
      <c r="A225" s="289" t="n"/>
      <c r="B225" s="290" t="n"/>
      <c r="C225" s="290" t="n"/>
      <c r="D225" s="291" t="n"/>
      <c r="E225" s="290" t="n"/>
      <c r="F225" s="290" t="n"/>
      <c r="G225" s="290" t="n"/>
    </row>
    <row r="226" ht="13" customHeight="1" s="189">
      <c r="A226" s="289" t="n"/>
      <c r="B226" s="290" t="n"/>
      <c r="C226" s="290" t="n"/>
      <c r="D226" s="291" t="n"/>
      <c r="E226" s="290" t="n"/>
      <c r="F226" s="290" t="n"/>
      <c r="G226" s="290" t="n"/>
    </row>
    <row r="227" ht="13" customHeight="1" s="189">
      <c r="A227" s="289" t="n"/>
      <c r="B227" s="290" t="n"/>
      <c r="C227" s="290" t="n"/>
      <c r="D227" s="291" t="n"/>
      <c r="E227" s="290" t="n"/>
      <c r="F227" s="290" t="n"/>
      <c r="G227" s="290" t="n"/>
    </row>
    <row r="228" ht="13" customHeight="1" s="189">
      <c r="A228" s="289" t="n"/>
      <c r="B228" s="290" t="n"/>
      <c r="C228" s="290" t="n"/>
      <c r="D228" s="291" t="n"/>
      <c r="E228" s="290" t="n"/>
      <c r="F228" s="290" t="n"/>
      <c r="G228" s="290" t="n"/>
    </row>
    <row r="229" ht="13" customHeight="1" s="189">
      <c r="A229" s="289" t="n"/>
      <c r="B229" s="290" t="n"/>
      <c r="C229" s="290" t="n"/>
      <c r="D229" s="291" t="n"/>
      <c r="E229" s="290" t="n"/>
      <c r="F229" s="290" t="n"/>
      <c r="G229" s="290" t="n"/>
    </row>
    <row r="230" ht="13" customHeight="1" s="189">
      <c r="A230" s="289" t="n"/>
      <c r="B230" s="290" t="n"/>
      <c r="C230" s="290" t="n"/>
      <c r="D230" s="291" t="n"/>
      <c r="E230" s="290" t="n"/>
      <c r="F230" s="290" t="n"/>
      <c r="G230" s="290" t="n"/>
    </row>
    <row r="231" ht="13" customHeight="1" s="189">
      <c r="A231" s="289" t="n"/>
      <c r="B231" s="290" t="n"/>
      <c r="C231" s="290" t="n"/>
      <c r="D231" s="291" t="n"/>
      <c r="E231" s="290" t="n"/>
      <c r="F231" s="290" t="n"/>
      <c r="G231" s="290" t="n"/>
    </row>
    <row r="232" ht="13" customHeight="1" s="189">
      <c r="A232" s="289" t="n"/>
      <c r="B232" s="290" t="n"/>
      <c r="C232" s="290" t="n"/>
      <c r="D232" s="291" t="n"/>
      <c r="E232" s="290" t="n"/>
      <c r="F232" s="290" t="n"/>
      <c r="G232" s="290" t="n"/>
    </row>
    <row r="233" ht="13" customHeight="1" s="189">
      <c r="A233" s="289" t="n"/>
      <c r="B233" s="290" t="n"/>
      <c r="C233" s="290" t="n"/>
      <c r="D233" s="291" t="n"/>
      <c r="E233" s="290" t="n"/>
      <c r="F233" s="290" t="n"/>
      <c r="G233" s="290" t="n"/>
    </row>
    <row r="234" ht="13" customHeight="1" s="189">
      <c r="A234" s="289" t="n"/>
      <c r="B234" s="290" t="n"/>
      <c r="C234" s="290" t="n"/>
      <c r="D234" s="291" t="n"/>
      <c r="E234" s="290" t="n"/>
      <c r="F234" s="290" t="n"/>
      <c r="G234" s="290" t="n"/>
    </row>
    <row r="235" ht="13" customHeight="1" s="189">
      <c r="A235" s="289" t="n"/>
      <c r="B235" s="290" t="n"/>
      <c r="C235" s="290" t="n"/>
      <c r="D235" s="291" t="n"/>
      <c r="E235" s="290" t="n"/>
      <c r="F235" s="290" t="n"/>
      <c r="G235" s="290" t="n"/>
    </row>
    <row r="236" ht="13" customHeight="1" s="189">
      <c r="A236" s="289" t="n"/>
      <c r="B236" s="290" t="n"/>
      <c r="C236" s="290" t="n"/>
      <c r="D236" s="291" t="n"/>
      <c r="E236" s="290" t="n"/>
      <c r="F236" s="290" t="n"/>
      <c r="G236" s="290" t="n"/>
    </row>
    <row r="237" ht="13" customHeight="1" s="189">
      <c r="A237" s="289" t="n"/>
      <c r="B237" s="290" t="n"/>
      <c r="C237" s="290" t="n"/>
      <c r="D237" s="291" t="n"/>
      <c r="E237" s="290" t="n"/>
      <c r="F237" s="290" t="n"/>
      <c r="G237" s="290" t="n"/>
    </row>
    <row r="238" ht="13" customHeight="1" s="189">
      <c r="A238" s="289" t="n"/>
      <c r="B238" s="290" t="n"/>
      <c r="C238" s="290" t="n"/>
      <c r="D238" s="291" t="n"/>
      <c r="E238" s="290" t="n"/>
      <c r="F238" s="290" t="n"/>
      <c r="G238" s="290" t="n"/>
    </row>
    <row r="239" ht="13" customHeight="1" s="189">
      <c r="A239" s="289" t="n"/>
      <c r="B239" s="290" t="n"/>
      <c r="C239" s="290" t="n"/>
      <c r="D239" s="291" t="n"/>
      <c r="E239" s="290" t="n"/>
      <c r="F239" s="290" t="n"/>
      <c r="G239" s="290" t="n"/>
    </row>
    <row r="240" ht="13" customHeight="1" s="189">
      <c r="A240" s="289" t="n"/>
      <c r="B240" s="290" t="n"/>
      <c r="C240" s="290" t="n"/>
      <c r="D240" s="291" t="n"/>
      <c r="E240" s="290" t="n"/>
      <c r="F240" s="290" t="n"/>
      <c r="G240" s="290" t="n"/>
    </row>
    <row r="241" ht="13" customHeight="1" s="189">
      <c r="A241" s="289" t="n"/>
      <c r="B241" s="290" t="n"/>
      <c r="C241" s="290" t="n"/>
      <c r="D241" s="291" t="n"/>
      <c r="E241" s="290" t="n"/>
      <c r="F241" s="290" t="n"/>
      <c r="G241" s="290" t="n"/>
    </row>
    <row r="242" ht="13" customHeight="1" s="189">
      <c r="A242" s="289" t="n"/>
      <c r="B242" s="290" t="n"/>
      <c r="C242" s="290" t="n"/>
      <c r="D242" s="291" t="n"/>
      <c r="E242" s="290" t="n"/>
      <c r="F242" s="290" t="n"/>
      <c r="G242" s="290" t="n"/>
    </row>
    <row r="243" ht="13" customHeight="1" s="189">
      <c r="A243" s="289" t="n"/>
      <c r="B243" s="290" t="n"/>
      <c r="C243" s="290" t="n"/>
      <c r="D243" s="291" t="n"/>
      <c r="E243" s="290" t="n"/>
      <c r="F243" s="290" t="n"/>
      <c r="G243" s="290" t="n"/>
    </row>
    <row r="244" ht="13" customHeight="1" s="189">
      <c r="A244" s="289" t="n"/>
      <c r="B244" s="290" t="n"/>
      <c r="C244" s="290" t="n"/>
      <c r="D244" s="291" t="n"/>
      <c r="E244" s="290" t="n"/>
      <c r="F244" s="290" t="n"/>
      <c r="G244" s="290" t="n"/>
    </row>
    <row r="245" ht="13" customHeight="1" s="189">
      <c r="A245" s="289" t="n"/>
      <c r="B245" s="290" t="n"/>
      <c r="C245" s="290" t="n"/>
      <c r="D245" s="291" t="n"/>
      <c r="E245" s="290" t="n"/>
      <c r="F245" s="290" t="n"/>
      <c r="G245" s="290" t="n"/>
    </row>
    <row r="246" ht="13" customHeight="1" s="189">
      <c r="A246" s="289" t="n"/>
      <c r="B246" s="290" t="n"/>
      <c r="C246" s="290" t="n"/>
      <c r="D246" s="291" t="n"/>
      <c r="E246" s="290" t="n"/>
      <c r="F246" s="290" t="n"/>
      <c r="G246" s="290" t="n"/>
    </row>
    <row r="247" ht="13" customHeight="1" s="189">
      <c r="A247" s="289" t="n"/>
      <c r="B247" s="290" t="n"/>
      <c r="C247" s="290" t="n"/>
      <c r="D247" s="291" t="n"/>
      <c r="E247" s="290" t="n"/>
      <c r="F247" s="290" t="n"/>
      <c r="G247" s="290" t="n"/>
    </row>
    <row r="248" ht="13" customHeight="1" s="189">
      <c r="A248" s="289" t="n"/>
      <c r="B248" s="290" t="n"/>
      <c r="C248" s="290" t="n"/>
      <c r="D248" s="291" t="n"/>
      <c r="E248" s="290" t="n"/>
      <c r="F248" s="290" t="n"/>
      <c r="G248" s="290" t="n"/>
    </row>
    <row r="249" ht="13" customHeight="1" s="189">
      <c r="A249" s="289" t="n"/>
      <c r="B249" s="290" t="n"/>
      <c r="C249" s="290" t="n"/>
      <c r="D249" s="291" t="n"/>
      <c r="E249" s="290" t="n"/>
      <c r="F249" s="290" t="n"/>
      <c r="G249" s="290" t="n"/>
    </row>
    <row r="250" ht="13" customHeight="1" s="189">
      <c r="A250" s="289" t="n"/>
      <c r="B250" s="290" t="n"/>
      <c r="C250" s="290" t="n"/>
      <c r="D250" s="291" t="n"/>
      <c r="E250" s="290" t="n"/>
      <c r="F250" s="290" t="n"/>
      <c r="G250" s="290" t="n"/>
    </row>
    <row r="251" ht="13" customHeight="1" s="189">
      <c r="A251" s="289" t="n"/>
      <c r="B251" s="290" t="n"/>
      <c r="C251" s="290" t="n"/>
      <c r="D251" s="291" t="n"/>
      <c r="E251" s="290" t="n"/>
      <c r="F251" s="290" t="n"/>
      <c r="G251" s="290" t="n"/>
    </row>
    <row r="252" ht="13" customHeight="1" s="189">
      <c r="A252" s="289" t="n"/>
      <c r="B252" s="290" t="n"/>
      <c r="C252" s="290" t="n"/>
      <c r="D252" s="291" t="n"/>
      <c r="E252" s="290" t="n"/>
      <c r="F252" s="290" t="n"/>
      <c r="G252" s="290" t="n"/>
    </row>
    <row r="253" ht="13" customHeight="1" s="189">
      <c r="A253" s="289" t="n"/>
      <c r="B253" s="290" t="n"/>
      <c r="C253" s="290" t="n"/>
      <c r="D253" s="291" t="n"/>
      <c r="E253" s="290" t="n"/>
      <c r="F253" s="290" t="n"/>
      <c r="G253" s="290" t="n"/>
    </row>
    <row r="254" ht="13" customHeight="1" s="189">
      <c r="A254" s="289" t="n"/>
      <c r="B254" s="290" t="n"/>
      <c r="C254" s="290" t="n"/>
      <c r="D254" s="291" t="n"/>
      <c r="E254" s="290" t="n"/>
      <c r="F254" s="290" t="n"/>
      <c r="G254" s="290" t="n"/>
    </row>
    <row r="255" ht="13" customHeight="1" s="189">
      <c r="A255" s="289" t="n"/>
      <c r="B255" s="290" t="n"/>
      <c r="C255" s="290" t="n"/>
      <c r="D255" s="291" t="n"/>
      <c r="E255" s="290" t="n"/>
      <c r="F255" s="290" t="n"/>
      <c r="G255" s="290" t="n"/>
    </row>
    <row r="256" ht="13" customHeight="1" s="189">
      <c r="A256" s="289" t="n"/>
      <c r="B256" s="290" t="n"/>
      <c r="C256" s="290" t="n"/>
      <c r="D256" s="291" t="n"/>
      <c r="E256" s="290" t="n"/>
      <c r="F256" s="290" t="n"/>
      <c r="G256" s="290" t="n"/>
    </row>
    <row r="257" ht="13" customHeight="1" s="189">
      <c r="A257" s="289" t="n"/>
      <c r="B257" s="290" t="n"/>
      <c r="C257" s="290" t="n"/>
      <c r="D257" s="291" t="n"/>
      <c r="E257" s="290" t="n"/>
      <c r="F257" s="290" t="n"/>
      <c r="G257" s="290" t="n"/>
    </row>
    <row r="258" ht="13" customHeight="1" s="189">
      <c r="A258" s="289" t="n"/>
      <c r="B258" s="290" t="n"/>
      <c r="C258" s="290" t="n"/>
      <c r="D258" s="291" t="n"/>
      <c r="E258" s="290" t="n"/>
      <c r="F258" s="290" t="n"/>
      <c r="G258" s="290" t="n"/>
    </row>
    <row r="259" ht="13" customHeight="1" s="189">
      <c r="A259" s="289" t="n"/>
      <c r="B259" s="290" t="n"/>
      <c r="C259" s="290" t="n"/>
      <c r="D259" s="291" t="n"/>
      <c r="E259" s="290" t="n"/>
      <c r="F259" s="290" t="n"/>
      <c r="G259" s="290" t="n"/>
    </row>
    <row r="260" ht="13" customHeight="1" s="189">
      <c r="A260" s="289" t="n"/>
      <c r="B260" s="290" t="n"/>
      <c r="C260" s="290" t="n"/>
      <c r="D260" s="291" t="n"/>
      <c r="E260" s="290" t="n"/>
      <c r="F260" s="290" t="n"/>
      <c r="G260" s="290" t="n"/>
    </row>
    <row r="261" ht="13" customHeight="1" s="189">
      <c r="A261" s="289" t="n"/>
      <c r="B261" s="290" t="n"/>
      <c r="C261" s="290" t="n"/>
      <c r="D261" s="291" t="n"/>
      <c r="E261" s="290" t="n"/>
      <c r="F261" s="290" t="n"/>
      <c r="G261" s="290" t="n"/>
    </row>
    <row r="262" ht="13" customHeight="1" s="189">
      <c r="A262" s="289" t="n"/>
      <c r="B262" s="290" t="n"/>
      <c r="C262" s="290" t="n"/>
      <c r="D262" s="291" t="n"/>
      <c r="E262" s="290" t="n"/>
      <c r="F262" s="290" t="n"/>
      <c r="G262" s="290" t="n"/>
    </row>
    <row r="263" ht="13" customHeight="1" s="189">
      <c r="A263" s="289" t="n"/>
      <c r="B263" s="290" t="n"/>
      <c r="C263" s="290" t="n"/>
      <c r="D263" s="291" t="n"/>
      <c r="E263" s="290" t="n"/>
      <c r="F263" s="290" t="n"/>
      <c r="G263" s="290" t="n"/>
    </row>
    <row r="264" ht="13" customHeight="1" s="189">
      <c r="A264" s="289" t="n"/>
      <c r="B264" s="290" t="n"/>
      <c r="C264" s="290" t="n"/>
      <c r="D264" s="291" t="n"/>
      <c r="E264" s="290" t="n"/>
      <c r="F264" s="290" t="n"/>
      <c r="G264" s="290" t="n"/>
    </row>
    <row r="265" ht="13" customHeight="1" s="189">
      <c r="A265" s="289" t="n"/>
      <c r="B265" s="290" t="n"/>
      <c r="C265" s="290" t="n"/>
      <c r="D265" s="291" t="n"/>
      <c r="E265" s="290" t="n"/>
      <c r="F265" s="290" t="n"/>
      <c r="G265" s="290" t="n"/>
    </row>
    <row r="266" ht="13" customHeight="1" s="189">
      <c r="A266" s="289" t="n"/>
      <c r="B266" s="290" t="n"/>
      <c r="C266" s="290" t="n"/>
      <c r="D266" s="291" t="n"/>
      <c r="E266" s="290" t="n"/>
      <c r="F266" s="290" t="n"/>
      <c r="G266" s="290" t="n"/>
    </row>
    <row r="267" ht="13" customHeight="1" s="189">
      <c r="A267" s="289" t="n"/>
      <c r="B267" s="290" t="n"/>
      <c r="C267" s="290" t="n"/>
      <c r="D267" s="291" t="n"/>
      <c r="E267" s="290" t="n"/>
      <c r="F267" s="290" t="n"/>
      <c r="G267" s="290" t="n"/>
    </row>
    <row r="268" ht="13" customHeight="1" s="189">
      <c r="A268" s="289" t="n"/>
      <c r="B268" s="290" t="n"/>
      <c r="C268" s="290" t="n"/>
      <c r="D268" s="291" t="n"/>
      <c r="E268" s="290" t="n"/>
      <c r="F268" s="290" t="n"/>
      <c r="G268" s="290" t="n"/>
    </row>
    <row r="269" ht="13" customHeight="1" s="189">
      <c r="A269" s="289" t="n"/>
      <c r="B269" s="290" t="n"/>
      <c r="C269" s="290" t="n"/>
      <c r="D269" s="291" t="n"/>
      <c r="E269" s="290" t="n"/>
      <c r="F269" s="290" t="n"/>
      <c r="G269" s="290" t="n"/>
    </row>
    <row r="270" ht="13" customHeight="1" s="189">
      <c r="A270" s="289" t="n"/>
      <c r="B270" s="290" t="n"/>
      <c r="C270" s="290" t="n"/>
      <c r="D270" s="291" t="n"/>
      <c r="E270" s="290" t="n"/>
      <c r="F270" s="290" t="n"/>
      <c r="G270" s="290" t="n"/>
    </row>
    <row r="271" ht="13" customHeight="1" s="189">
      <c r="A271" s="289" t="n"/>
      <c r="B271" s="290" t="n"/>
      <c r="C271" s="290" t="n"/>
      <c r="D271" s="291" t="n"/>
      <c r="E271" s="290" t="n"/>
      <c r="F271" s="290" t="n"/>
      <c r="G271" s="290" t="n"/>
    </row>
    <row r="272" ht="13" customHeight="1" s="189">
      <c r="A272" s="289" t="n"/>
      <c r="B272" s="290" t="n"/>
      <c r="C272" s="290" t="n"/>
      <c r="D272" s="291" t="n"/>
      <c r="E272" s="290" t="n"/>
      <c r="F272" s="290" t="n"/>
      <c r="G272" s="290" t="n"/>
    </row>
    <row r="273" ht="13" customHeight="1" s="189">
      <c r="A273" s="289" t="n"/>
      <c r="B273" s="290" t="n"/>
      <c r="C273" s="290" t="n"/>
      <c r="D273" s="291" t="n"/>
      <c r="E273" s="290" t="n"/>
      <c r="F273" s="290" t="n"/>
      <c r="G273" s="290" t="n"/>
    </row>
    <row r="274" ht="13" customHeight="1" s="189">
      <c r="A274" s="289" t="n"/>
      <c r="B274" s="290" t="n"/>
      <c r="C274" s="290" t="n"/>
      <c r="D274" s="291" t="n"/>
      <c r="E274" s="290" t="n"/>
      <c r="F274" s="290" t="n"/>
      <c r="G274" s="290" t="n"/>
    </row>
    <row r="275" ht="13" customHeight="1" s="189">
      <c r="A275" s="289" t="n"/>
      <c r="B275" s="290" t="n"/>
      <c r="C275" s="290" t="n"/>
      <c r="D275" s="291" t="n"/>
      <c r="E275" s="290" t="n"/>
      <c r="F275" s="290" t="n"/>
      <c r="G275" s="290" t="n"/>
    </row>
    <row r="276" ht="13" customHeight="1" s="189">
      <c r="A276" s="289" t="n"/>
      <c r="B276" s="290" t="n"/>
      <c r="C276" s="290" t="n"/>
      <c r="D276" s="291" t="n"/>
      <c r="E276" s="290" t="n"/>
      <c r="F276" s="290" t="n"/>
      <c r="G276" s="290" t="n"/>
    </row>
    <row r="277" ht="13" customHeight="1" s="189">
      <c r="A277" s="289" t="n"/>
      <c r="B277" s="290" t="n"/>
      <c r="C277" s="290" t="n"/>
      <c r="D277" s="291" t="n"/>
      <c r="E277" s="290" t="n"/>
      <c r="F277" s="290" t="n"/>
      <c r="G277" s="290" t="n"/>
    </row>
    <row r="278" ht="13" customHeight="1" s="189">
      <c r="A278" s="289" t="n"/>
      <c r="B278" s="290" t="n"/>
      <c r="C278" s="290" t="n"/>
      <c r="D278" s="291" t="n"/>
      <c r="E278" s="290" t="n"/>
      <c r="F278" s="290" t="n"/>
      <c r="G278" s="290" t="n"/>
    </row>
    <row r="279" ht="13" customHeight="1" s="189">
      <c r="A279" s="289" t="n"/>
      <c r="B279" s="290" t="n"/>
      <c r="C279" s="290" t="n"/>
      <c r="D279" s="291" t="n"/>
      <c r="E279" s="290" t="n"/>
      <c r="F279" s="290" t="n"/>
      <c r="G279" s="290" t="n"/>
    </row>
    <row r="280" ht="13" customHeight="1" s="189">
      <c r="A280" s="289" t="n"/>
      <c r="B280" s="290" t="n"/>
      <c r="C280" s="290" t="n"/>
      <c r="D280" s="291" t="n"/>
      <c r="E280" s="290" t="n"/>
      <c r="F280" s="290" t="n"/>
      <c r="G280" s="290" t="n"/>
    </row>
    <row r="281" ht="13" customHeight="1" s="189">
      <c r="A281" s="289" t="n"/>
      <c r="B281" s="290" t="n"/>
      <c r="C281" s="290" t="n"/>
      <c r="D281" s="291" t="n"/>
      <c r="E281" s="290" t="n"/>
      <c r="F281" s="290" t="n"/>
      <c r="G281" s="290" t="n"/>
    </row>
    <row r="282" ht="13" customHeight="1" s="189">
      <c r="A282" s="289" t="n"/>
      <c r="B282" s="290" t="n"/>
      <c r="C282" s="290" t="n"/>
      <c r="D282" s="291" t="n"/>
      <c r="E282" s="290" t="n"/>
      <c r="F282" s="290" t="n"/>
      <c r="G282" s="290" t="n"/>
    </row>
    <row r="283" ht="13" customHeight="1" s="189">
      <c r="A283" s="289" t="n"/>
      <c r="B283" s="290" t="n"/>
      <c r="C283" s="290" t="n"/>
      <c r="D283" s="291" t="n"/>
      <c r="E283" s="290" t="n"/>
      <c r="F283" s="290" t="n"/>
      <c r="G283" s="290" t="n"/>
    </row>
    <row r="284" ht="13" customHeight="1" s="189">
      <c r="A284" s="289" t="n"/>
      <c r="B284" s="290" t="n"/>
      <c r="C284" s="290" t="n"/>
      <c r="D284" s="291" t="n"/>
      <c r="E284" s="290" t="n"/>
      <c r="F284" s="290" t="n"/>
      <c r="G284" s="290" t="n"/>
    </row>
    <row r="285" ht="13" customHeight="1" s="189">
      <c r="A285" s="289" t="n"/>
      <c r="B285" s="290" t="n"/>
      <c r="C285" s="290" t="n"/>
      <c r="D285" s="291" t="n"/>
      <c r="E285" s="290" t="n"/>
      <c r="F285" s="290" t="n"/>
      <c r="G285" s="290" t="n"/>
    </row>
    <row r="286" ht="13" customHeight="1" s="189">
      <c r="A286" s="289" t="n"/>
      <c r="B286" s="290" t="n"/>
      <c r="C286" s="290" t="n"/>
      <c r="D286" s="291" t="n"/>
      <c r="E286" s="290" t="n"/>
      <c r="F286" s="290" t="n"/>
      <c r="G286" s="290" t="n"/>
    </row>
    <row r="287" ht="13" customHeight="1" s="189">
      <c r="A287" s="289" t="n"/>
      <c r="B287" s="290" t="n"/>
      <c r="C287" s="290" t="n"/>
      <c r="D287" s="291" t="n"/>
      <c r="E287" s="290" t="n"/>
      <c r="F287" s="290" t="n"/>
      <c r="G287" s="290" t="n"/>
    </row>
    <row r="288" ht="13" customHeight="1" s="189">
      <c r="A288" s="289" t="n"/>
      <c r="B288" s="290" t="n"/>
      <c r="C288" s="290" t="n"/>
      <c r="D288" s="291" t="n"/>
      <c r="E288" s="290" t="n"/>
      <c r="F288" s="290" t="n"/>
      <c r="G288" s="290" t="n"/>
    </row>
    <row r="289" ht="13" customHeight="1" s="189">
      <c r="A289" s="289" t="n"/>
      <c r="B289" s="290" t="n"/>
      <c r="C289" s="290" t="n"/>
      <c r="D289" s="291" t="n"/>
      <c r="E289" s="290" t="n"/>
      <c r="F289" s="290" t="n"/>
      <c r="G289" s="290" t="n"/>
    </row>
    <row r="290" ht="13" customHeight="1" s="189">
      <c r="A290" s="289" t="n"/>
      <c r="B290" s="290" t="n"/>
      <c r="C290" s="290" t="n"/>
      <c r="D290" s="291" t="n"/>
      <c r="E290" s="290" t="n"/>
      <c r="F290" s="290" t="n"/>
      <c r="G290" s="290" t="n"/>
    </row>
    <row r="291" ht="13" customHeight="1" s="189">
      <c r="A291" s="289" t="n"/>
      <c r="B291" s="290" t="n"/>
      <c r="C291" s="290" t="n"/>
      <c r="D291" s="291" t="n"/>
      <c r="E291" s="290" t="n"/>
      <c r="F291" s="290" t="n"/>
      <c r="G291" s="290" t="n"/>
    </row>
    <row r="292" ht="13" customHeight="1" s="189">
      <c r="A292" s="289" t="n"/>
      <c r="B292" s="290" t="n"/>
      <c r="C292" s="290" t="n"/>
      <c r="D292" s="291" t="n"/>
      <c r="E292" s="290" t="n"/>
      <c r="F292" s="290" t="n"/>
      <c r="G292" s="290" t="n"/>
    </row>
    <row r="293" ht="13" customHeight="1" s="189">
      <c r="A293" s="289" t="n"/>
      <c r="B293" s="290" t="n"/>
      <c r="C293" s="290" t="n"/>
      <c r="D293" s="291" t="n"/>
      <c r="E293" s="290" t="n"/>
      <c r="F293" s="290" t="n"/>
      <c r="G293" s="290" t="n"/>
    </row>
    <row r="294" ht="13" customHeight="1" s="189">
      <c r="A294" s="289" t="n"/>
      <c r="B294" s="290" t="n"/>
      <c r="C294" s="290" t="n"/>
      <c r="D294" s="291" t="n"/>
      <c r="E294" s="290" t="n"/>
      <c r="F294" s="290" t="n"/>
      <c r="G294" s="290" t="n"/>
    </row>
    <row r="295" ht="13" customHeight="1" s="189">
      <c r="A295" s="289" t="n"/>
      <c r="B295" s="290" t="n"/>
      <c r="C295" s="290" t="n"/>
      <c r="D295" s="291" t="n"/>
      <c r="E295" s="290" t="n"/>
      <c r="F295" s="290" t="n"/>
      <c r="G295" s="290" t="n"/>
    </row>
    <row r="296" ht="13" customHeight="1" s="189">
      <c r="A296" s="289" t="n"/>
      <c r="B296" s="290" t="n"/>
      <c r="C296" s="290" t="n"/>
      <c r="D296" s="291" t="n"/>
      <c r="E296" s="290" t="n"/>
      <c r="F296" s="290" t="n"/>
      <c r="G296" s="290" t="n"/>
    </row>
    <row r="297" ht="13" customHeight="1" s="189">
      <c r="A297" s="289" t="n"/>
      <c r="B297" s="290" t="n"/>
      <c r="C297" s="290" t="n"/>
      <c r="D297" s="291" t="n"/>
      <c r="E297" s="290" t="n"/>
      <c r="F297" s="290" t="n"/>
      <c r="G297" s="290" t="n"/>
    </row>
    <row r="298" ht="13" customHeight="1" s="189">
      <c r="A298" s="289" t="n"/>
      <c r="B298" s="290" t="n"/>
      <c r="C298" s="290" t="n"/>
      <c r="D298" s="291" t="n"/>
      <c r="E298" s="290" t="n"/>
      <c r="F298" s="290" t="n"/>
      <c r="G298" s="290" t="n"/>
    </row>
    <row r="299" ht="13" customHeight="1" s="189">
      <c r="A299" s="289" t="n"/>
      <c r="B299" s="290" t="n"/>
      <c r="C299" s="290" t="n"/>
      <c r="D299" s="291" t="n"/>
      <c r="E299" s="290" t="n"/>
      <c r="F299" s="290" t="n"/>
      <c r="G299" s="290" t="n"/>
    </row>
    <row r="300" ht="13" customHeight="1" s="189">
      <c r="A300" s="289" t="n"/>
      <c r="B300" s="290" t="n"/>
      <c r="C300" s="290" t="n"/>
      <c r="D300" s="291" t="n"/>
      <c r="E300" s="290" t="n"/>
      <c r="F300" s="290" t="n"/>
      <c r="G300" s="290" t="n"/>
    </row>
    <row r="301" ht="13" customHeight="1" s="189">
      <c r="A301" s="289" t="n"/>
      <c r="B301" s="290" t="n"/>
      <c r="C301" s="290" t="n"/>
      <c r="D301" s="291" t="n"/>
      <c r="E301" s="290" t="n"/>
      <c r="F301" s="290" t="n"/>
      <c r="G301" s="290" t="n"/>
    </row>
    <row r="302" ht="13" customHeight="1" s="189">
      <c r="A302" s="289" t="n"/>
      <c r="B302" s="290" t="n"/>
      <c r="C302" s="290" t="n"/>
      <c r="D302" s="291" t="n"/>
      <c r="E302" s="290" t="n"/>
      <c r="F302" s="290" t="n"/>
      <c r="G302" s="290" t="n"/>
    </row>
    <row r="303" ht="13" customHeight="1" s="189">
      <c r="A303" s="289" t="n"/>
      <c r="B303" s="290" t="n"/>
      <c r="C303" s="290" t="n"/>
      <c r="D303" s="291" t="n"/>
      <c r="E303" s="290" t="n"/>
      <c r="F303" s="290" t="n"/>
      <c r="G303" s="290" t="n"/>
    </row>
    <row r="304" ht="13" customHeight="1" s="189">
      <c r="A304" s="289" t="n"/>
      <c r="B304" s="290" t="n"/>
      <c r="C304" s="290" t="n"/>
      <c r="D304" s="291" t="n"/>
      <c r="E304" s="290" t="n"/>
      <c r="F304" s="290" t="n"/>
      <c r="G304" s="290" t="n"/>
    </row>
    <row r="305" ht="13" customHeight="1" s="189">
      <c r="A305" s="289" t="n"/>
      <c r="B305" s="290" t="n"/>
      <c r="C305" s="290" t="n"/>
      <c r="D305" s="291" t="n"/>
      <c r="E305" s="290" t="n"/>
      <c r="F305" s="290" t="n"/>
      <c r="G305" s="290" t="n"/>
    </row>
    <row r="306" ht="13" customHeight="1" s="189">
      <c r="A306" s="289" t="n"/>
      <c r="B306" s="290" t="n"/>
      <c r="C306" s="290" t="n"/>
      <c r="D306" s="291" t="n"/>
      <c r="E306" s="290" t="n"/>
      <c r="F306" s="290" t="n"/>
      <c r="G306" s="290" t="n"/>
    </row>
    <row r="307" ht="13" customHeight="1" s="189">
      <c r="A307" s="289" t="n"/>
      <c r="B307" s="290" t="n"/>
      <c r="C307" s="290" t="n"/>
      <c r="D307" s="291" t="n"/>
      <c r="E307" s="290" t="n"/>
      <c r="F307" s="290" t="n"/>
      <c r="G307" s="290" t="n"/>
    </row>
    <row r="308" ht="13" customHeight="1" s="189">
      <c r="A308" s="289" t="n"/>
      <c r="B308" s="290" t="n"/>
      <c r="C308" s="290" t="n"/>
      <c r="D308" s="291" t="n"/>
      <c r="E308" s="290" t="n"/>
      <c r="F308" s="290" t="n"/>
      <c r="G308" s="290" t="n"/>
    </row>
    <row r="309" ht="13" customHeight="1" s="189">
      <c r="A309" s="289" t="n"/>
      <c r="B309" s="290" t="n"/>
      <c r="C309" s="290" t="n"/>
      <c r="D309" s="291" t="n"/>
      <c r="E309" s="290" t="n"/>
      <c r="F309" s="290" t="n"/>
      <c r="G309" s="290" t="n"/>
    </row>
    <row r="310" ht="13" customHeight="1" s="189">
      <c r="A310" s="289" t="n"/>
      <c r="B310" s="290" t="n"/>
      <c r="C310" s="290" t="n"/>
      <c r="D310" s="291" t="n"/>
      <c r="E310" s="290" t="n"/>
      <c r="F310" s="290" t="n"/>
      <c r="G310" s="290" t="n"/>
    </row>
    <row r="311" ht="13" customHeight="1" s="189">
      <c r="A311" s="289" t="n"/>
      <c r="B311" s="290" t="n"/>
      <c r="C311" s="290" t="n"/>
      <c r="D311" s="291" t="n"/>
      <c r="E311" s="290" t="n"/>
      <c r="F311" s="290" t="n"/>
      <c r="G311" s="290" t="n"/>
    </row>
    <row r="312" ht="13" customHeight="1" s="189">
      <c r="A312" s="289" t="n"/>
      <c r="B312" s="290" t="n"/>
      <c r="C312" s="290" t="n"/>
      <c r="D312" s="291" t="n"/>
      <c r="E312" s="290" t="n"/>
      <c r="F312" s="290" t="n"/>
      <c r="G312" s="290" t="n"/>
    </row>
    <row r="313" ht="13" customHeight="1" s="189">
      <c r="A313" s="289" t="n"/>
      <c r="B313" s="290" t="n"/>
      <c r="C313" s="290" t="n"/>
      <c r="D313" s="291" t="n"/>
      <c r="E313" s="290" t="n"/>
      <c r="F313" s="290" t="n"/>
      <c r="G313" s="290" t="n"/>
    </row>
    <row r="314" ht="13" customHeight="1" s="189">
      <c r="A314" s="289" t="n"/>
      <c r="B314" s="290" t="n"/>
      <c r="C314" s="290" t="n"/>
      <c r="D314" s="291" t="n"/>
      <c r="E314" s="290" t="n"/>
      <c r="F314" s="290" t="n"/>
      <c r="G314" s="290" t="n"/>
    </row>
    <row r="315" ht="13" customHeight="1" s="189">
      <c r="A315" s="289" t="n"/>
      <c r="B315" s="290" t="n"/>
      <c r="C315" s="290" t="n"/>
      <c r="D315" s="291" t="n"/>
      <c r="E315" s="290" t="n"/>
      <c r="F315" s="290" t="n"/>
      <c r="G315" s="290" t="n"/>
    </row>
    <row r="316" ht="13" customHeight="1" s="189">
      <c r="A316" s="289" t="n"/>
      <c r="B316" s="290" t="n"/>
      <c r="C316" s="290" t="n"/>
      <c r="D316" s="291" t="n"/>
      <c r="E316" s="290" t="n"/>
      <c r="F316" s="290" t="n"/>
      <c r="G316" s="290" t="n"/>
    </row>
    <row r="317" ht="13" customHeight="1" s="189">
      <c r="A317" s="289" t="n"/>
      <c r="B317" s="290" t="n"/>
      <c r="C317" s="290" t="n"/>
      <c r="D317" s="291" t="n"/>
      <c r="E317" s="290" t="n"/>
      <c r="F317" s="290" t="n"/>
      <c r="G317" s="290" t="n"/>
    </row>
    <row r="318" ht="13" customHeight="1" s="189">
      <c r="A318" s="289" t="n"/>
      <c r="B318" s="290" t="n"/>
      <c r="C318" s="290" t="n"/>
      <c r="D318" s="291" t="n"/>
      <c r="E318" s="290" t="n"/>
      <c r="F318" s="290" t="n"/>
      <c r="G318" s="290" t="n"/>
    </row>
    <row r="319" ht="13" customHeight="1" s="189">
      <c r="A319" s="289" t="n"/>
      <c r="B319" s="290" t="n"/>
      <c r="C319" s="290" t="n"/>
      <c r="D319" s="291" t="n"/>
      <c r="E319" s="290" t="n"/>
      <c r="F319" s="290" t="n"/>
      <c r="G319" s="290" t="n"/>
    </row>
    <row r="320" ht="13" customHeight="1" s="189">
      <c r="A320" s="289" t="n"/>
      <c r="B320" s="290" t="n"/>
      <c r="C320" s="290" t="n"/>
      <c r="D320" s="291" t="n"/>
      <c r="E320" s="290" t="n"/>
      <c r="F320" s="290" t="n"/>
      <c r="G320" s="290" t="n"/>
    </row>
    <row r="321" ht="13" customHeight="1" s="189">
      <c r="A321" s="289" t="n"/>
      <c r="B321" s="290" t="n"/>
      <c r="C321" s="290" t="n"/>
      <c r="D321" s="291" t="n"/>
      <c r="E321" s="290" t="n"/>
      <c r="F321" s="290" t="n"/>
      <c r="G321" s="290" t="n"/>
    </row>
    <row r="322" ht="13" customHeight="1" s="189">
      <c r="A322" s="289" t="n"/>
      <c r="B322" s="290" t="n"/>
      <c r="C322" s="290" t="n"/>
      <c r="D322" s="291" t="n"/>
      <c r="E322" s="290" t="n"/>
      <c r="F322" s="290" t="n"/>
      <c r="G322" s="290" t="n"/>
    </row>
    <row r="323" ht="13" customHeight="1" s="189">
      <c r="A323" s="289" t="n"/>
      <c r="B323" s="290" t="n"/>
      <c r="C323" s="290" t="n"/>
      <c r="D323" s="291" t="n"/>
      <c r="E323" s="290" t="n"/>
      <c r="F323" s="290" t="n"/>
      <c r="G323" s="290" t="n"/>
    </row>
    <row r="324" ht="13" customHeight="1" s="189">
      <c r="A324" s="289" t="n"/>
      <c r="B324" s="290" t="n"/>
      <c r="C324" s="290" t="n"/>
      <c r="D324" s="291" t="n"/>
      <c r="E324" s="290" t="n"/>
      <c r="F324" s="290" t="n"/>
      <c r="G324" s="290" t="n"/>
    </row>
    <row r="325" ht="13" customHeight="1" s="189">
      <c r="A325" s="289" t="n"/>
      <c r="B325" s="290" t="n"/>
      <c r="C325" s="290" t="n"/>
      <c r="D325" s="291" t="n"/>
      <c r="E325" s="290" t="n"/>
      <c r="F325" s="290" t="n"/>
      <c r="G325" s="290" t="n"/>
    </row>
    <row r="326" ht="13" customHeight="1" s="189">
      <c r="A326" s="289" t="n"/>
      <c r="B326" s="290" t="n"/>
      <c r="C326" s="290" t="n"/>
      <c r="D326" s="291" t="n"/>
      <c r="E326" s="290" t="n"/>
      <c r="F326" s="290" t="n"/>
      <c r="G326" s="290" t="n"/>
    </row>
    <row r="327" ht="13" customHeight="1" s="189">
      <c r="A327" s="289" t="n"/>
      <c r="B327" s="290" t="n"/>
      <c r="C327" s="290" t="n"/>
      <c r="D327" s="291" t="n"/>
      <c r="E327" s="290" t="n"/>
      <c r="F327" s="290" t="n"/>
      <c r="G327" s="290" t="n"/>
    </row>
    <row r="328" ht="13" customHeight="1" s="189">
      <c r="A328" s="289" t="n"/>
      <c r="B328" s="290" t="n"/>
      <c r="C328" s="290" t="n"/>
      <c r="D328" s="291" t="n"/>
      <c r="E328" s="290" t="n"/>
      <c r="F328" s="290" t="n"/>
      <c r="G328" s="290" t="n"/>
    </row>
    <row r="329" ht="13" customHeight="1" s="189">
      <c r="A329" s="289" t="n"/>
      <c r="B329" s="290" t="n"/>
      <c r="C329" s="290" t="n"/>
      <c r="D329" s="291" t="n"/>
      <c r="E329" s="290" t="n"/>
      <c r="F329" s="290" t="n"/>
      <c r="G329" s="290" t="n"/>
    </row>
    <row r="330" ht="13" customHeight="1" s="189">
      <c r="A330" s="289" t="n"/>
      <c r="B330" s="290" t="n"/>
      <c r="C330" s="290" t="n"/>
      <c r="D330" s="291" t="n"/>
      <c r="E330" s="290" t="n"/>
      <c r="F330" s="290" t="n"/>
      <c r="G330" s="290" t="n"/>
    </row>
    <row r="331" ht="13" customHeight="1" s="189">
      <c r="A331" s="289" t="n"/>
      <c r="B331" s="290" t="n"/>
      <c r="C331" s="290" t="n"/>
      <c r="D331" s="291" t="n"/>
      <c r="E331" s="290" t="n"/>
      <c r="F331" s="290" t="n"/>
      <c r="G331" s="290" t="n"/>
    </row>
    <row r="332" ht="13" customHeight="1" s="189">
      <c r="A332" s="289" t="n"/>
      <c r="B332" s="290" t="n"/>
      <c r="C332" s="290" t="n"/>
      <c r="D332" s="291" t="n"/>
      <c r="E332" s="290" t="n"/>
      <c r="F332" s="290" t="n"/>
      <c r="G332" s="290" t="n"/>
    </row>
    <row r="333" ht="13" customHeight="1" s="189">
      <c r="A333" s="289" t="n"/>
      <c r="B333" s="290" t="n"/>
      <c r="C333" s="290" t="n"/>
      <c r="D333" s="291" t="n"/>
      <c r="E333" s="290" t="n"/>
      <c r="F333" s="290" t="n"/>
      <c r="G333" s="290" t="n"/>
    </row>
    <row r="334" ht="13" customHeight="1" s="189">
      <c r="A334" s="289" t="n"/>
      <c r="B334" s="290" t="n"/>
      <c r="C334" s="290" t="n"/>
      <c r="D334" s="291" t="n"/>
      <c r="E334" s="290" t="n"/>
      <c r="F334" s="290" t="n"/>
      <c r="G334" s="290" t="n"/>
    </row>
    <row r="335" ht="13" customHeight="1" s="189">
      <c r="A335" s="289" t="n"/>
      <c r="B335" s="290" t="n"/>
      <c r="C335" s="290" t="n"/>
      <c r="D335" s="291" t="n"/>
      <c r="E335" s="290" t="n"/>
      <c r="F335" s="290" t="n"/>
      <c r="G335" s="290" t="n"/>
    </row>
    <row r="336" ht="13" customHeight="1" s="189">
      <c r="A336" s="289" t="n"/>
      <c r="B336" s="290" t="n"/>
      <c r="C336" s="290" t="n"/>
      <c r="D336" s="291" t="n"/>
      <c r="E336" s="290" t="n"/>
      <c r="F336" s="290" t="n"/>
      <c r="G336" s="290" t="n"/>
    </row>
    <row r="337" ht="13" customHeight="1" s="189">
      <c r="A337" s="289" t="n"/>
      <c r="B337" s="290" t="n"/>
      <c r="C337" s="290" t="n"/>
      <c r="D337" s="291" t="n"/>
      <c r="E337" s="290" t="n"/>
      <c r="F337" s="290" t="n"/>
      <c r="G337" s="290" t="n"/>
    </row>
    <row r="338" ht="13" customHeight="1" s="189">
      <c r="A338" s="289" t="n"/>
      <c r="B338" s="290" t="n"/>
      <c r="C338" s="290" t="n"/>
      <c r="D338" s="291" t="n"/>
      <c r="E338" s="290" t="n"/>
      <c r="F338" s="290" t="n"/>
      <c r="G338" s="290" t="n"/>
    </row>
    <row r="339" ht="13" customHeight="1" s="189">
      <c r="A339" s="289" t="n"/>
      <c r="B339" s="290" t="n"/>
      <c r="C339" s="290" t="n"/>
      <c r="D339" s="291" t="n"/>
      <c r="E339" s="290" t="n"/>
      <c r="F339" s="290" t="n"/>
      <c r="G339" s="290" t="n"/>
    </row>
    <row r="340" ht="13" customHeight="1" s="189">
      <c r="A340" s="289" t="n"/>
      <c r="B340" s="290" t="n"/>
      <c r="C340" s="290" t="n"/>
      <c r="D340" s="291" t="n"/>
      <c r="E340" s="290" t="n"/>
      <c r="F340" s="290" t="n"/>
      <c r="G340" s="290" t="n"/>
    </row>
    <row r="341" ht="13" customHeight="1" s="189">
      <c r="A341" s="289" t="n"/>
      <c r="B341" s="290" t="n"/>
      <c r="C341" s="290" t="n"/>
      <c r="D341" s="291" t="n"/>
      <c r="E341" s="290" t="n"/>
      <c r="F341" s="290" t="n"/>
      <c r="G341" s="290" t="n"/>
    </row>
    <row r="342" ht="13" customHeight="1" s="189">
      <c r="A342" s="289" t="n"/>
      <c r="B342" s="290" t="n"/>
      <c r="C342" s="290" t="n"/>
      <c r="D342" s="291" t="n"/>
      <c r="E342" s="290" t="n"/>
      <c r="F342" s="290" t="n"/>
      <c r="G342" s="290" t="n"/>
    </row>
    <row r="343" ht="13" customHeight="1" s="189">
      <c r="A343" s="289" t="n"/>
      <c r="B343" s="290" t="n"/>
      <c r="C343" s="290" t="n"/>
      <c r="D343" s="291" t="n"/>
      <c r="E343" s="290" t="n"/>
      <c r="F343" s="290" t="n"/>
      <c r="G343" s="290" t="n"/>
    </row>
    <row r="344" ht="13" customHeight="1" s="189">
      <c r="A344" s="289" t="n"/>
      <c r="B344" s="290" t="n"/>
      <c r="C344" s="290" t="n"/>
      <c r="D344" s="291" t="n"/>
      <c r="E344" s="290" t="n"/>
      <c r="F344" s="290" t="n"/>
      <c r="G344" s="290" t="n"/>
    </row>
    <row r="345" ht="13" customHeight="1" s="189">
      <c r="A345" s="289" t="n"/>
      <c r="B345" s="290" t="n"/>
      <c r="C345" s="290" t="n"/>
      <c r="D345" s="291" t="n"/>
      <c r="E345" s="290" t="n"/>
      <c r="F345" s="290" t="n"/>
      <c r="G345" s="290" t="n"/>
    </row>
    <row r="346" ht="13" customHeight="1" s="189">
      <c r="A346" s="289" t="n"/>
      <c r="B346" s="290" t="n"/>
      <c r="C346" s="290" t="n"/>
      <c r="D346" s="291" t="n"/>
      <c r="E346" s="290" t="n"/>
      <c r="F346" s="290" t="n"/>
      <c r="G346" s="290" t="n"/>
    </row>
    <row r="347" ht="13" customHeight="1" s="189">
      <c r="A347" s="289" t="n"/>
      <c r="B347" s="290" t="n"/>
      <c r="C347" s="290" t="n"/>
      <c r="D347" s="291" t="n"/>
      <c r="E347" s="290" t="n"/>
      <c r="F347" s="290" t="n"/>
      <c r="G347" s="290" t="n"/>
    </row>
    <row r="348" ht="13" customHeight="1" s="189">
      <c r="A348" s="289" t="n"/>
      <c r="B348" s="290" t="n"/>
      <c r="C348" s="290" t="n"/>
      <c r="D348" s="291" t="n"/>
      <c r="E348" s="290" t="n"/>
      <c r="F348" s="290" t="n"/>
      <c r="G348" s="290" t="n"/>
    </row>
    <row r="349" ht="13" customHeight="1" s="189">
      <c r="A349" s="289" t="n"/>
      <c r="B349" s="290" t="n"/>
      <c r="C349" s="290" t="n"/>
      <c r="D349" s="291" t="n"/>
      <c r="E349" s="290" t="n"/>
      <c r="F349" s="290" t="n"/>
      <c r="G349" s="290" t="n"/>
    </row>
    <row r="350" ht="13" customHeight="1" s="189">
      <c r="A350" s="289" t="n"/>
      <c r="B350" s="290" t="n"/>
      <c r="C350" s="290" t="n"/>
      <c r="D350" s="291" t="n"/>
      <c r="E350" s="290" t="n"/>
      <c r="F350" s="290" t="n"/>
      <c r="G350" s="290" t="n"/>
    </row>
    <row r="351" ht="13" customHeight="1" s="189">
      <c r="A351" s="289" t="n"/>
      <c r="B351" s="290" t="n"/>
      <c r="C351" s="290" t="n"/>
      <c r="D351" s="291" t="n"/>
      <c r="E351" s="290" t="n"/>
      <c r="F351" s="290" t="n"/>
      <c r="G351" s="290" t="n"/>
    </row>
    <row r="352" ht="13" customHeight="1" s="189">
      <c r="A352" s="289" t="n"/>
      <c r="B352" s="290" t="n"/>
      <c r="C352" s="290" t="n"/>
      <c r="D352" s="291" t="n"/>
      <c r="E352" s="290" t="n"/>
      <c r="F352" s="290" t="n"/>
      <c r="G352" s="290" t="n"/>
    </row>
    <row r="353" ht="13" customHeight="1" s="189">
      <c r="A353" s="289" t="n"/>
      <c r="B353" s="290" t="n"/>
      <c r="C353" s="290" t="n"/>
      <c r="D353" s="291" t="n"/>
      <c r="E353" s="290" t="n"/>
      <c r="F353" s="290" t="n"/>
      <c r="G353" s="290" t="n"/>
    </row>
    <row r="354" ht="13" customHeight="1" s="189">
      <c r="A354" s="289" t="n"/>
      <c r="B354" s="290" t="n"/>
      <c r="C354" s="290" t="n"/>
      <c r="D354" s="291" t="n"/>
      <c r="E354" s="290" t="n"/>
      <c r="F354" s="290" t="n"/>
      <c r="G354" s="290" t="n"/>
    </row>
    <row r="355" ht="13" customHeight="1" s="189">
      <c r="A355" s="289" t="n"/>
      <c r="B355" s="290" t="n"/>
      <c r="C355" s="290" t="n"/>
      <c r="D355" s="291" t="n"/>
      <c r="E355" s="290" t="n"/>
      <c r="F355" s="290" t="n"/>
      <c r="G355" s="290" t="n"/>
    </row>
    <row r="356" ht="13" customHeight="1" s="189">
      <c r="A356" s="289" t="n"/>
      <c r="B356" s="290" t="n"/>
      <c r="C356" s="290" t="n"/>
      <c r="D356" s="291" t="n"/>
      <c r="E356" s="290" t="n"/>
      <c r="F356" s="290" t="n"/>
      <c r="G356" s="290" t="n"/>
    </row>
    <row r="357" ht="13" customHeight="1" s="189">
      <c r="A357" s="289" t="n"/>
      <c r="B357" s="290" t="n"/>
      <c r="C357" s="290" t="n"/>
      <c r="D357" s="291" t="n"/>
      <c r="E357" s="290" t="n"/>
      <c r="F357" s="290" t="n"/>
      <c r="G357" s="290" t="n"/>
    </row>
    <row r="358" ht="13" customHeight="1" s="189">
      <c r="A358" s="289" t="n"/>
      <c r="B358" s="290" t="n"/>
      <c r="C358" s="290" t="n"/>
      <c r="D358" s="291" t="n"/>
      <c r="E358" s="290" t="n"/>
      <c r="F358" s="290" t="n"/>
      <c r="G358" s="290" t="n"/>
    </row>
    <row r="359" ht="13" customHeight="1" s="189">
      <c r="A359" s="289" t="n"/>
      <c r="B359" s="290" t="n"/>
      <c r="C359" s="290" t="n"/>
      <c r="D359" s="291" t="n"/>
      <c r="E359" s="290" t="n"/>
      <c r="F359" s="290" t="n"/>
      <c r="G359" s="290" t="n"/>
    </row>
    <row r="360" ht="13" customHeight="1" s="189">
      <c r="A360" s="289" t="n"/>
      <c r="B360" s="290" t="n"/>
      <c r="C360" s="290" t="n"/>
      <c r="D360" s="291" t="n"/>
      <c r="E360" s="290" t="n"/>
      <c r="F360" s="290" t="n"/>
      <c r="G360" s="290" t="n"/>
    </row>
    <row r="361" ht="13" customHeight="1" s="189">
      <c r="A361" s="289" t="n"/>
      <c r="B361" s="290" t="n"/>
      <c r="C361" s="290" t="n"/>
      <c r="D361" s="291" t="n"/>
      <c r="E361" s="290" t="n"/>
      <c r="F361" s="290" t="n"/>
      <c r="G361" s="290" t="n"/>
    </row>
    <row r="362" ht="13" customHeight="1" s="189">
      <c r="A362" s="289" t="n"/>
      <c r="B362" s="290" t="n"/>
      <c r="C362" s="290" t="n"/>
      <c r="D362" s="291" t="n"/>
      <c r="E362" s="290" t="n"/>
      <c r="F362" s="290" t="n"/>
      <c r="G362" s="290" t="n"/>
    </row>
    <row r="363" ht="13" customHeight="1" s="189">
      <c r="A363" s="289" t="n"/>
      <c r="B363" s="290" t="n"/>
      <c r="C363" s="290" t="n"/>
      <c r="D363" s="291" t="n"/>
      <c r="E363" s="290" t="n"/>
      <c r="F363" s="290" t="n"/>
      <c r="G363" s="290" t="n"/>
    </row>
    <row r="364" ht="13" customHeight="1" s="189">
      <c r="A364" s="289" t="n"/>
      <c r="B364" s="290" t="n"/>
      <c r="C364" s="290" t="n"/>
      <c r="D364" s="291" t="n"/>
      <c r="E364" s="290" t="n"/>
      <c r="F364" s="290" t="n"/>
      <c r="G364" s="290" t="n"/>
    </row>
    <row r="365" ht="13" customHeight="1" s="189">
      <c r="A365" s="289" t="n"/>
      <c r="B365" s="290" t="n"/>
      <c r="C365" s="290" t="n"/>
      <c r="D365" s="291" t="n"/>
      <c r="E365" s="290" t="n"/>
      <c r="F365" s="290" t="n"/>
      <c r="G365" s="290" t="n"/>
    </row>
    <row r="366" ht="13" customHeight="1" s="189">
      <c r="A366" s="289" t="n"/>
      <c r="B366" s="290" t="n"/>
      <c r="C366" s="290" t="n"/>
      <c r="D366" s="291" t="n"/>
      <c r="E366" s="290" t="n"/>
      <c r="F366" s="290" t="n"/>
      <c r="G366" s="290" t="n"/>
    </row>
    <row r="367" ht="13" customHeight="1" s="189">
      <c r="A367" s="289" t="n"/>
      <c r="B367" s="290" t="n"/>
      <c r="C367" s="290" t="n"/>
      <c r="D367" s="291" t="n"/>
      <c r="E367" s="290" t="n"/>
      <c r="F367" s="290" t="n"/>
      <c r="G367" s="290" t="n"/>
    </row>
    <row r="368" ht="13" customHeight="1" s="189">
      <c r="A368" s="289" t="n"/>
      <c r="B368" s="290" t="n"/>
      <c r="C368" s="290" t="n"/>
      <c r="D368" s="291" t="n"/>
      <c r="E368" s="290" t="n"/>
      <c r="F368" s="290" t="n"/>
      <c r="G368" s="290" t="n"/>
    </row>
    <row r="369" ht="13" customHeight="1" s="189">
      <c r="A369" s="289" t="n"/>
      <c r="B369" s="290" t="n"/>
      <c r="C369" s="290" t="n"/>
      <c r="D369" s="291" t="n"/>
      <c r="E369" s="290" t="n"/>
      <c r="F369" s="290" t="n"/>
      <c r="G369" s="290" t="n"/>
    </row>
    <row r="370" ht="13" customHeight="1" s="189">
      <c r="A370" s="289" t="n"/>
      <c r="B370" s="290" t="n"/>
      <c r="C370" s="290" t="n"/>
      <c r="D370" s="291" t="n"/>
      <c r="E370" s="290" t="n"/>
      <c r="F370" s="290" t="n"/>
      <c r="G370" s="290" t="n"/>
    </row>
    <row r="371" ht="13" customHeight="1" s="189">
      <c r="A371" s="289" t="n"/>
      <c r="B371" s="290" t="n"/>
      <c r="C371" s="290" t="n"/>
      <c r="D371" s="291" t="n"/>
      <c r="E371" s="290" t="n"/>
      <c r="F371" s="290" t="n"/>
      <c r="G371" s="290" t="n"/>
    </row>
    <row r="372" ht="13" customHeight="1" s="189">
      <c r="A372" s="289" t="n"/>
      <c r="B372" s="290" t="n"/>
      <c r="C372" s="290" t="n"/>
      <c r="D372" s="291" t="n"/>
      <c r="E372" s="290" t="n"/>
      <c r="F372" s="290" t="n"/>
      <c r="G372" s="290" t="n"/>
    </row>
    <row r="373" ht="13" customHeight="1" s="189">
      <c r="A373" s="289" t="n"/>
      <c r="B373" s="290" t="n"/>
      <c r="C373" s="290" t="n"/>
      <c r="D373" s="291" t="n"/>
      <c r="E373" s="290" t="n"/>
      <c r="F373" s="290" t="n"/>
      <c r="G373" s="290" t="n"/>
    </row>
    <row r="374" ht="13" customHeight="1" s="189">
      <c r="A374" s="289" t="n"/>
      <c r="B374" s="290" t="n"/>
      <c r="C374" s="290" t="n"/>
      <c r="D374" s="291" t="n"/>
      <c r="E374" s="290" t="n"/>
      <c r="F374" s="290" t="n"/>
      <c r="G374" s="290" t="n"/>
    </row>
    <row r="375" ht="13" customHeight="1" s="189">
      <c r="A375" s="289" t="n"/>
      <c r="B375" s="290" t="n"/>
      <c r="C375" s="290" t="n"/>
      <c r="D375" s="291" t="n"/>
      <c r="E375" s="290" t="n"/>
      <c r="F375" s="290" t="n"/>
      <c r="G375" s="290" t="n"/>
    </row>
    <row r="376" ht="13" customHeight="1" s="189">
      <c r="A376" s="289" t="n"/>
      <c r="B376" s="290" t="n"/>
      <c r="C376" s="290" t="n"/>
      <c r="D376" s="291" t="n"/>
      <c r="E376" s="290" t="n"/>
      <c r="F376" s="290" t="n"/>
      <c r="G376" s="290" t="n"/>
    </row>
    <row r="377" ht="13" customHeight="1" s="189">
      <c r="A377" s="289" t="n"/>
      <c r="B377" s="290" t="n"/>
      <c r="C377" s="290" t="n"/>
      <c r="D377" s="291" t="n"/>
      <c r="E377" s="290" t="n"/>
      <c r="F377" s="290" t="n"/>
      <c r="G377" s="290" t="n"/>
    </row>
    <row r="378" ht="13" customHeight="1" s="189">
      <c r="A378" s="289" t="n"/>
      <c r="B378" s="290" t="n"/>
      <c r="C378" s="290" t="n"/>
      <c r="D378" s="291" t="n"/>
      <c r="E378" s="290" t="n"/>
      <c r="F378" s="290" t="n"/>
      <c r="G378" s="290" t="n"/>
    </row>
    <row r="379" ht="13" customHeight="1" s="189">
      <c r="A379" s="289" t="n"/>
      <c r="B379" s="290" t="n"/>
      <c r="C379" s="290" t="n"/>
      <c r="D379" s="291" t="n"/>
      <c r="E379" s="290" t="n"/>
      <c r="F379" s="290" t="n"/>
      <c r="G379" s="290" t="n"/>
    </row>
    <row r="380" ht="13" customHeight="1" s="189">
      <c r="A380" s="289" t="n"/>
      <c r="B380" s="290" t="n"/>
      <c r="C380" s="290" t="n"/>
      <c r="D380" s="291" t="n"/>
      <c r="E380" s="290" t="n"/>
      <c r="F380" s="290" t="n"/>
      <c r="G380" s="290" t="n"/>
    </row>
    <row r="381" ht="13" customHeight="1" s="189">
      <c r="A381" s="289" t="n"/>
      <c r="B381" s="290" t="n"/>
      <c r="C381" s="290" t="n"/>
      <c r="D381" s="291" t="n"/>
      <c r="E381" s="290" t="n"/>
      <c r="F381" s="290" t="n"/>
      <c r="G381" s="290" t="n"/>
    </row>
    <row r="382" ht="13" customHeight="1" s="189">
      <c r="A382" s="289" t="n"/>
      <c r="B382" s="290" t="n"/>
      <c r="C382" s="290" t="n"/>
      <c r="D382" s="291" t="n"/>
      <c r="E382" s="290" t="n"/>
      <c r="F382" s="290" t="n"/>
      <c r="G382" s="290" t="n"/>
    </row>
    <row r="383" ht="13" customHeight="1" s="189">
      <c r="A383" s="289" t="n"/>
      <c r="B383" s="290" t="n"/>
      <c r="C383" s="290" t="n"/>
      <c r="D383" s="291" t="n"/>
      <c r="E383" s="290" t="n"/>
      <c r="F383" s="290" t="n"/>
      <c r="G383" s="290" t="n"/>
    </row>
    <row r="384" ht="13" customHeight="1" s="189">
      <c r="A384" s="289" t="n"/>
      <c r="B384" s="290" t="n"/>
      <c r="C384" s="290" t="n"/>
      <c r="D384" s="291" t="n"/>
      <c r="E384" s="290" t="n"/>
      <c r="F384" s="290" t="n"/>
      <c r="G384" s="290" t="n"/>
    </row>
    <row r="385" ht="13" customHeight="1" s="189">
      <c r="A385" s="289" t="n"/>
      <c r="B385" s="290" t="n"/>
      <c r="C385" s="290" t="n"/>
      <c r="D385" s="291" t="n"/>
      <c r="E385" s="290" t="n"/>
      <c r="F385" s="290" t="n"/>
      <c r="G385" s="290" t="n"/>
    </row>
    <row r="386" ht="13" customHeight="1" s="189">
      <c r="A386" s="289" t="n"/>
      <c r="B386" s="290" t="n"/>
      <c r="C386" s="290" t="n"/>
      <c r="D386" s="291" t="n"/>
      <c r="E386" s="290" t="n"/>
      <c r="F386" s="290" t="n"/>
      <c r="G386" s="290" t="n"/>
    </row>
    <row r="387" ht="13" customHeight="1" s="189">
      <c r="A387" s="289" t="n"/>
      <c r="B387" s="290" t="n"/>
      <c r="C387" s="290" t="n"/>
      <c r="D387" s="291" t="n"/>
      <c r="E387" s="290" t="n"/>
      <c r="F387" s="290" t="n"/>
      <c r="G387" s="290" t="n"/>
    </row>
    <row r="388" ht="13" customHeight="1" s="189">
      <c r="A388" s="289" t="n"/>
      <c r="B388" s="290" t="n"/>
      <c r="C388" s="290" t="n"/>
      <c r="D388" s="291" t="n"/>
      <c r="E388" s="290" t="n"/>
      <c r="F388" s="290" t="n"/>
      <c r="G388" s="290" t="n"/>
    </row>
    <row r="389" ht="13" customHeight="1" s="189">
      <c r="A389" s="289" t="n"/>
      <c r="B389" s="290" t="n"/>
      <c r="C389" s="290" t="n"/>
      <c r="D389" s="291" t="n"/>
      <c r="E389" s="290" t="n"/>
      <c r="F389" s="290" t="n"/>
      <c r="G389" s="290" t="n"/>
    </row>
    <row r="390" ht="13" customHeight="1" s="189">
      <c r="A390" s="289" t="n"/>
      <c r="B390" s="290" t="n"/>
      <c r="C390" s="290" t="n"/>
      <c r="D390" s="291" t="n"/>
      <c r="E390" s="290" t="n"/>
      <c r="F390" s="290" t="n"/>
      <c r="G390" s="290" t="n"/>
    </row>
    <row r="391" ht="13" customHeight="1" s="189">
      <c r="A391" s="289" t="n"/>
      <c r="B391" s="290" t="n"/>
      <c r="C391" s="290" t="n"/>
      <c r="D391" s="291" t="n"/>
      <c r="E391" s="290" t="n"/>
      <c r="F391" s="290" t="n"/>
      <c r="G391" s="290" t="n"/>
    </row>
    <row r="392" ht="13" customHeight="1" s="189">
      <c r="A392" s="289" t="n"/>
      <c r="B392" s="290" t="n"/>
      <c r="C392" s="290" t="n"/>
      <c r="D392" s="291" t="n"/>
      <c r="E392" s="290" t="n"/>
      <c r="F392" s="290" t="n"/>
      <c r="G392" s="290" t="n"/>
    </row>
    <row r="393" ht="13" customHeight="1" s="189">
      <c r="A393" s="289" t="n"/>
      <c r="B393" s="290" t="n"/>
      <c r="C393" s="290" t="n"/>
      <c r="D393" s="291" t="n"/>
      <c r="E393" s="290" t="n"/>
      <c r="F393" s="290" t="n"/>
      <c r="G393" s="290" t="n"/>
    </row>
    <row r="394" ht="13" customHeight="1" s="189">
      <c r="A394" s="289" t="n"/>
      <c r="B394" s="290" t="n"/>
      <c r="C394" s="290" t="n"/>
      <c r="D394" s="291" t="n"/>
      <c r="E394" s="290" t="n"/>
      <c r="F394" s="290" t="n"/>
      <c r="G394" s="290" t="n"/>
    </row>
    <row r="395" ht="13" customHeight="1" s="189">
      <c r="A395" s="289" t="n"/>
      <c r="B395" s="290" t="n"/>
      <c r="C395" s="290" t="n"/>
      <c r="D395" s="291" t="n"/>
      <c r="E395" s="290" t="n"/>
      <c r="F395" s="290" t="n"/>
      <c r="G395" s="290" t="n"/>
    </row>
    <row r="396" ht="13" customHeight="1" s="189">
      <c r="A396" s="289" t="n"/>
      <c r="B396" s="290" t="n"/>
      <c r="C396" s="290" t="n"/>
      <c r="D396" s="291" t="n"/>
      <c r="E396" s="290" t="n"/>
      <c r="F396" s="290" t="n"/>
      <c r="G396" s="290" t="n"/>
    </row>
    <row r="397" ht="13" customHeight="1" s="189">
      <c r="A397" s="289" t="n"/>
      <c r="B397" s="290" t="n"/>
      <c r="C397" s="290" t="n"/>
      <c r="D397" s="291" t="n"/>
      <c r="E397" s="290" t="n"/>
      <c r="F397" s="290" t="n"/>
      <c r="G397" s="290" t="n"/>
    </row>
    <row r="398" ht="13" customHeight="1" s="189">
      <c r="A398" s="289" t="n"/>
      <c r="B398" s="290" t="n"/>
      <c r="C398" s="290" t="n"/>
      <c r="D398" s="291" t="n"/>
      <c r="E398" s="290" t="n"/>
      <c r="F398" s="290" t="n"/>
      <c r="G398" s="290" t="n"/>
    </row>
    <row r="399" ht="13" customHeight="1" s="189">
      <c r="A399" s="289" t="n"/>
      <c r="B399" s="290" t="n"/>
      <c r="C399" s="290" t="n"/>
      <c r="D399" s="291" t="n"/>
      <c r="E399" s="290" t="n"/>
      <c r="F399" s="290" t="n"/>
      <c r="G399" s="290" t="n"/>
    </row>
    <row r="400" ht="13" customHeight="1" s="189">
      <c r="A400" s="289" t="n"/>
      <c r="B400" s="290" t="n"/>
      <c r="C400" s="290" t="n"/>
      <c r="D400" s="291" t="n"/>
      <c r="E400" s="290" t="n"/>
      <c r="F400" s="290" t="n"/>
      <c r="G400" s="290" t="n"/>
    </row>
    <row r="401" ht="13" customHeight="1" s="189">
      <c r="A401" s="289" t="n"/>
      <c r="B401" s="290" t="n"/>
      <c r="C401" s="290" t="n"/>
      <c r="D401" s="291" t="n"/>
      <c r="E401" s="290" t="n"/>
      <c r="F401" s="290" t="n"/>
      <c r="G401" s="290" t="n"/>
    </row>
    <row r="402" ht="13" customHeight="1" s="189">
      <c r="A402" s="289" t="n"/>
      <c r="B402" s="290" t="n"/>
      <c r="C402" s="290" t="n"/>
      <c r="D402" s="291" t="n"/>
      <c r="E402" s="290" t="n"/>
      <c r="F402" s="290" t="n"/>
      <c r="G402" s="290" t="n"/>
    </row>
    <row r="403" ht="13" customHeight="1" s="189">
      <c r="A403" s="289" t="n"/>
      <c r="B403" s="290" t="n"/>
      <c r="C403" s="290" t="n"/>
      <c r="D403" s="291" t="n"/>
      <c r="E403" s="290" t="n"/>
      <c r="F403" s="290" t="n"/>
      <c r="G403" s="290" t="n"/>
    </row>
    <row r="404" ht="13" customHeight="1" s="189">
      <c r="A404" s="289" t="n"/>
      <c r="B404" s="290" t="n"/>
      <c r="C404" s="290" t="n"/>
      <c r="D404" s="291" t="n"/>
      <c r="E404" s="290" t="n"/>
      <c r="F404" s="290" t="n"/>
      <c r="G404" s="290" t="n"/>
    </row>
    <row r="405" ht="13" customHeight="1" s="189">
      <c r="A405" s="289" t="n"/>
      <c r="B405" s="290" t="n"/>
      <c r="C405" s="290" t="n"/>
      <c r="D405" s="291" t="n"/>
      <c r="E405" s="290" t="n"/>
      <c r="F405" s="290" t="n"/>
      <c r="G405" s="290" t="n"/>
    </row>
    <row r="406" ht="13" customHeight="1" s="189">
      <c r="A406" s="289" t="n"/>
      <c r="B406" s="290" t="n"/>
      <c r="C406" s="290" t="n"/>
      <c r="D406" s="291" t="n"/>
      <c r="E406" s="290" t="n"/>
      <c r="F406" s="290" t="n"/>
      <c r="G406" s="290" t="n"/>
    </row>
    <row r="407" ht="13" customHeight="1" s="189">
      <c r="A407" s="289" t="n"/>
      <c r="B407" s="290" t="n"/>
      <c r="C407" s="290" t="n"/>
      <c r="D407" s="291" t="n"/>
      <c r="E407" s="290" t="n"/>
      <c r="F407" s="290" t="n"/>
      <c r="G407" s="290" t="n"/>
    </row>
    <row r="408" ht="13" customHeight="1" s="189">
      <c r="A408" s="289" t="n"/>
      <c r="B408" s="290" t="n"/>
      <c r="C408" s="290" t="n"/>
      <c r="D408" s="291" t="n"/>
      <c r="E408" s="290" t="n"/>
      <c r="F408" s="290" t="n"/>
      <c r="G408" s="290" t="n"/>
    </row>
    <row r="409" ht="13" customHeight="1" s="189">
      <c r="A409" s="289" t="n"/>
      <c r="B409" s="290" t="n"/>
      <c r="C409" s="290" t="n"/>
      <c r="D409" s="291" t="n"/>
      <c r="E409" s="290" t="n"/>
      <c r="F409" s="290" t="n"/>
      <c r="G409" s="290" t="n"/>
    </row>
    <row r="410" ht="13" customHeight="1" s="189">
      <c r="A410" s="289" t="n"/>
      <c r="B410" s="290" t="n"/>
      <c r="C410" s="290" t="n"/>
      <c r="D410" s="291" t="n"/>
      <c r="E410" s="290" t="n"/>
      <c r="F410" s="290" t="n"/>
      <c r="G410" s="290" t="n"/>
    </row>
    <row r="411" ht="13" customHeight="1" s="189">
      <c r="A411" s="289" t="n"/>
      <c r="B411" s="290" t="n"/>
      <c r="C411" s="290" t="n"/>
      <c r="D411" s="291" t="n"/>
      <c r="E411" s="290" t="n"/>
      <c r="F411" s="290" t="n"/>
      <c r="G411" s="290" t="n"/>
    </row>
    <row r="412" ht="13" customHeight="1" s="189">
      <c r="A412" s="289" t="n"/>
      <c r="B412" s="290" t="n"/>
      <c r="C412" s="290" t="n"/>
      <c r="D412" s="291" t="n"/>
      <c r="E412" s="290" t="n"/>
      <c r="F412" s="290" t="n"/>
      <c r="G412" s="290" t="n"/>
    </row>
    <row r="413" ht="13" customHeight="1" s="189">
      <c r="A413" s="289" t="n"/>
      <c r="B413" s="290" t="n"/>
      <c r="C413" s="290" t="n"/>
      <c r="D413" s="291" t="n"/>
      <c r="E413" s="290" t="n"/>
      <c r="F413" s="290" t="n"/>
      <c r="G413" s="290" t="n"/>
    </row>
    <row r="414" ht="13" customHeight="1" s="189">
      <c r="A414" s="289" t="n"/>
      <c r="B414" s="290" t="n"/>
      <c r="C414" s="290" t="n"/>
      <c r="D414" s="291" t="n"/>
      <c r="E414" s="290" t="n"/>
      <c r="F414" s="290" t="n"/>
      <c r="G414" s="290" t="n"/>
    </row>
    <row r="415" ht="13" customHeight="1" s="189">
      <c r="A415" s="289" t="n"/>
      <c r="B415" s="290" t="n"/>
      <c r="C415" s="290" t="n"/>
      <c r="D415" s="291" t="n"/>
      <c r="E415" s="290" t="n"/>
      <c r="F415" s="290" t="n"/>
      <c r="G415" s="290" t="n"/>
    </row>
    <row r="416" ht="13" customHeight="1" s="189">
      <c r="A416" s="289" t="n"/>
      <c r="B416" s="290" t="n"/>
      <c r="C416" s="290" t="n"/>
      <c r="D416" s="291" t="n"/>
      <c r="E416" s="290" t="n"/>
      <c r="F416" s="290" t="n"/>
      <c r="G416" s="290" t="n"/>
    </row>
    <row r="417" ht="13" customHeight="1" s="189">
      <c r="A417" s="289" t="n"/>
      <c r="B417" s="290" t="n"/>
      <c r="C417" s="290" t="n"/>
      <c r="D417" s="291" t="n"/>
      <c r="E417" s="290" t="n"/>
      <c r="F417" s="290" t="n"/>
      <c r="G417" s="290" t="n"/>
    </row>
    <row r="418" ht="13" customHeight="1" s="189">
      <c r="A418" s="289" t="n"/>
      <c r="B418" s="290" t="n"/>
      <c r="C418" s="290" t="n"/>
      <c r="D418" s="291" t="n"/>
      <c r="E418" s="290" t="n"/>
      <c r="F418" s="290" t="n"/>
      <c r="G418" s="290" t="n"/>
    </row>
    <row r="419" ht="13" customHeight="1" s="189">
      <c r="A419" s="289" t="n"/>
      <c r="B419" s="290" t="n"/>
      <c r="C419" s="290" t="n"/>
      <c r="D419" s="291" t="n"/>
      <c r="E419" s="290" t="n"/>
      <c r="F419" s="290" t="n"/>
      <c r="G419" s="290" t="n"/>
    </row>
    <row r="420" ht="13" customHeight="1" s="189">
      <c r="A420" s="289" t="n"/>
      <c r="B420" s="290" t="n"/>
      <c r="C420" s="290" t="n"/>
      <c r="D420" s="291" t="n"/>
      <c r="E420" s="290" t="n"/>
      <c r="F420" s="290" t="n"/>
      <c r="G420" s="290" t="n"/>
    </row>
    <row r="421" ht="13" customHeight="1" s="189">
      <c r="A421" s="289" t="n"/>
      <c r="B421" s="290" t="n"/>
      <c r="C421" s="290" t="n"/>
      <c r="D421" s="291" t="n"/>
      <c r="E421" s="290" t="n"/>
      <c r="F421" s="290" t="n"/>
      <c r="G421" s="290" t="n"/>
    </row>
    <row r="422" ht="13" customHeight="1" s="189">
      <c r="A422" s="289" t="n"/>
      <c r="B422" s="290" t="n"/>
      <c r="C422" s="290" t="n"/>
      <c r="D422" s="291" t="n"/>
      <c r="E422" s="290" t="n"/>
      <c r="F422" s="290" t="n"/>
      <c r="G422" s="290" t="n"/>
    </row>
    <row r="423" ht="13" customHeight="1" s="189">
      <c r="A423" s="289" t="n"/>
      <c r="B423" s="290" t="n"/>
      <c r="C423" s="290" t="n"/>
      <c r="D423" s="291" t="n"/>
      <c r="E423" s="290" t="n"/>
      <c r="F423" s="290" t="n"/>
      <c r="G423" s="290" t="n"/>
    </row>
    <row r="424" ht="13" customHeight="1" s="189">
      <c r="A424" s="289" t="n"/>
      <c r="B424" s="290" t="n"/>
      <c r="C424" s="290" t="n"/>
      <c r="D424" s="291" t="n"/>
      <c r="E424" s="290" t="n"/>
      <c r="F424" s="290" t="n"/>
      <c r="G424" s="290" t="n"/>
    </row>
    <row r="425" ht="13" customHeight="1" s="189">
      <c r="A425" s="289" t="n"/>
      <c r="B425" s="290" t="n"/>
      <c r="C425" s="290" t="n"/>
      <c r="D425" s="291" t="n"/>
      <c r="E425" s="290" t="n"/>
      <c r="F425" s="290" t="n"/>
      <c r="G425" s="290" t="n"/>
    </row>
    <row r="426" ht="13" customHeight="1" s="189">
      <c r="A426" s="289" t="n"/>
      <c r="B426" s="290" t="n"/>
      <c r="C426" s="290" t="n"/>
      <c r="D426" s="291" t="n"/>
      <c r="E426" s="290" t="n"/>
      <c r="F426" s="290" t="n"/>
      <c r="G426" s="290" t="n"/>
    </row>
    <row r="427" ht="13" customHeight="1" s="189">
      <c r="A427" s="289" t="n"/>
      <c r="B427" s="290" t="n"/>
      <c r="C427" s="290" t="n"/>
      <c r="D427" s="291" t="n"/>
      <c r="E427" s="290" t="n"/>
      <c r="F427" s="290" t="n"/>
      <c r="G427" s="290" t="n"/>
    </row>
    <row r="428" ht="13" customHeight="1" s="189">
      <c r="A428" s="289" t="n"/>
      <c r="B428" s="290" t="n"/>
      <c r="C428" s="290" t="n"/>
      <c r="D428" s="291" t="n"/>
      <c r="E428" s="290" t="n"/>
      <c r="F428" s="290" t="n"/>
      <c r="G428" s="290" t="n"/>
    </row>
    <row r="429" ht="13" customHeight="1" s="189">
      <c r="A429" s="289" t="n"/>
      <c r="B429" s="290" t="n"/>
      <c r="C429" s="290" t="n"/>
      <c r="D429" s="291" t="n"/>
      <c r="E429" s="290" t="n"/>
      <c r="F429" s="290" t="n"/>
      <c r="G429" s="290" t="n"/>
    </row>
    <row r="430" ht="13" customHeight="1" s="189">
      <c r="A430" s="289" t="n"/>
      <c r="B430" s="290" t="n"/>
      <c r="C430" s="290" t="n"/>
      <c r="D430" s="291" t="n"/>
      <c r="E430" s="290" t="n"/>
      <c r="F430" s="290" t="n"/>
      <c r="G430" s="290" t="n"/>
    </row>
    <row r="431" ht="13" customHeight="1" s="189">
      <c r="A431" s="289" t="n"/>
      <c r="B431" s="290" t="n"/>
      <c r="C431" s="290" t="n"/>
      <c r="D431" s="291" t="n"/>
      <c r="E431" s="290" t="n"/>
      <c r="F431" s="290" t="n"/>
      <c r="G431" s="290" t="n"/>
    </row>
    <row r="432" ht="13" customHeight="1" s="189">
      <c r="A432" s="289" t="n"/>
      <c r="B432" s="290" t="n"/>
      <c r="C432" s="290" t="n"/>
      <c r="D432" s="291" t="n"/>
      <c r="E432" s="290" t="n"/>
      <c r="F432" s="290" t="n"/>
      <c r="G432" s="290" t="n"/>
    </row>
    <row r="433" ht="13" customHeight="1" s="189">
      <c r="A433" s="289" t="n"/>
      <c r="B433" s="290" t="n"/>
      <c r="C433" s="290" t="n"/>
      <c r="D433" s="291" t="n"/>
      <c r="E433" s="290" t="n"/>
      <c r="F433" s="290" t="n"/>
      <c r="G433" s="290" t="n"/>
    </row>
    <row r="434" ht="13" customHeight="1" s="189">
      <c r="A434" s="289" t="n"/>
      <c r="B434" s="290" t="n"/>
      <c r="C434" s="290" t="n"/>
      <c r="D434" s="291" t="n"/>
      <c r="E434" s="290" t="n"/>
      <c r="F434" s="290" t="n"/>
      <c r="G434" s="290" t="n"/>
    </row>
    <row r="435" ht="13" customHeight="1" s="189">
      <c r="A435" s="289" t="n"/>
      <c r="B435" s="290" t="n"/>
      <c r="C435" s="290" t="n"/>
      <c r="D435" s="291" t="n"/>
      <c r="E435" s="290" t="n"/>
      <c r="F435" s="290" t="n"/>
      <c r="G435" s="290" t="n"/>
    </row>
    <row r="436" ht="13" customHeight="1" s="189">
      <c r="A436" s="289" t="n"/>
      <c r="B436" s="290" t="n"/>
      <c r="C436" s="290" t="n"/>
      <c r="D436" s="291" t="n"/>
      <c r="E436" s="290" t="n"/>
      <c r="F436" s="290" t="n"/>
      <c r="G436" s="290" t="n"/>
    </row>
    <row r="437" ht="13" customHeight="1" s="189">
      <c r="A437" s="289" t="n"/>
      <c r="B437" s="290" t="n"/>
      <c r="C437" s="290" t="n"/>
      <c r="D437" s="291" t="n"/>
      <c r="E437" s="290" t="n"/>
      <c r="F437" s="290" t="n"/>
      <c r="G437" s="290" t="n"/>
    </row>
    <row r="438" ht="13" customHeight="1" s="189">
      <c r="A438" s="289" t="n"/>
      <c r="B438" s="290" t="n"/>
      <c r="C438" s="290" t="n"/>
      <c r="D438" s="291" t="n"/>
      <c r="E438" s="290" t="n"/>
      <c r="F438" s="290" t="n"/>
      <c r="G438" s="290" t="n"/>
    </row>
    <row r="439" ht="13" customHeight="1" s="189">
      <c r="A439" s="289" t="n"/>
      <c r="B439" s="290" t="n"/>
      <c r="C439" s="290" t="n"/>
      <c r="D439" s="291" t="n"/>
      <c r="E439" s="290" t="n"/>
      <c r="F439" s="290" t="n"/>
      <c r="G439" s="290" t="n"/>
    </row>
    <row r="440" ht="13" customHeight="1" s="189">
      <c r="A440" s="289" t="n"/>
      <c r="B440" s="290" t="n"/>
      <c r="C440" s="290" t="n"/>
      <c r="D440" s="291" t="n"/>
      <c r="E440" s="290" t="n"/>
      <c r="F440" s="290" t="n"/>
      <c r="G440" s="290" t="n"/>
    </row>
    <row r="441" ht="13" customHeight="1" s="189">
      <c r="A441" s="289" t="n"/>
      <c r="B441" s="290" t="n"/>
      <c r="C441" s="290" t="n"/>
      <c r="D441" s="291" t="n"/>
      <c r="E441" s="290" t="n"/>
      <c r="F441" s="290" t="n"/>
      <c r="G441" s="290" t="n"/>
    </row>
    <row r="442" ht="13" customHeight="1" s="189">
      <c r="A442" s="289" t="n"/>
      <c r="B442" s="290" t="n"/>
      <c r="C442" s="290" t="n"/>
      <c r="D442" s="291" t="n"/>
      <c r="E442" s="290" t="n"/>
      <c r="F442" s="290" t="n"/>
      <c r="G442" s="290" t="n"/>
    </row>
    <row r="443" ht="13" customHeight="1" s="189">
      <c r="A443" s="289" t="n"/>
      <c r="B443" s="290" t="n"/>
      <c r="C443" s="290" t="n"/>
      <c r="D443" s="291" t="n"/>
      <c r="E443" s="290" t="n"/>
      <c r="F443" s="290" t="n"/>
      <c r="G443" s="290" t="n"/>
    </row>
    <row r="444" ht="13" customHeight="1" s="189">
      <c r="A444" s="289" t="n"/>
      <c r="B444" s="290" t="n"/>
      <c r="C444" s="290" t="n"/>
      <c r="D444" s="291" t="n"/>
      <c r="E444" s="290" t="n"/>
      <c r="F444" s="290" t="n"/>
      <c r="G444" s="290" t="n"/>
    </row>
    <row r="445" ht="13" customHeight="1" s="189">
      <c r="A445" s="289" t="n"/>
      <c r="B445" s="290" t="n"/>
      <c r="C445" s="290" t="n"/>
      <c r="D445" s="291" t="n"/>
      <c r="E445" s="290" t="n"/>
      <c r="F445" s="290" t="n"/>
      <c r="G445" s="290" t="n"/>
    </row>
    <row r="446" ht="13" customHeight="1" s="189">
      <c r="A446" s="289" t="n"/>
      <c r="B446" s="290" t="n"/>
      <c r="C446" s="290" t="n"/>
      <c r="D446" s="291" t="n"/>
      <c r="E446" s="290" t="n"/>
      <c r="F446" s="290" t="n"/>
      <c r="G446" s="290" t="n"/>
    </row>
    <row r="447" ht="13" customHeight="1" s="189">
      <c r="A447" s="289" t="n"/>
      <c r="B447" s="290" t="n"/>
      <c r="C447" s="290" t="n"/>
      <c r="D447" s="291" t="n"/>
      <c r="E447" s="290" t="n"/>
      <c r="F447" s="290" t="n"/>
      <c r="G447" s="290" t="n"/>
    </row>
    <row r="448" ht="13" customHeight="1" s="189">
      <c r="A448" s="289" t="n"/>
      <c r="B448" s="290" t="n"/>
      <c r="C448" s="290" t="n"/>
      <c r="D448" s="291" t="n"/>
      <c r="E448" s="290" t="n"/>
      <c r="F448" s="290" t="n"/>
      <c r="G448" s="290" t="n"/>
    </row>
    <row r="449" ht="13" customHeight="1" s="189">
      <c r="A449" s="289" t="n"/>
      <c r="B449" s="290" t="n"/>
      <c r="C449" s="290" t="n"/>
      <c r="D449" s="291" t="n"/>
      <c r="E449" s="290" t="n"/>
      <c r="F449" s="290" t="n"/>
      <c r="G449" s="290" t="n"/>
    </row>
    <row r="450" ht="13" customHeight="1" s="189">
      <c r="A450" s="289" t="n"/>
      <c r="B450" s="290" t="n"/>
      <c r="C450" s="290" t="n"/>
      <c r="D450" s="291" t="n"/>
      <c r="E450" s="290" t="n"/>
      <c r="F450" s="290" t="n"/>
      <c r="G450" s="290" t="n"/>
    </row>
    <row r="451" ht="13" customHeight="1" s="189">
      <c r="A451" s="289" t="n"/>
      <c r="B451" s="290" t="n"/>
      <c r="C451" s="290" t="n"/>
      <c r="D451" s="291" t="n"/>
      <c r="E451" s="290" t="n"/>
      <c r="F451" s="290" t="n"/>
      <c r="G451" s="290" t="n"/>
    </row>
    <row r="452" ht="13" customHeight="1" s="189">
      <c r="A452" s="289" t="n"/>
      <c r="B452" s="290" t="n"/>
      <c r="C452" s="290" t="n"/>
      <c r="D452" s="291" t="n"/>
      <c r="E452" s="290" t="n"/>
      <c r="F452" s="290" t="n"/>
      <c r="G452" s="290" t="n"/>
    </row>
    <row r="453" ht="13" customHeight="1" s="189">
      <c r="A453" s="289" t="n"/>
      <c r="B453" s="290" t="n"/>
      <c r="C453" s="290" t="n"/>
      <c r="D453" s="291" t="n"/>
      <c r="E453" s="290" t="n"/>
      <c r="F453" s="290" t="n"/>
      <c r="G453" s="290" t="n"/>
    </row>
    <row r="454" ht="13" customHeight="1" s="189">
      <c r="A454" s="289" t="n"/>
      <c r="B454" s="290" t="n"/>
      <c r="C454" s="290" t="n"/>
      <c r="D454" s="291" t="n"/>
      <c r="E454" s="290" t="n"/>
      <c r="F454" s="290" t="n"/>
      <c r="G454" s="290" t="n"/>
    </row>
    <row r="455" ht="13" customHeight="1" s="189">
      <c r="A455" s="289" t="n"/>
      <c r="B455" s="290" t="n"/>
      <c r="C455" s="290" t="n"/>
      <c r="D455" s="291" t="n"/>
      <c r="E455" s="290" t="n"/>
      <c r="F455" s="290" t="n"/>
      <c r="G455" s="290" t="n"/>
    </row>
    <row r="456" ht="13" customHeight="1" s="189">
      <c r="A456" s="289" t="n"/>
      <c r="B456" s="290" t="n"/>
      <c r="C456" s="290" t="n"/>
      <c r="D456" s="291" t="n"/>
      <c r="E456" s="290" t="n"/>
      <c r="F456" s="290" t="n"/>
      <c r="G456" s="290" t="n"/>
    </row>
    <row r="457" ht="13" customHeight="1" s="189">
      <c r="A457" s="289" t="n"/>
      <c r="B457" s="290" t="n"/>
      <c r="C457" s="290" t="n"/>
      <c r="D457" s="291" t="n"/>
      <c r="E457" s="290" t="n"/>
      <c r="F457" s="290" t="n"/>
      <c r="G457" s="290" t="n"/>
    </row>
    <row r="458" ht="13" customHeight="1" s="189">
      <c r="A458" s="289" t="n"/>
      <c r="B458" s="290" t="n"/>
      <c r="C458" s="290" t="n"/>
      <c r="D458" s="291" t="n"/>
      <c r="E458" s="290" t="n"/>
      <c r="F458" s="290" t="n"/>
      <c r="G458" s="290" t="n"/>
    </row>
    <row r="459" ht="13" customHeight="1" s="189">
      <c r="A459" s="289" t="n"/>
      <c r="B459" s="290" t="n"/>
      <c r="C459" s="290" t="n"/>
      <c r="D459" s="291" t="n"/>
      <c r="E459" s="290" t="n"/>
      <c r="F459" s="290" t="n"/>
      <c r="G459" s="290" t="n"/>
    </row>
    <row r="460" ht="13" customHeight="1" s="189">
      <c r="A460" s="289" t="n"/>
      <c r="B460" s="290" t="n"/>
      <c r="C460" s="290" t="n"/>
      <c r="D460" s="291" t="n"/>
      <c r="E460" s="290" t="n"/>
      <c r="F460" s="290" t="n"/>
      <c r="G460" s="290" t="n"/>
    </row>
    <row r="461" ht="13" customHeight="1" s="189">
      <c r="A461" s="289" t="n"/>
      <c r="B461" s="290" t="n"/>
      <c r="C461" s="290" t="n"/>
      <c r="D461" s="291" t="n"/>
      <c r="E461" s="290" t="n"/>
      <c r="F461" s="290" t="n"/>
      <c r="G461" s="290" t="n"/>
    </row>
    <row r="462" ht="13" customHeight="1" s="189">
      <c r="A462" s="289" t="n"/>
      <c r="B462" s="290" t="n"/>
      <c r="C462" s="290" t="n"/>
      <c r="D462" s="291" t="n"/>
      <c r="E462" s="290" t="n"/>
      <c r="F462" s="290" t="n"/>
      <c r="G462" s="290" t="n"/>
    </row>
    <row r="463" ht="13" customHeight="1" s="189">
      <c r="A463" s="289" t="n"/>
      <c r="B463" s="290" t="n"/>
      <c r="C463" s="290" t="n"/>
      <c r="D463" s="291" t="n"/>
      <c r="E463" s="290" t="n"/>
      <c r="F463" s="290" t="n"/>
      <c r="G463" s="290" t="n"/>
    </row>
    <row r="464" ht="13" customHeight="1" s="189">
      <c r="A464" s="289" t="n"/>
      <c r="B464" s="290" t="n"/>
      <c r="C464" s="290" t="n"/>
      <c r="D464" s="291" t="n"/>
      <c r="E464" s="290" t="n"/>
      <c r="F464" s="290" t="n"/>
      <c r="G464" s="290" t="n"/>
    </row>
    <row r="465" ht="13" customHeight="1" s="189">
      <c r="A465" s="289" t="n"/>
      <c r="B465" s="290" t="n"/>
      <c r="C465" s="290" t="n"/>
      <c r="D465" s="291" t="n"/>
      <c r="E465" s="290" t="n"/>
      <c r="F465" s="290" t="n"/>
      <c r="G465" s="290" t="n"/>
    </row>
    <row r="466" ht="13" customHeight="1" s="189">
      <c r="A466" s="289" t="n"/>
      <c r="B466" s="290" t="n"/>
      <c r="C466" s="290" t="n"/>
      <c r="D466" s="291" t="n"/>
      <c r="E466" s="290" t="n"/>
      <c r="F466" s="290" t="n"/>
      <c r="G466" s="290" t="n"/>
    </row>
    <row r="467" ht="13" customHeight="1" s="189">
      <c r="A467" s="289" t="n"/>
      <c r="B467" s="290" t="n"/>
      <c r="C467" s="290" t="n"/>
      <c r="D467" s="291" t="n"/>
      <c r="E467" s="290" t="n"/>
      <c r="F467" s="290" t="n"/>
      <c r="G467" s="290" t="n"/>
    </row>
    <row r="468" ht="13" customHeight="1" s="189">
      <c r="A468" s="289" t="n"/>
      <c r="B468" s="290" t="n"/>
      <c r="C468" s="290" t="n"/>
      <c r="D468" s="291" t="n"/>
      <c r="E468" s="290" t="n"/>
      <c r="F468" s="290" t="n"/>
      <c r="G468" s="290" t="n"/>
    </row>
    <row r="469" ht="13" customHeight="1" s="189">
      <c r="A469" s="289" t="n"/>
      <c r="B469" s="290" t="n"/>
      <c r="C469" s="290" t="n"/>
      <c r="D469" s="291" t="n"/>
      <c r="E469" s="290" t="n"/>
      <c r="F469" s="290" t="n"/>
      <c r="G469" s="290" t="n"/>
    </row>
    <row r="470" ht="13" customHeight="1" s="189">
      <c r="A470" s="289" t="n"/>
      <c r="B470" s="290" t="n"/>
      <c r="C470" s="290" t="n"/>
      <c r="D470" s="291" t="n"/>
      <c r="E470" s="290" t="n"/>
      <c r="F470" s="290" t="n"/>
      <c r="G470" s="290" t="n"/>
    </row>
    <row r="471" ht="13" customHeight="1" s="189">
      <c r="A471" s="289" t="n"/>
      <c r="B471" s="290" t="n"/>
      <c r="C471" s="290" t="n"/>
      <c r="D471" s="291" t="n"/>
      <c r="E471" s="290" t="n"/>
      <c r="F471" s="290" t="n"/>
      <c r="G471" s="290" t="n"/>
    </row>
    <row r="472" ht="13" customHeight="1" s="189">
      <c r="A472" s="289" t="n"/>
      <c r="B472" s="290" t="n"/>
      <c r="C472" s="290" t="n"/>
      <c r="D472" s="291" t="n"/>
      <c r="E472" s="290" t="n"/>
      <c r="F472" s="290" t="n"/>
      <c r="G472" s="290" t="n"/>
    </row>
    <row r="473" ht="13" customHeight="1" s="189">
      <c r="A473" s="289" t="n"/>
      <c r="B473" s="290" t="n"/>
      <c r="C473" s="290" t="n"/>
      <c r="D473" s="291" t="n"/>
      <c r="E473" s="290" t="n"/>
      <c r="F473" s="290" t="n"/>
      <c r="G473" s="290" t="n"/>
    </row>
    <row r="474" ht="13" customHeight="1" s="189">
      <c r="A474" s="289" t="n"/>
      <c r="B474" s="290" t="n"/>
      <c r="C474" s="290" t="n"/>
      <c r="D474" s="291" t="n"/>
      <c r="E474" s="290" t="n"/>
      <c r="F474" s="290" t="n"/>
      <c r="G474" s="290" t="n"/>
    </row>
    <row r="475" ht="13" customHeight="1" s="189">
      <c r="A475" s="289" t="n"/>
      <c r="B475" s="290" t="n"/>
      <c r="C475" s="290" t="n"/>
      <c r="D475" s="291" t="n"/>
      <c r="E475" s="290" t="n"/>
      <c r="F475" s="290" t="n"/>
      <c r="G475" s="290" t="n"/>
    </row>
    <row r="476" ht="13" customHeight="1" s="189">
      <c r="A476" s="289" t="n"/>
      <c r="B476" s="290" t="n"/>
      <c r="C476" s="290" t="n"/>
      <c r="D476" s="291" t="n"/>
      <c r="E476" s="290" t="n"/>
      <c r="F476" s="290" t="n"/>
      <c r="G476" s="290" t="n"/>
    </row>
    <row r="477" ht="13" customHeight="1" s="189">
      <c r="A477" s="289" t="n"/>
      <c r="B477" s="290" t="n"/>
      <c r="C477" s="290" t="n"/>
      <c r="D477" s="291" t="n"/>
      <c r="E477" s="290" t="n"/>
      <c r="F477" s="290" t="n"/>
      <c r="G477" s="290" t="n"/>
    </row>
    <row r="478" ht="13" customHeight="1" s="189">
      <c r="A478" s="289" t="n"/>
      <c r="B478" s="290" t="n"/>
      <c r="C478" s="290" t="n"/>
      <c r="D478" s="291" t="n"/>
      <c r="E478" s="290" t="n"/>
      <c r="F478" s="290" t="n"/>
      <c r="G478" s="290" t="n"/>
    </row>
    <row r="479" ht="13" customHeight="1" s="189">
      <c r="A479" s="289" t="n"/>
      <c r="B479" s="290" t="n"/>
      <c r="C479" s="290" t="n"/>
      <c r="D479" s="291" t="n"/>
      <c r="E479" s="290" t="n"/>
      <c r="F479" s="290" t="n"/>
      <c r="G479" s="290" t="n"/>
    </row>
    <row r="480" ht="13" customHeight="1" s="189">
      <c r="A480" s="289" t="n"/>
      <c r="B480" s="290" t="n"/>
      <c r="C480" s="290" t="n"/>
      <c r="D480" s="291" t="n"/>
      <c r="E480" s="290" t="n"/>
      <c r="F480" s="290" t="n"/>
      <c r="G480" s="290" t="n"/>
    </row>
    <row r="481" ht="13" customHeight="1" s="189">
      <c r="A481" s="289" t="n"/>
      <c r="B481" s="290" t="n"/>
      <c r="C481" s="290" t="n"/>
      <c r="D481" s="291" t="n"/>
      <c r="E481" s="290" t="n"/>
      <c r="F481" s="290" t="n"/>
      <c r="G481" s="290" t="n"/>
    </row>
    <row r="482" ht="13" customHeight="1" s="189">
      <c r="A482" s="289" t="n"/>
      <c r="B482" s="290" t="n"/>
      <c r="C482" s="290" t="n"/>
      <c r="D482" s="291" t="n"/>
      <c r="E482" s="290" t="n"/>
      <c r="F482" s="290" t="n"/>
      <c r="G482" s="290" t="n"/>
    </row>
    <row r="483" ht="13" customHeight="1" s="189">
      <c r="A483" s="289" t="n"/>
      <c r="B483" s="290" t="n"/>
      <c r="C483" s="290" t="n"/>
      <c r="D483" s="291" t="n"/>
      <c r="E483" s="290" t="n"/>
      <c r="F483" s="290" t="n"/>
      <c r="G483" s="290" t="n"/>
    </row>
    <row r="484" ht="13" customHeight="1" s="189">
      <c r="A484" s="289" t="n"/>
      <c r="B484" s="290" t="n"/>
      <c r="C484" s="290" t="n"/>
      <c r="D484" s="291" t="n"/>
      <c r="E484" s="290" t="n"/>
      <c r="F484" s="290" t="n"/>
      <c r="G484" s="290" t="n"/>
    </row>
    <row r="485" ht="13" customHeight="1" s="189">
      <c r="A485" s="289" t="n"/>
      <c r="B485" s="290" t="n"/>
      <c r="C485" s="290" t="n"/>
      <c r="D485" s="291" t="n"/>
      <c r="E485" s="290" t="n"/>
      <c r="F485" s="290" t="n"/>
      <c r="G485" s="290" t="n"/>
    </row>
    <row r="486" ht="13" customHeight="1" s="189">
      <c r="A486" s="289" t="n"/>
      <c r="B486" s="290" t="n"/>
      <c r="C486" s="290" t="n"/>
      <c r="D486" s="291" t="n"/>
      <c r="E486" s="290" t="n"/>
      <c r="F486" s="290" t="n"/>
      <c r="G486" s="290" t="n"/>
    </row>
    <row r="487" ht="13" customHeight="1" s="189">
      <c r="A487" s="289" t="n"/>
      <c r="B487" s="290" t="n"/>
      <c r="C487" s="290" t="n"/>
      <c r="D487" s="291" t="n"/>
      <c r="E487" s="290" t="n"/>
      <c r="F487" s="290" t="n"/>
      <c r="G487" s="290" t="n"/>
    </row>
    <row r="488" ht="13" customHeight="1" s="189">
      <c r="A488" s="289" t="n"/>
      <c r="B488" s="290" t="n"/>
      <c r="C488" s="290" t="n"/>
      <c r="D488" s="291" t="n"/>
      <c r="E488" s="290" t="n"/>
      <c r="F488" s="290" t="n"/>
      <c r="G488" s="290" t="n"/>
    </row>
    <row r="489" ht="13" customHeight="1" s="189">
      <c r="A489" s="289" t="n"/>
      <c r="B489" s="290" t="n"/>
      <c r="C489" s="290" t="n"/>
      <c r="D489" s="291" t="n"/>
      <c r="E489" s="290" t="n"/>
      <c r="F489" s="290" t="n"/>
      <c r="G489" s="290" t="n"/>
    </row>
    <row r="490" ht="13" customHeight="1" s="189">
      <c r="A490" s="289" t="n"/>
      <c r="B490" s="290" t="n"/>
      <c r="C490" s="290" t="n"/>
      <c r="D490" s="291" t="n"/>
      <c r="E490" s="290" t="n"/>
      <c r="F490" s="290" t="n"/>
      <c r="G490" s="290" t="n"/>
    </row>
    <row r="491" ht="13" customHeight="1" s="189">
      <c r="A491" s="289" t="n"/>
      <c r="B491" s="290" t="n"/>
      <c r="C491" s="290" t="n"/>
      <c r="D491" s="291" t="n"/>
      <c r="E491" s="290" t="n"/>
      <c r="F491" s="290" t="n"/>
      <c r="G491" s="290" t="n"/>
    </row>
    <row r="492" ht="13" customHeight="1" s="189">
      <c r="A492" s="289" t="n"/>
      <c r="B492" s="290" t="n"/>
      <c r="C492" s="290" t="n"/>
      <c r="D492" s="291" t="n"/>
      <c r="E492" s="290" t="n"/>
      <c r="F492" s="290" t="n"/>
      <c r="G492" s="290" t="n"/>
    </row>
    <row r="493" ht="13" customHeight="1" s="189">
      <c r="A493" s="289" t="n"/>
      <c r="B493" s="290" t="n"/>
      <c r="C493" s="290" t="n"/>
      <c r="D493" s="291" t="n"/>
      <c r="E493" s="290" t="n"/>
      <c r="F493" s="290" t="n"/>
      <c r="G493" s="290" t="n"/>
    </row>
    <row r="494" ht="13" customHeight="1" s="189">
      <c r="A494" s="289" t="n"/>
      <c r="B494" s="290" t="n"/>
      <c r="C494" s="290" t="n"/>
      <c r="D494" s="291" t="n"/>
      <c r="E494" s="290" t="n"/>
      <c r="F494" s="290" t="n"/>
      <c r="G494" s="290" t="n"/>
    </row>
    <row r="495" ht="13" customHeight="1" s="189">
      <c r="A495" s="289" t="n"/>
      <c r="B495" s="290" t="n"/>
      <c r="C495" s="290" t="n"/>
      <c r="D495" s="291" t="n"/>
      <c r="E495" s="290" t="n"/>
      <c r="F495" s="290" t="n"/>
      <c r="G495" s="290" t="n"/>
    </row>
    <row r="496" ht="13" customHeight="1" s="189">
      <c r="A496" s="289" t="n"/>
      <c r="B496" s="290" t="n"/>
      <c r="C496" s="290" t="n"/>
      <c r="D496" s="291" t="n"/>
      <c r="E496" s="290" t="n"/>
      <c r="F496" s="290" t="n"/>
      <c r="G496" s="290" t="n"/>
    </row>
    <row r="497" ht="13" customHeight="1" s="189">
      <c r="A497" s="289" t="n"/>
      <c r="B497" s="290" t="n"/>
      <c r="C497" s="290" t="n"/>
      <c r="D497" s="291" t="n"/>
      <c r="E497" s="290" t="n"/>
      <c r="F497" s="290" t="n"/>
      <c r="G497" s="290" t="n"/>
    </row>
    <row r="498" ht="13" customHeight="1" s="189">
      <c r="A498" s="289" t="n"/>
      <c r="B498" s="290" t="n"/>
      <c r="C498" s="290" t="n"/>
      <c r="D498" s="291" t="n"/>
      <c r="E498" s="290" t="n"/>
      <c r="F498" s="290" t="n"/>
      <c r="G498" s="290" t="n"/>
    </row>
    <row r="499" ht="13" customHeight="1" s="189">
      <c r="A499" s="289" t="n"/>
      <c r="B499" s="290" t="n"/>
      <c r="C499" s="290" t="n"/>
      <c r="D499" s="291" t="n"/>
      <c r="E499" s="290" t="n"/>
      <c r="F499" s="290" t="n"/>
      <c r="G499" s="290" t="n"/>
    </row>
    <row r="500" ht="13" customHeight="1" s="189">
      <c r="A500" s="289" t="n"/>
      <c r="B500" s="290" t="n"/>
      <c r="C500" s="290" t="n"/>
      <c r="D500" s="291" t="n"/>
      <c r="E500" s="290" t="n"/>
      <c r="F500" s="290" t="n"/>
      <c r="G500" s="290" t="n"/>
    </row>
    <row r="501" ht="13" customHeight="1" s="189">
      <c r="A501" s="289" t="n"/>
      <c r="B501" s="290" t="n"/>
      <c r="C501" s="290" t="n"/>
      <c r="D501" s="291" t="n"/>
      <c r="E501" s="290" t="n"/>
      <c r="F501" s="290" t="n"/>
      <c r="G501" s="290" t="n"/>
    </row>
    <row r="502" ht="13" customHeight="1" s="189">
      <c r="A502" s="289" t="n"/>
      <c r="B502" s="290" t="n"/>
      <c r="C502" s="290" t="n"/>
      <c r="D502" s="291" t="n"/>
      <c r="E502" s="290" t="n"/>
      <c r="F502" s="290" t="n"/>
      <c r="G502" s="290" t="n"/>
    </row>
    <row r="503" ht="13" customHeight="1" s="189">
      <c r="A503" s="289" t="n"/>
      <c r="B503" s="290" t="n"/>
      <c r="C503" s="290" t="n"/>
      <c r="D503" s="291" t="n"/>
      <c r="E503" s="290" t="n"/>
      <c r="F503" s="290" t="n"/>
      <c r="G503" s="290" t="n"/>
    </row>
    <row r="504" ht="13" customHeight="1" s="189">
      <c r="A504" s="289" t="n"/>
      <c r="B504" s="290" t="n"/>
      <c r="C504" s="290" t="n"/>
      <c r="D504" s="291" t="n"/>
      <c r="E504" s="290" t="n"/>
      <c r="F504" s="290" t="n"/>
      <c r="G504" s="290" t="n"/>
    </row>
    <row r="505" ht="13" customHeight="1" s="189">
      <c r="A505" s="289" t="n"/>
      <c r="B505" s="290" t="n"/>
      <c r="C505" s="290" t="n"/>
      <c r="D505" s="291" t="n"/>
      <c r="E505" s="290" t="n"/>
      <c r="F505" s="290" t="n"/>
      <c r="G505" s="290" t="n"/>
    </row>
    <row r="506" ht="13" customHeight="1" s="189">
      <c r="A506" s="289" t="n"/>
      <c r="B506" s="290" t="n"/>
      <c r="C506" s="290" t="n"/>
      <c r="D506" s="291" t="n"/>
      <c r="E506" s="290" t="n"/>
      <c r="F506" s="290" t="n"/>
      <c r="G506" s="290" t="n"/>
    </row>
    <row r="507" ht="13" customHeight="1" s="189">
      <c r="A507" s="289" t="n"/>
      <c r="B507" s="290" t="n"/>
      <c r="C507" s="290" t="n"/>
      <c r="D507" s="291" t="n"/>
      <c r="E507" s="290" t="n"/>
      <c r="F507" s="290" t="n"/>
      <c r="G507" s="290" t="n"/>
    </row>
    <row r="508" ht="13" customHeight="1" s="189">
      <c r="A508" s="289" t="n"/>
      <c r="B508" s="290" t="n"/>
      <c r="C508" s="290" t="n"/>
      <c r="D508" s="291" t="n"/>
      <c r="E508" s="290" t="n"/>
      <c r="F508" s="290" t="n"/>
      <c r="G508" s="290" t="n"/>
    </row>
    <row r="509" ht="13" customHeight="1" s="189">
      <c r="A509" s="289" t="n"/>
      <c r="B509" s="290" t="n"/>
      <c r="C509" s="290" t="n"/>
      <c r="D509" s="291" t="n"/>
      <c r="E509" s="290" t="n"/>
      <c r="F509" s="290" t="n"/>
      <c r="G509" s="290" t="n"/>
    </row>
    <row r="510" ht="13" customHeight="1" s="189">
      <c r="A510" s="289" t="n"/>
      <c r="B510" s="290" t="n"/>
      <c r="C510" s="290" t="n"/>
      <c r="D510" s="291" t="n"/>
      <c r="E510" s="290" t="n"/>
      <c r="F510" s="290" t="n"/>
      <c r="G510" s="290" t="n"/>
    </row>
    <row r="511" ht="13" customHeight="1" s="189">
      <c r="A511" s="289" t="n"/>
      <c r="B511" s="290" t="n"/>
      <c r="C511" s="290" t="n"/>
      <c r="D511" s="291" t="n"/>
      <c r="E511" s="290" t="n"/>
      <c r="F511" s="290" t="n"/>
      <c r="G511" s="290" t="n"/>
    </row>
    <row r="512" ht="13" customHeight="1" s="189">
      <c r="A512" s="289" t="n"/>
      <c r="B512" s="290" t="n"/>
      <c r="C512" s="290" t="n"/>
      <c r="D512" s="291" t="n"/>
      <c r="E512" s="290" t="n"/>
      <c r="F512" s="290" t="n"/>
      <c r="G512" s="290" t="n"/>
    </row>
    <row r="513" ht="13" customHeight="1" s="189">
      <c r="A513" s="289" t="n"/>
      <c r="B513" s="290" t="n"/>
      <c r="C513" s="290" t="n"/>
      <c r="D513" s="291" t="n"/>
      <c r="E513" s="290" t="n"/>
      <c r="F513" s="290" t="n"/>
      <c r="G513" s="290" t="n"/>
    </row>
    <row r="514" ht="13" customHeight="1" s="189">
      <c r="A514" s="289" t="n"/>
      <c r="B514" s="290" t="n"/>
      <c r="C514" s="290" t="n"/>
      <c r="D514" s="291" t="n"/>
      <c r="E514" s="290" t="n"/>
      <c r="F514" s="290" t="n"/>
      <c r="G514" s="290" t="n"/>
    </row>
    <row r="515" ht="13" customHeight="1" s="189">
      <c r="A515" s="289" t="n"/>
      <c r="B515" s="290" t="n"/>
      <c r="C515" s="290" t="n"/>
      <c r="D515" s="291" t="n"/>
      <c r="E515" s="290" t="n"/>
      <c r="F515" s="290" t="n"/>
      <c r="G515" s="290" t="n"/>
    </row>
    <row r="516" ht="13" customHeight="1" s="189">
      <c r="A516" s="289" t="n"/>
      <c r="B516" s="290" t="n"/>
      <c r="C516" s="290" t="n"/>
      <c r="D516" s="291" t="n"/>
      <c r="E516" s="290" t="n"/>
      <c r="F516" s="290" t="n"/>
      <c r="G516" s="290" t="n"/>
    </row>
    <row r="517" ht="13" customHeight="1" s="189">
      <c r="A517" s="289" t="n"/>
      <c r="B517" s="290" t="n"/>
      <c r="C517" s="290" t="n"/>
      <c r="D517" s="291" t="n"/>
      <c r="E517" s="290" t="n"/>
      <c r="F517" s="290" t="n"/>
      <c r="G517" s="290" t="n"/>
    </row>
    <row r="518" ht="13" customHeight="1" s="189">
      <c r="A518" s="289" t="n"/>
      <c r="B518" s="290" t="n"/>
      <c r="C518" s="290" t="n"/>
      <c r="D518" s="291" t="n"/>
      <c r="E518" s="290" t="n"/>
      <c r="F518" s="290" t="n"/>
      <c r="G518" s="290" t="n"/>
    </row>
    <row r="519" ht="13" customHeight="1" s="189">
      <c r="A519" s="289" t="n"/>
      <c r="B519" s="290" t="n"/>
      <c r="C519" s="290" t="n"/>
      <c r="D519" s="291" t="n"/>
      <c r="E519" s="290" t="n"/>
      <c r="F519" s="290" t="n"/>
      <c r="G519" s="290" t="n"/>
    </row>
    <row r="520" ht="13" customHeight="1" s="189">
      <c r="A520" s="289" t="n"/>
      <c r="B520" s="290" t="n"/>
      <c r="C520" s="290" t="n"/>
      <c r="D520" s="291" t="n"/>
      <c r="E520" s="290" t="n"/>
      <c r="F520" s="290" t="n"/>
      <c r="G520" s="290" t="n"/>
    </row>
    <row r="521" ht="13" customHeight="1" s="189">
      <c r="A521" s="289" t="n"/>
      <c r="B521" s="290" t="n"/>
      <c r="C521" s="290" t="n"/>
      <c r="D521" s="291" t="n"/>
      <c r="E521" s="290" t="n"/>
      <c r="F521" s="290" t="n"/>
      <c r="G521" s="290" t="n"/>
    </row>
    <row r="522" ht="13" customHeight="1" s="189">
      <c r="A522" s="289" t="n"/>
      <c r="B522" s="290" t="n"/>
      <c r="C522" s="290" t="n"/>
      <c r="D522" s="291" t="n"/>
      <c r="E522" s="290" t="n"/>
      <c r="F522" s="290" t="n"/>
      <c r="G522" s="290" t="n"/>
    </row>
    <row r="523" ht="13" customHeight="1" s="189">
      <c r="A523" s="289" t="n"/>
      <c r="B523" s="290" t="n"/>
      <c r="C523" s="290" t="n"/>
      <c r="D523" s="291" t="n"/>
      <c r="E523" s="290" t="n"/>
      <c r="F523" s="290" t="n"/>
      <c r="G523" s="290" t="n"/>
    </row>
    <row r="524" ht="13" customHeight="1" s="189">
      <c r="A524" s="289" t="n"/>
      <c r="B524" s="290" t="n"/>
      <c r="C524" s="290" t="n"/>
      <c r="D524" s="291" t="n"/>
      <c r="E524" s="290" t="n"/>
      <c r="F524" s="290" t="n"/>
      <c r="G524" s="290" t="n"/>
    </row>
    <row r="525" ht="13" customHeight="1" s="189">
      <c r="A525" s="289" t="n"/>
      <c r="B525" s="290" t="n"/>
      <c r="C525" s="290" t="n"/>
      <c r="D525" s="291" t="n"/>
      <c r="E525" s="290" t="n"/>
      <c r="F525" s="290" t="n"/>
      <c r="G525" s="290" t="n"/>
    </row>
    <row r="526" ht="13" customHeight="1" s="189">
      <c r="A526" s="289" t="n"/>
      <c r="B526" s="290" t="n"/>
      <c r="C526" s="290" t="n"/>
      <c r="D526" s="291" t="n"/>
      <c r="E526" s="290" t="n"/>
      <c r="F526" s="290" t="n"/>
      <c r="G526" s="290" t="n"/>
    </row>
    <row r="527" ht="13" customHeight="1" s="189">
      <c r="A527" s="289" t="n"/>
      <c r="B527" s="290" t="n"/>
      <c r="C527" s="290" t="n"/>
      <c r="D527" s="291" t="n"/>
      <c r="E527" s="290" t="n"/>
      <c r="F527" s="290" t="n"/>
      <c r="G527" s="290" t="n"/>
    </row>
    <row r="528" ht="13" customHeight="1" s="189">
      <c r="A528" s="289" t="n"/>
      <c r="B528" s="290" t="n"/>
      <c r="C528" s="290" t="n"/>
      <c r="D528" s="291" t="n"/>
      <c r="E528" s="290" t="n"/>
      <c r="F528" s="290" t="n"/>
      <c r="G528" s="290" t="n"/>
    </row>
    <row r="529" ht="13" customHeight="1" s="189">
      <c r="A529" s="289" t="n"/>
      <c r="B529" s="290" t="n"/>
      <c r="C529" s="290" t="n"/>
      <c r="D529" s="291" t="n"/>
      <c r="E529" s="290" t="n"/>
      <c r="F529" s="290" t="n"/>
      <c r="G529" s="290" t="n"/>
    </row>
    <row r="530" ht="13" customHeight="1" s="189">
      <c r="A530" s="289" t="n"/>
      <c r="B530" s="290" t="n"/>
      <c r="C530" s="290" t="n"/>
      <c r="D530" s="291" t="n"/>
      <c r="E530" s="290" t="n"/>
      <c r="F530" s="290" t="n"/>
      <c r="G530" s="290" t="n"/>
    </row>
    <row r="531" ht="13" customHeight="1" s="189">
      <c r="A531" s="289" t="n"/>
      <c r="B531" s="290" t="n"/>
      <c r="C531" s="290" t="n"/>
      <c r="D531" s="291" t="n"/>
      <c r="E531" s="290" t="n"/>
      <c r="F531" s="290" t="n"/>
      <c r="G531" s="290" t="n"/>
    </row>
    <row r="532" ht="13" customHeight="1" s="189">
      <c r="A532" s="289" t="n"/>
      <c r="B532" s="290" t="n"/>
      <c r="C532" s="290" t="n"/>
      <c r="D532" s="291" t="n"/>
      <c r="E532" s="290" t="n"/>
      <c r="F532" s="290" t="n"/>
      <c r="G532" s="290" t="n"/>
    </row>
    <row r="533" ht="13" customHeight="1" s="189">
      <c r="A533" s="289" t="n"/>
      <c r="B533" s="290" t="n"/>
      <c r="C533" s="290" t="n"/>
      <c r="D533" s="291" t="n"/>
      <c r="E533" s="290" t="n"/>
      <c r="F533" s="290" t="n"/>
      <c r="G533" s="290" t="n"/>
    </row>
    <row r="534" ht="13" customHeight="1" s="189">
      <c r="A534" s="289" t="n"/>
      <c r="B534" s="290" t="n"/>
      <c r="C534" s="290" t="n"/>
      <c r="D534" s="291" t="n"/>
      <c r="E534" s="290" t="n"/>
      <c r="F534" s="290" t="n"/>
      <c r="G534" s="290" t="n"/>
    </row>
    <row r="535" ht="13" customHeight="1" s="189">
      <c r="A535" s="289" t="n"/>
      <c r="B535" s="290" t="n"/>
      <c r="C535" s="290" t="n"/>
      <c r="D535" s="291" t="n"/>
      <c r="E535" s="290" t="n"/>
      <c r="F535" s="290" t="n"/>
      <c r="G535" s="290" t="n"/>
    </row>
    <row r="536" ht="13" customHeight="1" s="189">
      <c r="A536" s="289" t="n"/>
      <c r="B536" s="290" t="n"/>
      <c r="C536" s="290" t="n"/>
      <c r="D536" s="291" t="n"/>
      <c r="E536" s="290" t="n"/>
      <c r="F536" s="290" t="n"/>
      <c r="G536" s="290" t="n"/>
    </row>
    <row r="537" ht="13" customHeight="1" s="189">
      <c r="A537" s="289" t="n"/>
      <c r="B537" s="290" t="n"/>
      <c r="C537" s="290" t="n"/>
      <c r="D537" s="291" t="n"/>
      <c r="E537" s="290" t="n"/>
      <c r="F537" s="290" t="n"/>
      <c r="G537" s="290" t="n"/>
    </row>
    <row r="538" ht="13" customHeight="1" s="189">
      <c r="A538" s="289" t="n"/>
      <c r="B538" s="290" t="n"/>
      <c r="C538" s="290" t="n"/>
      <c r="D538" s="291" t="n"/>
      <c r="E538" s="290" t="n"/>
      <c r="F538" s="290" t="n"/>
      <c r="G538" s="290" t="n"/>
    </row>
    <row r="539" ht="13" customHeight="1" s="189">
      <c r="A539" s="289" t="n"/>
      <c r="B539" s="290" t="n"/>
      <c r="C539" s="290" t="n"/>
      <c r="D539" s="291" t="n"/>
      <c r="E539" s="290" t="n"/>
      <c r="F539" s="290" t="n"/>
      <c r="G539" s="290" t="n"/>
    </row>
    <row r="540" ht="13" customHeight="1" s="189">
      <c r="A540" s="289" t="n"/>
      <c r="B540" s="290" t="n"/>
      <c r="C540" s="290" t="n"/>
      <c r="D540" s="291" t="n"/>
      <c r="E540" s="290" t="n"/>
      <c r="F540" s="290" t="n"/>
      <c r="G540" s="290" t="n"/>
    </row>
    <row r="541" ht="13" customHeight="1" s="189">
      <c r="A541" s="289" t="n"/>
      <c r="B541" s="290" t="n"/>
      <c r="C541" s="290" t="n"/>
      <c r="D541" s="291" t="n"/>
      <c r="E541" s="290" t="n"/>
      <c r="F541" s="290" t="n"/>
      <c r="G541" s="290" t="n"/>
    </row>
    <row r="542" ht="13" customHeight="1" s="189">
      <c r="A542" s="289" t="n"/>
      <c r="B542" s="290" t="n"/>
      <c r="C542" s="290" t="n"/>
      <c r="D542" s="291" t="n"/>
      <c r="E542" s="290" t="n"/>
      <c r="F542" s="290" t="n"/>
      <c r="G542" s="290" t="n"/>
    </row>
    <row r="543" ht="13" customHeight="1" s="189">
      <c r="A543" s="289" t="n"/>
      <c r="B543" s="290" t="n"/>
      <c r="C543" s="290" t="n"/>
      <c r="D543" s="291" t="n"/>
      <c r="E543" s="290" t="n"/>
      <c r="F543" s="290" t="n"/>
      <c r="G543" s="290" t="n"/>
    </row>
    <row r="544" ht="13" customHeight="1" s="189">
      <c r="A544" s="289" t="n"/>
      <c r="B544" s="290" t="n"/>
      <c r="C544" s="290" t="n"/>
      <c r="D544" s="291" t="n"/>
      <c r="E544" s="290" t="n"/>
      <c r="F544" s="290" t="n"/>
      <c r="G544" s="290" t="n"/>
    </row>
    <row r="545" ht="13" customHeight="1" s="189">
      <c r="A545" s="289" t="n"/>
      <c r="B545" s="290" t="n"/>
      <c r="C545" s="290" t="n"/>
      <c r="D545" s="291" t="n"/>
      <c r="E545" s="290" t="n"/>
      <c r="F545" s="290" t="n"/>
      <c r="G545" s="290" t="n"/>
    </row>
    <row r="546" ht="13" customHeight="1" s="189">
      <c r="A546" s="289" t="n"/>
      <c r="B546" s="290" t="n"/>
      <c r="C546" s="290" t="n"/>
      <c r="D546" s="291" t="n"/>
      <c r="E546" s="290" t="n"/>
      <c r="F546" s="290" t="n"/>
      <c r="G546" s="290" t="n"/>
    </row>
    <row r="547" ht="13" customHeight="1" s="189">
      <c r="A547" s="289" t="n"/>
      <c r="B547" s="290" t="n"/>
      <c r="C547" s="290" t="n"/>
      <c r="D547" s="291" t="n"/>
      <c r="E547" s="290" t="n"/>
      <c r="F547" s="290" t="n"/>
      <c r="G547" s="290" t="n"/>
    </row>
    <row r="548" ht="13" customHeight="1" s="189">
      <c r="A548" s="289" t="n"/>
      <c r="B548" s="290" t="n"/>
      <c r="C548" s="290" t="n"/>
      <c r="D548" s="291" t="n"/>
      <c r="E548" s="290" t="n"/>
      <c r="F548" s="290" t="n"/>
      <c r="G548" s="290" t="n"/>
    </row>
    <row r="549" ht="13" customHeight="1" s="189">
      <c r="A549" s="289" t="n"/>
      <c r="B549" s="290" t="n"/>
      <c r="C549" s="290" t="n"/>
      <c r="D549" s="291" t="n"/>
      <c r="E549" s="290" t="n"/>
      <c r="F549" s="290" t="n"/>
      <c r="G549" s="290" t="n"/>
    </row>
    <row r="550" ht="13" customHeight="1" s="189">
      <c r="A550" s="289" t="n"/>
      <c r="B550" s="290" t="n"/>
      <c r="C550" s="290" t="n"/>
      <c r="D550" s="291" t="n"/>
      <c r="E550" s="290" t="n"/>
      <c r="F550" s="290" t="n"/>
      <c r="G550" s="290" t="n"/>
    </row>
    <row r="551" ht="13" customHeight="1" s="189">
      <c r="A551" s="289" t="n"/>
      <c r="B551" s="290" t="n"/>
      <c r="C551" s="290" t="n"/>
      <c r="D551" s="291" t="n"/>
      <c r="E551" s="290" t="n"/>
      <c r="F551" s="290" t="n"/>
      <c r="G551" s="290" t="n"/>
    </row>
    <row r="552" ht="13" customHeight="1" s="189">
      <c r="A552" s="289" t="n"/>
      <c r="B552" s="290" t="n"/>
      <c r="C552" s="290" t="n"/>
      <c r="D552" s="291" t="n"/>
      <c r="E552" s="290" t="n"/>
      <c r="F552" s="290" t="n"/>
      <c r="G552" s="290" t="n"/>
    </row>
    <row r="553" ht="13" customHeight="1" s="189">
      <c r="A553" s="289" t="n"/>
      <c r="B553" s="290" t="n"/>
      <c r="C553" s="290" t="n"/>
      <c r="D553" s="291" t="n"/>
      <c r="E553" s="290" t="n"/>
      <c r="F553" s="290" t="n"/>
      <c r="G553" s="290" t="n"/>
    </row>
    <row r="554" ht="13" customHeight="1" s="189">
      <c r="A554" s="289" t="n"/>
      <c r="B554" s="290" t="n"/>
      <c r="C554" s="290" t="n"/>
      <c r="D554" s="291" t="n"/>
      <c r="E554" s="290" t="n"/>
      <c r="F554" s="290" t="n"/>
      <c r="G554" s="290" t="n"/>
    </row>
    <row r="555" ht="13" customHeight="1" s="189">
      <c r="A555" s="289" t="n"/>
      <c r="B555" s="290" t="n"/>
      <c r="C555" s="290" t="n"/>
      <c r="D555" s="291" t="n"/>
      <c r="E555" s="290" t="n"/>
      <c r="F555" s="290" t="n"/>
      <c r="G555" s="290" t="n"/>
    </row>
    <row r="556" ht="13" customHeight="1" s="189">
      <c r="A556" s="289" t="n"/>
      <c r="B556" s="290" t="n"/>
      <c r="C556" s="290" t="n"/>
      <c r="D556" s="291" t="n"/>
      <c r="E556" s="290" t="n"/>
      <c r="F556" s="290" t="n"/>
      <c r="G556" s="290" t="n"/>
    </row>
    <row r="557" ht="13" customHeight="1" s="189">
      <c r="A557" s="289" t="n"/>
      <c r="B557" s="290" t="n"/>
      <c r="C557" s="290" t="n"/>
      <c r="D557" s="291" t="n"/>
      <c r="E557" s="290" t="n"/>
      <c r="F557" s="290" t="n"/>
      <c r="G557" s="290" t="n"/>
    </row>
    <row r="558" ht="13" customHeight="1" s="189">
      <c r="A558" s="289" t="n"/>
      <c r="B558" s="290" t="n"/>
      <c r="C558" s="290" t="n"/>
      <c r="D558" s="291" t="n"/>
      <c r="E558" s="290" t="n"/>
      <c r="F558" s="290" t="n"/>
      <c r="G558" s="290" t="n"/>
    </row>
    <row r="559" ht="13" customHeight="1" s="189">
      <c r="A559" s="289" t="n"/>
      <c r="B559" s="290" t="n"/>
      <c r="C559" s="290" t="n"/>
      <c r="D559" s="291" t="n"/>
      <c r="E559" s="290" t="n"/>
      <c r="F559" s="290" t="n"/>
      <c r="G559" s="290" t="n"/>
    </row>
    <row r="560" ht="13" customHeight="1" s="189">
      <c r="A560" s="289" t="n"/>
      <c r="B560" s="290" t="n"/>
      <c r="C560" s="290" t="n"/>
      <c r="D560" s="291" t="n"/>
      <c r="E560" s="290" t="n"/>
      <c r="F560" s="290" t="n"/>
      <c r="G560" s="290" t="n"/>
    </row>
    <row r="561" ht="13" customHeight="1" s="189">
      <c r="A561" s="289" t="n"/>
      <c r="B561" s="290" t="n"/>
      <c r="C561" s="290" t="n"/>
      <c r="D561" s="291" t="n"/>
      <c r="E561" s="290" t="n"/>
      <c r="F561" s="290" t="n"/>
      <c r="G561" s="290" t="n"/>
    </row>
    <row r="562" ht="13" customHeight="1" s="189">
      <c r="A562" s="289" t="n"/>
      <c r="B562" s="290" t="n"/>
      <c r="C562" s="290" t="n"/>
      <c r="D562" s="291" t="n"/>
      <c r="E562" s="290" t="n"/>
      <c r="F562" s="290" t="n"/>
      <c r="G562" s="290" t="n"/>
    </row>
    <row r="563" ht="13" customHeight="1" s="189">
      <c r="A563" s="289" t="n"/>
      <c r="B563" s="290" t="n"/>
      <c r="C563" s="290" t="n"/>
      <c r="D563" s="291" t="n"/>
      <c r="E563" s="290" t="n"/>
      <c r="F563" s="290" t="n"/>
      <c r="G563" s="290" t="n"/>
    </row>
    <row r="564" ht="13" customHeight="1" s="189">
      <c r="A564" s="289" t="n"/>
      <c r="B564" s="290" t="n"/>
      <c r="C564" s="290" t="n"/>
      <c r="D564" s="291" t="n"/>
      <c r="E564" s="290" t="n"/>
      <c r="F564" s="290" t="n"/>
      <c r="G564" s="290" t="n"/>
    </row>
    <row r="565" ht="13" customHeight="1" s="189">
      <c r="A565" s="289" t="n"/>
      <c r="B565" s="290" t="n"/>
      <c r="C565" s="290" t="n"/>
      <c r="D565" s="291" t="n"/>
      <c r="E565" s="290" t="n"/>
      <c r="F565" s="290" t="n"/>
      <c r="G565" s="290" t="n"/>
    </row>
    <row r="566" ht="13" customHeight="1" s="189">
      <c r="A566" s="289" t="n"/>
      <c r="B566" s="290" t="n"/>
      <c r="C566" s="290" t="n"/>
      <c r="D566" s="291" t="n"/>
      <c r="E566" s="290" t="n"/>
      <c r="F566" s="290" t="n"/>
      <c r="G566" s="290" t="n"/>
    </row>
    <row r="567" ht="13" customHeight="1" s="189">
      <c r="A567" s="289" t="n"/>
      <c r="B567" s="290" t="n"/>
      <c r="C567" s="290" t="n"/>
      <c r="D567" s="291" t="n"/>
      <c r="E567" s="290" t="n"/>
      <c r="F567" s="290" t="n"/>
      <c r="G567" s="290" t="n"/>
    </row>
    <row r="568" ht="13" customHeight="1" s="189">
      <c r="A568" s="289" t="n"/>
      <c r="B568" s="290" t="n"/>
      <c r="C568" s="290" t="n"/>
      <c r="D568" s="291" t="n"/>
      <c r="E568" s="290" t="n"/>
      <c r="F568" s="290" t="n"/>
      <c r="G568" s="290" t="n"/>
    </row>
    <row r="569" ht="13" customHeight="1" s="189">
      <c r="A569" s="289" t="n"/>
      <c r="B569" s="290" t="n"/>
      <c r="C569" s="290" t="n"/>
      <c r="D569" s="291" t="n"/>
      <c r="E569" s="290" t="n"/>
      <c r="F569" s="290" t="n"/>
      <c r="G569" s="290" t="n"/>
    </row>
    <row r="570" ht="13" customHeight="1" s="189">
      <c r="A570" s="289" t="n"/>
      <c r="B570" s="290" t="n"/>
      <c r="C570" s="290" t="n"/>
      <c r="D570" s="291" t="n"/>
      <c r="E570" s="290" t="n"/>
      <c r="F570" s="290" t="n"/>
      <c r="G570" s="290" t="n"/>
    </row>
    <row r="571" ht="13" customHeight="1" s="189">
      <c r="A571" s="289" t="n"/>
      <c r="B571" s="290" t="n"/>
      <c r="C571" s="290" t="n"/>
      <c r="D571" s="291" t="n"/>
      <c r="E571" s="290" t="n"/>
      <c r="F571" s="290" t="n"/>
      <c r="G571" s="290" t="n"/>
    </row>
    <row r="572" ht="13" customHeight="1" s="189">
      <c r="A572" s="289" t="n"/>
      <c r="B572" s="290" t="n"/>
      <c r="C572" s="290" t="n"/>
      <c r="D572" s="291" t="n"/>
      <c r="E572" s="290" t="n"/>
      <c r="F572" s="290" t="n"/>
      <c r="G572" s="290" t="n"/>
    </row>
    <row r="573" ht="13" customHeight="1" s="189">
      <c r="A573" s="289" t="n"/>
      <c r="B573" s="290" t="n"/>
      <c r="C573" s="290" t="n"/>
      <c r="D573" s="291" t="n"/>
      <c r="E573" s="290" t="n"/>
      <c r="F573" s="290" t="n"/>
      <c r="G573" s="290" t="n"/>
    </row>
    <row r="574" ht="13" customHeight="1" s="189">
      <c r="A574" s="289" t="n"/>
      <c r="B574" s="290" t="n"/>
      <c r="C574" s="290" t="n"/>
      <c r="D574" s="291" t="n"/>
      <c r="E574" s="290" t="n"/>
      <c r="F574" s="290" t="n"/>
      <c r="G574" s="290" t="n"/>
    </row>
    <row r="575" ht="13" customHeight="1" s="189">
      <c r="A575" s="289" t="n"/>
      <c r="B575" s="290" t="n"/>
      <c r="C575" s="290" t="n"/>
      <c r="D575" s="291" t="n"/>
      <c r="E575" s="290" t="n"/>
      <c r="F575" s="290" t="n"/>
      <c r="G575" s="290" t="n"/>
    </row>
    <row r="576" ht="13" customHeight="1" s="189">
      <c r="A576" s="289" t="n"/>
      <c r="B576" s="290" t="n"/>
      <c r="C576" s="290" t="n"/>
      <c r="D576" s="291" t="n"/>
      <c r="E576" s="290" t="n"/>
      <c r="F576" s="290" t="n"/>
      <c r="G576" s="290" t="n"/>
    </row>
    <row r="577" ht="13" customHeight="1" s="189">
      <c r="A577" s="289" t="n"/>
      <c r="B577" s="290" t="n"/>
      <c r="C577" s="290" t="n"/>
      <c r="D577" s="291" t="n"/>
      <c r="E577" s="290" t="n"/>
      <c r="F577" s="290" t="n"/>
      <c r="G577" s="290" t="n"/>
    </row>
    <row r="578" ht="13" customHeight="1" s="189">
      <c r="A578" s="289" t="n"/>
      <c r="B578" s="290" t="n"/>
      <c r="C578" s="290" t="n"/>
      <c r="D578" s="291" t="n"/>
      <c r="E578" s="290" t="n"/>
      <c r="F578" s="290" t="n"/>
      <c r="G578" s="290" t="n"/>
    </row>
    <row r="579" ht="13" customHeight="1" s="189">
      <c r="A579" s="289" t="n"/>
      <c r="B579" s="290" t="n"/>
      <c r="C579" s="290" t="n"/>
      <c r="D579" s="291" t="n"/>
      <c r="E579" s="290" t="n"/>
      <c r="F579" s="290" t="n"/>
      <c r="G579" s="290" t="n"/>
    </row>
    <row r="580" ht="13" customHeight="1" s="189">
      <c r="A580" s="289" t="n"/>
      <c r="B580" s="290" t="n"/>
      <c r="C580" s="290" t="n"/>
      <c r="D580" s="291" t="n"/>
      <c r="E580" s="290" t="n"/>
      <c r="F580" s="290" t="n"/>
      <c r="G580" s="290" t="n"/>
    </row>
    <row r="581" ht="13" customHeight="1" s="189">
      <c r="A581" s="289" t="n"/>
      <c r="B581" s="290" t="n"/>
      <c r="C581" s="290" t="n"/>
      <c r="D581" s="291" t="n"/>
      <c r="E581" s="290" t="n"/>
      <c r="F581" s="290" t="n"/>
      <c r="G581" s="290" t="n"/>
    </row>
    <row r="582" ht="13" customHeight="1" s="189">
      <c r="A582" s="289" t="n"/>
      <c r="B582" s="290" t="n"/>
      <c r="C582" s="290" t="n"/>
      <c r="D582" s="291" t="n"/>
      <c r="E582" s="290" t="n"/>
      <c r="F582" s="290" t="n"/>
      <c r="G582" s="290" t="n"/>
    </row>
    <row r="583" ht="13" customHeight="1" s="189">
      <c r="A583" s="289" t="n"/>
      <c r="B583" s="290" t="n"/>
      <c r="C583" s="290" t="n"/>
      <c r="D583" s="291" t="n"/>
      <c r="E583" s="290" t="n"/>
      <c r="F583" s="290" t="n"/>
      <c r="G583" s="290" t="n"/>
    </row>
    <row r="584" ht="13" customHeight="1" s="189">
      <c r="A584" s="289" t="n"/>
      <c r="B584" s="290" t="n"/>
      <c r="C584" s="290" t="n"/>
      <c r="D584" s="291" t="n"/>
      <c r="E584" s="290" t="n"/>
      <c r="F584" s="290" t="n"/>
      <c r="G584" s="290" t="n"/>
    </row>
    <row r="585" ht="13" customHeight="1" s="189">
      <c r="A585" s="289" t="n"/>
      <c r="B585" s="290" t="n"/>
      <c r="C585" s="290" t="n"/>
      <c r="D585" s="291" t="n"/>
      <c r="E585" s="290" t="n"/>
      <c r="F585" s="290" t="n"/>
      <c r="G585" s="290" t="n"/>
    </row>
    <row r="586" ht="13" customHeight="1" s="189">
      <c r="A586" s="289" t="n"/>
      <c r="B586" s="290" t="n"/>
      <c r="C586" s="290" t="n"/>
      <c r="D586" s="291" t="n"/>
      <c r="E586" s="290" t="n"/>
      <c r="F586" s="290" t="n"/>
      <c r="G586" s="290" t="n"/>
    </row>
    <row r="587" ht="13" customHeight="1" s="189">
      <c r="A587" s="289" t="n"/>
      <c r="B587" s="290" t="n"/>
      <c r="C587" s="290" t="n"/>
      <c r="D587" s="291" t="n"/>
      <c r="E587" s="290" t="n"/>
      <c r="F587" s="290" t="n"/>
      <c r="G587" s="290" t="n"/>
    </row>
    <row r="588" ht="13" customHeight="1" s="189">
      <c r="A588" s="289" t="n"/>
      <c r="B588" s="290" t="n"/>
      <c r="C588" s="290" t="n"/>
      <c r="D588" s="291" t="n"/>
      <c r="E588" s="290" t="n"/>
      <c r="F588" s="290" t="n"/>
      <c r="G588" s="290" t="n"/>
    </row>
    <row r="589" ht="13" customHeight="1" s="189">
      <c r="A589" s="289" t="n"/>
      <c r="B589" s="290" t="n"/>
      <c r="C589" s="290" t="n"/>
      <c r="D589" s="291" t="n"/>
      <c r="E589" s="290" t="n"/>
      <c r="F589" s="290" t="n"/>
      <c r="G589" s="290" t="n"/>
    </row>
    <row r="590" ht="13" customHeight="1" s="189">
      <c r="A590" s="289" t="n"/>
      <c r="B590" s="290" t="n"/>
      <c r="C590" s="290" t="n"/>
      <c r="D590" s="291" t="n"/>
      <c r="E590" s="290" t="n"/>
      <c r="F590" s="290" t="n"/>
      <c r="G590" s="290" t="n"/>
    </row>
    <row r="591" ht="13" customHeight="1" s="189">
      <c r="A591" s="289" t="n"/>
      <c r="B591" s="290" t="n"/>
      <c r="C591" s="290" t="n"/>
      <c r="D591" s="291" t="n"/>
      <c r="E591" s="290" t="n"/>
      <c r="F591" s="290" t="n"/>
      <c r="G591" s="290" t="n"/>
    </row>
    <row r="592" ht="13" customHeight="1" s="189">
      <c r="A592" s="289" t="n"/>
      <c r="B592" s="290" t="n"/>
      <c r="C592" s="290" t="n"/>
      <c r="D592" s="291" t="n"/>
      <c r="E592" s="290" t="n"/>
      <c r="F592" s="290" t="n"/>
      <c r="G592" s="290" t="n"/>
    </row>
    <row r="593" ht="13" customHeight="1" s="189">
      <c r="A593" s="289" t="n"/>
      <c r="B593" s="290" t="n"/>
      <c r="C593" s="290" t="n"/>
      <c r="D593" s="291" t="n"/>
      <c r="E593" s="290" t="n"/>
      <c r="F593" s="290" t="n"/>
      <c r="G593" s="290" t="n"/>
    </row>
    <row r="594" ht="13" customHeight="1" s="189">
      <c r="A594" s="289" t="n"/>
      <c r="B594" s="290" t="n"/>
      <c r="C594" s="290" t="n"/>
      <c r="D594" s="291" t="n"/>
      <c r="E594" s="290" t="n"/>
      <c r="F594" s="290" t="n"/>
      <c r="G594" s="290" t="n"/>
    </row>
    <row r="595" ht="13" customHeight="1" s="189">
      <c r="A595" s="289" t="n"/>
      <c r="B595" s="290" t="n"/>
      <c r="C595" s="290" t="n"/>
      <c r="D595" s="291" t="n"/>
      <c r="E595" s="290" t="n"/>
      <c r="F595" s="290" t="n"/>
      <c r="G595" s="290" t="n"/>
    </row>
    <row r="596" ht="13" customHeight="1" s="189">
      <c r="A596" s="289" t="n"/>
      <c r="B596" s="290" t="n"/>
      <c r="C596" s="290" t="n"/>
      <c r="D596" s="291" t="n"/>
      <c r="E596" s="290" t="n"/>
      <c r="F596" s="290" t="n"/>
      <c r="G596" s="290" t="n"/>
    </row>
    <row r="597" ht="13" customHeight="1" s="189">
      <c r="A597" s="289" t="n"/>
      <c r="B597" s="290" t="n"/>
      <c r="C597" s="290" t="n"/>
      <c r="D597" s="291" t="n"/>
      <c r="E597" s="290" t="n"/>
      <c r="F597" s="290" t="n"/>
      <c r="G597" s="290" t="n"/>
    </row>
    <row r="598" ht="13" customHeight="1" s="189">
      <c r="A598" s="289" t="n"/>
      <c r="B598" s="290" t="n"/>
      <c r="C598" s="290" t="n"/>
      <c r="D598" s="291" t="n"/>
      <c r="E598" s="290" t="n"/>
      <c r="F598" s="290" t="n"/>
      <c r="G598" s="290" t="n"/>
    </row>
    <row r="599" ht="13" customHeight="1" s="189">
      <c r="A599" s="289" t="n"/>
      <c r="B599" s="290" t="n"/>
      <c r="C599" s="290" t="n"/>
      <c r="D599" s="291" t="n"/>
      <c r="E599" s="290" t="n"/>
      <c r="F599" s="290" t="n"/>
      <c r="G599" s="290" t="n"/>
    </row>
    <row r="600" ht="13" customHeight="1" s="189">
      <c r="A600" s="289" t="n"/>
      <c r="B600" s="290" t="n"/>
      <c r="C600" s="290" t="n"/>
      <c r="D600" s="291" t="n"/>
      <c r="E600" s="290" t="n"/>
      <c r="F600" s="290" t="n"/>
      <c r="G600" s="290" t="n"/>
    </row>
    <row r="601" ht="13" customHeight="1" s="189">
      <c r="A601" s="289" t="n"/>
      <c r="B601" s="290" t="n"/>
      <c r="C601" s="290" t="n"/>
      <c r="D601" s="291" t="n"/>
      <c r="E601" s="290" t="n"/>
      <c r="F601" s="290" t="n"/>
      <c r="G601" s="290" t="n"/>
    </row>
    <row r="602" ht="13" customHeight="1" s="189">
      <c r="A602" s="289" t="n"/>
      <c r="B602" s="290" t="n"/>
      <c r="C602" s="290" t="n"/>
      <c r="D602" s="291" t="n"/>
      <c r="E602" s="290" t="n"/>
      <c r="F602" s="290" t="n"/>
      <c r="G602" s="290" t="n"/>
    </row>
    <row r="603" ht="13" customHeight="1" s="189">
      <c r="A603" s="289" t="n"/>
      <c r="B603" s="290" t="n"/>
      <c r="C603" s="290" t="n"/>
      <c r="D603" s="291" t="n"/>
      <c r="E603" s="290" t="n"/>
      <c r="F603" s="290" t="n"/>
      <c r="G603" s="290" t="n"/>
    </row>
    <row r="604" ht="13" customHeight="1" s="189">
      <c r="A604" s="289" t="n"/>
      <c r="B604" s="290" t="n"/>
      <c r="C604" s="290" t="n"/>
      <c r="D604" s="291" t="n"/>
      <c r="E604" s="290" t="n"/>
      <c r="F604" s="290" t="n"/>
      <c r="G604" s="290" t="n"/>
    </row>
    <row r="605" ht="13" customHeight="1" s="189">
      <c r="A605" s="289" t="n"/>
      <c r="B605" s="290" t="n"/>
      <c r="C605" s="290" t="n"/>
      <c r="D605" s="291" t="n"/>
      <c r="E605" s="290" t="n"/>
      <c r="F605" s="290" t="n"/>
      <c r="G605" s="290" t="n"/>
    </row>
    <row r="606" ht="13" customHeight="1" s="189">
      <c r="A606" s="289" t="n"/>
      <c r="B606" s="290" t="n"/>
      <c r="C606" s="290" t="n"/>
      <c r="D606" s="291" t="n"/>
      <c r="E606" s="290" t="n"/>
      <c r="F606" s="290" t="n"/>
      <c r="G606" s="290" t="n"/>
    </row>
    <row r="607" ht="13" customHeight="1" s="189">
      <c r="A607" s="289" t="n"/>
      <c r="B607" s="290" t="n"/>
      <c r="C607" s="290" t="n"/>
      <c r="D607" s="291" t="n"/>
      <c r="E607" s="290" t="n"/>
      <c r="F607" s="290" t="n"/>
      <c r="G607" s="290" t="n"/>
    </row>
    <row r="608" ht="13" customHeight="1" s="189">
      <c r="A608" s="289" t="n"/>
      <c r="B608" s="290" t="n"/>
      <c r="C608" s="290" t="n"/>
      <c r="D608" s="291" t="n"/>
      <c r="E608" s="290" t="n"/>
      <c r="F608" s="290" t="n"/>
      <c r="G608" s="290" t="n"/>
    </row>
    <row r="609" ht="13" customHeight="1" s="189">
      <c r="A609" s="289" t="n"/>
      <c r="B609" s="290" t="n"/>
      <c r="C609" s="290" t="n"/>
      <c r="D609" s="291" t="n"/>
      <c r="E609" s="290" t="n"/>
      <c r="F609" s="290" t="n"/>
      <c r="G609" s="290" t="n"/>
    </row>
    <row r="610" ht="13" customHeight="1" s="189">
      <c r="A610" s="289" t="n"/>
      <c r="B610" s="290" t="n"/>
      <c r="C610" s="290" t="n"/>
      <c r="D610" s="291" t="n"/>
      <c r="E610" s="290" t="n"/>
      <c r="F610" s="290" t="n"/>
      <c r="G610" s="290" t="n"/>
    </row>
    <row r="611" ht="13" customHeight="1" s="189">
      <c r="A611" s="289" t="n"/>
      <c r="B611" s="290" t="n"/>
      <c r="C611" s="290" t="n"/>
      <c r="D611" s="291" t="n"/>
      <c r="E611" s="290" t="n"/>
      <c r="F611" s="290" t="n"/>
      <c r="G611" s="290" t="n"/>
    </row>
    <row r="612" ht="13" customHeight="1" s="189">
      <c r="A612" s="289" t="n"/>
      <c r="B612" s="290" t="n"/>
      <c r="C612" s="290" t="n"/>
      <c r="D612" s="291" t="n"/>
      <c r="E612" s="290" t="n"/>
      <c r="F612" s="290" t="n"/>
      <c r="G612" s="290" t="n"/>
    </row>
    <row r="613" ht="13" customHeight="1" s="189">
      <c r="A613" s="289" t="n"/>
      <c r="B613" s="290" t="n"/>
      <c r="C613" s="290" t="n"/>
      <c r="D613" s="291" t="n"/>
      <c r="E613" s="290" t="n"/>
      <c r="F613" s="290" t="n"/>
      <c r="G613" s="290" t="n"/>
    </row>
    <row r="614" ht="13" customHeight="1" s="189">
      <c r="A614" s="289" t="n"/>
      <c r="B614" s="290" t="n"/>
      <c r="C614" s="290" t="n"/>
      <c r="D614" s="291" t="n"/>
      <c r="E614" s="290" t="n"/>
      <c r="F614" s="290" t="n"/>
      <c r="G614" s="290" t="n"/>
    </row>
    <row r="615" ht="13" customHeight="1" s="189">
      <c r="A615" s="289" t="n"/>
      <c r="B615" s="290" t="n"/>
      <c r="C615" s="290" t="n"/>
      <c r="D615" s="291" t="n"/>
      <c r="E615" s="290" t="n"/>
      <c r="F615" s="290" t="n"/>
      <c r="G615" s="290" t="n"/>
    </row>
    <row r="616" ht="13" customHeight="1" s="189">
      <c r="A616" s="289" t="n"/>
      <c r="B616" s="290" t="n"/>
      <c r="C616" s="290" t="n"/>
      <c r="D616" s="291" t="n"/>
      <c r="E616" s="290" t="n"/>
      <c r="F616" s="290" t="n"/>
      <c r="G616" s="290" t="n"/>
    </row>
    <row r="617" ht="13" customHeight="1" s="189">
      <c r="A617" s="289" t="n"/>
      <c r="B617" s="290" t="n"/>
      <c r="C617" s="290" t="n"/>
      <c r="D617" s="291" t="n"/>
      <c r="E617" s="290" t="n"/>
      <c r="F617" s="290" t="n"/>
      <c r="G617" s="290" t="n"/>
    </row>
    <row r="618" ht="13" customHeight="1" s="189">
      <c r="A618" s="289" t="n"/>
      <c r="B618" s="290" t="n"/>
      <c r="C618" s="290" t="n"/>
      <c r="D618" s="291" t="n"/>
      <c r="E618" s="290" t="n"/>
      <c r="F618" s="290" t="n"/>
      <c r="G618" s="290" t="n"/>
    </row>
    <row r="619" ht="13" customHeight="1" s="189">
      <c r="A619" s="289" t="n"/>
      <c r="B619" s="290" t="n"/>
      <c r="C619" s="290" t="n"/>
      <c r="D619" s="291" t="n"/>
      <c r="E619" s="290" t="n"/>
      <c r="F619" s="290" t="n"/>
      <c r="G619" s="290" t="n"/>
    </row>
    <row r="620" ht="13" customHeight="1" s="189">
      <c r="A620" s="289" t="n"/>
      <c r="B620" s="290" t="n"/>
      <c r="C620" s="290" t="n"/>
      <c r="D620" s="291" t="n"/>
      <c r="E620" s="290" t="n"/>
      <c r="F620" s="290" t="n"/>
      <c r="G620" s="290" t="n"/>
    </row>
    <row r="621" ht="13" customHeight="1" s="189">
      <c r="A621" s="289" t="n"/>
      <c r="B621" s="290" t="n"/>
      <c r="C621" s="290" t="n"/>
      <c r="D621" s="291" t="n"/>
      <c r="E621" s="290" t="n"/>
      <c r="F621" s="290" t="n"/>
      <c r="G621" s="290" t="n"/>
    </row>
    <row r="622" ht="13" customHeight="1" s="189">
      <c r="A622" s="289" t="n"/>
      <c r="B622" s="290" t="n"/>
      <c r="C622" s="290" t="n"/>
      <c r="D622" s="291" t="n"/>
      <c r="E622" s="290" t="n"/>
      <c r="F622" s="290" t="n"/>
      <c r="G622" s="290" t="n"/>
    </row>
    <row r="623" ht="13" customHeight="1" s="189">
      <c r="A623" s="289" t="n"/>
      <c r="B623" s="290" t="n"/>
      <c r="C623" s="290" t="n"/>
      <c r="D623" s="291" t="n"/>
      <c r="E623" s="290" t="n"/>
      <c r="F623" s="290" t="n"/>
      <c r="G623" s="290" t="n"/>
    </row>
    <row r="624" ht="13" customHeight="1" s="189">
      <c r="A624" s="289" t="n"/>
      <c r="B624" s="290" t="n"/>
      <c r="C624" s="290" t="n"/>
      <c r="D624" s="291" t="n"/>
      <c r="E624" s="290" t="n"/>
      <c r="F624" s="290" t="n"/>
      <c r="G624" s="290" t="n"/>
    </row>
    <row r="625" ht="13" customHeight="1" s="189">
      <c r="A625" s="289" t="n"/>
      <c r="B625" s="290" t="n"/>
      <c r="C625" s="290" t="n"/>
      <c r="D625" s="291" t="n"/>
      <c r="E625" s="290" t="n"/>
      <c r="F625" s="290" t="n"/>
      <c r="G625" s="290" t="n"/>
    </row>
    <row r="626" ht="13" customHeight="1" s="189">
      <c r="A626" s="289" t="n"/>
      <c r="B626" s="290" t="n"/>
      <c r="C626" s="290" t="n"/>
      <c r="D626" s="291" t="n"/>
      <c r="E626" s="290" t="n"/>
      <c r="F626" s="290" t="n"/>
      <c r="G626" s="290" t="n"/>
    </row>
    <row r="627" ht="13" customHeight="1" s="189">
      <c r="A627" s="289" t="n"/>
      <c r="B627" s="290" t="n"/>
      <c r="C627" s="290" t="n"/>
      <c r="D627" s="291" t="n"/>
      <c r="E627" s="290" t="n"/>
      <c r="F627" s="290" t="n"/>
      <c r="G627" s="290" t="n"/>
    </row>
    <row r="628" ht="13" customHeight="1" s="189">
      <c r="A628" s="289" t="n"/>
      <c r="B628" s="290" t="n"/>
      <c r="C628" s="290" t="n"/>
      <c r="D628" s="291" t="n"/>
      <c r="E628" s="290" t="n"/>
      <c r="F628" s="290" t="n"/>
      <c r="G628" s="290" t="n"/>
    </row>
    <row r="629" ht="13" customHeight="1" s="189">
      <c r="A629" s="289" t="n"/>
      <c r="B629" s="290" t="n"/>
      <c r="C629" s="290" t="n"/>
      <c r="D629" s="291" t="n"/>
      <c r="E629" s="290" t="n"/>
      <c r="F629" s="290" t="n"/>
      <c r="G629" s="290" t="n"/>
    </row>
    <row r="630" ht="13" customHeight="1" s="189">
      <c r="A630" s="289" t="n"/>
      <c r="B630" s="290" t="n"/>
      <c r="C630" s="290" t="n"/>
      <c r="D630" s="291" t="n"/>
      <c r="E630" s="290" t="n"/>
      <c r="F630" s="290" t="n"/>
      <c r="G630" s="290" t="n"/>
    </row>
    <row r="631" ht="13" customHeight="1" s="189">
      <c r="A631" s="289" t="n"/>
      <c r="B631" s="290" t="n"/>
      <c r="C631" s="290" t="n"/>
      <c r="D631" s="291" t="n"/>
      <c r="E631" s="290" t="n"/>
      <c r="F631" s="290" t="n"/>
      <c r="G631" s="290" t="n"/>
    </row>
    <row r="632" ht="13" customHeight="1" s="189">
      <c r="A632" s="289" t="n"/>
      <c r="B632" s="290" t="n"/>
      <c r="C632" s="290" t="n"/>
      <c r="D632" s="291" t="n"/>
      <c r="E632" s="290" t="n"/>
      <c r="F632" s="290" t="n"/>
      <c r="G632" s="290" t="n"/>
    </row>
    <row r="633" ht="13" customHeight="1" s="189">
      <c r="A633" s="289" t="n"/>
      <c r="B633" s="290" t="n"/>
      <c r="C633" s="290" t="n"/>
      <c r="D633" s="291" t="n"/>
      <c r="E633" s="290" t="n"/>
      <c r="F633" s="290" t="n"/>
      <c r="G633" s="290" t="n"/>
    </row>
    <row r="634" ht="13" customHeight="1" s="189">
      <c r="A634" s="289" t="n"/>
      <c r="B634" s="290" t="n"/>
      <c r="C634" s="290" t="n"/>
      <c r="D634" s="291" t="n"/>
      <c r="E634" s="290" t="n"/>
      <c r="F634" s="290" t="n"/>
      <c r="G634" s="290" t="n"/>
    </row>
    <row r="635" ht="13" customHeight="1" s="189">
      <c r="A635" s="289" t="n"/>
      <c r="B635" s="290" t="n"/>
      <c r="C635" s="290" t="n"/>
      <c r="D635" s="291" t="n"/>
      <c r="E635" s="290" t="n"/>
      <c r="F635" s="290" t="n"/>
      <c r="G635" s="290" t="n"/>
    </row>
    <row r="636" ht="13" customHeight="1" s="189">
      <c r="A636" s="289" t="n"/>
      <c r="B636" s="290" t="n"/>
      <c r="C636" s="290" t="n"/>
      <c r="D636" s="291" t="n"/>
      <c r="E636" s="290" t="n"/>
      <c r="F636" s="290" t="n"/>
      <c r="G636" s="290" t="n"/>
    </row>
    <row r="637" ht="13" customHeight="1" s="189">
      <c r="A637" s="289" t="n"/>
      <c r="B637" s="290" t="n"/>
      <c r="C637" s="290" t="n"/>
      <c r="D637" s="291" t="n"/>
      <c r="E637" s="290" t="n"/>
      <c r="F637" s="290" t="n"/>
      <c r="G637" s="290" t="n"/>
    </row>
    <row r="638" ht="13" customHeight="1" s="189">
      <c r="A638" s="289" t="n"/>
      <c r="B638" s="290" t="n"/>
      <c r="C638" s="290" t="n"/>
      <c r="D638" s="291" t="n"/>
      <c r="E638" s="290" t="n"/>
      <c r="F638" s="290" t="n"/>
      <c r="G638" s="290" t="n"/>
    </row>
    <row r="639" ht="13" customHeight="1" s="189">
      <c r="A639" s="289" t="n"/>
      <c r="B639" s="290" t="n"/>
      <c r="C639" s="290" t="n"/>
      <c r="D639" s="291" t="n"/>
      <c r="E639" s="290" t="n"/>
      <c r="F639" s="290" t="n"/>
      <c r="G639" s="290" t="n"/>
    </row>
    <row r="640" ht="13" customHeight="1" s="189">
      <c r="A640" s="289" t="n"/>
      <c r="B640" s="290" t="n"/>
      <c r="C640" s="290" t="n"/>
      <c r="D640" s="291" t="n"/>
      <c r="E640" s="290" t="n"/>
      <c r="F640" s="290" t="n"/>
      <c r="G640" s="290" t="n"/>
    </row>
    <row r="641" ht="13" customHeight="1" s="189">
      <c r="A641" s="289" t="n"/>
      <c r="B641" s="290" t="n"/>
      <c r="C641" s="290" t="n"/>
      <c r="D641" s="291" t="n"/>
      <c r="E641" s="290" t="n"/>
      <c r="F641" s="290" t="n"/>
      <c r="G641" s="290" t="n"/>
    </row>
    <row r="642" ht="13" customHeight="1" s="189">
      <c r="A642" s="289" t="n"/>
      <c r="B642" s="290" t="n"/>
      <c r="C642" s="290" t="n"/>
      <c r="D642" s="291" t="n"/>
      <c r="E642" s="290" t="n"/>
      <c r="F642" s="290" t="n"/>
      <c r="G642" s="290" t="n"/>
    </row>
    <row r="643" ht="13" customHeight="1" s="189">
      <c r="A643" s="289" t="n"/>
      <c r="B643" s="290" t="n"/>
      <c r="C643" s="290" t="n"/>
      <c r="D643" s="291" t="n"/>
      <c r="E643" s="290" t="n"/>
      <c r="F643" s="290" t="n"/>
      <c r="G643" s="290" t="n"/>
    </row>
    <row r="644" ht="13" customHeight="1" s="189">
      <c r="A644" s="289" t="n"/>
      <c r="B644" s="290" t="n"/>
      <c r="C644" s="290" t="n"/>
      <c r="D644" s="291" t="n"/>
      <c r="E644" s="290" t="n"/>
      <c r="F644" s="290" t="n"/>
      <c r="G644" s="290" t="n"/>
    </row>
    <row r="645" ht="13" customHeight="1" s="189">
      <c r="A645" s="289" t="n"/>
      <c r="B645" s="290" t="n"/>
      <c r="C645" s="290" t="n"/>
      <c r="D645" s="291" t="n"/>
      <c r="E645" s="290" t="n"/>
      <c r="F645" s="290" t="n"/>
      <c r="G645" s="290" t="n"/>
    </row>
    <row r="646" ht="13" customHeight="1" s="189">
      <c r="A646" s="289" t="n"/>
      <c r="B646" s="290" t="n"/>
      <c r="C646" s="290" t="n"/>
      <c r="D646" s="291" t="n"/>
      <c r="E646" s="290" t="n"/>
      <c r="F646" s="290" t="n"/>
      <c r="G646" s="290" t="n"/>
    </row>
    <row r="647" ht="13" customHeight="1" s="189">
      <c r="A647" s="289" t="n"/>
      <c r="B647" s="290" t="n"/>
      <c r="C647" s="290" t="n"/>
      <c r="D647" s="291" t="n"/>
      <c r="E647" s="290" t="n"/>
      <c r="F647" s="290" t="n"/>
      <c r="G647" s="290" t="n"/>
    </row>
    <row r="648" ht="13" customHeight="1" s="189">
      <c r="A648" s="289" t="n"/>
      <c r="B648" s="290" t="n"/>
      <c r="C648" s="290" t="n"/>
      <c r="D648" s="291" t="n"/>
      <c r="E648" s="290" t="n"/>
      <c r="F648" s="290" t="n"/>
      <c r="G648" s="290" t="n"/>
    </row>
    <row r="649" ht="13" customHeight="1" s="189">
      <c r="A649" s="289" t="n"/>
      <c r="B649" s="290" t="n"/>
      <c r="C649" s="290" t="n"/>
      <c r="D649" s="291" t="n"/>
      <c r="E649" s="290" t="n"/>
      <c r="F649" s="290" t="n"/>
      <c r="G649" s="290" t="n"/>
    </row>
    <row r="650" ht="13" customHeight="1" s="189">
      <c r="A650" s="289" t="n"/>
      <c r="B650" s="290" t="n"/>
      <c r="C650" s="290" t="n"/>
      <c r="D650" s="291" t="n"/>
      <c r="E650" s="290" t="n"/>
      <c r="F650" s="290" t="n"/>
      <c r="G650" s="290" t="n"/>
    </row>
    <row r="651" ht="13" customHeight="1" s="189">
      <c r="A651" s="289" t="n"/>
      <c r="B651" s="290" t="n"/>
      <c r="C651" s="290" t="n"/>
      <c r="D651" s="291" t="n"/>
      <c r="E651" s="290" t="n"/>
      <c r="F651" s="290" t="n"/>
      <c r="G651" s="290" t="n"/>
    </row>
    <row r="652" ht="13" customHeight="1" s="189">
      <c r="A652" s="289" t="n"/>
      <c r="B652" s="290" t="n"/>
      <c r="C652" s="290" t="n"/>
      <c r="D652" s="291" t="n"/>
      <c r="E652" s="290" t="n"/>
      <c r="F652" s="290" t="n"/>
      <c r="G652" s="290" t="n"/>
    </row>
    <row r="653" ht="13" customHeight="1" s="189">
      <c r="A653" s="289" t="n"/>
      <c r="B653" s="290" t="n"/>
      <c r="C653" s="290" t="n"/>
      <c r="D653" s="291" t="n"/>
      <c r="E653" s="290" t="n"/>
      <c r="F653" s="290" t="n"/>
      <c r="G653" s="290" t="n"/>
    </row>
    <row r="654" ht="13" customHeight="1" s="189">
      <c r="A654" s="289" t="n"/>
      <c r="B654" s="290" t="n"/>
      <c r="C654" s="290" t="n"/>
      <c r="D654" s="291" t="n"/>
      <c r="E654" s="290" t="n"/>
      <c r="F654" s="290" t="n"/>
      <c r="G654" s="290" t="n"/>
    </row>
    <row r="655" ht="13" customHeight="1" s="189">
      <c r="A655" s="289" t="n"/>
      <c r="B655" s="290" t="n"/>
      <c r="C655" s="290" t="n"/>
      <c r="D655" s="291" t="n"/>
      <c r="E655" s="290" t="n"/>
      <c r="F655" s="290" t="n"/>
      <c r="G655" s="290" t="n"/>
    </row>
    <row r="656" ht="13" customHeight="1" s="189">
      <c r="A656" s="289" t="n"/>
      <c r="B656" s="290" t="n"/>
      <c r="C656" s="290" t="n"/>
      <c r="D656" s="291" t="n"/>
      <c r="E656" s="290" t="n"/>
      <c r="F656" s="290" t="n"/>
      <c r="G656" s="290" t="n"/>
    </row>
    <row r="657" ht="13" customHeight="1" s="189">
      <c r="A657" s="289" t="n"/>
      <c r="B657" s="290" t="n"/>
      <c r="C657" s="290" t="n"/>
      <c r="D657" s="291" t="n"/>
      <c r="E657" s="290" t="n"/>
      <c r="F657" s="290" t="n"/>
      <c r="G657" s="290" t="n"/>
    </row>
    <row r="658" ht="13" customHeight="1" s="189">
      <c r="A658" s="289" t="n"/>
      <c r="B658" s="290" t="n"/>
      <c r="C658" s="290" t="n"/>
      <c r="D658" s="291" t="n"/>
      <c r="E658" s="290" t="n"/>
      <c r="F658" s="290" t="n"/>
      <c r="G658" s="290" t="n"/>
    </row>
    <row r="659" ht="13" customHeight="1" s="189">
      <c r="A659" s="289" t="n"/>
      <c r="B659" s="290" t="n"/>
      <c r="C659" s="290" t="n"/>
      <c r="D659" s="291" t="n"/>
      <c r="E659" s="290" t="n"/>
      <c r="F659" s="290" t="n"/>
      <c r="G659" s="290" t="n"/>
    </row>
    <row r="660" ht="13" customHeight="1" s="189">
      <c r="A660" s="289" t="n"/>
      <c r="B660" s="290" t="n"/>
      <c r="C660" s="290" t="n"/>
      <c r="D660" s="291" t="n"/>
      <c r="E660" s="290" t="n"/>
      <c r="F660" s="290" t="n"/>
      <c r="G660" s="290" t="n"/>
    </row>
    <row r="661" ht="13" customHeight="1" s="189">
      <c r="A661" s="289" t="n"/>
      <c r="B661" s="290" t="n"/>
      <c r="C661" s="290" t="n"/>
      <c r="D661" s="291" t="n"/>
      <c r="E661" s="290" t="n"/>
      <c r="F661" s="290" t="n"/>
      <c r="G661" s="290" t="n"/>
    </row>
    <row r="662" ht="13" customHeight="1" s="189">
      <c r="A662" s="289" t="n"/>
      <c r="B662" s="290" t="n"/>
      <c r="C662" s="290" t="n"/>
      <c r="D662" s="291" t="n"/>
      <c r="E662" s="290" t="n"/>
      <c r="F662" s="290" t="n"/>
      <c r="G662" s="290" t="n"/>
    </row>
    <row r="663" ht="13" customHeight="1" s="189">
      <c r="A663" s="289" t="n"/>
      <c r="B663" s="290" t="n"/>
      <c r="C663" s="290" t="n"/>
      <c r="D663" s="291" t="n"/>
      <c r="E663" s="290" t="n"/>
      <c r="F663" s="290" t="n"/>
      <c r="G663" s="290" t="n"/>
    </row>
    <row r="664" ht="13" customHeight="1" s="189">
      <c r="A664" s="289" t="n"/>
      <c r="B664" s="290" t="n"/>
      <c r="C664" s="290" t="n"/>
      <c r="D664" s="291" t="n"/>
      <c r="E664" s="290" t="n"/>
      <c r="F664" s="290" t="n"/>
      <c r="G664" s="290" t="n"/>
    </row>
    <row r="665" ht="13" customHeight="1" s="189">
      <c r="A665" s="289" t="n"/>
      <c r="B665" s="290" t="n"/>
      <c r="C665" s="290" t="n"/>
      <c r="D665" s="291" t="n"/>
      <c r="E665" s="290" t="n"/>
      <c r="F665" s="290" t="n"/>
      <c r="G665" s="290" t="n"/>
    </row>
    <row r="666" ht="13" customHeight="1" s="189">
      <c r="A666" s="289" t="n"/>
      <c r="B666" s="290" t="n"/>
      <c r="C666" s="290" t="n"/>
      <c r="D666" s="291" t="n"/>
      <c r="E666" s="290" t="n"/>
      <c r="F666" s="290" t="n"/>
      <c r="G666" s="290" t="n"/>
    </row>
    <row r="667" ht="13" customHeight="1" s="189">
      <c r="A667" s="289" t="n"/>
      <c r="B667" s="290" t="n"/>
      <c r="C667" s="290" t="n"/>
      <c r="D667" s="291" t="n"/>
      <c r="E667" s="290" t="n"/>
      <c r="F667" s="290" t="n"/>
      <c r="G667" s="290" t="n"/>
    </row>
    <row r="668" ht="13" customHeight="1" s="189">
      <c r="A668" s="289" t="n"/>
      <c r="B668" s="290" t="n"/>
      <c r="C668" s="290" t="n"/>
      <c r="D668" s="291" t="n"/>
      <c r="E668" s="290" t="n"/>
      <c r="F668" s="290" t="n"/>
      <c r="G668" s="290" t="n"/>
    </row>
    <row r="669" ht="13" customHeight="1" s="189">
      <c r="A669" s="289" t="n"/>
      <c r="B669" s="290" t="n"/>
      <c r="C669" s="290" t="n"/>
      <c r="D669" s="291" t="n"/>
      <c r="E669" s="290" t="n"/>
      <c r="F669" s="290" t="n"/>
      <c r="G669" s="290" t="n"/>
    </row>
    <row r="670" ht="13" customHeight="1" s="189">
      <c r="A670" s="289" t="n"/>
      <c r="B670" s="290" t="n"/>
      <c r="C670" s="290" t="n"/>
      <c r="D670" s="291" t="n"/>
      <c r="E670" s="290" t="n"/>
      <c r="F670" s="290" t="n"/>
      <c r="G670" s="290" t="n"/>
    </row>
    <row r="671" ht="13" customHeight="1" s="189">
      <c r="A671" s="289" t="n"/>
      <c r="B671" s="290" t="n"/>
      <c r="C671" s="290" t="n"/>
      <c r="D671" s="291" t="n"/>
      <c r="E671" s="290" t="n"/>
      <c r="F671" s="290" t="n"/>
      <c r="G671" s="290" t="n"/>
    </row>
    <row r="672" ht="13" customHeight="1" s="189">
      <c r="A672" s="289" t="n"/>
      <c r="B672" s="290" t="n"/>
      <c r="C672" s="290" t="n"/>
      <c r="D672" s="291" t="n"/>
      <c r="E672" s="290" t="n"/>
      <c r="F672" s="290" t="n"/>
      <c r="G672" s="290" t="n"/>
    </row>
    <row r="673" ht="13" customHeight="1" s="189">
      <c r="A673" s="289" t="n"/>
      <c r="B673" s="290" t="n"/>
      <c r="C673" s="290" t="n"/>
      <c r="D673" s="291" t="n"/>
      <c r="E673" s="290" t="n"/>
      <c r="F673" s="290" t="n"/>
      <c r="G673" s="290" t="n"/>
    </row>
    <row r="674" ht="13" customHeight="1" s="189">
      <c r="A674" s="289" t="n"/>
      <c r="B674" s="290" t="n"/>
      <c r="C674" s="290" t="n"/>
      <c r="D674" s="291" t="n"/>
      <c r="E674" s="290" t="n"/>
      <c r="F674" s="290" t="n"/>
      <c r="G674" s="290" t="n"/>
    </row>
    <row r="675" ht="13" customHeight="1" s="189">
      <c r="A675" s="289" t="n"/>
      <c r="B675" s="290" t="n"/>
      <c r="C675" s="290" t="n"/>
      <c r="D675" s="291" t="n"/>
      <c r="E675" s="290" t="n"/>
      <c r="F675" s="290" t="n"/>
      <c r="G675" s="290" t="n"/>
    </row>
    <row r="676" ht="13" customHeight="1" s="189">
      <c r="A676" s="289" t="n"/>
      <c r="B676" s="290" t="n"/>
      <c r="C676" s="290" t="n"/>
      <c r="D676" s="291" t="n"/>
      <c r="E676" s="290" t="n"/>
      <c r="F676" s="290" t="n"/>
      <c r="G676" s="290" t="n"/>
    </row>
    <row r="677" ht="13" customHeight="1" s="189">
      <c r="A677" s="289" t="n"/>
      <c r="B677" s="290" t="n"/>
      <c r="C677" s="290" t="n"/>
      <c r="D677" s="291" t="n"/>
      <c r="E677" s="290" t="n"/>
      <c r="F677" s="290" t="n"/>
      <c r="G677" s="290" t="n"/>
    </row>
    <row r="678" ht="13" customHeight="1" s="189">
      <c r="A678" s="289" t="n"/>
      <c r="B678" s="290" t="n"/>
      <c r="C678" s="290" t="n"/>
      <c r="D678" s="291" t="n"/>
      <c r="E678" s="290" t="n"/>
      <c r="F678" s="290" t="n"/>
      <c r="G678" s="290" t="n"/>
    </row>
    <row r="679" ht="13" customHeight="1" s="189">
      <c r="A679" s="289" t="n"/>
      <c r="B679" s="290" t="n"/>
      <c r="C679" s="290" t="n"/>
      <c r="D679" s="291" t="n"/>
      <c r="E679" s="290" t="n"/>
      <c r="F679" s="290" t="n"/>
      <c r="G679" s="290" t="n"/>
    </row>
    <row r="680" ht="13" customHeight="1" s="189">
      <c r="A680" s="289" t="n"/>
      <c r="B680" s="290" t="n"/>
      <c r="C680" s="290" t="n"/>
      <c r="D680" s="291" t="n"/>
      <c r="E680" s="290" t="n"/>
      <c r="F680" s="290" t="n"/>
      <c r="G680" s="290" t="n"/>
    </row>
    <row r="681" ht="13" customHeight="1" s="189">
      <c r="A681" s="289" t="n"/>
      <c r="B681" s="290" t="n"/>
      <c r="C681" s="290" t="n"/>
      <c r="D681" s="291" t="n"/>
      <c r="E681" s="290" t="n"/>
      <c r="F681" s="290" t="n"/>
      <c r="G681" s="290" t="n"/>
    </row>
    <row r="682" ht="13" customHeight="1" s="189">
      <c r="A682" s="289" t="n"/>
      <c r="B682" s="290" t="n"/>
      <c r="C682" s="290" t="n"/>
      <c r="D682" s="291" t="n"/>
      <c r="E682" s="290" t="n"/>
      <c r="F682" s="290" t="n"/>
      <c r="G682" s="290" t="n"/>
    </row>
    <row r="683" ht="13" customHeight="1" s="189">
      <c r="A683" s="289" t="n"/>
      <c r="B683" s="290" t="n"/>
      <c r="C683" s="290" t="n"/>
      <c r="D683" s="291" t="n"/>
      <c r="E683" s="290" t="n"/>
      <c r="F683" s="290" t="n"/>
      <c r="G683" s="290" t="n"/>
    </row>
    <row r="684" ht="13" customHeight="1" s="189">
      <c r="A684" s="289" t="n"/>
      <c r="B684" s="290" t="n"/>
      <c r="C684" s="290" t="n"/>
      <c r="D684" s="291" t="n"/>
      <c r="E684" s="290" t="n"/>
      <c r="F684" s="290" t="n"/>
      <c r="G684" s="290" t="n"/>
    </row>
    <row r="685" ht="13" customHeight="1" s="189">
      <c r="A685" s="289" t="n"/>
      <c r="B685" s="290" t="n"/>
      <c r="C685" s="290" t="n"/>
      <c r="D685" s="291" t="n"/>
      <c r="E685" s="290" t="n"/>
      <c r="F685" s="290" t="n"/>
      <c r="G685" s="290" t="n"/>
    </row>
    <row r="686" ht="13" customHeight="1" s="189">
      <c r="A686" s="289" t="n"/>
      <c r="B686" s="290" t="n"/>
      <c r="C686" s="290" t="n"/>
      <c r="D686" s="291" t="n"/>
      <c r="E686" s="290" t="n"/>
      <c r="F686" s="290" t="n"/>
      <c r="G686" s="290" t="n"/>
    </row>
    <row r="687" ht="13" customHeight="1" s="189">
      <c r="A687" s="289" t="n"/>
      <c r="B687" s="290" t="n"/>
      <c r="C687" s="290" t="n"/>
      <c r="D687" s="291" t="n"/>
      <c r="E687" s="290" t="n"/>
      <c r="F687" s="290" t="n"/>
      <c r="G687" s="290" t="n"/>
    </row>
    <row r="688" ht="13" customHeight="1" s="189">
      <c r="A688" s="289" t="n"/>
      <c r="B688" s="290" t="n"/>
      <c r="C688" s="290" t="n"/>
      <c r="D688" s="291" t="n"/>
      <c r="E688" s="290" t="n"/>
      <c r="F688" s="290" t="n"/>
      <c r="G688" s="290" t="n"/>
    </row>
    <row r="689" ht="13" customHeight="1" s="189">
      <c r="A689" s="289" t="n"/>
      <c r="B689" s="290" t="n"/>
      <c r="C689" s="290" t="n"/>
      <c r="D689" s="291" t="n"/>
      <c r="E689" s="290" t="n"/>
      <c r="F689" s="290" t="n"/>
      <c r="G689" s="290" t="n"/>
    </row>
    <row r="690" ht="13" customHeight="1" s="189">
      <c r="A690" s="289" t="n"/>
      <c r="B690" s="290" t="n"/>
      <c r="C690" s="290" t="n"/>
      <c r="D690" s="291" t="n"/>
      <c r="E690" s="290" t="n"/>
      <c r="F690" s="290" t="n"/>
      <c r="G690" s="290" t="n"/>
    </row>
    <row r="691" ht="13" customHeight="1" s="189">
      <c r="A691" s="289" t="n"/>
      <c r="B691" s="290" t="n"/>
      <c r="C691" s="290" t="n"/>
      <c r="D691" s="291" t="n"/>
      <c r="E691" s="290" t="n"/>
      <c r="F691" s="290" t="n"/>
      <c r="G691" s="290" t="n"/>
    </row>
    <row r="692" ht="13" customHeight="1" s="189">
      <c r="A692" s="289" t="n"/>
      <c r="B692" s="290" t="n"/>
      <c r="C692" s="290" t="n"/>
      <c r="D692" s="291" t="n"/>
      <c r="E692" s="290" t="n"/>
      <c r="F692" s="290" t="n"/>
      <c r="G692" s="290" t="n"/>
    </row>
    <row r="693" ht="13" customHeight="1" s="189">
      <c r="A693" s="289" t="n"/>
      <c r="B693" s="290" t="n"/>
      <c r="C693" s="290" t="n"/>
      <c r="D693" s="291" t="n"/>
      <c r="E693" s="290" t="n"/>
      <c r="F693" s="290" t="n"/>
      <c r="G693" s="290" t="n"/>
    </row>
    <row r="694" ht="13" customHeight="1" s="189">
      <c r="A694" s="289" t="n"/>
      <c r="B694" s="290" t="n"/>
      <c r="C694" s="290" t="n"/>
      <c r="D694" s="291" t="n"/>
      <c r="E694" s="290" t="n"/>
      <c r="F694" s="290" t="n"/>
      <c r="G694" s="290" t="n"/>
    </row>
    <row r="695" ht="13" customHeight="1" s="189">
      <c r="A695" s="289" t="n"/>
      <c r="B695" s="290" t="n"/>
      <c r="C695" s="290" t="n"/>
      <c r="D695" s="291" t="n"/>
      <c r="E695" s="290" t="n"/>
      <c r="F695" s="290" t="n"/>
      <c r="G695" s="290" t="n"/>
    </row>
    <row r="696" ht="13" customHeight="1" s="189">
      <c r="A696" s="289" t="n"/>
      <c r="B696" s="290" t="n"/>
      <c r="C696" s="290" t="n"/>
      <c r="D696" s="291" t="n"/>
      <c r="E696" s="290" t="n"/>
      <c r="F696" s="290" t="n"/>
      <c r="G696" s="290" t="n"/>
    </row>
    <row r="697" ht="13" customHeight="1" s="189">
      <c r="A697" s="289" t="n"/>
      <c r="B697" s="290" t="n"/>
      <c r="C697" s="290" t="n"/>
      <c r="D697" s="291" t="n"/>
      <c r="E697" s="290" t="n"/>
      <c r="F697" s="290" t="n"/>
      <c r="G697" s="290" t="n"/>
    </row>
    <row r="698" ht="13" customHeight="1" s="189">
      <c r="A698" s="289" t="n"/>
      <c r="B698" s="290" t="n"/>
      <c r="C698" s="290" t="n"/>
      <c r="D698" s="291" t="n"/>
      <c r="E698" s="290" t="n"/>
      <c r="F698" s="290" t="n"/>
      <c r="G698" s="290" t="n"/>
    </row>
    <row r="699" ht="13" customHeight="1" s="189">
      <c r="A699" s="289" t="n"/>
      <c r="B699" s="290" t="n"/>
      <c r="C699" s="290" t="n"/>
      <c r="D699" s="291" t="n"/>
      <c r="E699" s="290" t="n"/>
      <c r="F699" s="290" t="n"/>
      <c r="G699" s="290" t="n"/>
    </row>
    <row r="700" ht="13" customHeight="1" s="189">
      <c r="A700" s="289" t="n"/>
      <c r="B700" s="290" t="n"/>
      <c r="C700" s="290" t="n"/>
      <c r="D700" s="291" t="n"/>
      <c r="E700" s="290" t="n"/>
      <c r="F700" s="290" t="n"/>
      <c r="G700" s="290" t="n"/>
    </row>
    <row r="701" ht="13" customHeight="1" s="189">
      <c r="A701" s="289" t="n"/>
      <c r="B701" s="290" t="n"/>
      <c r="C701" s="290" t="n"/>
      <c r="D701" s="291" t="n"/>
      <c r="E701" s="290" t="n"/>
      <c r="F701" s="290" t="n"/>
      <c r="G701" s="290" t="n"/>
    </row>
    <row r="702" ht="13" customHeight="1" s="189">
      <c r="A702" s="289" t="n"/>
      <c r="B702" s="290" t="n"/>
      <c r="C702" s="290" t="n"/>
      <c r="D702" s="291" t="n"/>
      <c r="E702" s="290" t="n"/>
      <c r="F702" s="290" t="n"/>
      <c r="G702" s="290" t="n"/>
    </row>
    <row r="703" ht="13" customHeight="1" s="189">
      <c r="A703" s="289" t="n"/>
      <c r="B703" s="290" t="n"/>
      <c r="C703" s="290" t="n"/>
      <c r="D703" s="291" t="n"/>
      <c r="E703" s="290" t="n"/>
      <c r="F703" s="290" t="n"/>
      <c r="G703" s="290" t="n"/>
    </row>
    <row r="704" ht="13" customHeight="1" s="189">
      <c r="A704" s="289" t="n"/>
      <c r="B704" s="290" t="n"/>
      <c r="C704" s="290" t="n"/>
      <c r="D704" s="291" t="n"/>
      <c r="E704" s="290" t="n"/>
      <c r="F704" s="290" t="n"/>
      <c r="G704" s="290" t="n"/>
    </row>
    <row r="705" ht="13" customHeight="1" s="189">
      <c r="A705" s="289" t="n"/>
      <c r="B705" s="290" t="n"/>
      <c r="C705" s="290" t="n"/>
      <c r="D705" s="291" t="n"/>
      <c r="E705" s="290" t="n"/>
      <c r="F705" s="290" t="n"/>
      <c r="G705" s="290" t="n"/>
    </row>
    <row r="706" ht="13" customHeight="1" s="189">
      <c r="A706" s="289" t="n"/>
      <c r="B706" s="290" t="n"/>
      <c r="C706" s="290" t="n"/>
      <c r="D706" s="291" t="n"/>
      <c r="E706" s="290" t="n"/>
      <c r="F706" s="290" t="n"/>
      <c r="G706" s="290" t="n"/>
    </row>
    <row r="707" ht="13" customHeight="1" s="189">
      <c r="A707" s="289" t="n"/>
      <c r="B707" s="290" t="n"/>
      <c r="C707" s="290" t="n"/>
      <c r="D707" s="291" t="n"/>
      <c r="E707" s="290" t="n"/>
      <c r="F707" s="290" t="n"/>
      <c r="G707" s="290" t="n"/>
    </row>
    <row r="708" ht="13" customHeight="1" s="189">
      <c r="A708" s="289" t="n"/>
      <c r="B708" s="290" t="n"/>
      <c r="C708" s="290" t="n"/>
      <c r="D708" s="291" t="n"/>
      <c r="E708" s="290" t="n"/>
      <c r="F708" s="290" t="n"/>
      <c r="G708" s="290" t="n"/>
    </row>
    <row r="709" ht="13" customHeight="1" s="189">
      <c r="A709" s="289" t="n"/>
      <c r="B709" s="290" t="n"/>
      <c r="C709" s="290" t="n"/>
      <c r="D709" s="291" t="n"/>
      <c r="E709" s="290" t="n"/>
      <c r="F709" s="290" t="n"/>
      <c r="G709" s="290" t="n"/>
    </row>
    <row r="710" ht="13" customHeight="1" s="189">
      <c r="A710" s="289" t="n"/>
      <c r="B710" s="290" t="n"/>
      <c r="C710" s="290" t="n"/>
      <c r="D710" s="291" t="n"/>
      <c r="E710" s="290" t="n"/>
      <c r="F710" s="290" t="n"/>
      <c r="G710" s="290" t="n"/>
    </row>
    <row r="711" ht="13" customHeight="1" s="189">
      <c r="A711" s="289" t="n"/>
      <c r="B711" s="290" t="n"/>
      <c r="C711" s="290" t="n"/>
      <c r="D711" s="291" t="n"/>
      <c r="E711" s="290" t="n"/>
      <c r="F711" s="290" t="n"/>
      <c r="G711" s="290" t="n"/>
    </row>
    <row r="712" ht="13" customHeight="1" s="189">
      <c r="A712" s="289" t="n"/>
      <c r="B712" s="290" t="n"/>
      <c r="C712" s="290" t="n"/>
      <c r="D712" s="291" t="n"/>
      <c r="E712" s="290" t="n"/>
      <c r="F712" s="290" t="n"/>
      <c r="G712" s="290" t="n"/>
    </row>
    <row r="713" ht="13" customHeight="1" s="189">
      <c r="A713" s="289" t="n"/>
      <c r="B713" s="290" t="n"/>
      <c r="C713" s="290" t="n"/>
      <c r="D713" s="291" t="n"/>
      <c r="E713" s="290" t="n"/>
      <c r="F713" s="290" t="n"/>
      <c r="G713" s="290" t="n"/>
    </row>
    <row r="714" ht="13" customHeight="1" s="189">
      <c r="A714" s="289" t="n"/>
      <c r="B714" s="290" t="n"/>
      <c r="C714" s="290" t="n"/>
      <c r="D714" s="291" t="n"/>
      <c r="E714" s="290" t="n"/>
      <c r="F714" s="290" t="n"/>
      <c r="G714" s="290" t="n"/>
    </row>
    <row r="715" ht="13" customHeight="1" s="189">
      <c r="A715" s="289" t="n"/>
      <c r="B715" s="290" t="n"/>
      <c r="C715" s="290" t="n"/>
      <c r="D715" s="291" t="n"/>
      <c r="E715" s="290" t="n"/>
      <c r="F715" s="290" t="n"/>
      <c r="G715" s="290" t="n"/>
    </row>
    <row r="716" ht="13" customHeight="1" s="189">
      <c r="A716" s="289" t="n"/>
      <c r="B716" s="290" t="n"/>
      <c r="C716" s="290" t="n"/>
      <c r="D716" s="291" t="n"/>
      <c r="E716" s="290" t="n"/>
      <c r="F716" s="290" t="n"/>
      <c r="G716" s="290" t="n"/>
    </row>
    <row r="717" ht="13" customHeight="1" s="189">
      <c r="A717" s="289" t="n"/>
      <c r="B717" s="290" t="n"/>
      <c r="C717" s="290" t="n"/>
      <c r="D717" s="291" t="n"/>
      <c r="E717" s="290" t="n"/>
      <c r="F717" s="290" t="n"/>
      <c r="G717" s="290" t="n"/>
    </row>
    <row r="718" ht="13" customHeight="1" s="189">
      <c r="A718" s="289" t="n"/>
      <c r="B718" s="290" t="n"/>
      <c r="C718" s="290" t="n"/>
      <c r="D718" s="291" t="n"/>
      <c r="E718" s="290" t="n"/>
      <c r="F718" s="290" t="n"/>
      <c r="G718" s="290" t="n"/>
    </row>
    <row r="719" ht="13" customHeight="1" s="189">
      <c r="A719" s="289" t="n"/>
      <c r="B719" s="290" t="n"/>
      <c r="C719" s="290" t="n"/>
      <c r="D719" s="291" t="n"/>
      <c r="E719" s="290" t="n"/>
      <c r="F719" s="290" t="n"/>
      <c r="G719" s="290" t="n"/>
    </row>
    <row r="720" ht="13" customHeight="1" s="189">
      <c r="A720" s="289" t="n"/>
      <c r="B720" s="290" t="n"/>
      <c r="C720" s="290" t="n"/>
      <c r="D720" s="291" t="n"/>
      <c r="E720" s="290" t="n"/>
      <c r="F720" s="290" t="n"/>
      <c r="G720" s="290" t="n"/>
    </row>
    <row r="721" ht="13" customHeight="1" s="189">
      <c r="A721" s="289" t="n"/>
      <c r="B721" s="290" t="n"/>
      <c r="C721" s="290" t="n"/>
      <c r="D721" s="291" t="n"/>
      <c r="E721" s="290" t="n"/>
      <c r="F721" s="290" t="n"/>
      <c r="G721" s="290" t="n"/>
    </row>
    <row r="722" ht="13" customHeight="1" s="189">
      <c r="A722" s="289" t="n"/>
      <c r="B722" s="290" t="n"/>
      <c r="C722" s="290" t="n"/>
      <c r="D722" s="291" t="n"/>
      <c r="E722" s="290" t="n"/>
      <c r="F722" s="290" t="n"/>
      <c r="G722" s="290" t="n"/>
    </row>
    <row r="723" ht="13" customHeight="1" s="189">
      <c r="A723" s="289" t="n"/>
      <c r="B723" s="290" t="n"/>
      <c r="C723" s="290" t="n"/>
      <c r="D723" s="291" t="n"/>
      <c r="E723" s="290" t="n"/>
      <c r="F723" s="290" t="n"/>
      <c r="G723" s="290" t="n"/>
    </row>
    <row r="724" ht="13" customHeight="1" s="189">
      <c r="A724" s="289" t="n"/>
      <c r="B724" s="290" t="n"/>
      <c r="C724" s="290" t="n"/>
      <c r="D724" s="291" t="n"/>
      <c r="E724" s="290" t="n"/>
      <c r="F724" s="290" t="n"/>
      <c r="G724" s="290" t="n"/>
    </row>
    <row r="725" ht="13" customHeight="1" s="189">
      <c r="A725" s="289" t="n"/>
      <c r="B725" s="290" t="n"/>
      <c r="C725" s="290" t="n"/>
      <c r="D725" s="291" t="n"/>
      <c r="E725" s="290" t="n"/>
      <c r="F725" s="290" t="n"/>
      <c r="G725" s="290" t="n"/>
    </row>
    <row r="726" ht="13" customHeight="1" s="189">
      <c r="A726" s="289" t="n"/>
      <c r="B726" s="290" t="n"/>
      <c r="C726" s="290" t="n"/>
      <c r="D726" s="291" t="n"/>
      <c r="E726" s="290" t="n"/>
      <c r="F726" s="290" t="n"/>
      <c r="G726" s="290" t="n"/>
    </row>
    <row r="727" ht="13" customHeight="1" s="189">
      <c r="A727" s="289" t="n"/>
      <c r="B727" s="290" t="n"/>
      <c r="C727" s="290" t="n"/>
      <c r="D727" s="291" t="n"/>
      <c r="E727" s="290" t="n"/>
      <c r="F727" s="290" t="n"/>
      <c r="G727" s="290" t="n"/>
    </row>
    <row r="728" ht="13" customHeight="1" s="189">
      <c r="A728" s="289" t="n"/>
      <c r="B728" s="290" t="n"/>
      <c r="C728" s="290" t="n"/>
      <c r="D728" s="291" t="n"/>
      <c r="E728" s="290" t="n"/>
      <c r="F728" s="290" t="n"/>
      <c r="G728" s="290" t="n"/>
    </row>
    <row r="729" ht="13" customHeight="1" s="189">
      <c r="A729" s="289" t="n"/>
      <c r="B729" s="290" t="n"/>
      <c r="C729" s="290" t="n"/>
      <c r="D729" s="291" t="n"/>
      <c r="E729" s="290" t="n"/>
      <c r="F729" s="290" t="n"/>
      <c r="G729" s="290" t="n"/>
    </row>
    <row r="730" ht="13" customHeight="1" s="189">
      <c r="A730" s="289" t="n"/>
      <c r="B730" s="290" t="n"/>
      <c r="C730" s="290" t="n"/>
      <c r="D730" s="291" t="n"/>
      <c r="E730" s="290" t="n"/>
      <c r="F730" s="290" t="n"/>
      <c r="G730" s="290" t="n"/>
    </row>
    <row r="731" ht="13" customHeight="1" s="189">
      <c r="A731" s="289" t="n"/>
      <c r="B731" s="290" t="n"/>
      <c r="C731" s="290" t="n"/>
      <c r="D731" s="291" t="n"/>
      <c r="E731" s="290" t="n"/>
      <c r="F731" s="290" t="n"/>
      <c r="G731" s="290" t="n"/>
    </row>
    <row r="732" ht="13" customHeight="1" s="189">
      <c r="A732" s="289" t="n"/>
      <c r="B732" s="290" t="n"/>
      <c r="C732" s="290" t="n"/>
      <c r="D732" s="291" t="n"/>
      <c r="E732" s="290" t="n"/>
      <c r="F732" s="290" t="n"/>
      <c r="G732" s="290" t="n"/>
    </row>
    <row r="733" ht="13" customHeight="1" s="189">
      <c r="A733" s="289" t="n"/>
      <c r="B733" s="290" t="n"/>
      <c r="C733" s="290" t="n"/>
      <c r="D733" s="291" t="n"/>
      <c r="E733" s="290" t="n"/>
      <c r="F733" s="290" t="n"/>
      <c r="G733" s="290" t="n"/>
    </row>
    <row r="734" ht="13" customHeight="1" s="189">
      <c r="A734" s="289" t="n"/>
      <c r="B734" s="290" t="n"/>
      <c r="C734" s="290" t="n"/>
      <c r="D734" s="291" t="n"/>
      <c r="E734" s="290" t="n"/>
      <c r="F734" s="290" t="n"/>
      <c r="G734" s="290" t="n"/>
    </row>
    <row r="735" ht="13" customHeight="1" s="189">
      <c r="A735" s="289" t="n"/>
      <c r="B735" s="290" t="n"/>
      <c r="C735" s="290" t="n"/>
      <c r="D735" s="291" t="n"/>
      <c r="E735" s="290" t="n"/>
      <c r="F735" s="290" t="n"/>
      <c r="G735" s="290" t="n"/>
    </row>
    <row r="736" ht="13" customHeight="1" s="189">
      <c r="A736" s="289" t="n"/>
      <c r="B736" s="290" t="n"/>
      <c r="C736" s="290" t="n"/>
      <c r="D736" s="291" t="n"/>
      <c r="E736" s="290" t="n"/>
      <c r="F736" s="290" t="n"/>
      <c r="G736" s="290" t="n"/>
    </row>
    <row r="737" ht="13" customHeight="1" s="189">
      <c r="A737" s="289" t="n"/>
      <c r="B737" s="290" t="n"/>
      <c r="C737" s="290" t="n"/>
      <c r="D737" s="291" t="n"/>
      <c r="E737" s="290" t="n"/>
      <c r="F737" s="290" t="n"/>
      <c r="G737" s="290" t="n"/>
    </row>
    <row r="738" ht="13" customHeight="1" s="189">
      <c r="A738" s="289" t="n"/>
      <c r="B738" s="290" t="n"/>
      <c r="C738" s="290" t="n"/>
      <c r="D738" s="291" t="n"/>
      <c r="E738" s="290" t="n"/>
      <c r="F738" s="290" t="n"/>
      <c r="G738" s="290" t="n"/>
    </row>
    <row r="739" ht="13" customHeight="1" s="189">
      <c r="A739" s="289" t="n"/>
      <c r="B739" s="290" t="n"/>
      <c r="C739" s="290" t="n"/>
      <c r="D739" s="291" t="n"/>
      <c r="E739" s="290" t="n"/>
      <c r="F739" s="290" t="n"/>
      <c r="G739" s="290" t="n"/>
    </row>
    <row r="740" ht="13" customHeight="1" s="189">
      <c r="A740" s="289" t="n"/>
      <c r="B740" s="290" t="n"/>
      <c r="C740" s="290" t="n"/>
      <c r="D740" s="291" t="n"/>
      <c r="E740" s="290" t="n"/>
      <c r="F740" s="290" t="n"/>
      <c r="G740" s="290" t="n"/>
    </row>
    <row r="741" ht="13" customHeight="1" s="189">
      <c r="A741" s="289" t="n"/>
      <c r="B741" s="290" t="n"/>
      <c r="C741" s="290" t="n"/>
      <c r="D741" s="291" t="n"/>
      <c r="E741" s="290" t="n"/>
      <c r="F741" s="290" t="n"/>
      <c r="G741" s="290" t="n"/>
    </row>
    <row r="742" ht="13" customHeight="1" s="189">
      <c r="A742" s="289" t="n"/>
      <c r="B742" s="290" t="n"/>
      <c r="C742" s="290" t="n"/>
      <c r="D742" s="291" t="n"/>
      <c r="E742" s="290" t="n"/>
      <c r="F742" s="290" t="n"/>
      <c r="G742" s="290" t="n"/>
    </row>
    <row r="743" ht="13" customHeight="1" s="189">
      <c r="A743" s="289" t="n"/>
      <c r="B743" s="290" t="n"/>
      <c r="C743" s="290" t="n"/>
      <c r="D743" s="291" t="n"/>
      <c r="E743" s="290" t="n"/>
      <c r="F743" s="290" t="n"/>
      <c r="G743" s="290" t="n"/>
    </row>
    <row r="744" ht="13" customHeight="1" s="189">
      <c r="A744" s="289" t="n"/>
      <c r="B744" s="290" t="n"/>
      <c r="C744" s="290" t="n"/>
      <c r="D744" s="291" t="n"/>
      <c r="E744" s="290" t="n"/>
      <c r="F744" s="290" t="n"/>
      <c r="G744" s="290" t="n"/>
    </row>
    <row r="745" ht="13" customHeight="1" s="189">
      <c r="A745" s="289" t="n"/>
      <c r="B745" s="290" t="n"/>
      <c r="C745" s="290" t="n"/>
      <c r="D745" s="291" t="n"/>
      <c r="E745" s="290" t="n"/>
      <c r="F745" s="290" t="n"/>
      <c r="G745" s="290" t="n"/>
    </row>
    <row r="746" ht="13" customHeight="1" s="189">
      <c r="A746" s="289" t="n"/>
      <c r="B746" s="290" t="n"/>
      <c r="C746" s="290" t="n"/>
      <c r="D746" s="291" t="n"/>
      <c r="E746" s="290" t="n"/>
      <c r="F746" s="290" t="n"/>
      <c r="G746" s="290" t="n"/>
    </row>
    <row r="747" ht="13" customHeight="1" s="189">
      <c r="A747" s="289" t="n"/>
      <c r="B747" s="290" t="n"/>
      <c r="C747" s="290" t="n"/>
      <c r="D747" s="291" t="n"/>
      <c r="E747" s="290" t="n"/>
      <c r="F747" s="290" t="n"/>
      <c r="G747" s="290" t="n"/>
    </row>
    <row r="748" ht="13" customHeight="1" s="189">
      <c r="A748" s="289" t="n"/>
      <c r="B748" s="290" t="n"/>
      <c r="C748" s="290" t="n"/>
      <c r="D748" s="291" t="n"/>
      <c r="E748" s="290" t="n"/>
      <c r="F748" s="290" t="n"/>
      <c r="G748" s="290" t="n"/>
    </row>
    <row r="749" ht="13" customHeight="1" s="189">
      <c r="A749" s="289" t="n"/>
      <c r="B749" s="290" t="n"/>
      <c r="C749" s="290" t="n"/>
      <c r="D749" s="291" t="n"/>
      <c r="E749" s="290" t="n"/>
      <c r="F749" s="290" t="n"/>
      <c r="G749" s="290" t="n"/>
    </row>
    <row r="750" ht="13" customHeight="1" s="189">
      <c r="A750" s="289" t="n"/>
      <c r="B750" s="290" t="n"/>
      <c r="C750" s="290" t="n"/>
      <c r="D750" s="291" t="n"/>
      <c r="E750" s="290" t="n"/>
      <c r="F750" s="290" t="n"/>
      <c r="G750" s="290" t="n"/>
    </row>
    <row r="751" ht="13" customHeight="1" s="189">
      <c r="A751" s="289" t="n"/>
      <c r="B751" s="290" t="n"/>
      <c r="C751" s="290" t="n"/>
      <c r="D751" s="291" t="n"/>
      <c r="E751" s="290" t="n"/>
      <c r="F751" s="290" t="n"/>
      <c r="G751" s="290" t="n"/>
    </row>
    <row r="752" ht="13" customHeight="1" s="189">
      <c r="A752" s="289" t="n"/>
      <c r="B752" s="290" t="n"/>
      <c r="C752" s="290" t="n"/>
      <c r="D752" s="291" t="n"/>
      <c r="E752" s="290" t="n"/>
      <c r="F752" s="290" t="n"/>
      <c r="G752" s="290" t="n"/>
    </row>
    <row r="753" ht="13" customHeight="1" s="189">
      <c r="A753" s="289" t="n"/>
      <c r="B753" s="290" t="n"/>
      <c r="C753" s="290" t="n"/>
      <c r="D753" s="291" t="n"/>
      <c r="E753" s="290" t="n"/>
      <c r="F753" s="290" t="n"/>
      <c r="G753" s="290" t="n"/>
    </row>
    <row r="754" ht="13" customHeight="1" s="189">
      <c r="A754" s="289" t="n"/>
      <c r="B754" s="290" t="n"/>
      <c r="C754" s="290" t="n"/>
      <c r="D754" s="291" t="n"/>
      <c r="E754" s="290" t="n"/>
      <c r="F754" s="290" t="n"/>
      <c r="G754" s="290" t="n"/>
    </row>
    <row r="755" ht="13" customHeight="1" s="189">
      <c r="A755" s="289" t="n"/>
      <c r="B755" s="290" t="n"/>
      <c r="C755" s="290" t="n"/>
      <c r="D755" s="291" t="n"/>
      <c r="E755" s="290" t="n"/>
      <c r="F755" s="290" t="n"/>
      <c r="G755" s="290" t="n"/>
    </row>
    <row r="756" ht="13" customHeight="1" s="189">
      <c r="A756" s="289" t="n"/>
      <c r="B756" s="290" t="n"/>
      <c r="C756" s="290" t="n"/>
      <c r="D756" s="291" t="n"/>
      <c r="E756" s="290" t="n"/>
      <c r="F756" s="290" t="n"/>
      <c r="G756" s="290" t="n"/>
    </row>
    <row r="757" ht="13" customHeight="1" s="189">
      <c r="A757" s="289" t="n"/>
      <c r="B757" s="290" t="n"/>
      <c r="C757" s="290" t="n"/>
      <c r="D757" s="291" t="n"/>
      <c r="E757" s="290" t="n"/>
      <c r="F757" s="290" t="n"/>
      <c r="G757" s="290" t="n"/>
    </row>
    <row r="758" ht="13" customHeight="1" s="189">
      <c r="A758" s="289" t="n"/>
      <c r="B758" s="290" t="n"/>
      <c r="C758" s="290" t="n"/>
      <c r="D758" s="291" t="n"/>
      <c r="E758" s="290" t="n"/>
      <c r="F758" s="290" t="n"/>
      <c r="G758" s="290" t="n"/>
    </row>
    <row r="759" ht="13" customHeight="1" s="189">
      <c r="A759" s="289" t="n"/>
      <c r="B759" s="290" t="n"/>
      <c r="C759" s="290" t="n"/>
      <c r="D759" s="291" t="n"/>
      <c r="E759" s="290" t="n"/>
      <c r="F759" s="290" t="n"/>
      <c r="G759" s="290" t="n"/>
    </row>
    <row r="760" ht="13" customHeight="1" s="189">
      <c r="A760" s="289" t="n"/>
      <c r="B760" s="290" t="n"/>
      <c r="C760" s="290" t="n"/>
      <c r="D760" s="291" t="n"/>
      <c r="E760" s="290" t="n"/>
      <c r="F760" s="290" t="n"/>
      <c r="G760" s="290" t="n"/>
    </row>
    <row r="761" ht="13" customHeight="1" s="189">
      <c r="A761" s="289" t="n"/>
      <c r="B761" s="290" t="n"/>
      <c r="C761" s="290" t="n"/>
      <c r="D761" s="291" t="n"/>
      <c r="E761" s="290" t="n"/>
      <c r="F761" s="290" t="n"/>
      <c r="G761" s="290" t="n"/>
    </row>
    <row r="762" ht="13" customHeight="1" s="189">
      <c r="A762" s="289" t="n"/>
      <c r="B762" s="290" t="n"/>
      <c r="C762" s="290" t="n"/>
      <c r="D762" s="291" t="n"/>
      <c r="E762" s="290" t="n"/>
      <c r="F762" s="290" t="n"/>
      <c r="G762" s="290" t="n"/>
    </row>
    <row r="763" ht="13" customHeight="1" s="189">
      <c r="A763" s="289" t="n"/>
      <c r="B763" s="290" t="n"/>
      <c r="C763" s="290" t="n"/>
      <c r="D763" s="291" t="n"/>
      <c r="E763" s="290" t="n"/>
      <c r="F763" s="290" t="n"/>
      <c r="G763" s="290" t="n"/>
    </row>
    <row r="764" ht="13" customHeight="1" s="189">
      <c r="A764" s="289" t="n"/>
      <c r="B764" s="290" t="n"/>
      <c r="C764" s="290" t="n"/>
      <c r="D764" s="291" t="n"/>
      <c r="E764" s="290" t="n"/>
      <c r="F764" s="290" t="n"/>
      <c r="G764" s="290" t="n"/>
    </row>
    <row r="765" ht="13" customHeight="1" s="189">
      <c r="A765" s="289" t="n"/>
      <c r="B765" s="290" t="n"/>
      <c r="C765" s="290" t="n"/>
      <c r="D765" s="291" t="n"/>
      <c r="E765" s="290" t="n"/>
      <c r="F765" s="290" t="n"/>
      <c r="G765" s="290" t="n"/>
    </row>
    <row r="766" ht="13" customHeight="1" s="189">
      <c r="A766" s="289" t="n"/>
      <c r="B766" s="290" t="n"/>
      <c r="C766" s="290" t="n"/>
      <c r="D766" s="291" t="n"/>
      <c r="E766" s="290" t="n"/>
      <c r="F766" s="290" t="n"/>
      <c r="G766" s="290" t="n"/>
    </row>
    <row r="767" ht="13" customHeight="1" s="189">
      <c r="A767" s="289" t="n"/>
      <c r="B767" s="290" t="n"/>
      <c r="C767" s="290" t="n"/>
      <c r="D767" s="291" t="n"/>
      <c r="E767" s="290" t="n"/>
      <c r="F767" s="290" t="n"/>
      <c r="G767" s="290" t="n"/>
    </row>
    <row r="768" ht="13" customHeight="1" s="189">
      <c r="A768" s="289" t="n"/>
      <c r="B768" s="290" t="n"/>
      <c r="C768" s="290" t="n"/>
      <c r="D768" s="291" t="n"/>
      <c r="E768" s="290" t="n"/>
      <c r="F768" s="290" t="n"/>
      <c r="G768" s="290" t="n"/>
    </row>
    <row r="769" ht="13" customHeight="1" s="189">
      <c r="A769" s="289" t="n"/>
      <c r="B769" s="290" t="n"/>
      <c r="C769" s="290" t="n"/>
      <c r="D769" s="291" t="n"/>
      <c r="E769" s="290" t="n"/>
      <c r="F769" s="290" t="n"/>
      <c r="G769" s="290" t="n"/>
    </row>
    <row r="770" ht="13" customHeight="1" s="189">
      <c r="A770" s="289" t="n"/>
      <c r="B770" s="290" t="n"/>
      <c r="C770" s="290" t="n"/>
      <c r="D770" s="291" t="n"/>
      <c r="E770" s="290" t="n"/>
      <c r="F770" s="290" t="n"/>
      <c r="G770" s="290" t="n"/>
    </row>
    <row r="771" ht="13" customHeight="1" s="189">
      <c r="A771" s="289" t="n"/>
      <c r="B771" s="290" t="n"/>
      <c r="C771" s="290" t="n"/>
      <c r="D771" s="291" t="n"/>
      <c r="E771" s="290" t="n"/>
      <c r="F771" s="290" t="n"/>
      <c r="G771" s="290" t="n"/>
    </row>
    <row r="772" ht="13" customHeight="1" s="189">
      <c r="A772" s="289" t="n"/>
      <c r="B772" s="290" t="n"/>
      <c r="C772" s="290" t="n"/>
      <c r="D772" s="291" t="n"/>
      <c r="E772" s="290" t="n"/>
      <c r="F772" s="290" t="n"/>
      <c r="G772" s="290" t="n"/>
    </row>
    <row r="773" ht="13" customHeight="1" s="189">
      <c r="A773" s="289" t="n"/>
      <c r="B773" s="290" t="n"/>
      <c r="C773" s="290" t="n"/>
      <c r="D773" s="291" t="n"/>
      <c r="E773" s="290" t="n"/>
      <c r="F773" s="290" t="n"/>
      <c r="G773" s="290" t="n"/>
    </row>
    <row r="774" ht="13" customHeight="1" s="189">
      <c r="A774" s="289" t="n"/>
      <c r="B774" s="290" t="n"/>
      <c r="C774" s="290" t="n"/>
      <c r="D774" s="291" t="n"/>
      <c r="E774" s="290" t="n"/>
      <c r="F774" s="290" t="n"/>
      <c r="G774" s="290" t="n"/>
    </row>
    <row r="775" ht="13" customHeight="1" s="189">
      <c r="A775" s="289" t="n"/>
      <c r="B775" s="290" t="n"/>
      <c r="C775" s="290" t="n"/>
      <c r="D775" s="291" t="n"/>
      <c r="E775" s="290" t="n"/>
      <c r="F775" s="290" t="n"/>
      <c r="G775" s="290" t="n"/>
    </row>
    <row r="776" ht="13" customHeight="1" s="189">
      <c r="A776" s="289" t="n"/>
      <c r="B776" s="290" t="n"/>
      <c r="C776" s="290" t="n"/>
      <c r="D776" s="291" t="n"/>
      <c r="E776" s="290" t="n"/>
      <c r="F776" s="290" t="n"/>
      <c r="G776" s="290" t="n"/>
    </row>
    <row r="777" ht="13" customHeight="1" s="189">
      <c r="A777" s="289" t="n"/>
      <c r="B777" s="290" t="n"/>
      <c r="C777" s="290" t="n"/>
      <c r="D777" s="291" t="n"/>
      <c r="E777" s="290" t="n"/>
      <c r="F777" s="290" t="n"/>
      <c r="G777" s="290" t="n"/>
    </row>
    <row r="778" ht="13" customHeight="1" s="189">
      <c r="A778" s="289" t="n"/>
      <c r="B778" s="290" t="n"/>
      <c r="C778" s="290" t="n"/>
      <c r="D778" s="291" t="n"/>
      <c r="E778" s="290" t="n"/>
      <c r="F778" s="290" t="n"/>
      <c r="G778" s="290" t="n"/>
    </row>
    <row r="779" ht="13" customHeight="1" s="189">
      <c r="A779" s="289" t="n"/>
      <c r="B779" s="290" t="n"/>
      <c r="C779" s="290" t="n"/>
      <c r="D779" s="291" t="n"/>
      <c r="E779" s="290" t="n"/>
      <c r="F779" s="290" t="n"/>
      <c r="G779" s="290" t="n"/>
    </row>
    <row r="780" ht="13" customHeight="1" s="189">
      <c r="A780" s="289" t="n"/>
      <c r="B780" s="290" t="n"/>
      <c r="C780" s="290" t="n"/>
      <c r="D780" s="291" t="n"/>
      <c r="E780" s="290" t="n"/>
      <c r="F780" s="290" t="n"/>
      <c r="G780" s="290" t="n"/>
    </row>
    <row r="781" ht="13" customHeight="1" s="189">
      <c r="A781" s="289" t="n"/>
      <c r="B781" s="290" t="n"/>
      <c r="C781" s="290" t="n"/>
      <c r="D781" s="291" t="n"/>
      <c r="E781" s="290" t="n"/>
      <c r="F781" s="290" t="n"/>
      <c r="G781" s="290" t="n"/>
    </row>
    <row r="782" ht="13" customHeight="1" s="189">
      <c r="A782" s="289" t="n"/>
      <c r="B782" s="290" t="n"/>
      <c r="C782" s="290" t="n"/>
      <c r="D782" s="291" t="n"/>
      <c r="E782" s="290" t="n"/>
      <c r="F782" s="290" t="n"/>
      <c r="G782" s="290" t="n"/>
    </row>
    <row r="783" ht="13" customHeight="1" s="189">
      <c r="A783" s="289" t="n"/>
      <c r="B783" s="290" t="n"/>
      <c r="C783" s="290" t="n"/>
      <c r="D783" s="291" t="n"/>
      <c r="E783" s="290" t="n"/>
      <c r="F783" s="290" t="n"/>
      <c r="G783" s="290" t="n"/>
    </row>
    <row r="784" ht="13" customHeight="1" s="189">
      <c r="A784" s="289" t="n"/>
      <c r="B784" s="290" t="n"/>
      <c r="C784" s="290" t="n"/>
      <c r="D784" s="291" t="n"/>
      <c r="E784" s="290" t="n"/>
      <c r="F784" s="290" t="n"/>
      <c r="G784" s="290" t="n"/>
    </row>
    <row r="785" ht="13" customHeight="1" s="189">
      <c r="A785" s="289" t="n"/>
      <c r="B785" s="290" t="n"/>
      <c r="C785" s="290" t="n"/>
      <c r="D785" s="291" t="n"/>
      <c r="E785" s="290" t="n"/>
      <c r="F785" s="290" t="n"/>
      <c r="G785" s="290" t="n"/>
    </row>
    <row r="786" ht="13" customHeight="1" s="189">
      <c r="A786" s="289" t="n"/>
      <c r="B786" s="290" t="n"/>
      <c r="C786" s="290" t="n"/>
      <c r="D786" s="291" t="n"/>
      <c r="E786" s="290" t="n"/>
      <c r="F786" s="290" t="n"/>
      <c r="G786" s="290" t="n"/>
    </row>
    <row r="787" ht="13" customHeight="1" s="189">
      <c r="A787" s="289" t="n"/>
      <c r="B787" s="290" t="n"/>
      <c r="C787" s="290" t="n"/>
      <c r="D787" s="291" t="n"/>
      <c r="E787" s="290" t="n"/>
      <c r="F787" s="290" t="n"/>
      <c r="G787" s="290" t="n"/>
    </row>
    <row r="788" ht="13" customHeight="1" s="189">
      <c r="A788" s="289" t="n"/>
      <c r="B788" s="290" t="n"/>
      <c r="C788" s="290" t="n"/>
      <c r="D788" s="291" t="n"/>
      <c r="E788" s="290" t="n"/>
      <c r="F788" s="290" t="n"/>
      <c r="G788" s="290" t="n"/>
    </row>
    <row r="789" ht="13" customHeight="1" s="189">
      <c r="A789" s="289" t="n"/>
      <c r="B789" s="290" t="n"/>
      <c r="C789" s="290" t="n"/>
      <c r="D789" s="291" t="n"/>
      <c r="E789" s="290" t="n"/>
      <c r="F789" s="290" t="n"/>
      <c r="G789" s="290" t="n"/>
    </row>
    <row r="790" ht="13" customHeight="1" s="189">
      <c r="A790" s="289" t="n"/>
      <c r="B790" s="290" t="n"/>
      <c r="C790" s="290" t="n"/>
      <c r="D790" s="291" t="n"/>
      <c r="E790" s="290" t="n"/>
      <c r="F790" s="290" t="n"/>
      <c r="G790" s="290" t="n"/>
    </row>
    <row r="791" ht="13" customHeight="1" s="189">
      <c r="A791" s="289" t="n"/>
      <c r="B791" s="290" t="n"/>
      <c r="C791" s="290" t="n"/>
      <c r="D791" s="291" t="n"/>
      <c r="E791" s="290" t="n"/>
      <c r="F791" s="290" t="n"/>
      <c r="G791" s="290" t="n"/>
    </row>
    <row r="792" ht="13" customHeight="1" s="189">
      <c r="A792" s="289" t="n"/>
      <c r="B792" s="290" t="n"/>
      <c r="C792" s="290" t="n"/>
      <c r="D792" s="291" t="n"/>
      <c r="E792" s="290" t="n"/>
      <c r="F792" s="290" t="n"/>
      <c r="G792" s="290" t="n"/>
    </row>
    <row r="793" ht="13" customHeight="1" s="189">
      <c r="A793" s="289" t="n"/>
      <c r="B793" s="290" t="n"/>
      <c r="C793" s="290" t="n"/>
      <c r="D793" s="291" t="n"/>
      <c r="E793" s="290" t="n"/>
      <c r="F793" s="290" t="n"/>
      <c r="G793" s="290" t="n"/>
    </row>
    <row r="794" ht="13" customHeight="1" s="189">
      <c r="A794" s="289" t="n"/>
      <c r="B794" s="290" t="n"/>
      <c r="C794" s="290" t="n"/>
      <c r="D794" s="291" t="n"/>
      <c r="E794" s="290" t="n"/>
      <c r="F794" s="290" t="n"/>
      <c r="G794" s="290" t="n"/>
    </row>
    <row r="795" ht="13" customHeight="1" s="189">
      <c r="A795" s="289" t="n"/>
      <c r="B795" s="290" t="n"/>
      <c r="C795" s="290" t="n"/>
      <c r="D795" s="291" t="n"/>
      <c r="E795" s="290" t="n"/>
      <c r="F795" s="290" t="n"/>
      <c r="G795" s="290" t="n"/>
    </row>
    <row r="796" ht="13" customHeight="1" s="189">
      <c r="A796" s="289" t="n"/>
      <c r="B796" s="290" t="n"/>
      <c r="C796" s="290" t="n"/>
      <c r="D796" s="291" t="n"/>
      <c r="E796" s="290" t="n"/>
      <c r="F796" s="290" t="n"/>
      <c r="G796" s="290" t="n"/>
    </row>
    <row r="797" ht="13" customHeight="1" s="189">
      <c r="A797" s="289" t="n"/>
      <c r="B797" s="290" t="n"/>
      <c r="C797" s="290" t="n"/>
      <c r="D797" s="291" t="n"/>
      <c r="E797" s="290" t="n"/>
      <c r="F797" s="290" t="n"/>
      <c r="G797" s="290" t="n"/>
    </row>
    <row r="798" ht="13" customHeight="1" s="189">
      <c r="A798" s="289" t="n"/>
      <c r="B798" s="290" t="n"/>
      <c r="C798" s="290" t="n"/>
      <c r="D798" s="291" t="n"/>
      <c r="E798" s="290" t="n"/>
      <c r="F798" s="290" t="n"/>
      <c r="G798" s="290" t="n"/>
    </row>
    <row r="799" ht="13" customHeight="1" s="189">
      <c r="A799" s="289" t="n"/>
      <c r="B799" s="290" t="n"/>
      <c r="C799" s="290" t="n"/>
      <c r="D799" s="291" t="n"/>
      <c r="E799" s="290" t="n"/>
      <c r="F799" s="290" t="n"/>
      <c r="G799" s="290" t="n"/>
    </row>
    <row r="800" ht="13" customHeight="1" s="189">
      <c r="A800" s="289" t="n"/>
      <c r="B800" s="290" t="n"/>
      <c r="C800" s="290" t="n"/>
      <c r="D800" s="291" t="n"/>
      <c r="E800" s="290" t="n"/>
      <c r="F800" s="290" t="n"/>
      <c r="G800" s="290" t="n"/>
    </row>
    <row r="801" ht="13" customHeight="1" s="189">
      <c r="A801" s="289" t="n"/>
      <c r="B801" s="290" t="n"/>
      <c r="C801" s="290" t="n"/>
      <c r="D801" s="291" t="n"/>
      <c r="E801" s="290" t="n"/>
      <c r="F801" s="290" t="n"/>
      <c r="G801" s="290" t="n"/>
    </row>
    <row r="802" ht="13" customHeight="1" s="189">
      <c r="A802" s="289" t="n"/>
      <c r="B802" s="290" t="n"/>
      <c r="C802" s="290" t="n"/>
      <c r="D802" s="291" t="n"/>
      <c r="E802" s="290" t="n"/>
      <c r="F802" s="290" t="n"/>
      <c r="G802" s="290" t="n"/>
    </row>
    <row r="803" ht="13" customHeight="1" s="189">
      <c r="A803" s="289" t="n"/>
      <c r="B803" s="290" t="n"/>
      <c r="C803" s="290" t="n"/>
      <c r="D803" s="291" t="n"/>
      <c r="E803" s="290" t="n"/>
      <c r="F803" s="290" t="n"/>
      <c r="G803" s="290" t="n"/>
    </row>
    <row r="804" ht="13" customHeight="1" s="189">
      <c r="A804" s="289" t="n"/>
      <c r="B804" s="290" t="n"/>
      <c r="C804" s="290" t="n"/>
      <c r="D804" s="291" t="n"/>
      <c r="E804" s="290" t="n"/>
      <c r="F804" s="290" t="n"/>
      <c r="G804" s="290" t="n"/>
    </row>
    <row r="805" ht="13" customHeight="1" s="189">
      <c r="A805" s="289" t="n"/>
      <c r="B805" s="290" t="n"/>
      <c r="C805" s="290" t="n"/>
      <c r="D805" s="291" t="n"/>
      <c r="E805" s="290" t="n"/>
      <c r="F805" s="290" t="n"/>
      <c r="G805" s="290" t="n"/>
    </row>
    <row r="806" ht="13" customHeight="1" s="189">
      <c r="A806" s="289" t="n"/>
      <c r="B806" s="290" t="n"/>
      <c r="C806" s="290" t="n"/>
      <c r="D806" s="291" t="n"/>
      <c r="E806" s="290" t="n"/>
      <c r="F806" s="290" t="n"/>
      <c r="G806" s="290" t="n"/>
    </row>
    <row r="807" ht="13" customHeight="1" s="189">
      <c r="A807" s="289" t="n"/>
      <c r="B807" s="290" t="n"/>
      <c r="C807" s="290" t="n"/>
      <c r="D807" s="291" t="n"/>
      <c r="E807" s="290" t="n"/>
      <c r="F807" s="290" t="n"/>
      <c r="G807" s="290" t="n"/>
    </row>
    <row r="808" ht="13" customHeight="1" s="189">
      <c r="A808" s="289" t="n"/>
      <c r="B808" s="290" t="n"/>
      <c r="C808" s="290" t="n"/>
      <c r="D808" s="291" t="n"/>
      <c r="E808" s="290" t="n"/>
      <c r="F808" s="290" t="n"/>
      <c r="G808" s="290" t="n"/>
    </row>
    <row r="809" ht="13" customHeight="1" s="189">
      <c r="A809" s="289" t="n"/>
      <c r="B809" s="290" t="n"/>
      <c r="C809" s="290" t="n"/>
      <c r="D809" s="291" t="n"/>
      <c r="E809" s="290" t="n"/>
      <c r="F809" s="290" t="n"/>
      <c r="G809" s="290" t="n"/>
    </row>
    <row r="810" ht="13" customHeight="1" s="189">
      <c r="A810" s="289" t="n"/>
      <c r="B810" s="290" t="n"/>
      <c r="C810" s="290" t="n"/>
      <c r="D810" s="291" t="n"/>
      <c r="E810" s="290" t="n"/>
      <c r="F810" s="290" t="n"/>
      <c r="G810" s="290" t="n"/>
    </row>
    <row r="811" ht="13" customHeight="1" s="189">
      <c r="A811" s="289" t="n"/>
      <c r="B811" s="290" t="n"/>
      <c r="C811" s="290" t="n"/>
      <c r="D811" s="291" t="n"/>
      <c r="E811" s="290" t="n"/>
      <c r="F811" s="290" t="n"/>
      <c r="G811" s="290" t="n"/>
    </row>
    <row r="812" ht="13" customHeight="1" s="189">
      <c r="A812" s="289" t="n"/>
      <c r="B812" s="290" t="n"/>
      <c r="C812" s="290" t="n"/>
      <c r="D812" s="291" t="n"/>
      <c r="E812" s="290" t="n"/>
      <c r="F812" s="290" t="n"/>
      <c r="G812" s="290" t="n"/>
    </row>
    <row r="813" ht="13" customHeight="1" s="189">
      <c r="A813" s="289" t="n"/>
      <c r="B813" s="290" t="n"/>
      <c r="C813" s="290" t="n"/>
      <c r="D813" s="291" t="n"/>
      <c r="E813" s="290" t="n"/>
      <c r="F813" s="290" t="n"/>
      <c r="G813" s="290" t="n"/>
    </row>
    <row r="814" ht="13" customHeight="1" s="189">
      <c r="A814" s="289" t="n"/>
      <c r="B814" s="290" t="n"/>
      <c r="C814" s="290" t="n"/>
      <c r="D814" s="291" t="n"/>
      <c r="E814" s="290" t="n"/>
      <c r="F814" s="290" t="n"/>
      <c r="G814" s="290" t="n"/>
    </row>
    <row r="815" ht="13" customHeight="1" s="189">
      <c r="A815" s="289" t="n"/>
      <c r="B815" s="290" t="n"/>
      <c r="C815" s="290" t="n"/>
      <c r="D815" s="291" t="n"/>
      <c r="E815" s="290" t="n"/>
      <c r="F815" s="290" t="n"/>
      <c r="G815" s="290" t="n"/>
    </row>
    <row r="816" ht="13" customHeight="1" s="189">
      <c r="A816" s="289" t="n"/>
      <c r="B816" s="290" t="n"/>
      <c r="C816" s="290" t="n"/>
      <c r="D816" s="291" t="n"/>
      <c r="E816" s="290" t="n"/>
      <c r="F816" s="290" t="n"/>
      <c r="G816" s="290" t="n"/>
    </row>
    <row r="817" ht="13" customHeight="1" s="189">
      <c r="A817" s="289" t="n"/>
      <c r="B817" s="290" t="n"/>
      <c r="C817" s="290" t="n"/>
      <c r="D817" s="291" t="n"/>
      <c r="E817" s="290" t="n"/>
      <c r="F817" s="290" t="n"/>
      <c r="G817" s="290" t="n"/>
    </row>
    <row r="818" ht="13" customHeight="1" s="189">
      <c r="A818" s="289" t="n"/>
      <c r="B818" s="290" t="n"/>
      <c r="C818" s="290" t="n"/>
      <c r="D818" s="291" t="n"/>
      <c r="E818" s="290" t="n"/>
      <c r="F818" s="290" t="n"/>
      <c r="G818" s="290" t="n"/>
    </row>
    <row r="819" ht="13" customHeight="1" s="189">
      <c r="A819" s="289" t="n"/>
      <c r="B819" s="290" t="n"/>
      <c r="C819" s="290" t="n"/>
      <c r="D819" s="291" t="n"/>
      <c r="E819" s="290" t="n"/>
      <c r="F819" s="290" t="n"/>
      <c r="G819" s="290" t="n"/>
    </row>
    <row r="820" ht="13" customHeight="1" s="189">
      <c r="A820" s="289" t="n"/>
      <c r="B820" s="290" t="n"/>
      <c r="C820" s="290" t="n"/>
      <c r="D820" s="291" t="n"/>
      <c r="E820" s="290" t="n"/>
      <c r="F820" s="290" t="n"/>
      <c r="G820" s="290" t="n"/>
    </row>
    <row r="821" ht="13" customHeight="1" s="189">
      <c r="A821" s="289" t="n"/>
      <c r="B821" s="290" t="n"/>
      <c r="C821" s="290" t="n"/>
      <c r="D821" s="291" t="n"/>
      <c r="E821" s="290" t="n"/>
      <c r="F821" s="290" t="n"/>
      <c r="G821" s="290" t="n"/>
    </row>
    <row r="822" ht="13" customHeight="1" s="189">
      <c r="A822" s="289" t="n"/>
      <c r="B822" s="290" t="n"/>
      <c r="C822" s="290" t="n"/>
      <c r="D822" s="291" t="n"/>
      <c r="E822" s="290" t="n"/>
      <c r="F822" s="290" t="n"/>
      <c r="G822" s="290" t="n"/>
    </row>
    <row r="823" ht="13" customHeight="1" s="189">
      <c r="A823" s="289" t="n"/>
      <c r="B823" s="290" t="n"/>
      <c r="C823" s="290" t="n"/>
      <c r="D823" s="291" t="n"/>
      <c r="E823" s="290" t="n"/>
      <c r="F823" s="290" t="n"/>
      <c r="G823" s="290" t="n"/>
    </row>
    <row r="824" ht="13" customHeight="1" s="189">
      <c r="A824" s="289" t="n"/>
      <c r="B824" s="290" t="n"/>
      <c r="C824" s="290" t="n"/>
      <c r="D824" s="291" t="n"/>
      <c r="E824" s="290" t="n"/>
      <c r="F824" s="290" t="n"/>
      <c r="G824" s="290" t="n"/>
    </row>
    <row r="825" ht="13" customHeight="1" s="189">
      <c r="A825" s="289" t="n"/>
      <c r="B825" s="290" t="n"/>
      <c r="C825" s="290" t="n"/>
      <c r="D825" s="291" t="n"/>
      <c r="E825" s="290" t="n"/>
      <c r="F825" s="290" t="n"/>
      <c r="G825" s="290" t="n"/>
    </row>
    <row r="826" ht="13" customHeight="1" s="189">
      <c r="A826" s="289" t="n"/>
      <c r="B826" s="290" t="n"/>
      <c r="C826" s="290" t="n"/>
      <c r="D826" s="291" t="n"/>
      <c r="E826" s="290" t="n"/>
      <c r="F826" s="290" t="n"/>
      <c r="G826" s="290" t="n"/>
    </row>
    <row r="827" ht="13" customHeight="1" s="189">
      <c r="A827" s="289" t="n"/>
      <c r="B827" s="290" t="n"/>
      <c r="C827" s="290" t="n"/>
      <c r="D827" s="291" t="n"/>
      <c r="E827" s="290" t="n"/>
      <c r="F827" s="290" t="n"/>
      <c r="G827" s="290" t="n"/>
    </row>
    <row r="828" ht="13" customHeight="1" s="189">
      <c r="A828" s="289" t="n"/>
      <c r="B828" s="290" t="n"/>
      <c r="C828" s="290" t="n"/>
      <c r="D828" s="291" t="n"/>
      <c r="E828" s="290" t="n"/>
      <c r="F828" s="290" t="n"/>
      <c r="G828" s="290" t="n"/>
    </row>
    <row r="829" ht="13" customHeight="1" s="189">
      <c r="A829" s="289" t="n"/>
      <c r="B829" s="290" t="n"/>
      <c r="C829" s="290" t="n"/>
      <c r="D829" s="291" t="n"/>
      <c r="E829" s="290" t="n"/>
      <c r="F829" s="290" t="n"/>
      <c r="G829" s="290" t="n"/>
    </row>
    <row r="830" ht="13" customHeight="1" s="189">
      <c r="A830" s="289" t="n"/>
      <c r="B830" s="290" t="n"/>
      <c r="C830" s="290" t="n"/>
      <c r="D830" s="291" t="n"/>
      <c r="E830" s="290" t="n"/>
      <c r="F830" s="290" t="n"/>
      <c r="G830" s="290" t="n"/>
    </row>
    <row r="831" ht="13" customHeight="1" s="189">
      <c r="A831" s="289" t="n"/>
      <c r="B831" s="290" t="n"/>
      <c r="C831" s="290" t="n"/>
      <c r="D831" s="291" t="n"/>
      <c r="E831" s="290" t="n"/>
      <c r="F831" s="290" t="n"/>
      <c r="G831" s="290" t="n"/>
    </row>
    <row r="832" ht="13" customHeight="1" s="189">
      <c r="A832" s="289" t="n"/>
      <c r="B832" s="290" t="n"/>
      <c r="C832" s="290" t="n"/>
      <c r="D832" s="291" t="n"/>
      <c r="E832" s="290" t="n"/>
      <c r="F832" s="290" t="n"/>
      <c r="G832" s="290" t="n"/>
    </row>
    <row r="833" ht="13" customHeight="1" s="189">
      <c r="A833" s="289" t="n"/>
      <c r="B833" s="290" t="n"/>
      <c r="C833" s="290" t="n"/>
      <c r="D833" s="291" t="n"/>
      <c r="E833" s="290" t="n"/>
      <c r="F833" s="290" t="n"/>
      <c r="G833" s="290" t="n"/>
    </row>
    <row r="834" ht="13" customHeight="1" s="189">
      <c r="A834" s="289" t="n"/>
      <c r="B834" s="290" t="n"/>
      <c r="C834" s="290" t="n"/>
      <c r="D834" s="291" t="n"/>
      <c r="E834" s="290" t="n"/>
      <c r="F834" s="290" t="n"/>
      <c r="G834" s="290" t="n"/>
    </row>
    <row r="835" ht="13" customHeight="1" s="189">
      <c r="A835" s="289" t="n"/>
      <c r="B835" s="290" t="n"/>
      <c r="C835" s="290" t="n"/>
      <c r="D835" s="291" t="n"/>
      <c r="E835" s="290" t="n"/>
      <c r="F835" s="290" t="n"/>
      <c r="G835" s="290" t="n"/>
    </row>
    <row r="836" ht="13" customHeight="1" s="189">
      <c r="A836" s="289" t="n"/>
      <c r="B836" s="290" t="n"/>
      <c r="C836" s="290" t="n"/>
      <c r="D836" s="291" t="n"/>
      <c r="E836" s="290" t="n"/>
      <c r="F836" s="290" t="n"/>
      <c r="G836" s="290" t="n"/>
    </row>
    <row r="837" ht="13" customHeight="1" s="189">
      <c r="A837" s="289" t="n"/>
      <c r="B837" s="290" t="n"/>
      <c r="C837" s="290" t="n"/>
      <c r="D837" s="291" t="n"/>
      <c r="E837" s="290" t="n"/>
      <c r="F837" s="290" t="n"/>
      <c r="G837" s="290" t="n"/>
    </row>
    <row r="838" ht="13" customHeight="1" s="189">
      <c r="A838" s="289" t="n"/>
      <c r="B838" s="290" t="n"/>
      <c r="C838" s="290" t="n"/>
      <c r="D838" s="291" t="n"/>
      <c r="E838" s="290" t="n"/>
      <c r="F838" s="290" t="n"/>
      <c r="G838" s="290" t="n"/>
    </row>
    <row r="839" ht="13" customHeight="1" s="189">
      <c r="A839" s="289" t="n"/>
      <c r="B839" s="290" t="n"/>
      <c r="C839" s="290" t="n"/>
      <c r="D839" s="291" t="n"/>
      <c r="E839" s="290" t="n"/>
      <c r="F839" s="290" t="n"/>
      <c r="G839" s="290" t="n"/>
    </row>
    <row r="840" ht="13" customHeight="1" s="189">
      <c r="A840" s="289" t="n"/>
      <c r="B840" s="290" t="n"/>
      <c r="C840" s="290" t="n"/>
      <c r="D840" s="291" t="n"/>
      <c r="E840" s="290" t="n"/>
      <c r="F840" s="290" t="n"/>
      <c r="G840" s="290" t="n"/>
    </row>
    <row r="841" ht="13" customHeight="1" s="189">
      <c r="A841" s="289" t="n"/>
      <c r="B841" s="290" t="n"/>
      <c r="C841" s="290" t="n"/>
      <c r="D841" s="291" t="n"/>
      <c r="E841" s="290" t="n"/>
      <c r="F841" s="290" t="n"/>
      <c r="G841" s="290" t="n"/>
    </row>
    <row r="842" ht="13" customHeight="1" s="189">
      <c r="A842" s="289" t="n"/>
      <c r="B842" s="290" t="n"/>
      <c r="C842" s="290" t="n"/>
      <c r="D842" s="291" t="n"/>
      <c r="E842" s="290" t="n"/>
      <c r="F842" s="290" t="n"/>
      <c r="G842" s="290" t="n"/>
    </row>
    <row r="843" ht="13" customHeight="1" s="189">
      <c r="A843" s="289" t="n"/>
      <c r="B843" s="290" t="n"/>
      <c r="C843" s="290" t="n"/>
      <c r="D843" s="291" t="n"/>
      <c r="E843" s="290" t="n"/>
      <c r="F843" s="290" t="n"/>
      <c r="G843" s="290" t="n"/>
    </row>
    <row r="844" ht="13" customHeight="1" s="189">
      <c r="A844" s="289" t="n"/>
      <c r="B844" s="290" t="n"/>
      <c r="C844" s="290" t="n"/>
      <c r="D844" s="291" t="n"/>
      <c r="E844" s="290" t="n"/>
      <c r="F844" s="290" t="n"/>
      <c r="G844" s="290" t="n"/>
    </row>
    <row r="845" ht="13" customHeight="1" s="189">
      <c r="A845" s="289" t="n"/>
      <c r="B845" s="290" t="n"/>
      <c r="C845" s="290" t="n"/>
      <c r="D845" s="291" t="n"/>
      <c r="E845" s="290" t="n"/>
      <c r="F845" s="290" t="n"/>
      <c r="G845" s="290" t="n"/>
    </row>
    <row r="846" ht="13" customHeight="1" s="189">
      <c r="A846" s="289" t="n"/>
      <c r="B846" s="290" t="n"/>
      <c r="C846" s="290" t="n"/>
      <c r="D846" s="291" t="n"/>
      <c r="E846" s="290" t="n"/>
      <c r="F846" s="290" t="n"/>
      <c r="G846" s="290" t="n"/>
    </row>
    <row r="847" ht="13" customHeight="1" s="189">
      <c r="A847" s="289" t="n"/>
      <c r="B847" s="290" t="n"/>
      <c r="C847" s="290" t="n"/>
      <c r="D847" s="291" t="n"/>
      <c r="E847" s="290" t="n"/>
      <c r="F847" s="290" t="n"/>
      <c r="G847" s="290" t="n"/>
    </row>
    <row r="848" ht="13" customHeight="1" s="189">
      <c r="A848" s="289" t="n"/>
      <c r="B848" s="290" t="n"/>
      <c r="C848" s="290" t="n"/>
      <c r="D848" s="291" t="n"/>
      <c r="E848" s="290" t="n"/>
      <c r="F848" s="290" t="n"/>
      <c r="G848" s="290" t="n"/>
    </row>
    <row r="849" ht="13" customHeight="1" s="189">
      <c r="A849" s="289" t="n"/>
      <c r="B849" s="290" t="n"/>
      <c r="C849" s="290" t="n"/>
      <c r="D849" s="291" t="n"/>
      <c r="E849" s="290" t="n"/>
      <c r="F849" s="290" t="n"/>
      <c r="G849" s="290" t="n"/>
    </row>
    <row r="850" ht="13" customHeight="1" s="189">
      <c r="A850" s="289" t="n"/>
      <c r="B850" s="290" t="n"/>
      <c r="C850" s="290" t="n"/>
      <c r="D850" s="291" t="n"/>
      <c r="E850" s="290" t="n"/>
      <c r="F850" s="290" t="n"/>
      <c r="G850" s="290" t="n"/>
    </row>
    <row r="851" ht="13" customHeight="1" s="189">
      <c r="A851" s="289" t="n"/>
      <c r="B851" s="290" t="n"/>
      <c r="C851" s="290" t="n"/>
      <c r="D851" s="291" t="n"/>
      <c r="E851" s="290" t="n"/>
      <c r="F851" s="290" t="n"/>
      <c r="G851" s="290" t="n"/>
    </row>
    <row r="852" ht="13" customHeight="1" s="189">
      <c r="A852" s="289" t="n"/>
      <c r="B852" s="290" t="n"/>
      <c r="C852" s="290" t="n"/>
      <c r="D852" s="291" t="n"/>
      <c r="E852" s="290" t="n"/>
      <c r="F852" s="290" t="n"/>
      <c r="G852" s="290" t="n"/>
    </row>
    <row r="853" ht="13" customHeight="1" s="189">
      <c r="A853" s="289" t="n"/>
      <c r="B853" s="290" t="n"/>
      <c r="C853" s="290" t="n"/>
      <c r="D853" s="291" t="n"/>
      <c r="E853" s="290" t="n"/>
      <c r="F853" s="290" t="n"/>
      <c r="G853" s="290" t="n"/>
    </row>
    <row r="854" ht="13" customHeight="1" s="189">
      <c r="A854" s="289" t="n"/>
      <c r="B854" s="290" t="n"/>
      <c r="C854" s="290" t="n"/>
      <c r="D854" s="291" t="n"/>
      <c r="E854" s="290" t="n"/>
      <c r="F854" s="290" t="n"/>
      <c r="G854" s="290" t="n"/>
    </row>
    <row r="855" ht="13" customHeight="1" s="189">
      <c r="A855" s="289" t="n"/>
      <c r="B855" s="290" t="n"/>
      <c r="C855" s="290" t="n"/>
      <c r="D855" s="291" t="n"/>
      <c r="E855" s="290" t="n"/>
      <c r="F855" s="290" t="n"/>
      <c r="G855" s="290" t="n"/>
    </row>
    <row r="856" ht="13" customHeight="1" s="189">
      <c r="A856" s="289" t="n"/>
      <c r="B856" s="290" t="n"/>
      <c r="C856" s="290" t="n"/>
      <c r="D856" s="291" t="n"/>
      <c r="E856" s="290" t="n"/>
      <c r="F856" s="290" t="n"/>
      <c r="G856" s="290" t="n"/>
    </row>
    <row r="857" ht="13" customHeight="1" s="189">
      <c r="A857" s="289" t="n"/>
      <c r="B857" s="290" t="n"/>
      <c r="C857" s="290" t="n"/>
      <c r="D857" s="291" t="n"/>
      <c r="E857" s="290" t="n"/>
      <c r="F857" s="290" t="n"/>
      <c r="G857" s="290" t="n"/>
    </row>
    <row r="858" ht="13" customHeight="1" s="189">
      <c r="A858" s="289" t="n"/>
      <c r="B858" s="290" t="n"/>
      <c r="C858" s="290" t="n"/>
      <c r="D858" s="291" t="n"/>
      <c r="E858" s="290" t="n"/>
      <c r="F858" s="290" t="n"/>
      <c r="G858" s="290" t="n"/>
    </row>
    <row r="859" ht="13" customHeight="1" s="189">
      <c r="A859" s="289" t="n"/>
      <c r="B859" s="290" t="n"/>
      <c r="C859" s="290" t="n"/>
      <c r="D859" s="291" t="n"/>
      <c r="E859" s="290" t="n"/>
      <c r="F859" s="290" t="n"/>
      <c r="G859" s="290" t="n"/>
    </row>
    <row r="860" ht="13" customHeight="1" s="189">
      <c r="A860" s="289" t="n"/>
      <c r="B860" s="290" t="n"/>
      <c r="C860" s="290" t="n"/>
      <c r="D860" s="291" t="n"/>
      <c r="E860" s="290" t="n"/>
      <c r="F860" s="290" t="n"/>
      <c r="G860" s="290" t="n"/>
    </row>
    <row r="861" ht="13" customHeight="1" s="189">
      <c r="A861" s="289" t="n"/>
      <c r="B861" s="290" t="n"/>
      <c r="C861" s="290" t="n"/>
      <c r="D861" s="291" t="n"/>
      <c r="E861" s="290" t="n"/>
      <c r="F861" s="290" t="n"/>
      <c r="G861" s="290" t="n"/>
    </row>
    <row r="862" ht="13" customHeight="1" s="189">
      <c r="A862" s="289" t="n"/>
      <c r="B862" s="290" t="n"/>
      <c r="C862" s="290" t="n"/>
      <c r="D862" s="291" t="n"/>
      <c r="E862" s="290" t="n"/>
      <c r="F862" s="290" t="n"/>
      <c r="G862" s="290" t="n"/>
    </row>
    <row r="863" ht="13" customHeight="1" s="189">
      <c r="A863" s="289" t="n"/>
      <c r="B863" s="290" t="n"/>
      <c r="C863" s="290" t="n"/>
      <c r="D863" s="291" t="n"/>
      <c r="E863" s="290" t="n"/>
      <c r="F863" s="290" t="n"/>
      <c r="G863" s="290" t="n"/>
    </row>
    <row r="864" ht="13" customHeight="1" s="189">
      <c r="A864" s="289" t="n"/>
      <c r="B864" s="290" t="n"/>
      <c r="C864" s="290" t="n"/>
      <c r="D864" s="291" t="n"/>
      <c r="E864" s="290" t="n"/>
      <c r="F864" s="290" t="n"/>
      <c r="G864" s="290" t="n"/>
    </row>
    <row r="865" ht="13" customHeight="1" s="189">
      <c r="A865" s="289" t="n"/>
      <c r="B865" s="290" t="n"/>
      <c r="C865" s="290" t="n"/>
      <c r="D865" s="291" t="n"/>
      <c r="E865" s="290" t="n"/>
      <c r="F865" s="290" t="n"/>
      <c r="G865" s="290" t="n"/>
    </row>
    <row r="866" ht="13" customHeight="1" s="189">
      <c r="A866" s="289" t="n"/>
      <c r="B866" s="290" t="n"/>
      <c r="C866" s="290" t="n"/>
      <c r="D866" s="291" t="n"/>
      <c r="E866" s="290" t="n"/>
      <c r="F866" s="290" t="n"/>
      <c r="G866" s="290" t="n"/>
    </row>
    <row r="867" ht="13" customHeight="1" s="189">
      <c r="A867" s="289" t="n"/>
      <c r="B867" s="290" t="n"/>
      <c r="C867" s="290" t="n"/>
      <c r="D867" s="291" t="n"/>
      <c r="E867" s="290" t="n"/>
      <c r="F867" s="290" t="n"/>
      <c r="G867" s="290" t="n"/>
    </row>
    <row r="868" ht="13" customHeight="1" s="189">
      <c r="A868" s="289" t="n"/>
      <c r="B868" s="290" t="n"/>
      <c r="C868" s="290" t="n"/>
      <c r="D868" s="291" t="n"/>
      <c r="E868" s="290" t="n"/>
      <c r="F868" s="290" t="n"/>
      <c r="G868" s="290" t="n"/>
    </row>
    <row r="869" ht="13" customHeight="1" s="189">
      <c r="A869" s="289" t="n"/>
      <c r="B869" s="290" t="n"/>
      <c r="C869" s="290" t="n"/>
      <c r="D869" s="291" t="n"/>
      <c r="E869" s="290" t="n"/>
      <c r="F869" s="290" t="n"/>
      <c r="G869" s="290" t="n"/>
    </row>
    <row r="870" ht="13" customHeight="1" s="189">
      <c r="A870" s="289" t="n"/>
      <c r="B870" s="290" t="n"/>
      <c r="C870" s="290" t="n"/>
      <c r="D870" s="291" t="n"/>
      <c r="E870" s="290" t="n"/>
      <c r="F870" s="290" t="n"/>
      <c r="G870" s="290" t="n"/>
    </row>
    <row r="871" ht="13" customHeight="1" s="189">
      <c r="A871" s="289" t="n"/>
      <c r="B871" s="290" t="n"/>
      <c r="C871" s="290" t="n"/>
      <c r="D871" s="291" t="n"/>
      <c r="E871" s="290" t="n"/>
      <c r="F871" s="290" t="n"/>
      <c r="G871" s="290" t="n"/>
    </row>
    <row r="872" ht="13" customHeight="1" s="189">
      <c r="A872" s="289" t="n"/>
      <c r="B872" s="290" t="n"/>
      <c r="C872" s="290" t="n"/>
      <c r="D872" s="291" t="n"/>
      <c r="E872" s="290" t="n"/>
      <c r="F872" s="290" t="n"/>
      <c r="G872" s="290" t="n"/>
    </row>
    <row r="873" ht="13" customHeight="1" s="189">
      <c r="A873" s="289" t="n"/>
      <c r="B873" s="290" t="n"/>
      <c r="C873" s="290" t="n"/>
      <c r="D873" s="291" t="n"/>
      <c r="E873" s="290" t="n"/>
      <c r="F873" s="290" t="n"/>
      <c r="G873" s="290" t="n"/>
    </row>
    <row r="874" ht="13" customHeight="1" s="189">
      <c r="A874" s="289" t="n"/>
      <c r="B874" s="290" t="n"/>
      <c r="C874" s="290" t="n"/>
      <c r="D874" s="291" t="n"/>
      <c r="E874" s="290" t="n"/>
      <c r="F874" s="290" t="n"/>
      <c r="G874" s="290" t="n"/>
    </row>
    <row r="875" ht="13" customHeight="1" s="189">
      <c r="A875" s="289" t="n"/>
      <c r="B875" s="290" t="n"/>
      <c r="C875" s="290" t="n"/>
      <c r="D875" s="291" t="n"/>
      <c r="E875" s="290" t="n"/>
      <c r="F875" s="290" t="n"/>
      <c r="G875" s="290" t="n"/>
    </row>
    <row r="876" ht="13" customHeight="1" s="189">
      <c r="A876" s="289" t="n"/>
      <c r="B876" s="290" t="n"/>
      <c r="C876" s="290" t="n"/>
      <c r="D876" s="291" t="n"/>
      <c r="E876" s="290" t="n"/>
      <c r="F876" s="290" t="n"/>
      <c r="G876" s="290" t="n"/>
    </row>
    <row r="877" ht="13" customHeight="1" s="189">
      <c r="A877" s="289" t="n"/>
      <c r="B877" s="290" t="n"/>
      <c r="C877" s="290" t="n"/>
      <c r="D877" s="291" t="n"/>
      <c r="E877" s="290" t="n"/>
      <c r="F877" s="290" t="n"/>
      <c r="G877" s="290" t="n"/>
    </row>
    <row r="878" ht="13" customHeight="1" s="189">
      <c r="A878" s="289" t="n"/>
      <c r="B878" s="290" t="n"/>
      <c r="C878" s="290" t="n"/>
      <c r="D878" s="291" t="n"/>
      <c r="E878" s="290" t="n"/>
      <c r="F878" s="290" t="n"/>
      <c r="G878" s="290" t="n"/>
    </row>
    <row r="879" ht="13" customHeight="1" s="189">
      <c r="A879" s="289" t="n"/>
      <c r="B879" s="290" t="n"/>
      <c r="C879" s="290" t="n"/>
      <c r="D879" s="291" t="n"/>
      <c r="E879" s="290" t="n"/>
      <c r="F879" s="290" t="n"/>
      <c r="G879" s="290" t="n"/>
    </row>
    <row r="880" ht="13" customHeight="1" s="189">
      <c r="A880" s="289" t="n"/>
      <c r="B880" s="290" t="n"/>
      <c r="C880" s="290" t="n"/>
      <c r="D880" s="291" t="n"/>
      <c r="E880" s="290" t="n"/>
      <c r="F880" s="290" t="n"/>
      <c r="G880" s="290" t="n"/>
    </row>
    <row r="881" ht="13" customHeight="1" s="189">
      <c r="A881" s="289" t="n"/>
      <c r="B881" s="290" t="n"/>
      <c r="C881" s="290" t="n"/>
      <c r="D881" s="291" t="n"/>
      <c r="E881" s="290" t="n"/>
      <c r="F881" s="290" t="n"/>
      <c r="G881" s="290" t="n"/>
    </row>
    <row r="882" ht="13" customHeight="1" s="189">
      <c r="A882" s="289" t="n"/>
      <c r="B882" s="290" t="n"/>
      <c r="C882" s="290" t="n"/>
      <c r="D882" s="291" t="n"/>
      <c r="E882" s="290" t="n"/>
      <c r="F882" s="290" t="n"/>
      <c r="G882" s="290" t="n"/>
    </row>
    <row r="883" ht="13" customHeight="1" s="189">
      <c r="A883" s="289" t="n"/>
      <c r="B883" s="290" t="n"/>
      <c r="C883" s="290" t="n"/>
      <c r="D883" s="291" t="n"/>
      <c r="E883" s="290" t="n"/>
      <c r="F883" s="290" t="n"/>
      <c r="G883" s="290" t="n"/>
    </row>
    <row r="884" ht="13" customHeight="1" s="189">
      <c r="A884" s="289" t="n"/>
      <c r="B884" s="290" t="n"/>
      <c r="C884" s="290" t="n"/>
      <c r="D884" s="291" t="n"/>
      <c r="E884" s="290" t="n"/>
      <c r="F884" s="290" t="n"/>
      <c r="G884" s="290" t="n"/>
    </row>
    <row r="885" ht="13" customHeight="1" s="189">
      <c r="A885" s="289" t="n"/>
      <c r="B885" s="290" t="n"/>
      <c r="C885" s="290" t="n"/>
      <c r="D885" s="291" t="n"/>
      <c r="E885" s="290" t="n"/>
      <c r="F885" s="290" t="n"/>
      <c r="G885" s="290" t="n"/>
    </row>
    <row r="886" ht="13" customHeight="1" s="189">
      <c r="A886" s="289" t="n"/>
      <c r="B886" s="290" t="n"/>
      <c r="C886" s="290" t="n"/>
      <c r="D886" s="291" t="n"/>
      <c r="E886" s="290" t="n"/>
      <c r="F886" s="290" t="n"/>
      <c r="G886" s="290" t="n"/>
    </row>
    <row r="887" ht="13" customHeight="1" s="189">
      <c r="A887" s="289" t="n"/>
      <c r="B887" s="290" t="n"/>
      <c r="C887" s="290" t="n"/>
      <c r="D887" s="291" t="n"/>
      <c r="E887" s="290" t="n"/>
      <c r="F887" s="290" t="n"/>
      <c r="G887" s="290" t="n"/>
    </row>
    <row r="888" ht="13" customHeight="1" s="189">
      <c r="A888" s="289" t="n"/>
      <c r="B888" s="290" t="n"/>
      <c r="C888" s="290" t="n"/>
      <c r="D888" s="291" t="n"/>
      <c r="E888" s="290" t="n"/>
      <c r="F888" s="290" t="n"/>
      <c r="G888" s="290" t="n"/>
    </row>
    <row r="889" ht="13" customHeight="1" s="189">
      <c r="A889" s="289" t="n"/>
      <c r="B889" s="290" t="n"/>
      <c r="C889" s="290" t="n"/>
      <c r="D889" s="291" t="n"/>
      <c r="E889" s="290" t="n"/>
      <c r="F889" s="290" t="n"/>
      <c r="G889" s="290" t="n"/>
    </row>
    <row r="890" ht="13" customHeight="1" s="189">
      <c r="A890" s="289" t="n"/>
      <c r="B890" s="290" t="n"/>
      <c r="C890" s="290" t="n"/>
      <c r="D890" s="291" t="n"/>
      <c r="E890" s="290" t="n"/>
      <c r="F890" s="290" t="n"/>
      <c r="G890" s="290" t="n"/>
    </row>
    <row r="891" ht="13" customHeight="1" s="189">
      <c r="A891" s="289" t="n"/>
      <c r="B891" s="290" t="n"/>
      <c r="C891" s="290" t="n"/>
      <c r="D891" s="291" t="n"/>
      <c r="E891" s="290" t="n"/>
      <c r="F891" s="290" t="n"/>
      <c r="G891" s="290" t="n"/>
    </row>
    <row r="892" ht="13" customHeight="1" s="189">
      <c r="A892" s="289" t="n"/>
      <c r="B892" s="290" t="n"/>
      <c r="C892" s="290" t="n"/>
      <c r="D892" s="291" t="n"/>
      <c r="E892" s="290" t="n"/>
      <c r="F892" s="290" t="n"/>
      <c r="G892" s="290" t="n"/>
    </row>
    <row r="893" ht="13" customHeight="1" s="189">
      <c r="A893" s="289" t="n"/>
      <c r="B893" s="290" t="n"/>
      <c r="C893" s="290" t="n"/>
      <c r="D893" s="291" t="n"/>
      <c r="E893" s="290" t="n"/>
      <c r="F893" s="290" t="n"/>
      <c r="G893" s="290" t="n"/>
    </row>
    <row r="894" ht="13" customHeight="1" s="189">
      <c r="A894" s="289" t="n"/>
      <c r="B894" s="290" t="n"/>
      <c r="C894" s="290" t="n"/>
      <c r="D894" s="291" t="n"/>
      <c r="E894" s="290" t="n"/>
      <c r="F894" s="290" t="n"/>
      <c r="G894" s="290" t="n"/>
    </row>
    <row r="895" ht="13" customHeight="1" s="189">
      <c r="A895" s="289" t="n"/>
      <c r="B895" s="290" t="n"/>
      <c r="C895" s="290" t="n"/>
      <c r="D895" s="291" t="n"/>
      <c r="E895" s="290" t="n"/>
      <c r="F895" s="290" t="n"/>
      <c r="G895" s="290" t="n"/>
    </row>
    <row r="896" ht="13" customHeight="1" s="189">
      <c r="A896" s="289" t="n"/>
      <c r="B896" s="290" t="n"/>
      <c r="C896" s="290" t="n"/>
      <c r="D896" s="291" t="n"/>
      <c r="E896" s="290" t="n"/>
      <c r="F896" s="290" t="n"/>
      <c r="G896" s="290" t="n"/>
    </row>
    <row r="897" ht="13" customHeight="1" s="189">
      <c r="A897" s="289" t="n"/>
      <c r="B897" s="290" t="n"/>
      <c r="C897" s="290" t="n"/>
      <c r="D897" s="291" t="n"/>
      <c r="E897" s="290" t="n"/>
      <c r="F897" s="290" t="n"/>
      <c r="G897" s="290" t="n"/>
    </row>
    <row r="898" ht="13" customHeight="1" s="189">
      <c r="A898" s="289" t="n"/>
      <c r="B898" s="290" t="n"/>
      <c r="C898" s="290" t="n"/>
      <c r="D898" s="291" t="n"/>
      <c r="E898" s="290" t="n"/>
      <c r="F898" s="290" t="n"/>
      <c r="G898" s="290" t="n"/>
    </row>
    <row r="899" ht="13" customHeight="1" s="189">
      <c r="A899" s="289" t="n"/>
      <c r="B899" s="290" t="n"/>
      <c r="C899" s="290" t="n"/>
      <c r="D899" s="291" t="n"/>
      <c r="E899" s="290" t="n"/>
      <c r="F899" s="290" t="n"/>
      <c r="G899" s="290" t="n"/>
    </row>
    <row r="900" ht="13" customHeight="1" s="189">
      <c r="A900" s="289" t="n"/>
      <c r="B900" s="290" t="n"/>
      <c r="C900" s="290" t="n"/>
      <c r="D900" s="291" t="n"/>
      <c r="E900" s="290" t="n"/>
      <c r="F900" s="290" t="n"/>
      <c r="G900" s="290" t="n"/>
    </row>
    <row r="901" ht="13" customHeight="1" s="189">
      <c r="A901" s="289" t="n"/>
      <c r="B901" s="290" t="n"/>
      <c r="C901" s="290" t="n"/>
      <c r="D901" s="291" t="n"/>
      <c r="E901" s="290" t="n"/>
      <c r="F901" s="290" t="n"/>
      <c r="G901" s="290" t="n"/>
    </row>
    <row r="902" ht="13" customHeight="1" s="189">
      <c r="A902" s="289" t="n"/>
      <c r="B902" s="290" t="n"/>
      <c r="C902" s="290" t="n"/>
      <c r="D902" s="291" t="n"/>
      <c r="E902" s="290" t="n"/>
      <c r="F902" s="290" t="n"/>
      <c r="G902" s="290" t="n"/>
    </row>
    <row r="903" ht="13" customHeight="1" s="189">
      <c r="A903" s="289" t="n"/>
      <c r="B903" s="290" t="n"/>
      <c r="C903" s="290" t="n"/>
      <c r="D903" s="291" t="n"/>
      <c r="E903" s="290" t="n"/>
      <c r="F903" s="290" t="n"/>
      <c r="G903" s="290" t="n"/>
    </row>
    <row r="904" ht="13" customHeight="1" s="189">
      <c r="A904" s="289" t="n"/>
      <c r="B904" s="290" t="n"/>
      <c r="C904" s="290" t="n"/>
      <c r="D904" s="291" t="n"/>
      <c r="E904" s="290" t="n"/>
      <c r="F904" s="290" t="n"/>
      <c r="G904" s="290" t="n"/>
    </row>
    <row r="905" ht="13" customHeight="1" s="189">
      <c r="A905" s="289" t="n"/>
      <c r="B905" s="290" t="n"/>
      <c r="C905" s="290" t="n"/>
      <c r="D905" s="291" t="n"/>
      <c r="E905" s="290" t="n"/>
      <c r="F905" s="290" t="n"/>
      <c r="G905" s="290" t="n"/>
    </row>
    <row r="906" ht="13" customHeight="1" s="189">
      <c r="A906" s="289" t="n"/>
      <c r="B906" s="290" t="n"/>
      <c r="C906" s="290" t="n"/>
      <c r="D906" s="291" t="n"/>
      <c r="E906" s="290" t="n"/>
      <c r="F906" s="290" t="n"/>
      <c r="G906" s="290" t="n"/>
    </row>
    <row r="907" ht="13" customHeight="1" s="189">
      <c r="A907" s="289" t="n"/>
      <c r="B907" s="290" t="n"/>
      <c r="C907" s="290" t="n"/>
      <c r="D907" s="291" t="n"/>
      <c r="E907" s="290" t="n"/>
      <c r="F907" s="290" t="n"/>
      <c r="G907" s="290" t="n"/>
    </row>
    <row r="908" ht="13" customHeight="1" s="189">
      <c r="A908" s="289" t="n"/>
      <c r="B908" s="290" t="n"/>
      <c r="C908" s="290" t="n"/>
      <c r="D908" s="291" t="n"/>
      <c r="E908" s="290" t="n"/>
      <c r="F908" s="290" t="n"/>
      <c r="G908" s="290" t="n"/>
    </row>
    <row r="909" ht="13" customHeight="1" s="189">
      <c r="A909" s="289" t="n"/>
      <c r="B909" s="290" t="n"/>
      <c r="C909" s="290" t="n"/>
      <c r="D909" s="291" t="n"/>
      <c r="E909" s="290" t="n"/>
      <c r="F909" s="290" t="n"/>
      <c r="G909" s="290" t="n"/>
    </row>
    <row r="910" ht="13" customHeight="1" s="189">
      <c r="A910" s="289" t="n"/>
      <c r="B910" s="290" t="n"/>
      <c r="C910" s="290" t="n"/>
      <c r="D910" s="291" t="n"/>
      <c r="E910" s="290" t="n"/>
      <c r="F910" s="290" t="n"/>
      <c r="G910" s="290" t="n"/>
    </row>
    <row r="911" ht="13" customHeight="1" s="189">
      <c r="A911" s="289" t="n"/>
      <c r="B911" s="290" t="n"/>
      <c r="C911" s="290" t="n"/>
      <c r="D911" s="291" t="n"/>
      <c r="E911" s="290" t="n"/>
      <c r="F911" s="290" t="n"/>
      <c r="G911" s="290" t="n"/>
    </row>
    <row r="912" ht="13" customHeight="1" s="189">
      <c r="A912" s="289" t="n"/>
      <c r="B912" s="290" t="n"/>
      <c r="C912" s="290" t="n"/>
      <c r="D912" s="291" t="n"/>
      <c r="E912" s="290" t="n"/>
      <c r="F912" s="290" t="n"/>
      <c r="G912" s="290" t="n"/>
    </row>
    <row r="913" ht="13" customHeight="1" s="189">
      <c r="A913" s="289" t="n"/>
      <c r="B913" s="290" t="n"/>
      <c r="C913" s="290" t="n"/>
      <c r="D913" s="291" t="n"/>
      <c r="E913" s="290" t="n"/>
      <c r="F913" s="290" t="n"/>
      <c r="G913" s="290" t="n"/>
    </row>
    <row r="914" ht="13" customHeight="1" s="189">
      <c r="A914" s="289" t="n"/>
      <c r="B914" s="290" t="n"/>
      <c r="C914" s="290" t="n"/>
      <c r="D914" s="291" t="n"/>
      <c r="E914" s="290" t="n"/>
      <c r="F914" s="290" t="n"/>
      <c r="G914" s="290" t="n"/>
    </row>
    <row r="915" ht="13" customHeight="1" s="189">
      <c r="A915" s="289" t="n"/>
      <c r="B915" s="290" t="n"/>
      <c r="C915" s="290" t="n"/>
      <c r="D915" s="291" t="n"/>
      <c r="E915" s="290" t="n"/>
      <c r="F915" s="290" t="n"/>
      <c r="G915" s="290" t="n"/>
    </row>
    <row r="916" ht="13" customHeight="1" s="189">
      <c r="A916" s="289" t="n"/>
      <c r="B916" s="290" t="n"/>
      <c r="C916" s="290" t="n"/>
      <c r="D916" s="291" t="n"/>
      <c r="E916" s="290" t="n"/>
      <c r="F916" s="290" t="n"/>
      <c r="G916" s="290" t="n"/>
    </row>
    <row r="917" ht="13" customHeight="1" s="189">
      <c r="A917" s="289" t="n"/>
      <c r="B917" s="290" t="n"/>
      <c r="C917" s="290" t="n"/>
      <c r="D917" s="291" t="n"/>
      <c r="E917" s="290" t="n"/>
      <c r="F917" s="290" t="n"/>
      <c r="G917" s="290" t="n"/>
    </row>
    <row r="918" ht="13" customHeight="1" s="189">
      <c r="A918" s="289" t="n"/>
      <c r="B918" s="290" t="n"/>
      <c r="C918" s="290" t="n"/>
      <c r="D918" s="291" t="n"/>
      <c r="E918" s="290" t="n"/>
      <c r="F918" s="290" t="n"/>
      <c r="G918" s="290" t="n"/>
    </row>
    <row r="919" ht="13" customHeight="1" s="189">
      <c r="A919" s="289" t="n"/>
      <c r="B919" s="290" t="n"/>
      <c r="C919" s="290" t="n"/>
      <c r="D919" s="291" t="n"/>
      <c r="E919" s="290" t="n"/>
      <c r="F919" s="290" t="n"/>
      <c r="G919" s="290" t="n"/>
    </row>
    <row r="920" ht="13" customHeight="1" s="189">
      <c r="A920" s="289" t="n"/>
      <c r="B920" s="290" t="n"/>
      <c r="C920" s="290" t="n"/>
      <c r="D920" s="291" t="n"/>
      <c r="E920" s="290" t="n"/>
      <c r="F920" s="290" t="n"/>
      <c r="G920" s="290" t="n"/>
    </row>
    <row r="921" ht="13" customHeight="1" s="189">
      <c r="A921" s="289" t="n"/>
      <c r="B921" s="290" t="n"/>
      <c r="C921" s="290" t="n"/>
      <c r="D921" s="291" t="n"/>
      <c r="E921" s="290" t="n"/>
      <c r="F921" s="290" t="n"/>
      <c r="G921" s="290" t="n"/>
    </row>
    <row r="922" ht="13" customHeight="1" s="189">
      <c r="A922" s="289" t="n"/>
      <c r="B922" s="290" t="n"/>
      <c r="C922" s="290" t="n"/>
      <c r="D922" s="291" t="n"/>
      <c r="E922" s="290" t="n"/>
      <c r="F922" s="290" t="n"/>
      <c r="G922" s="290" t="n"/>
    </row>
    <row r="923" ht="13" customHeight="1" s="189">
      <c r="A923" s="289" t="n"/>
      <c r="B923" s="290" t="n"/>
      <c r="C923" s="290" t="n"/>
      <c r="D923" s="291" t="n"/>
      <c r="E923" s="290" t="n"/>
      <c r="F923" s="290" t="n"/>
      <c r="G923" s="290" t="n"/>
    </row>
    <row r="924" ht="13" customHeight="1" s="189">
      <c r="A924" s="289" t="n"/>
      <c r="B924" s="290" t="n"/>
      <c r="C924" s="290" t="n"/>
      <c r="D924" s="291" t="n"/>
      <c r="E924" s="290" t="n"/>
      <c r="F924" s="290" t="n"/>
      <c r="G924" s="290" t="n"/>
    </row>
    <row r="925" ht="13" customHeight="1" s="189">
      <c r="A925" s="289" t="n"/>
      <c r="B925" s="290" t="n"/>
      <c r="C925" s="290" t="n"/>
      <c r="D925" s="291" t="n"/>
      <c r="E925" s="290" t="n"/>
      <c r="F925" s="290" t="n"/>
      <c r="G925" s="290" t="n"/>
    </row>
    <row r="926" ht="13" customHeight="1" s="189">
      <c r="A926" s="289" t="n"/>
      <c r="B926" s="290" t="n"/>
      <c r="C926" s="290" t="n"/>
      <c r="D926" s="291" t="n"/>
      <c r="E926" s="290" t="n"/>
      <c r="F926" s="290" t="n"/>
      <c r="G926" s="290" t="n"/>
    </row>
    <row r="927" ht="13" customHeight="1" s="189">
      <c r="A927" s="289" t="n"/>
      <c r="B927" s="290" t="n"/>
      <c r="C927" s="290" t="n"/>
      <c r="D927" s="291" t="n"/>
      <c r="E927" s="290" t="n"/>
      <c r="F927" s="290" t="n"/>
      <c r="G927" s="290" t="n"/>
    </row>
    <row r="928" ht="13" customHeight="1" s="189">
      <c r="A928" s="289" t="n"/>
      <c r="B928" s="290" t="n"/>
      <c r="C928" s="290" t="n"/>
      <c r="D928" s="291" t="n"/>
      <c r="E928" s="290" t="n"/>
      <c r="F928" s="290" t="n"/>
      <c r="G928" s="290" t="n"/>
    </row>
    <row r="929" ht="13" customHeight="1" s="189">
      <c r="A929" s="289" t="n"/>
      <c r="B929" s="290" t="n"/>
      <c r="C929" s="290" t="n"/>
      <c r="D929" s="291" t="n"/>
      <c r="E929" s="290" t="n"/>
      <c r="F929" s="290" t="n"/>
      <c r="G929" s="290" t="n"/>
    </row>
    <row r="930" ht="13" customHeight="1" s="189">
      <c r="A930" s="289" t="n"/>
      <c r="B930" s="290" t="n"/>
      <c r="C930" s="290" t="n"/>
      <c r="D930" s="291" t="n"/>
      <c r="E930" s="290" t="n"/>
      <c r="F930" s="290" t="n"/>
      <c r="G930" s="290" t="n"/>
    </row>
    <row r="931" ht="13" customHeight="1" s="189">
      <c r="A931" s="289" t="n"/>
      <c r="B931" s="290" t="n"/>
      <c r="C931" s="290" t="n"/>
      <c r="D931" s="291" t="n"/>
      <c r="E931" s="290" t="n"/>
      <c r="F931" s="290" t="n"/>
      <c r="G931" s="290" t="n"/>
    </row>
    <row r="932" ht="13" customHeight="1" s="189">
      <c r="A932" s="289" t="n"/>
      <c r="B932" s="290" t="n"/>
      <c r="C932" s="290" t="n"/>
      <c r="D932" s="291" t="n"/>
      <c r="E932" s="290" t="n"/>
      <c r="F932" s="290" t="n"/>
      <c r="G932" s="290" t="n"/>
    </row>
    <row r="933" ht="13" customHeight="1" s="189">
      <c r="A933" s="289" t="n"/>
      <c r="B933" s="290" t="n"/>
      <c r="C933" s="290" t="n"/>
      <c r="D933" s="291" t="n"/>
      <c r="E933" s="290" t="n"/>
      <c r="F933" s="290" t="n"/>
      <c r="G933" s="290" t="n"/>
    </row>
    <row r="934" ht="13" customHeight="1" s="189">
      <c r="A934" s="289" t="n"/>
      <c r="B934" s="290" t="n"/>
      <c r="C934" s="290" t="n"/>
      <c r="D934" s="291" t="n"/>
      <c r="E934" s="290" t="n"/>
      <c r="F934" s="290" t="n"/>
      <c r="G934" s="290" t="n"/>
    </row>
    <row r="935" ht="13" customHeight="1" s="189">
      <c r="A935" s="289" t="n"/>
      <c r="B935" s="290" t="n"/>
      <c r="C935" s="290" t="n"/>
      <c r="D935" s="291" t="n"/>
      <c r="E935" s="290" t="n"/>
      <c r="F935" s="290" t="n"/>
      <c r="G935" s="290" t="n"/>
    </row>
    <row r="936" ht="13" customHeight="1" s="189">
      <c r="A936" s="289" t="n"/>
      <c r="B936" s="290" t="n"/>
      <c r="C936" s="290" t="n"/>
      <c r="D936" s="291" t="n"/>
      <c r="E936" s="290" t="n"/>
      <c r="F936" s="290" t="n"/>
      <c r="G936" s="290" t="n"/>
    </row>
    <row r="937" ht="13" customHeight="1" s="189">
      <c r="A937" s="289" t="n"/>
      <c r="B937" s="290" t="n"/>
      <c r="C937" s="290" t="n"/>
      <c r="D937" s="291" t="n"/>
      <c r="E937" s="290" t="n"/>
      <c r="F937" s="290" t="n"/>
      <c r="G937" s="290" t="n"/>
    </row>
    <row r="938" ht="13" customHeight="1" s="189">
      <c r="A938" s="289" t="n"/>
      <c r="B938" s="290" t="n"/>
      <c r="C938" s="290" t="n"/>
      <c r="D938" s="291" t="n"/>
      <c r="E938" s="290" t="n"/>
      <c r="F938" s="290" t="n"/>
      <c r="G938" s="290" t="n"/>
    </row>
    <row r="939" ht="13" customHeight="1" s="189">
      <c r="A939" s="289" t="n"/>
      <c r="B939" s="290" t="n"/>
      <c r="C939" s="290" t="n"/>
      <c r="D939" s="291" t="n"/>
      <c r="E939" s="290" t="n"/>
      <c r="F939" s="290" t="n"/>
      <c r="G939" s="290" t="n"/>
    </row>
    <row r="940" ht="13" customHeight="1" s="189">
      <c r="A940" s="289" t="n"/>
      <c r="B940" s="290" t="n"/>
      <c r="C940" s="290" t="n"/>
      <c r="D940" s="291" t="n"/>
      <c r="E940" s="290" t="n"/>
      <c r="F940" s="290" t="n"/>
      <c r="G940" s="290" t="n"/>
    </row>
    <row r="941" ht="13" customHeight="1" s="189">
      <c r="A941" s="289" t="n"/>
      <c r="B941" s="290" t="n"/>
      <c r="C941" s="290" t="n"/>
      <c r="D941" s="291" t="n"/>
      <c r="E941" s="290" t="n"/>
      <c r="F941" s="290" t="n"/>
      <c r="G941" s="290" t="n"/>
    </row>
    <row r="942" ht="13" customHeight="1" s="189">
      <c r="A942" s="289" t="n"/>
      <c r="B942" s="290" t="n"/>
      <c r="C942" s="290" t="n"/>
      <c r="D942" s="291" t="n"/>
      <c r="E942" s="290" t="n"/>
      <c r="F942" s="290" t="n"/>
      <c r="G942" s="290" t="n"/>
    </row>
    <row r="943" ht="13" customHeight="1" s="189">
      <c r="A943" s="289" t="n"/>
      <c r="B943" s="290" t="n"/>
      <c r="C943" s="290" t="n"/>
      <c r="D943" s="291" t="n"/>
      <c r="E943" s="290" t="n"/>
      <c r="F943" s="290" t="n"/>
      <c r="G943" s="290" t="n"/>
    </row>
    <row r="944" ht="13" customHeight="1" s="189">
      <c r="A944" s="289" t="n"/>
      <c r="B944" s="290" t="n"/>
      <c r="C944" s="290" t="n"/>
      <c r="D944" s="291" t="n"/>
      <c r="E944" s="290" t="n"/>
      <c r="F944" s="290" t="n"/>
      <c r="G944" s="290" t="n"/>
    </row>
    <row r="945" ht="13" customHeight="1" s="189">
      <c r="A945" s="289" t="n"/>
      <c r="B945" s="290" t="n"/>
      <c r="C945" s="290" t="n"/>
      <c r="D945" s="291" t="n"/>
      <c r="E945" s="290" t="n"/>
      <c r="F945" s="290" t="n"/>
      <c r="G945" s="290" t="n"/>
    </row>
    <row r="946" ht="13" customHeight="1" s="189">
      <c r="A946" s="289" t="n"/>
      <c r="B946" s="290" t="n"/>
      <c r="C946" s="290" t="n"/>
      <c r="D946" s="291" t="n"/>
      <c r="E946" s="290" t="n"/>
      <c r="F946" s="290" t="n"/>
      <c r="G946" s="290" t="n"/>
    </row>
    <row r="947" ht="13" customHeight="1" s="189">
      <c r="A947" s="289" t="n"/>
      <c r="B947" s="290" t="n"/>
      <c r="C947" s="290" t="n"/>
      <c r="D947" s="291" t="n"/>
      <c r="E947" s="290" t="n"/>
      <c r="F947" s="290" t="n"/>
      <c r="G947" s="290" t="n"/>
    </row>
    <row r="948" ht="13" customHeight="1" s="189">
      <c r="A948" s="289" t="n"/>
      <c r="B948" s="290" t="n"/>
      <c r="C948" s="290" t="n"/>
      <c r="D948" s="291" t="n"/>
      <c r="E948" s="290" t="n"/>
      <c r="F948" s="290" t="n"/>
      <c r="G948" s="290" t="n"/>
    </row>
    <row r="949" ht="13" customHeight="1" s="189">
      <c r="A949" s="289" t="n"/>
      <c r="B949" s="290" t="n"/>
      <c r="C949" s="290" t="n"/>
      <c r="D949" s="291" t="n"/>
      <c r="E949" s="290" t="n"/>
      <c r="F949" s="290" t="n"/>
      <c r="G949" s="290" t="n"/>
    </row>
    <row r="950" ht="13" customHeight="1" s="189">
      <c r="A950" s="289" t="n"/>
      <c r="B950" s="290" t="n"/>
      <c r="C950" s="290" t="n"/>
      <c r="D950" s="291" t="n"/>
      <c r="E950" s="290" t="n"/>
      <c r="F950" s="290" t="n"/>
      <c r="G950" s="290" t="n"/>
    </row>
    <row r="951" ht="13" customHeight="1" s="189">
      <c r="A951" s="289" t="n"/>
      <c r="B951" s="290" t="n"/>
      <c r="C951" s="290" t="n"/>
      <c r="D951" s="291" t="n"/>
      <c r="E951" s="290" t="n"/>
      <c r="F951" s="290" t="n"/>
      <c r="G951" s="290" t="n"/>
    </row>
    <row r="952" ht="13" customHeight="1" s="189">
      <c r="A952" s="289" t="n"/>
      <c r="B952" s="290" t="n"/>
      <c r="C952" s="290" t="n"/>
      <c r="D952" s="291" t="n"/>
      <c r="E952" s="290" t="n"/>
      <c r="F952" s="290" t="n"/>
      <c r="G952" s="290" t="n"/>
    </row>
    <row r="953" ht="13" customHeight="1" s="189">
      <c r="A953" s="289" t="n"/>
      <c r="B953" s="290" t="n"/>
      <c r="C953" s="290" t="n"/>
      <c r="D953" s="291" t="n"/>
      <c r="E953" s="290" t="n"/>
      <c r="F953" s="290" t="n"/>
      <c r="G953" s="290" t="n"/>
    </row>
    <row r="954" ht="13" customHeight="1" s="189">
      <c r="A954" s="289" t="n"/>
      <c r="B954" s="290" t="n"/>
      <c r="C954" s="290" t="n"/>
      <c r="D954" s="291" t="n"/>
      <c r="E954" s="290" t="n"/>
      <c r="F954" s="290" t="n"/>
      <c r="G954" s="290" t="n"/>
    </row>
    <row r="955" ht="13" customHeight="1" s="189">
      <c r="A955" s="289" t="n"/>
      <c r="B955" s="290" t="n"/>
      <c r="C955" s="290" t="n"/>
      <c r="D955" s="291" t="n"/>
      <c r="E955" s="290" t="n"/>
      <c r="F955" s="290" t="n"/>
      <c r="G955" s="290" t="n"/>
    </row>
    <row r="956" ht="13" customHeight="1" s="189">
      <c r="A956" s="289" t="n"/>
      <c r="B956" s="290" t="n"/>
      <c r="C956" s="290" t="n"/>
      <c r="D956" s="291" t="n"/>
      <c r="E956" s="290" t="n"/>
      <c r="F956" s="290" t="n"/>
      <c r="G956" s="290" t="n"/>
    </row>
    <row r="957" ht="13" customHeight="1" s="189">
      <c r="A957" s="289" t="n"/>
      <c r="B957" s="290" t="n"/>
      <c r="C957" s="290" t="n"/>
      <c r="D957" s="291" t="n"/>
      <c r="E957" s="290" t="n"/>
      <c r="F957" s="290" t="n"/>
      <c r="G957" s="290" t="n"/>
    </row>
    <row r="958" ht="13" customHeight="1" s="189">
      <c r="A958" s="289" t="n"/>
      <c r="B958" s="290" t="n"/>
      <c r="C958" s="290" t="n"/>
      <c r="D958" s="291" t="n"/>
      <c r="E958" s="290" t="n"/>
      <c r="F958" s="290" t="n"/>
      <c r="G958" s="290" t="n"/>
    </row>
    <row r="959" ht="13" customHeight="1" s="189">
      <c r="A959" s="289" t="n"/>
      <c r="B959" s="290" t="n"/>
      <c r="C959" s="290" t="n"/>
      <c r="D959" s="291" t="n"/>
      <c r="E959" s="290" t="n"/>
      <c r="F959" s="290" t="n"/>
      <c r="G959" s="290" t="n"/>
    </row>
    <row r="960" ht="13" customHeight="1" s="189">
      <c r="A960" s="289" t="n"/>
      <c r="B960" s="290" t="n"/>
      <c r="C960" s="290" t="n"/>
      <c r="D960" s="291" t="n"/>
      <c r="E960" s="290" t="n"/>
      <c r="F960" s="290" t="n"/>
      <c r="G960" s="290" t="n"/>
    </row>
    <row r="961" ht="13" customHeight="1" s="189">
      <c r="A961" s="289" t="n"/>
      <c r="B961" s="290" t="n"/>
      <c r="C961" s="290" t="n"/>
      <c r="D961" s="291" t="n"/>
      <c r="E961" s="290" t="n"/>
      <c r="F961" s="290" t="n"/>
      <c r="G961" s="290" t="n"/>
    </row>
    <row r="962" ht="13" customHeight="1" s="189">
      <c r="A962" s="289" t="n"/>
      <c r="B962" s="290" t="n"/>
      <c r="C962" s="290" t="n"/>
      <c r="D962" s="291" t="n"/>
      <c r="E962" s="290" t="n"/>
      <c r="F962" s="290" t="n"/>
      <c r="G962" s="290" t="n"/>
    </row>
    <row r="963" ht="13" customHeight="1" s="189">
      <c r="A963" s="289" t="n"/>
      <c r="B963" s="290" t="n"/>
      <c r="C963" s="290" t="n"/>
      <c r="D963" s="291" t="n"/>
      <c r="E963" s="290" t="n"/>
      <c r="F963" s="290" t="n"/>
      <c r="G963" s="290" t="n"/>
    </row>
    <row r="964" ht="13" customHeight="1" s="189">
      <c r="A964" s="289" t="n"/>
      <c r="B964" s="290" t="n"/>
      <c r="C964" s="290" t="n"/>
      <c r="D964" s="291" t="n"/>
      <c r="E964" s="290" t="n"/>
      <c r="F964" s="290" t="n"/>
      <c r="G964" s="290" t="n"/>
    </row>
    <row r="965" ht="13" customHeight="1" s="189">
      <c r="A965" s="289" t="n"/>
      <c r="B965" s="290" t="n"/>
      <c r="C965" s="290" t="n"/>
      <c r="D965" s="291" t="n"/>
      <c r="E965" s="290" t="n"/>
      <c r="F965" s="290" t="n"/>
      <c r="G965" s="290" t="n"/>
    </row>
    <row r="966" ht="13" customHeight="1" s="189">
      <c r="A966" s="289" t="n"/>
      <c r="B966" s="290" t="n"/>
      <c r="C966" s="290" t="n"/>
      <c r="D966" s="291" t="n"/>
      <c r="E966" s="290" t="n"/>
      <c r="F966" s="290" t="n"/>
      <c r="G966" s="290" t="n"/>
    </row>
    <row r="967" ht="13" customHeight="1" s="189">
      <c r="A967" s="289" t="n"/>
      <c r="B967" s="290" t="n"/>
      <c r="C967" s="290" t="n"/>
      <c r="D967" s="291" t="n"/>
      <c r="E967" s="290" t="n"/>
      <c r="F967" s="290" t="n"/>
      <c r="G967" s="290" t="n"/>
    </row>
    <row r="968" ht="13" customHeight="1" s="189">
      <c r="A968" s="289" t="n"/>
      <c r="B968" s="290" t="n"/>
      <c r="C968" s="290" t="n"/>
      <c r="D968" s="291" t="n"/>
      <c r="E968" s="290" t="n"/>
      <c r="F968" s="290" t="n"/>
      <c r="G968" s="290" t="n"/>
    </row>
    <row r="969" ht="13" customHeight="1" s="189">
      <c r="A969" s="289" t="n"/>
      <c r="B969" s="290" t="n"/>
      <c r="C969" s="290" t="n"/>
      <c r="D969" s="291" t="n"/>
      <c r="E969" s="290" t="n"/>
      <c r="F969" s="290" t="n"/>
      <c r="G969" s="290" t="n"/>
    </row>
    <row r="970" ht="13" customHeight="1" s="189">
      <c r="A970" s="289" t="n"/>
      <c r="B970" s="290" t="n"/>
      <c r="C970" s="290" t="n"/>
      <c r="D970" s="291" t="n"/>
      <c r="E970" s="290" t="n"/>
      <c r="F970" s="290" t="n"/>
      <c r="G970" s="290" t="n"/>
    </row>
    <row r="971" ht="13" customHeight="1" s="189">
      <c r="A971" s="289" t="n"/>
      <c r="B971" s="290" t="n"/>
      <c r="C971" s="290" t="n"/>
      <c r="D971" s="291" t="n"/>
      <c r="E971" s="290" t="n"/>
      <c r="F971" s="290" t="n"/>
      <c r="G971" s="290" t="n"/>
    </row>
    <row r="972" ht="13" customHeight="1" s="189">
      <c r="A972" s="289" t="n"/>
      <c r="B972" s="290" t="n"/>
      <c r="C972" s="290" t="n"/>
      <c r="D972" s="291" t="n"/>
      <c r="E972" s="290" t="n"/>
      <c r="F972" s="290" t="n"/>
      <c r="G972" s="290" t="n"/>
    </row>
    <row r="973" ht="13" customHeight="1" s="189">
      <c r="A973" s="289" t="n"/>
      <c r="B973" s="290" t="n"/>
      <c r="C973" s="290" t="n"/>
      <c r="D973" s="291" t="n"/>
      <c r="E973" s="290" t="n"/>
      <c r="F973" s="290" t="n"/>
      <c r="G973" s="290" t="n"/>
    </row>
    <row r="974" ht="13" customHeight="1" s="189">
      <c r="A974" s="289" t="n"/>
      <c r="B974" s="290" t="n"/>
      <c r="C974" s="290" t="n"/>
      <c r="D974" s="291" t="n"/>
      <c r="E974" s="290" t="n"/>
      <c r="F974" s="290" t="n"/>
      <c r="G974" s="290" t="n"/>
    </row>
    <row r="975" ht="13" customHeight="1" s="189">
      <c r="A975" s="289" t="n"/>
      <c r="B975" s="290" t="n"/>
      <c r="C975" s="290" t="n"/>
      <c r="D975" s="291" t="n"/>
      <c r="E975" s="290" t="n"/>
      <c r="F975" s="290" t="n"/>
      <c r="G975" s="290" t="n"/>
    </row>
    <row r="976" ht="13" customHeight="1" s="189">
      <c r="A976" s="289" t="n"/>
      <c r="B976" s="290" t="n"/>
      <c r="C976" s="290" t="n"/>
      <c r="D976" s="291" t="n"/>
      <c r="E976" s="290" t="n"/>
      <c r="F976" s="290" t="n"/>
      <c r="G976" s="290" t="n"/>
    </row>
    <row r="977" ht="13" customHeight="1" s="189">
      <c r="A977" s="289" t="n"/>
      <c r="B977" s="290" t="n"/>
      <c r="C977" s="290" t="n"/>
      <c r="D977" s="291" t="n"/>
      <c r="E977" s="290" t="n"/>
      <c r="F977" s="290" t="n"/>
      <c r="G977" s="290" t="n"/>
    </row>
    <row r="978" ht="13" customHeight="1" s="189">
      <c r="A978" s="289" t="n"/>
      <c r="B978" s="290" t="n"/>
      <c r="C978" s="290" t="n"/>
      <c r="D978" s="291" t="n"/>
      <c r="E978" s="290" t="n"/>
      <c r="F978" s="290" t="n"/>
      <c r="G978" s="290" t="n"/>
    </row>
    <row r="979" ht="13" customHeight="1" s="189">
      <c r="A979" s="289" t="n"/>
      <c r="B979" s="290" t="n"/>
      <c r="C979" s="290" t="n"/>
      <c r="D979" s="291" t="n"/>
      <c r="E979" s="290" t="n"/>
      <c r="F979" s="290" t="n"/>
      <c r="G979" s="290" t="n"/>
    </row>
    <row r="980" ht="13" customHeight="1" s="189">
      <c r="A980" s="289" t="n"/>
      <c r="B980" s="290" t="n"/>
      <c r="C980" s="290" t="n"/>
      <c r="D980" s="291" t="n"/>
      <c r="E980" s="290" t="n"/>
      <c r="F980" s="290" t="n"/>
      <c r="G980" s="290" t="n"/>
    </row>
    <row r="981" ht="13" customHeight="1" s="189">
      <c r="A981" s="289" t="n"/>
      <c r="B981" s="290" t="n"/>
      <c r="C981" s="290" t="n"/>
      <c r="D981" s="291" t="n"/>
      <c r="E981" s="290" t="n"/>
      <c r="F981" s="290" t="n"/>
      <c r="G981" s="290" t="n"/>
    </row>
    <row r="982" ht="13" customHeight="1" s="189">
      <c r="A982" s="289" t="n"/>
      <c r="B982" s="290" t="n"/>
      <c r="C982" s="290" t="n"/>
      <c r="D982" s="291" t="n"/>
      <c r="E982" s="290" t="n"/>
      <c r="F982" s="290" t="n"/>
      <c r="G982" s="290" t="n"/>
    </row>
    <row r="983" ht="13" customHeight="1" s="189">
      <c r="A983" s="289" t="n"/>
      <c r="B983" s="290" t="n"/>
      <c r="C983" s="290" t="n"/>
      <c r="D983" s="291" t="n"/>
      <c r="E983" s="290" t="n"/>
      <c r="F983" s="290" t="n"/>
      <c r="G983" s="290" t="n"/>
    </row>
    <row r="984" ht="13" customHeight="1" s="189">
      <c r="A984" s="289" t="n"/>
      <c r="B984" s="290" t="n"/>
      <c r="C984" s="290" t="n"/>
      <c r="D984" s="291" t="n"/>
      <c r="E984" s="290" t="n"/>
      <c r="F984" s="290" t="n"/>
      <c r="G984" s="290" t="n"/>
    </row>
    <row r="985" ht="13" customHeight="1" s="189">
      <c r="A985" s="289" t="n"/>
      <c r="B985" s="290" t="n"/>
      <c r="C985" s="290" t="n"/>
      <c r="D985" s="291" t="n"/>
      <c r="E985" s="290" t="n"/>
      <c r="F985" s="290" t="n"/>
      <c r="G985" s="290" t="n"/>
    </row>
    <row r="986" ht="13" customHeight="1" s="189">
      <c r="A986" s="289" t="n"/>
      <c r="B986" s="290" t="n"/>
      <c r="C986" s="290" t="n"/>
      <c r="D986" s="291" t="n"/>
      <c r="E986" s="290" t="n"/>
      <c r="F986" s="290" t="n"/>
      <c r="G986" s="290" t="n"/>
    </row>
    <row r="987" ht="13" customHeight="1" s="189">
      <c r="A987" s="289" t="n"/>
      <c r="B987" s="290" t="n"/>
      <c r="C987" s="290" t="n"/>
      <c r="D987" s="291" t="n"/>
      <c r="E987" s="290" t="n"/>
      <c r="F987" s="290" t="n"/>
      <c r="G987" s="290" t="n"/>
    </row>
    <row r="988" ht="13" customHeight="1" s="189">
      <c r="A988" s="289" t="n"/>
      <c r="B988" s="290" t="n"/>
      <c r="C988" s="290" t="n"/>
      <c r="D988" s="291" t="n"/>
      <c r="E988" s="290" t="n"/>
      <c r="F988" s="290" t="n"/>
      <c r="G988" s="290" t="n"/>
    </row>
    <row r="989" ht="13" customHeight="1" s="189">
      <c r="A989" s="289" t="n"/>
      <c r="B989" s="290" t="n"/>
      <c r="C989" s="290" t="n"/>
      <c r="D989" s="291" t="n"/>
      <c r="E989" s="290" t="n"/>
      <c r="F989" s="290" t="n"/>
      <c r="G989" s="290" t="n"/>
    </row>
    <row r="990" ht="13" customHeight="1" s="189">
      <c r="A990" s="289" t="n"/>
      <c r="B990" s="290" t="n"/>
      <c r="C990" s="290" t="n"/>
      <c r="D990" s="291" t="n"/>
      <c r="E990" s="290" t="n"/>
      <c r="F990" s="290" t="n"/>
      <c r="G990" s="290" t="n"/>
    </row>
    <row r="991" ht="13" customHeight="1" s="189">
      <c r="A991" s="289" t="n"/>
      <c r="B991" s="290" t="n"/>
      <c r="C991" s="290" t="n"/>
      <c r="D991" s="291" t="n"/>
      <c r="E991" s="290" t="n"/>
      <c r="F991" s="290" t="n"/>
      <c r="G991" s="290" t="n"/>
    </row>
    <row r="992" ht="13" customHeight="1" s="189">
      <c r="A992" s="289" t="n"/>
      <c r="B992" s="290" t="n"/>
      <c r="C992" s="290" t="n"/>
      <c r="D992" s="291" t="n"/>
      <c r="E992" s="290" t="n"/>
      <c r="F992" s="290" t="n"/>
      <c r="G992" s="290" t="n"/>
    </row>
    <row r="993" ht="13" customHeight="1" s="189">
      <c r="A993" s="289" t="n"/>
      <c r="B993" s="290" t="n"/>
      <c r="C993" s="290" t="n"/>
      <c r="D993" s="291" t="n"/>
      <c r="E993" s="290" t="n"/>
      <c r="F993" s="290" t="n"/>
      <c r="G993" s="290" t="n"/>
    </row>
    <row r="994" ht="13" customHeight="1" s="189">
      <c r="A994" s="289" t="n"/>
      <c r="B994" s="290" t="n"/>
      <c r="C994" s="290" t="n"/>
      <c r="D994" s="291" t="n"/>
      <c r="E994" s="290" t="n"/>
      <c r="F994" s="290" t="n"/>
      <c r="G994" s="290" t="n"/>
    </row>
    <row r="995" ht="13" customHeight="1" s="189">
      <c r="A995" s="289" t="n"/>
      <c r="B995" s="290" t="n"/>
      <c r="C995" s="290" t="n"/>
      <c r="D995" s="291" t="n"/>
      <c r="E995" s="290" t="n"/>
      <c r="F995" s="290" t="n"/>
      <c r="G995" s="290" t="n"/>
    </row>
    <row r="996" ht="13" customHeight="1" s="189">
      <c r="A996" s="289" t="n"/>
      <c r="B996" s="290" t="n"/>
      <c r="C996" s="290" t="n"/>
      <c r="D996" s="291" t="n"/>
      <c r="E996" s="290" t="n"/>
      <c r="F996" s="290" t="n"/>
      <c r="G996" s="290" t="n"/>
    </row>
    <row r="997" ht="13" customHeight="1" s="189">
      <c r="A997" s="289" t="n"/>
      <c r="B997" s="290" t="n"/>
      <c r="C997" s="290" t="n"/>
      <c r="D997" s="291" t="n"/>
      <c r="E997" s="290" t="n"/>
      <c r="F997" s="290" t="n"/>
      <c r="G997" s="290" t="n"/>
    </row>
    <row r="998" ht="13" customHeight="1" s="189">
      <c r="A998" s="289" t="n"/>
      <c r="B998" s="290" t="n"/>
      <c r="C998" s="290" t="n"/>
      <c r="D998" s="291" t="n"/>
      <c r="E998" s="290" t="n"/>
      <c r="F998" s="290" t="n"/>
      <c r="G998" s="290" t="n"/>
    </row>
    <row r="999" ht="13" customHeight="1" s="189">
      <c r="A999" s="289" t="n"/>
      <c r="B999" s="290" t="n"/>
      <c r="C999" s="290" t="n"/>
      <c r="D999" s="291" t="n"/>
      <c r="E999" s="290" t="n"/>
      <c r="F999" s="290" t="n"/>
      <c r="G999" s="290" t="n"/>
    </row>
    <row r="1000" ht="13" customHeight="1" s="189">
      <c r="A1000" s="289" t="n"/>
      <c r="B1000" s="290" t="n"/>
      <c r="C1000" s="290" t="n"/>
      <c r="D1000" s="291" t="n"/>
      <c r="E1000" s="290" t="n"/>
      <c r="F1000" s="290" t="n"/>
      <c r="G1000" s="290" t="n"/>
    </row>
    <row r="1001" ht="13" customHeight="1" s="189">
      <c r="A1001" s="289" t="n"/>
      <c r="B1001" s="290" t="n"/>
      <c r="C1001" s="290" t="n"/>
      <c r="D1001" s="291" t="n"/>
      <c r="E1001" s="290" t="n"/>
      <c r="F1001" s="290" t="n"/>
      <c r="G1001" s="290" t="n"/>
    </row>
    <row r="1002" ht="13" customHeight="1" s="189">
      <c r="A1002" s="289" t="n"/>
      <c r="B1002" s="290" t="n"/>
      <c r="C1002" s="290" t="n"/>
      <c r="D1002" s="291" t="n"/>
      <c r="E1002" s="290" t="n"/>
      <c r="F1002" s="290" t="n"/>
      <c r="G1002" s="290" t="n"/>
    </row>
    <row r="1003" ht="13" customHeight="1" s="189">
      <c r="A1003" s="289" t="n"/>
      <c r="B1003" s="290" t="n"/>
      <c r="C1003" s="290" t="n"/>
      <c r="D1003" s="291" t="n"/>
      <c r="E1003" s="290" t="n"/>
      <c r="F1003" s="290" t="n"/>
      <c r="G1003" s="290" t="n"/>
    </row>
    <row r="1004" ht="13" customHeight="1" s="189">
      <c r="A1004" s="289" t="n"/>
      <c r="B1004" s="290" t="n"/>
      <c r="C1004" s="290" t="n"/>
      <c r="D1004" s="291" t="n"/>
      <c r="E1004" s="290" t="n"/>
      <c r="F1004" s="290" t="n"/>
      <c r="G1004" s="290" t="n"/>
    </row>
    <row r="1005" ht="13" customHeight="1" s="189">
      <c r="A1005" s="289" t="n"/>
      <c r="B1005" s="290" t="n"/>
      <c r="C1005" s="290" t="n"/>
      <c r="D1005" s="291" t="n"/>
      <c r="E1005" s="290" t="n"/>
      <c r="F1005" s="290" t="n"/>
      <c r="G1005" s="290" t="n"/>
    </row>
    <row r="1006" ht="13" customHeight="1" s="189">
      <c r="A1006" s="289" t="n"/>
      <c r="B1006" s="290" t="n"/>
      <c r="C1006" s="290" t="n"/>
      <c r="D1006" s="291" t="n"/>
      <c r="E1006" s="290" t="n"/>
      <c r="F1006" s="290" t="n"/>
      <c r="G1006" s="290" t="n"/>
    </row>
    <row r="1007" ht="13" customHeight="1" s="189">
      <c r="A1007" s="289" t="n"/>
      <c r="B1007" s="290" t="n"/>
      <c r="C1007" s="290" t="n"/>
      <c r="D1007" s="291" t="n"/>
      <c r="E1007" s="290" t="n"/>
      <c r="F1007" s="290" t="n"/>
      <c r="G1007" s="290" t="n"/>
    </row>
    <row r="1008" ht="13" customHeight="1" s="189">
      <c r="A1008" s="289" t="n"/>
      <c r="B1008" s="290" t="n"/>
      <c r="C1008" s="290" t="n"/>
      <c r="D1008" s="291" t="n"/>
      <c r="E1008" s="290" t="n"/>
      <c r="F1008" s="290" t="n"/>
      <c r="G1008" s="290" t="n"/>
    </row>
    <row r="1009" ht="13" customHeight="1" s="189">
      <c r="A1009" s="289" t="n"/>
      <c r="B1009" s="290" t="n"/>
      <c r="C1009" s="290" t="n"/>
      <c r="D1009" s="291" t="n"/>
      <c r="E1009" s="290" t="n"/>
      <c r="F1009" s="290" t="n"/>
      <c r="G1009" s="290" t="n"/>
    </row>
    <row r="1010" ht="13" customHeight="1" s="189">
      <c r="A1010" s="289" t="n"/>
      <c r="B1010" s="290" t="n"/>
      <c r="C1010" s="290" t="n"/>
      <c r="D1010" s="291" t="n"/>
      <c r="E1010" s="290" t="n"/>
      <c r="F1010" s="290" t="n"/>
      <c r="G1010" s="290" t="n"/>
    </row>
    <row r="1011" ht="13" customHeight="1" s="189">
      <c r="A1011" s="289" t="n"/>
      <c r="B1011" s="290" t="n"/>
      <c r="C1011" s="290" t="n"/>
      <c r="D1011" s="291" t="n"/>
      <c r="E1011" s="290" t="n"/>
      <c r="F1011" s="290" t="n"/>
      <c r="G1011" s="290" t="n"/>
    </row>
    <row r="1012" ht="13" customHeight="1" s="189">
      <c r="A1012" s="289" t="n"/>
      <c r="B1012" s="290" t="n"/>
      <c r="C1012" s="290" t="n"/>
      <c r="D1012" s="291" t="n"/>
      <c r="E1012" s="290" t="n"/>
      <c r="F1012" s="290" t="n"/>
      <c r="G1012" s="290" t="n"/>
    </row>
    <row r="1013" ht="13" customHeight="1" s="189">
      <c r="A1013" s="289" t="n"/>
      <c r="B1013" s="290" t="n"/>
      <c r="C1013" s="290" t="n"/>
      <c r="D1013" s="291" t="n"/>
      <c r="E1013" s="290" t="n"/>
      <c r="F1013" s="290" t="n"/>
      <c r="G1013" s="290" t="n"/>
    </row>
    <row r="1014" ht="13" customHeight="1" s="189">
      <c r="A1014" s="289" t="n"/>
      <c r="B1014" s="290" t="n"/>
      <c r="C1014" s="290" t="n"/>
      <c r="D1014" s="291" t="n"/>
      <c r="E1014" s="290" t="n"/>
      <c r="F1014" s="290" t="n"/>
      <c r="G1014" s="290" t="n"/>
    </row>
    <row r="1015" ht="13" customHeight="1" s="189">
      <c r="A1015" s="289" t="n"/>
      <c r="B1015" s="290" t="n"/>
      <c r="C1015" s="290" t="n"/>
      <c r="D1015" s="291" t="n"/>
      <c r="E1015" s="290" t="n"/>
      <c r="F1015" s="290" t="n"/>
      <c r="G1015" s="290" t="n"/>
    </row>
    <row r="1016" ht="13" customHeight="1" s="189">
      <c r="A1016" s="289" t="n"/>
      <c r="B1016" s="290" t="n"/>
      <c r="C1016" s="290" t="n"/>
      <c r="D1016" s="291" t="n"/>
      <c r="E1016" s="290" t="n"/>
      <c r="F1016" s="290" t="n"/>
      <c r="G1016" s="290" t="n"/>
    </row>
    <row r="1017" ht="13" customHeight="1" s="189">
      <c r="A1017" s="289" t="n"/>
      <c r="B1017" s="290" t="n"/>
      <c r="C1017" s="290" t="n"/>
      <c r="D1017" s="291" t="n"/>
      <c r="E1017" s="290" t="n"/>
      <c r="F1017" s="290" t="n"/>
      <c r="G1017" s="290" t="n"/>
    </row>
    <row r="1018" ht="13" customHeight="1" s="189">
      <c r="A1018" s="289" t="n"/>
      <c r="B1018" s="290" t="n"/>
      <c r="C1018" s="290" t="n"/>
      <c r="D1018" s="291" t="n"/>
      <c r="E1018" s="290" t="n"/>
      <c r="F1018" s="290" t="n"/>
      <c r="G1018" s="290" t="n"/>
    </row>
    <row r="1019" ht="13" customHeight="1" s="189">
      <c r="A1019" s="289" t="n"/>
      <c r="B1019" s="290" t="n"/>
      <c r="C1019" s="290" t="n"/>
      <c r="D1019" s="291" t="n"/>
      <c r="E1019" s="290" t="n"/>
      <c r="F1019" s="290" t="n"/>
      <c r="G1019" s="290" t="n"/>
    </row>
    <row r="1020" ht="13" customHeight="1" s="189">
      <c r="A1020" s="289" t="n"/>
      <c r="B1020" s="290" t="n"/>
      <c r="C1020" s="290" t="n"/>
      <c r="D1020" s="291" t="n"/>
      <c r="E1020" s="290" t="n"/>
      <c r="F1020" s="290" t="n"/>
      <c r="G1020" s="290" t="n"/>
    </row>
    <row r="1021" ht="13" customHeight="1" s="189">
      <c r="A1021" s="289" t="n"/>
      <c r="B1021" s="290" t="n"/>
      <c r="C1021" s="290" t="n"/>
      <c r="D1021" s="291" t="n"/>
      <c r="E1021" s="290" t="n"/>
      <c r="F1021" s="290" t="n"/>
      <c r="G1021" s="290" t="n"/>
    </row>
    <row r="1022" ht="13" customHeight="1" s="189">
      <c r="A1022" s="289" t="n"/>
      <c r="B1022" s="290" t="n"/>
      <c r="C1022" s="290" t="n"/>
      <c r="D1022" s="291" t="n"/>
      <c r="E1022" s="290" t="n"/>
      <c r="F1022" s="290" t="n"/>
      <c r="G1022" s="290" t="n"/>
    </row>
    <row r="1023" ht="13" customHeight="1" s="189">
      <c r="A1023" s="289" t="n"/>
      <c r="B1023" s="290" t="n"/>
      <c r="C1023" s="290" t="n"/>
      <c r="D1023" s="291" t="n"/>
      <c r="E1023" s="290" t="n"/>
      <c r="F1023" s="290" t="n"/>
      <c r="G1023" s="290" t="n"/>
    </row>
    <row r="1024" ht="13" customHeight="1" s="189">
      <c r="A1024" s="289" t="n"/>
      <c r="B1024" s="290" t="n"/>
      <c r="C1024" s="290" t="n"/>
      <c r="D1024" s="291" t="n"/>
      <c r="E1024" s="290" t="n"/>
      <c r="F1024" s="290" t="n"/>
      <c r="G1024" s="290" t="n"/>
    </row>
    <row r="1025" ht="13" customHeight="1" s="189"/>
    <row r="1026" ht="13" customHeight="1" s="189"/>
    <row r="1027" ht="13" customHeight="1" s="189"/>
    <row r="1028" ht="13" customHeight="1" s="189"/>
    <row r="1029" ht="13" customHeight="1" s="189"/>
    <row r="1030" ht="13" customHeight="1" s="189"/>
    <row r="1031" ht="13" customHeight="1" s="189"/>
    <row r="1032" ht="13" customHeight="1" s="189"/>
    <row r="1033" ht="13" customHeight="1" s="189"/>
    <row r="1034" ht="13" customHeight="1" s="189"/>
    <row r="1035" ht="13" customHeight="1" s="189"/>
    <row r="1036" ht="13" customHeight="1" s="189"/>
    <row r="1037" ht="13" customHeight="1" s="189"/>
    <row r="1038" ht="13" customHeight="1" s="189"/>
    <row r="1039" ht="13" customHeight="1" s="189"/>
    <row r="1040" ht="13" customHeight="1" s="189"/>
    <row r="1041" ht="13" customHeight="1" s="189"/>
    <row r="1042" ht="13" customHeight="1" s="189"/>
    <row r="1043" ht="13" customHeight="1" s="189"/>
    <row r="1044" ht="13" customHeight="1" s="189"/>
    <row r="1045" ht="13" customHeight="1" s="189"/>
    <row r="1046" ht="13" customHeight="1" s="189"/>
    <row r="1047" ht="13" customHeight="1" s="189"/>
    <row r="1048" ht="13" customHeight="1" s="189"/>
    <row r="1049" ht="13" customHeight="1" s="189"/>
    <row r="1050" ht="13" customHeight="1" s="189"/>
    <row r="1051" ht="13" customHeight="1" s="189"/>
    <row r="1052" ht="13" customHeight="1" s="189"/>
    <row r="1053" ht="13" customHeight="1" s="189"/>
    <row r="1054" ht="13" customHeight="1" s="189"/>
    <row r="1055" ht="13" customHeight="1" s="189"/>
    <row r="1056" ht="13" customHeight="1" s="189"/>
    <row r="1057" ht="13" customHeight="1" s="189"/>
    <row r="1058" ht="13" customHeight="1" s="189"/>
    <row r="1059" ht="13" customHeight="1" s="189"/>
    <row r="1060" ht="13" customHeight="1" s="189"/>
    <row r="1061" ht="13" customHeight="1" s="189"/>
    <row r="1062" ht="13" customHeight="1" s="189"/>
    <row r="1063" ht="13" customHeight="1" s="189"/>
    <row r="1064" ht="13" customHeight="1" s="189"/>
    <row r="1065" ht="13" customHeight="1" s="189"/>
    <row r="1066" ht="13" customHeight="1" s="189"/>
    <row r="1067" ht="13" customHeight="1" s="189"/>
    <row r="1068" ht="13" customHeight="1" s="189"/>
    <row r="1069" ht="13" customHeight="1" s="189"/>
    <row r="1070" ht="13" customHeight="1" s="189"/>
    <row r="1071" ht="13" customHeight="1" s="189"/>
    <row r="1072" ht="13" customHeight="1" s="189"/>
    <row r="1073" ht="13" customHeight="1" s="189"/>
    <row r="1074" ht="13" customHeight="1" s="189"/>
    <row r="1075" ht="13" customHeight="1" s="189"/>
    <row r="1076" ht="13" customHeight="1" s="189"/>
    <row r="1077" ht="13" customHeight="1" s="189"/>
    <row r="1078" ht="13" customHeight="1" s="189"/>
    <row r="1079" ht="13" customHeight="1" s="189"/>
    <row r="1080" ht="13" customHeight="1" s="189"/>
    <row r="1081" ht="13" customHeight="1" s="189"/>
    <row r="1082" ht="13" customHeight="1" s="189"/>
    <row r="1083" ht="13" customHeight="1" s="189"/>
    <row r="1084" ht="13" customHeight="1" s="189"/>
    <row r="1085" ht="13" customHeight="1" s="189"/>
    <row r="1086" ht="13" customHeight="1" s="189"/>
    <row r="1087" ht="13" customHeight="1" s="189"/>
    <row r="1088" ht="13" customHeight="1" s="189"/>
    <row r="1089" ht="13" customHeight="1" s="189"/>
    <row r="1090" ht="13" customHeight="1" s="189"/>
    <row r="1091" ht="13" customHeight="1" s="189"/>
    <row r="1092" ht="13" customHeight="1" s="189"/>
    <row r="1093" ht="13" customHeight="1" s="189"/>
    <row r="1094" ht="13" customHeight="1" s="189"/>
    <row r="1095" ht="13" customHeight="1" s="189"/>
    <row r="1096" ht="13" customHeight="1" s="189"/>
    <row r="1097" ht="13" customHeight="1" s="189"/>
    <row r="1098" ht="13" customHeight="1" s="189"/>
    <row r="1099" ht="13" customHeight="1" s="189"/>
    <row r="1100" ht="13" customHeight="1" s="189"/>
    <row r="1101" ht="13" customHeight="1" s="189"/>
    <row r="1102" ht="13" customHeight="1" s="189"/>
    <row r="1103" ht="13" customHeight="1" s="189"/>
    <row r="1104" ht="13" customHeight="1" s="189"/>
    <row r="1105" ht="13" customHeight="1" s="189"/>
    <row r="1106" ht="13" customHeight="1" s="189"/>
    <row r="1107" ht="13" customHeight="1" s="189"/>
    <row r="1108" ht="13" customHeight="1" s="189"/>
    <row r="1109" ht="13" customHeight="1" s="189"/>
    <row r="1110" ht="13" customHeight="1" s="189"/>
    <row r="1111" ht="13" customHeight="1" s="189"/>
    <row r="1112" ht="13" customHeight="1" s="189"/>
    <row r="1113" ht="13" customHeight="1" s="189"/>
    <row r="1114" ht="13" customHeight="1" s="189"/>
    <row r="1115" ht="13" customHeight="1" s="189"/>
    <row r="1116" ht="13" customHeight="1" s="189"/>
    <row r="1117" ht="13" customHeight="1" s="189"/>
    <row r="1118" ht="13" customHeight="1" s="189"/>
    <row r="1119" ht="13" customHeight="1" s="189"/>
    <row r="1120" ht="13" customHeight="1" s="189"/>
    <row r="1121" ht="13" customHeight="1" s="189"/>
    <row r="1122" ht="13" customHeight="1" s="189"/>
    <row r="1123" ht="13" customHeight="1" s="189"/>
    <row r="1124" ht="13" customHeight="1" s="189"/>
    <row r="1125" ht="13" customHeight="1" s="189"/>
    <row r="1126" ht="13" customHeight="1" s="189"/>
    <row r="1127" ht="13" customHeight="1" s="189"/>
    <row r="1128" ht="13" customHeight="1" s="189"/>
    <row r="1129" ht="13" customHeight="1" s="189"/>
    <row r="1130" ht="13" customHeight="1" s="189"/>
    <row r="1131" ht="13" customHeight="1" s="189"/>
    <row r="1132" ht="13" customHeight="1" s="189"/>
    <row r="1133" ht="13" customHeight="1" s="189"/>
    <row r="1134" ht="13" customHeight="1" s="189"/>
    <row r="1135" ht="13" customHeight="1" s="189"/>
    <row r="1136" ht="13" customHeight="1" s="189"/>
    <row r="1137" ht="13" customHeight="1" s="189"/>
    <row r="1138" ht="13" customHeight="1" s="189"/>
    <row r="1139" ht="13" customHeight="1" s="189"/>
    <row r="1140" ht="13" customHeight="1" s="189"/>
    <row r="1141" ht="13" customHeight="1" s="189"/>
    <row r="1142" ht="13" customHeight="1" s="189"/>
    <row r="1143" ht="13" customHeight="1" s="189"/>
    <row r="1144" ht="13" customHeight="1" s="189"/>
    <row r="1145" ht="13" customHeight="1" s="189"/>
    <row r="1146" ht="13" customHeight="1" s="189"/>
    <row r="1147" ht="13" customHeight="1" s="189"/>
    <row r="1148" ht="13" customHeight="1" s="189"/>
    <row r="1149" ht="13" customHeight="1" s="189"/>
    <row r="1150" ht="13" customHeight="1" s="189"/>
    <row r="1151" ht="13" customHeight="1" s="189"/>
    <row r="1152" ht="13" customHeight="1" s="189"/>
    <row r="1153" ht="13" customHeight="1" s="189"/>
    <row r="1154" ht="13" customHeight="1" s="189"/>
    <row r="1155" ht="13" customHeight="1" s="189"/>
    <row r="1156" ht="13" customHeight="1" s="189"/>
    <row r="1157" ht="13" customHeight="1" s="189"/>
    <row r="1158" ht="13" customHeight="1" s="189"/>
    <row r="1159" ht="13" customHeight="1" s="189"/>
    <row r="1160" ht="13" customHeight="1" s="189"/>
    <row r="1161" ht="13" customHeight="1" s="189"/>
    <row r="1162" ht="13" customHeight="1" s="189"/>
    <row r="1163" ht="13" customHeight="1" s="189"/>
    <row r="1164" ht="13" customHeight="1" s="189"/>
    <row r="1165" ht="13" customHeight="1" s="189"/>
    <row r="1166" ht="13" customHeight="1" s="189"/>
    <row r="1167" ht="13" customHeight="1" s="189"/>
    <row r="1168" ht="13" customHeight="1" s="189"/>
    <row r="1169" ht="13" customHeight="1" s="189"/>
    <row r="1170" ht="13" customHeight="1" s="189"/>
    <row r="1171" ht="13" customHeight="1" s="189"/>
    <row r="1172" ht="13" customHeight="1" s="189"/>
    <row r="1173" ht="13" customHeight="1" s="189"/>
    <row r="1174" ht="13" customHeight="1" s="189"/>
    <row r="1175" ht="13" customHeight="1" s="189"/>
    <row r="1176" ht="13" customHeight="1" s="189"/>
    <row r="1177" ht="13" customHeight="1" s="189"/>
    <row r="1178" ht="13" customHeight="1" s="189"/>
    <row r="1179" ht="13" customHeight="1" s="189"/>
    <row r="1180" ht="13" customHeight="1" s="189"/>
    <row r="1181" ht="13" customHeight="1" s="189"/>
    <row r="1182" ht="13" customHeight="1" s="189"/>
    <row r="1183" ht="13" customHeight="1" s="189"/>
    <row r="1184" ht="13" customHeight="1" s="189"/>
    <row r="1185" ht="13" customHeight="1" s="189"/>
    <row r="1186" ht="13" customHeight="1" s="189"/>
    <row r="1187" ht="13" customHeight="1" s="189"/>
    <row r="1188" ht="13" customHeight="1" s="189"/>
    <row r="1189" ht="13" customHeight="1" s="189"/>
    <row r="1190" ht="13" customHeight="1" s="189"/>
    <row r="1191" ht="13" customHeight="1" s="189"/>
    <row r="1192" ht="13" customHeight="1" s="189"/>
    <row r="1193" ht="13" customHeight="1" s="189"/>
    <row r="1194" ht="13" customHeight="1" s="189"/>
    <row r="1195" ht="13" customHeight="1" s="189"/>
    <row r="1196" ht="13" customHeight="1" s="189"/>
    <row r="1197" ht="13" customHeight="1" s="189"/>
    <row r="1198" ht="13" customHeight="1" s="189"/>
    <row r="1199" ht="13" customHeight="1" s="189"/>
    <row r="1200" ht="13" customHeight="1" s="189"/>
    <row r="1201" ht="13" customHeight="1" s="189"/>
    <row r="1202" ht="13" customHeight="1" s="189"/>
    <row r="1203" ht="13" customHeight="1" s="189"/>
    <row r="1204" ht="13" customHeight="1" s="189"/>
    <row r="1205" ht="13" customHeight="1" s="189"/>
    <row r="1206" ht="13" customHeight="1" s="189"/>
    <row r="1207" ht="13" customHeight="1" s="189"/>
    <row r="1208" ht="13" customHeight="1" s="189"/>
    <row r="1209" ht="13" customHeight="1" s="189"/>
    <row r="1210" ht="13" customHeight="1" s="189"/>
    <row r="1211" ht="13" customHeight="1" s="189"/>
    <row r="1212" ht="13" customHeight="1" s="189"/>
    <row r="1213" ht="13" customHeight="1" s="189"/>
    <row r="1214" ht="13" customHeight="1" s="189"/>
    <row r="1215" ht="13" customHeight="1" s="189"/>
    <row r="1216" ht="13" customHeight="1" s="189"/>
    <row r="1217" ht="13" customHeight="1" s="189"/>
    <row r="1218" ht="13" customHeight="1" s="189"/>
    <row r="1219" ht="13" customHeight="1" s="189"/>
    <row r="1220" ht="13" customHeight="1" s="189"/>
    <row r="1221" ht="13" customHeight="1" s="189"/>
    <row r="1222" ht="13" customHeight="1" s="189"/>
    <row r="1223" ht="13" customHeight="1" s="189"/>
    <row r="1224" ht="13" customHeight="1" s="189"/>
    <row r="1225" ht="13" customHeight="1" s="189"/>
    <row r="1226" ht="13" customHeight="1" s="189"/>
    <row r="1227" ht="13" customHeight="1" s="189"/>
    <row r="1228" ht="13" customHeight="1" s="189"/>
    <row r="1229" ht="13" customHeight="1" s="189"/>
    <row r="1230" ht="13" customHeight="1" s="189"/>
    <row r="1231" ht="13" customHeight="1" s="189"/>
    <row r="1232" ht="13" customHeight="1" s="189"/>
    <row r="1233" ht="13" customHeight="1" s="189"/>
    <row r="1234" ht="13" customHeight="1" s="189"/>
    <row r="1235" ht="13" customHeight="1" s="189"/>
    <row r="1236" ht="13" customHeight="1" s="189"/>
    <row r="1237" ht="13" customHeight="1" s="189"/>
    <row r="1238" ht="13" customHeight="1" s="189"/>
    <row r="1239" ht="13" customHeight="1" s="189"/>
    <row r="1240" ht="13" customHeight="1" s="189"/>
    <row r="1241" ht="13" customHeight="1" s="189"/>
    <row r="1242" ht="13" customHeight="1" s="189"/>
    <row r="1243" ht="13" customHeight="1" s="189"/>
    <row r="1244" ht="13" customHeight="1" s="189"/>
    <row r="1245" ht="13" customHeight="1" s="189"/>
    <row r="1246" ht="13" customHeight="1" s="189"/>
    <row r="1247" ht="13" customHeight="1" s="189"/>
    <row r="1248" ht="13" customHeight="1" s="189"/>
    <row r="1249" ht="13" customHeight="1" s="189"/>
    <row r="1250" ht="13" customHeight="1" s="189"/>
    <row r="1251" ht="13" customHeight="1" s="189"/>
    <row r="1252" ht="13" customHeight="1" s="189"/>
    <row r="1253" ht="13" customHeight="1" s="189"/>
    <row r="1254" ht="13" customHeight="1" s="189"/>
    <row r="1255" ht="13" customHeight="1" s="189"/>
    <row r="1256" ht="13" customHeight="1" s="189"/>
    <row r="1257" ht="13" customHeight="1" s="189"/>
    <row r="1258" ht="13" customHeight="1" s="189"/>
    <row r="1259" ht="13" customHeight="1" s="189"/>
    <row r="1260" ht="13" customHeight="1" s="189"/>
    <row r="1261" ht="13" customHeight="1" s="189"/>
    <row r="1262" ht="13" customHeight="1" s="189"/>
    <row r="1263" ht="13" customHeight="1" s="189"/>
    <row r="1264" ht="13" customHeight="1" s="189"/>
    <row r="1265" ht="13" customHeight="1" s="189"/>
    <row r="1266" ht="13" customHeight="1" s="189"/>
    <row r="1267" ht="13" customHeight="1" s="189"/>
    <row r="1268" ht="13" customHeight="1" s="189"/>
    <row r="1269" ht="13" customHeight="1" s="189"/>
    <row r="1270" ht="13" customHeight="1" s="189"/>
    <row r="1271" ht="13" customHeight="1" s="189"/>
    <row r="1272" ht="13" customHeight="1" s="189"/>
    <row r="1273" ht="13" customHeight="1" s="189"/>
    <row r="1274" ht="13" customHeight="1" s="189"/>
    <row r="1275" ht="13" customHeight="1" s="189"/>
    <row r="1276" ht="13" customHeight="1" s="189"/>
    <row r="1277" ht="13" customHeight="1" s="189"/>
    <row r="1278" ht="13" customHeight="1" s="189"/>
    <row r="1279" ht="13" customHeight="1" s="189"/>
    <row r="1280" ht="13" customHeight="1" s="189"/>
    <row r="1281" ht="13" customHeight="1" s="189"/>
    <row r="1282" ht="13" customHeight="1" s="189"/>
    <row r="1283" ht="13" customHeight="1" s="189"/>
    <row r="1284" ht="13" customHeight="1" s="189"/>
    <row r="1285" ht="13" customHeight="1" s="189"/>
    <row r="1286" ht="13" customHeight="1" s="189"/>
    <row r="1287" ht="13" customHeight="1" s="189"/>
    <row r="1288" ht="13" customHeight="1" s="189"/>
    <row r="1289" ht="13" customHeight="1" s="189"/>
    <row r="1290" ht="13" customHeight="1" s="189"/>
    <row r="1291" ht="13" customHeight="1" s="189"/>
    <row r="1292" ht="13" customHeight="1" s="189"/>
    <row r="1293" ht="13" customHeight="1" s="189"/>
    <row r="1294" ht="13" customHeight="1" s="189"/>
    <row r="1295" ht="13" customHeight="1" s="189"/>
    <row r="1296" ht="13" customHeight="1" s="189"/>
    <row r="1297" ht="13" customHeight="1" s="189"/>
    <row r="1298" ht="13" customHeight="1" s="189"/>
    <row r="1299" ht="13" customHeight="1" s="189"/>
    <row r="1300" ht="13" customHeight="1" s="189"/>
    <row r="1301" ht="13" customHeight="1" s="189"/>
    <row r="1302" ht="13" customHeight="1" s="189"/>
    <row r="1303" ht="13" customHeight="1" s="189"/>
    <row r="1304" ht="13" customHeight="1" s="189"/>
    <row r="1305" ht="13" customHeight="1" s="189"/>
    <row r="1306" ht="13" customHeight="1" s="189"/>
    <row r="1307" ht="13" customHeight="1" s="189"/>
    <row r="1308" ht="13" customHeight="1" s="189"/>
    <row r="1309" ht="13" customHeight="1" s="189"/>
    <row r="1310" ht="13" customHeight="1" s="189"/>
    <row r="1311" ht="13" customHeight="1" s="189"/>
    <row r="1312" ht="13" customHeight="1" s="189"/>
    <row r="1313" ht="13" customHeight="1" s="189"/>
    <row r="1314" ht="13" customHeight="1" s="189"/>
    <row r="1315" ht="13" customHeight="1" s="189"/>
    <row r="1316" ht="13" customHeight="1" s="189"/>
    <row r="1317" ht="13" customHeight="1" s="189"/>
    <row r="1318" ht="13" customHeight="1" s="189"/>
    <row r="1319" ht="13" customHeight="1" s="189"/>
    <row r="1320" ht="13" customHeight="1" s="189"/>
    <row r="1321" ht="13" customHeight="1" s="189"/>
    <row r="1322" ht="13" customHeight="1" s="189"/>
    <row r="1323" ht="13" customHeight="1" s="189"/>
    <row r="1324" ht="13" customHeight="1" s="189"/>
    <row r="1325" ht="13" customHeight="1" s="189"/>
    <row r="1326" ht="13" customHeight="1" s="189"/>
    <row r="1327" ht="13" customHeight="1" s="189"/>
    <row r="1328" ht="13" customHeight="1" s="189"/>
    <row r="1329" ht="13" customHeight="1" s="189"/>
    <row r="1330" ht="13" customHeight="1" s="189"/>
    <row r="1331" ht="13" customHeight="1" s="189"/>
    <row r="1332" ht="13" customHeight="1" s="189"/>
    <row r="1333" ht="13" customHeight="1" s="189"/>
    <row r="1334" ht="13" customHeight="1" s="189"/>
    <row r="1335" ht="13" customHeight="1" s="189"/>
    <row r="1336" ht="13" customHeight="1" s="189"/>
    <row r="1337" ht="13" customHeight="1" s="189"/>
    <row r="1338" ht="13" customHeight="1" s="189"/>
    <row r="1339" ht="13" customHeight="1" s="189"/>
    <row r="1340" ht="13" customHeight="1" s="189"/>
    <row r="1341" ht="13" customHeight="1" s="189"/>
    <row r="1342" ht="13" customHeight="1" s="189"/>
    <row r="1343" ht="13" customHeight="1" s="189"/>
    <row r="1344" ht="13" customHeight="1" s="189"/>
    <row r="1345" ht="13" customHeight="1" s="189"/>
    <row r="1346" ht="13" customHeight="1" s="189"/>
    <row r="1347" ht="13" customHeight="1" s="189"/>
    <row r="1348" ht="13" customHeight="1" s="189"/>
    <row r="1349" ht="13" customHeight="1" s="189"/>
    <row r="1350" ht="13" customHeight="1" s="189"/>
    <row r="1351" ht="13" customHeight="1" s="189"/>
    <row r="1352" ht="13" customHeight="1" s="189"/>
    <row r="1353" ht="13" customHeight="1" s="189"/>
    <row r="1354" ht="13" customHeight="1" s="189"/>
    <row r="1355" ht="13" customHeight="1" s="189"/>
    <row r="1356" ht="13" customHeight="1" s="189"/>
    <row r="1357" ht="13" customHeight="1" s="189"/>
    <row r="1358" ht="13" customHeight="1" s="189"/>
    <row r="1359" ht="13" customHeight="1" s="189"/>
    <row r="1360" ht="13" customHeight="1" s="189"/>
    <row r="1361" ht="13" customHeight="1" s="189"/>
    <row r="1362" ht="13" customHeight="1" s="189"/>
    <row r="1363" ht="13" customHeight="1" s="189"/>
    <row r="1364" ht="13" customHeight="1" s="189"/>
    <row r="1365" ht="13" customHeight="1" s="189"/>
    <row r="1366" ht="13" customHeight="1" s="189"/>
    <row r="1367" ht="13" customHeight="1" s="189"/>
    <row r="1368" ht="13" customHeight="1" s="189"/>
    <row r="1369" ht="13" customHeight="1" s="189"/>
    <row r="1370" ht="13" customHeight="1" s="189"/>
    <row r="1371" ht="13" customHeight="1" s="189"/>
    <row r="1372" ht="13" customHeight="1" s="189"/>
    <row r="1373" ht="13" customHeight="1" s="189"/>
    <row r="1374" ht="13" customHeight="1" s="189"/>
    <row r="1375" ht="13" customHeight="1" s="189"/>
    <row r="1376" ht="13" customHeight="1" s="189"/>
    <row r="1377" ht="13" customHeight="1" s="189"/>
    <row r="1378" ht="13" customHeight="1" s="189"/>
    <row r="1379" ht="13" customHeight="1" s="189"/>
    <row r="1380" ht="13" customHeight="1" s="189"/>
    <row r="1381" ht="13" customHeight="1" s="189"/>
    <row r="1382" ht="13" customHeight="1" s="189"/>
    <row r="1383" ht="13" customHeight="1" s="189"/>
    <row r="1384" ht="13" customHeight="1" s="189"/>
    <row r="1385" ht="13" customHeight="1" s="189"/>
    <row r="1386" ht="13" customHeight="1" s="189"/>
    <row r="1387" ht="13" customHeight="1" s="189"/>
    <row r="1388" ht="13" customHeight="1" s="189"/>
    <row r="1389" ht="13" customHeight="1" s="189"/>
    <row r="1390" ht="13" customHeight="1" s="189"/>
    <row r="1391" ht="13" customHeight="1" s="189"/>
    <row r="1392" ht="13" customHeight="1" s="189"/>
    <row r="1393" ht="13" customHeight="1" s="189"/>
    <row r="1394" ht="13" customHeight="1" s="189"/>
    <row r="1395" ht="13" customHeight="1" s="189"/>
    <row r="1396" ht="13" customHeight="1" s="189"/>
    <row r="1397" ht="13" customHeight="1" s="189"/>
    <row r="1398" ht="13" customHeight="1" s="189"/>
    <row r="1399" ht="13" customHeight="1" s="189"/>
    <row r="1400" ht="13" customHeight="1" s="189"/>
    <row r="1401" ht="13" customHeight="1" s="189"/>
    <row r="1402" ht="13" customHeight="1" s="189"/>
    <row r="1403" ht="13" customHeight="1" s="189"/>
    <row r="1404" ht="13" customHeight="1" s="189"/>
    <row r="1405" ht="13" customHeight="1" s="189"/>
    <row r="1406" ht="13" customHeight="1" s="189"/>
    <row r="1407" ht="13" customHeight="1" s="189"/>
    <row r="1408" ht="13" customHeight="1" s="189"/>
    <row r="1409" ht="13" customHeight="1" s="189"/>
    <row r="1410" ht="13" customHeight="1" s="189"/>
    <row r="1411" ht="13" customHeight="1" s="189"/>
    <row r="1412" ht="13" customHeight="1" s="189"/>
    <row r="1413" ht="13" customHeight="1" s="189"/>
    <row r="1414" ht="13" customHeight="1" s="189"/>
    <row r="1415" ht="13" customHeight="1" s="189"/>
    <row r="1416" ht="13" customHeight="1" s="189"/>
    <row r="1417" ht="13" customHeight="1" s="189"/>
    <row r="1418" ht="13" customHeight="1" s="189"/>
    <row r="1419" ht="13" customHeight="1" s="189"/>
    <row r="1420" ht="13" customHeight="1" s="189"/>
    <row r="1421" ht="13" customHeight="1" s="189"/>
    <row r="1422" ht="13" customHeight="1" s="189"/>
    <row r="1423" ht="13" customHeight="1" s="189"/>
    <row r="1424" ht="13" customHeight="1" s="189"/>
    <row r="1425" ht="13" customHeight="1" s="189"/>
    <row r="1426" ht="13" customHeight="1" s="189"/>
    <row r="1427" ht="13" customHeight="1" s="189"/>
    <row r="1428" ht="13" customHeight="1" s="189"/>
    <row r="1429" ht="13" customHeight="1" s="189"/>
    <row r="1430" ht="13" customHeight="1" s="189"/>
    <row r="1431" ht="13" customHeight="1" s="189"/>
    <row r="1432" ht="13" customHeight="1" s="189"/>
    <row r="1433" ht="13" customHeight="1" s="189"/>
    <row r="1434" ht="13" customHeight="1" s="189"/>
    <row r="1435" ht="13" customHeight="1" s="189"/>
    <row r="1436" ht="13" customHeight="1" s="189"/>
    <row r="1437" ht="13" customHeight="1" s="189"/>
    <row r="1438" ht="13" customHeight="1" s="189"/>
    <row r="1439" ht="13" customHeight="1" s="189"/>
    <row r="1440" ht="13" customHeight="1" s="189"/>
    <row r="1441" ht="13" customHeight="1" s="189"/>
    <row r="1442" ht="13" customHeight="1" s="189"/>
    <row r="1443" ht="13" customHeight="1" s="189"/>
    <row r="1444" ht="13" customHeight="1" s="189"/>
    <row r="1445" ht="13" customHeight="1" s="189"/>
    <row r="1446" ht="13" customHeight="1" s="189"/>
    <row r="1447" ht="13" customHeight="1" s="189"/>
    <row r="1448" ht="13" customHeight="1" s="189"/>
    <row r="1449" ht="13" customHeight="1" s="189"/>
    <row r="1450" ht="13" customHeight="1" s="189"/>
    <row r="1451" ht="13" customHeight="1" s="189"/>
    <row r="1452" ht="13" customHeight="1" s="189"/>
    <row r="1453" ht="13" customHeight="1" s="189"/>
    <row r="1454" ht="13" customHeight="1" s="189"/>
    <row r="1455" ht="13" customHeight="1" s="189"/>
    <row r="1456" ht="13" customHeight="1" s="189"/>
    <row r="1457" ht="13" customHeight="1" s="189"/>
    <row r="1458" ht="13" customHeight="1" s="189"/>
    <row r="1459" ht="13" customHeight="1" s="189"/>
    <row r="1460" ht="13" customHeight="1" s="189"/>
    <row r="1461" ht="13" customHeight="1" s="189"/>
    <row r="1462" ht="13" customHeight="1" s="189"/>
    <row r="1463" ht="13" customHeight="1" s="189"/>
    <row r="1464" ht="13" customHeight="1" s="189"/>
  </sheetData>
  <mergeCells count="8">
    <mergeCell ref="A4:B4"/>
    <mergeCell ref="E4:F4"/>
    <mergeCell ref="A2:B2"/>
    <mergeCell ref="E2:F2"/>
    <mergeCell ref="A1:F1"/>
    <mergeCell ref="A5:F5"/>
    <mergeCell ref="A3:B3"/>
    <mergeCell ref="E3:F3"/>
  </mergeCells>
  <printOptions horizontalCentered="0" verticalCentered="0" headings="0" gridLines="1" gridLinesSet="1"/>
  <pageMargins left="0.75" right="0.75" top="1" bottom="1"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17.xml><?xml version="1.0" encoding="utf-8"?>
<worksheet xmlns="http://schemas.openxmlformats.org/spreadsheetml/2006/main">
  <sheetPr filterMode="0">
    <outlinePr summaryBelow="1" summaryRight="1"/>
    <pageSetUpPr fitToPage="0"/>
  </sheetPr>
  <dimension ref="A1:F1024"/>
  <sheetViews>
    <sheetView showFormulas="0" showGridLines="1" showRowColHeaders="1" showZeros="1" rightToLeft="0" tabSelected="0" showOutlineSymbols="1" defaultGridColor="1" view="normal" topLeftCell="A13" colorId="64" zoomScale="100" zoomScaleNormal="100" zoomScalePageLayoutView="100" workbookViewId="0">
      <selection pane="topLeft" activeCell="F24" activeCellId="0" sqref="F24"/>
    </sheetView>
  </sheetViews>
  <sheetFormatPr baseColWidth="8" defaultColWidth="9.0546875" defaultRowHeight="12.5" zeroHeight="0" outlineLevelRow="0"/>
  <cols>
    <col width="3.17" customWidth="1" style="287" min="1" max="1"/>
    <col width="42.72" customWidth="1" style="188" min="2" max="3"/>
    <col width="10.72" customWidth="1" style="293" min="4" max="4"/>
    <col width="10.72" customWidth="1" style="188" min="5" max="5"/>
    <col width="11.44" customWidth="1" style="188" min="6" max="6"/>
  </cols>
  <sheetData>
    <row r="1" ht="15.5" customHeight="1" s="189">
      <c r="A1" s="243" t="inlineStr">
        <is>
          <t>Decision Log</t>
        </is>
      </c>
      <c r="B1" s="213" t="n"/>
      <c r="C1" s="213" t="n"/>
      <c r="D1" s="213" t="n"/>
      <c r="E1" s="213" t="n"/>
      <c r="F1" s="214" t="n"/>
    </row>
    <row r="2" ht="13" customHeight="1" s="189">
      <c r="A2" s="266" t="inlineStr">
        <is>
          <t>Project</t>
        </is>
      </c>
      <c r="B2" s="214" t="n"/>
      <c r="C2" s="208">
        <f>Data!B1</f>
        <v/>
      </c>
      <c r="D2" s="266" t="inlineStr">
        <is>
          <t>Project #</t>
        </is>
      </c>
      <c r="E2" s="208">
        <f>Data!B2</f>
        <v/>
      </c>
      <c r="F2" s="214" t="n"/>
    </row>
    <row r="3" ht="13" customHeight="1" s="189">
      <c r="A3" s="266" t="inlineStr">
        <is>
          <t>Project manager</t>
        </is>
      </c>
      <c r="B3" s="214" t="n"/>
      <c r="C3" s="208">
        <f>Data!B3</f>
        <v/>
      </c>
      <c r="D3" s="266" t="inlineStr">
        <is>
          <t>Sponsor</t>
        </is>
      </c>
      <c r="E3" s="208">
        <f>Data!B4</f>
        <v/>
      </c>
      <c r="F3" s="214" t="n"/>
    </row>
    <row r="4" ht="13" customHeight="1" s="189">
      <c r="A4" s="266" t="inlineStr">
        <is>
          <t>Project artifacts</t>
        </is>
      </c>
      <c r="B4" s="214" t="n"/>
      <c r="C4" s="208">
        <f>Data!B5</f>
        <v/>
      </c>
      <c r="D4" s="266" t="inlineStr">
        <is>
          <t>Updated</t>
        </is>
      </c>
      <c r="E4" s="208">
        <f>Data!B6</f>
        <v/>
      </c>
      <c r="F4" s="214" t="n"/>
    </row>
    <row r="5" ht="12.5" customHeight="1" s="189">
      <c r="A5" s="288" t="n"/>
      <c r="B5" s="213" t="n"/>
      <c r="C5" s="213" t="n"/>
      <c r="D5" s="213" t="n"/>
      <c r="E5" s="213" t="n"/>
      <c r="F5" s="214" t="n"/>
    </row>
    <row r="6" ht="61.5" customHeight="1" s="189">
      <c r="A6" s="281" t="inlineStr">
        <is>
          <t>ID</t>
        </is>
      </c>
      <c r="B6" s="281" t="inlineStr">
        <is>
          <t>Decision Description</t>
        </is>
      </c>
      <c r="C6" s="281" t="inlineStr">
        <is>
          <t>Comments</t>
        </is>
      </c>
      <c r="D6" s="281" t="inlineStr">
        <is>
          <t>Owner</t>
        </is>
      </c>
      <c r="E6" s="281" t="inlineStr">
        <is>
          <t>Status</t>
        </is>
      </c>
      <c r="F6" s="281" t="inlineStr">
        <is>
          <t>Date Entered</t>
        </is>
      </c>
    </row>
    <row r="7" ht="21.75" customHeight="1" s="189">
      <c r="A7" s="272" t="n">
        <v>1</v>
      </c>
      <c r="B7" s="199" t="n"/>
      <c r="C7" s="199" t="n"/>
      <c r="D7" s="316" t="n"/>
      <c r="E7" s="199" t="n"/>
      <c r="F7" s="285" t="n"/>
    </row>
    <row r="8" ht="21.75" customHeight="1" s="189">
      <c r="A8" s="272" t="n">
        <v>2</v>
      </c>
      <c r="B8" s="199" t="n"/>
      <c r="C8" s="199" t="n"/>
      <c r="D8" s="285" t="n"/>
      <c r="E8" s="199" t="n"/>
      <c r="F8" s="285" t="n"/>
    </row>
    <row r="9" ht="21.75" customHeight="1" s="189">
      <c r="A9" s="272" t="n">
        <v>3</v>
      </c>
      <c r="B9" s="199" t="n"/>
      <c r="C9" s="199" t="n"/>
      <c r="D9" s="285" t="n"/>
      <c r="E9" s="199" t="n"/>
      <c r="F9" s="285" t="n"/>
    </row>
    <row r="10" ht="21.75" customHeight="1" s="189">
      <c r="A10" s="272" t="n">
        <v>4</v>
      </c>
      <c r="B10" s="199" t="n"/>
      <c r="C10" s="199" t="n"/>
      <c r="D10" s="285" t="n"/>
      <c r="E10" s="199" t="n"/>
      <c r="F10" s="285" t="n"/>
    </row>
    <row r="11" ht="21.75" customHeight="1" s="189">
      <c r="A11" s="272" t="n">
        <v>5</v>
      </c>
      <c r="B11" s="199" t="n"/>
      <c r="C11" s="199" t="n"/>
      <c r="D11" s="285" t="n"/>
      <c r="E11" s="199" t="n"/>
      <c r="F11" s="285" t="n"/>
    </row>
    <row r="12" ht="21.75" customHeight="1" s="189">
      <c r="A12" s="272" t="n">
        <v>6</v>
      </c>
      <c r="B12" s="199" t="n"/>
      <c r="C12" s="199" t="n"/>
      <c r="D12" s="285" t="n"/>
      <c r="E12" s="199" t="n"/>
      <c r="F12" s="285" t="n"/>
    </row>
    <row r="13" ht="21.75" customHeight="1" s="189">
      <c r="A13" s="272" t="n">
        <v>7</v>
      </c>
      <c r="B13" s="199" t="n"/>
      <c r="C13" s="199" t="n"/>
      <c r="D13" s="285" t="n"/>
      <c r="E13" s="199" t="n"/>
      <c r="F13" s="285" t="n"/>
    </row>
    <row r="14" ht="21.75" customHeight="1" s="189">
      <c r="A14" s="272" t="n">
        <v>8</v>
      </c>
      <c r="B14" s="199" t="n"/>
      <c r="C14" s="199" t="n"/>
      <c r="D14" s="285" t="n"/>
      <c r="E14" s="199" t="n"/>
      <c r="F14" s="285" t="n"/>
    </row>
    <row r="15" ht="21.75" customHeight="1" s="189">
      <c r="A15" s="272" t="n">
        <v>9</v>
      </c>
      <c r="B15" s="199" t="n"/>
      <c r="C15" s="199" t="n"/>
      <c r="D15" s="285" t="n"/>
      <c r="E15" s="199" t="n"/>
      <c r="F15" s="285" t="n"/>
    </row>
    <row r="16" ht="21.75" customHeight="1" s="189">
      <c r="A16" s="272" t="n">
        <v>10</v>
      </c>
      <c r="B16" s="199" t="n"/>
      <c r="C16" s="199" t="n"/>
      <c r="D16" s="285" t="n"/>
      <c r="E16" s="199" t="n"/>
      <c r="F16" s="285" t="n"/>
    </row>
    <row r="17" ht="21.75" customHeight="1" s="189">
      <c r="A17" s="272" t="n">
        <v>11</v>
      </c>
      <c r="B17" s="199" t="n"/>
      <c r="C17" s="199" t="n"/>
      <c r="D17" s="285" t="n"/>
      <c r="E17" s="199" t="n"/>
      <c r="F17" s="285" t="n"/>
    </row>
    <row r="18" ht="21.75" customHeight="1" s="189">
      <c r="A18" s="272" t="n">
        <v>12</v>
      </c>
      <c r="B18" s="199" t="n"/>
      <c r="C18" s="199" t="n"/>
      <c r="D18" s="285" t="n"/>
      <c r="E18" s="199" t="n"/>
      <c r="F18" s="285" t="n"/>
    </row>
    <row r="19" ht="21.75" customHeight="1" s="189">
      <c r="A19" s="272" t="n">
        <v>13</v>
      </c>
      <c r="B19" s="199" t="n"/>
      <c r="C19" s="199" t="n"/>
      <c r="D19" s="285" t="n"/>
      <c r="E19" s="199" t="n"/>
      <c r="F19" s="285" t="n"/>
    </row>
    <row r="20" ht="21.75" customHeight="1" s="189">
      <c r="A20" s="272" t="n">
        <v>14</v>
      </c>
      <c r="B20" s="199" t="n"/>
      <c r="C20" s="199" t="n"/>
      <c r="D20" s="285" t="n"/>
      <c r="E20" s="199" t="n"/>
      <c r="F20" s="285" t="n"/>
    </row>
    <row r="21" ht="21.75" customHeight="1" s="189">
      <c r="A21" s="272" t="n">
        <v>15</v>
      </c>
      <c r="B21" s="199" t="n"/>
      <c r="C21" s="199" t="n"/>
      <c r="D21" s="285" t="n"/>
      <c r="E21" s="199" t="n"/>
      <c r="F21" s="285" t="n"/>
    </row>
    <row r="22" ht="21.75" customHeight="1" s="189">
      <c r="A22" s="272" t="n"/>
      <c r="B22" s="199" t="n"/>
      <c r="C22" s="199" t="n"/>
      <c r="D22" s="285" t="n"/>
      <c r="E22" s="199" t="n"/>
      <c r="F22" s="285" t="n"/>
    </row>
    <row r="23" ht="21.75" customHeight="1" s="189">
      <c r="A23" s="289" t="n"/>
      <c r="B23" s="290" t="n"/>
      <c r="C23" s="290" t="n"/>
      <c r="D23" s="291" t="n"/>
      <c r="E23" s="290" t="n"/>
      <c r="F23" s="291" t="n"/>
    </row>
    <row r="24" ht="13" customHeight="1" s="189">
      <c r="A24" s="289" t="n"/>
      <c r="B24" s="290" t="n"/>
      <c r="C24" s="290" t="n"/>
      <c r="D24" s="291" t="n"/>
      <c r="E24" s="290" t="n"/>
      <c r="F24" s="201" t="inlineStr">
        <is>
          <t>© Global Knowledge Training LLC</t>
        </is>
      </c>
    </row>
    <row r="25" ht="21.75" customHeight="1" s="189">
      <c r="A25" s="289" t="n"/>
      <c r="B25" s="290" t="n"/>
      <c r="C25" s="290" t="n"/>
      <c r="D25" s="291" t="n"/>
      <c r="E25" s="290" t="n"/>
      <c r="F25" s="291" t="n"/>
    </row>
    <row r="26" ht="21.75" customHeight="1" s="189">
      <c r="A26" s="289" t="n"/>
      <c r="B26" s="290" t="n"/>
      <c r="C26" s="290" t="n"/>
      <c r="D26" s="291" t="n"/>
      <c r="E26" s="290" t="n"/>
      <c r="F26" s="291" t="n"/>
    </row>
    <row r="27" ht="13" customHeight="1" s="189">
      <c r="A27" s="289" t="n"/>
      <c r="B27" s="290" t="n"/>
      <c r="C27" s="290" t="n"/>
      <c r="D27" s="291" t="n"/>
      <c r="E27" s="290" t="n"/>
      <c r="F27" s="290" t="n"/>
    </row>
    <row r="28" ht="13" customHeight="1" s="189">
      <c r="A28" s="289" t="n"/>
      <c r="B28" s="290" t="n"/>
      <c r="C28" s="290" t="n"/>
      <c r="D28" s="291" t="n"/>
      <c r="E28" s="290" t="n"/>
      <c r="F28" s="290" t="n"/>
    </row>
    <row r="29" ht="13" customHeight="1" s="189">
      <c r="A29" s="289" t="n"/>
      <c r="B29" s="290" t="n"/>
      <c r="C29" s="290" t="n"/>
      <c r="D29" s="291" t="n"/>
      <c r="E29" s="290" t="n"/>
      <c r="F29" s="290" t="n"/>
    </row>
    <row r="30" ht="13" customHeight="1" s="189">
      <c r="A30" s="289" t="n"/>
      <c r="B30" s="290" t="n"/>
      <c r="C30" s="290" t="n"/>
      <c r="D30" s="291" t="n"/>
      <c r="E30" s="290" t="n"/>
      <c r="F30" s="290" t="n"/>
    </row>
    <row r="31" ht="13" customHeight="1" s="189">
      <c r="A31" s="289" t="n"/>
      <c r="B31" s="290" t="n"/>
      <c r="C31" s="290" t="n"/>
      <c r="D31" s="291" t="n"/>
      <c r="E31" s="290" t="n"/>
      <c r="F31" s="290" t="n"/>
    </row>
    <row r="32" ht="13" customHeight="1" s="189">
      <c r="A32" s="289" t="n"/>
      <c r="B32" s="290" t="n"/>
      <c r="C32" s="290" t="n"/>
      <c r="D32" s="291" t="n"/>
      <c r="E32" s="290" t="n"/>
      <c r="F32" s="290" t="n"/>
    </row>
    <row r="33" ht="13" customHeight="1" s="189">
      <c r="A33" s="289" t="n"/>
      <c r="B33" s="290" t="n"/>
      <c r="C33" s="290" t="n"/>
      <c r="D33" s="291" t="n"/>
      <c r="E33" s="290" t="n"/>
      <c r="F33" s="290" t="n"/>
    </row>
    <row r="34" ht="13" customHeight="1" s="189">
      <c r="A34" s="289" t="n"/>
      <c r="B34" s="290" t="n"/>
      <c r="C34" s="290" t="n"/>
      <c r="D34" s="291" t="n"/>
      <c r="E34" s="290" t="n"/>
      <c r="F34" s="290" t="n"/>
    </row>
    <row r="35" ht="13" customHeight="1" s="189">
      <c r="A35" s="289" t="n"/>
      <c r="B35" s="290" t="n"/>
      <c r="C35" s="290" t="n"/>
      <c r="D35" s="291" t="n"/>
      <c r="E35" s="290" t="n"/>
      <c r="F35" s="290" t="n"/>
    </row>
    <row r="36" ht="13" customHeight="1" s="189">
      <c r="A36" s="289" t="n"/>
      <c r="B36" s="290" t="n"/>
      <c r="C36" s="290" t="n"/>
      <c r="D36" s="291" t="n"/>
      <c r="E36" s="290" t="n"/>
      <c r="F36" s="290" t="n"/>
    </row>
    <row r="37" ht="13" customHeight="1" s="189">
      <c r="A37" s="289" t="n"/>
      <c r="B37" s="290" t="n"/>
      <c r="C37" s="290" t="n"/>
      <c r="D37" s="291" t="n"/>
      <c r="E37" s="290" t="n"/>
      <c r="F37" s="290" t="n"/>
    </row>
    <row r="38" ht="13" customHeight="1" s="189">
      <c r="A38" s="289" t="n"/>
      <c r="B38" s="290" t="n"/>
      <c r="C38" s="290" t="n"/>
      <c r="D38" s="291" t="n"/>
      <c r="E38" s="290" t="n"/>
      <c r="F38" s="290" t="n"/>
    </row>
    <row r="39" ht="13" customHeight="1" s="189">
      <c r="A39" s="289" t="n"/>
      <c r="B39" s="290" t="n"/>
      <c r="C39" s="290" t="n"/>
      <c r="D39" s="291" t="n"/>
      <c r="E39" s="290" t="n"/>
      <c r="F39" s="290" t="n"/>
    </row>
    <row r="40" ht="13" customHeight="1" s="189">
      <c r="A40" s="289" t="n"/>
      <c r="B40" s="290" t="n"/>
      <c r="C40" s="290" t="n"/>
      <c r="D40" s="291" t="n"/>
      <c r="E40" s="290" t="n"/>
      <c r="F40" s="290" t="n"/>
    </row>
    <row r="41" ht="13" customHeight="1" s="189">
      <c r="A41" s="289" t="n"/>
      <c r="B41" s="290" t="n"/>
      <c r="C41" s="290" t="n"/>
      <c r="D41" s="291" t="n"/>
      <c r="E41" s="290" t="n"/>
      <c r="F41" s="290" t="n"/>
    </row>
    <row r="42" ht="13" customHeight="1" s="189">
      <c r="A42" s="289" t="n"/>
      <c r="B42" s="290" t="n"/>
      <c r="C42" s="290" t="n"/>
      <c r="D42" s="291" t="n"/>
      <c r="E42" s="290" t="n"/>
      <c r="F42" s="290" t="n"/>
    </row>
    <row r="43" ht="13" customHeight="1" s="189">
      <c r="A43" s="289" t="n"/>
      <c r="B43" s="290" t="n"/>
      <c r="C43" s="290" t="n"/>
      <c r="D43" s="291" t="n"/>
      <c r="E43" s="290" t="n"/>
      <c r="F43" s="290" t="n"/>
    </row>
    <row r="44" ht="13" customHeight="1" s="189">
      <c r="A44" s="289" t="n"/>
      <c r="B44" s="290" t="n"/>
      <c r="C44" s="290" t="n"/>
      <c r="D44" s="291" t="n"/>
      <c r="E44" s="290" t="n"/>
      <c r="F44" s="290" t="n"/>
    </row>
    <row r="45" ht="13" customHeight="1" s="189">
      <c r="A45" s="289" t="n"/>
      <c r="B45" s="290" t="n"/>
      <c r="C45" s="290" t="n"/>
      <c r="D45" s="291" t="n"/>
      <c r="E45" s="290" t="n"/>
      <c r="F45" s="290" t="n"/>
    </row>
    <row r="46" ht="13" customHeight="1" s="189">
      <c r="A46" s="289" t="n"/>
      <c r="B46" s="290" t="n"/>
      <c r="C46" s="290" t="n"/>
      <c r="D46" s="291" t="n"/>
      <c r="E46" s="290" t="n"/>
      <c r="F46" s="290" t="n"/>
    </row>
    <row r="47" ht="13" customHeight="1" s="189">
      <c r="A47" s="289" t="n"/>
      <c r="B47" s="290" t="n"/>
      <c r="C47" s="290" t="n"/>
      <c r="D47" s="291" t="n"/>
      <c r="E47" s="290" t="n"/>
      <c r="F47" s="290" t="n"/>
    </row>
    <row r="48" ht="13" customHeight="1" s="189">
      <c r="A48" s="289" t="n"/>
      <c r="B48" s="290" t="n"/>
      <c r="C48" s="290" t="n"/>
      <c r="D48" s="291" t="n"/>
      <c r="E48" s="290" t="n"/>
      <c r="F48" s="290" t="n"/>
    </row>
    <row r="49" ht="13" customHeight="1" s="189">
      <c r="A49" s="289" t="n"/>
      <c r="B49" s="290" t="n"/>
      <c r="C49" s="290" t="n"/>
      <c r="D49" s="291" t="n"/>
      <c r="E49" s="290" t="n"/>
      <c r="F49" s="290" t="n"/>
    </row>
    <row r="50" ht="13" customHeight="1" s="189">
      <c r="A50" s="289" t="n"/>
      <c r="B50" s="290" t="n"/>
      <c r="C50" s="290" t="n"/>
      <c r="D50" s="291" t="n"/>
      <c r="E50" s="290" t="n"/>
      <c r="F50" s="290" t="n"/>
    </row>
    <row r="51" ht="13" customHeight="1" s="189">
      <c r="A51" s="289" t="n"/>
      <c r="B51" s="290" t="n"/>
      <c r="C51" s="290" t="n"/>
      <c r="D51" s="291" t="n"/>
      <c r="E51" s="290" t="n"/>
      <c r="F51" s="290" t="n"/>
    </row>
    <row r="52" ht="13" customHeight="1" s="189">
      <c r="A52" s="289" t="n"/>
      <c r="B52" s="290" t="n"/>
      <c r="C52" s="290" t="n"/>
      <c r="D52" s="291" t="n"/>
      <c r="E52" s="290" t="n"/>
      <c r="F52" s="290" t="n"/>
    </row>
    <row r="53" ht="13" customHeight="1" s="189">
      <c r="A53" s="289" t="n"/>
      <c r="B53" s="290" t="n"/>
      <c r="C53" s="290" t="n"/>
      <c r="D53" s="291" t="n"/>
      <c r="E53" s="290" t="n"/>
      <c r="F53" s="290" t="n"/>
    </row>
    <row r="54" ht="13" customHeight="1" s="189">
      <c r="A54" s="289" t="n"/>
      <c r="B54" s="290" t="n"/>
      <c r="C54" s="290" t="n"/>
      <c r="D54" s="291" t="n"/>
      <c r="E54" s="290" t="n"/>
      <c r="F54" s="290" t="n"/>
    </row>
    <row r="55" ht="13" customHeight="1" s="189">
      <c r="A55" s="289" t="n"/>
      <c r="B55" s="290" t="n"/>
      <c r="C55" s="290" t="n"/>
      <c r="D55" s="291" t="n"/>
      <c r="E55" s="290" t="n"/>
      <c r="F55" s="290" t="n"/>
    </row>
    <row r="56" ht="13" customHeight="1" s="189">
      <c r="A56" s="289" t="n"/>
      <c r="B56" s="290" t="n"/>
      <c r="C56" s="290" t="n"/>
      <c r="D56" s="291" t="n"/>
      <c r="E56" s="290" t="n"/>
      <c r="F56" s="290" t="n"/>
    </row>
    <row r="57" ht="13" customHeight="1" s="189">
      <c r="A57" s="289" t="n"/>
      <c r="B57" s="290" t="n"/>
      <c r="C57" s="290" t="n"/>
      <c r="D57" s="291" t="n"/>
      <c r="E57" s="290" t="n"/>
      <c r="F57" s="290" t="n"/>
    </row>
    <row r="58" ht="13" customHeight="1" s="189">
      <c r="A58" s="289" t="n"/>
      <c r="B58" s="290" t="n"/>
      <c r="C58" s="290" t="n"/>
      <c r="D58" s="291" t="n"/>
      <c r="E58" s="290" t="n"/>
      <c r="F58" s="290" t="n"/>
    </row>
    <row r="59" ht="13" customHeight="1" s="189">
      <c r="A59" s="289" t="n"/>
      <c r="B59" s="290" t="n"/>
      <c r="C59" s="290" t="n"/>
      <c r="D59" s="291" t="n"/>
      <c r="E59" s="290" t="n"/>
      <c r="F59" s="290" t="n"/>
    </row>
    <row r="60" ht="13" customHeight="1" s="189">
      <c r="A60" s="289" t="n"/>
      <c r="B60" s="290" t="n"/>
      <c r="C60" s="290" t="n"/>
      <c r="D60" s="291" t="n"/>
      <c r="E60" s="290" t="n"/>
      <c r="F60" s="290" t="n"/>
    </row>
    <row r="61" ht="13" customHeight="1" s="189">
      <c r="A61" s="289" t="n"/>
      <c r="B61" s="290" t="n"/>
      <c r="C61" s="290" t="n"/>
      <c r="D61" s="291" t="n"/>
      <c r="E61" s="290" t="n"/>
      <c r="F61" s="290" t="n"/>
    </row>
    <row r="62" ht="13" customHeight="1" s="189">
      <c r="A62" s="289" t="n"/>
      <c r="B62" s="290" t="n"/>
      <c r="C62" s="290" t="n"/>
      <c r="D62" s="291" t="n"/>
      <c r="E62" s="290" t="n"/>
      <c r="F62" s="290" t="n"/>
    </row>
    <row r="63" ht="13" customHeight="1" s="189">
      <c r="A63" s="289" t="n"/>
      <c r="B63" s="290" t="n"/>
      <c r="C63" s="290" t="n"/>
      <c r="D63" s="291" t="n"/>
      <c r="E63" s="290" t="n"/>
      <c r="F63" s="290" t="n"/>
    </row>
    <row r="64" ht="13" customHeight="1" s="189">
      <c r="A64" s="289" t="n"/>
      <c r="B64" s="290" t="n"/>
      <c r="C64" s="290" t="n"/>
      <c r="D64" s="291" t="n"/>
      <c r="E64" s="290" t="n"/>
      <c r="F64" s="290" t="n"/>
    </row>
    <row r="65" ht="13" customHeight="1" s="189">
      <c r="A65" s="289" t="n"/>
      <c r="B65" s="290" t="n"/>
      <c r="C65" s="290" t="n"/>
      <c r="D65" s="291" t="n"/>
      <c r="E65" s="290" t="n"/>
      <c r="F65" s="290" t="n"/>
    </row>
    <row r="66" ht="13" customHeight="1" s="189">
      <c r="A66" s="289" t="n"/>
      <c r="B66" s="290" t="n"/>
      <c r="C66" s="290" t="n"/>
      <c r="D66" s="291" t="n"/>
      <c r="E66" s="290" t="n"/>
      <c r="F66" s="290" t="n"/>
    </row>
    <row r="67" ht="13" customHeight="1" s="189">
      <c r="A67" s="289" t="n"/>
      <c r="B67" s="290" t="n"/>
      <c r="C67" s="290" t="n"/>
      <c r="D67" s="291" t="n"/>
      <c r="E67" s="290" t="n"/>
      <c r="F67" s="290" t="n"/>
    </row>
    <row r="68" ht="13" customHeight="1" s="189">
      <c r="A68" s="289" t="n"/>
      <c r="B68" s="290" t="n"/>
      <c r="C68" s="290" t="n"/>
      <c r="D68" s="291" t="n"/>
      <c r="E68" s="290" t="n"/>
      <c r="F68" s="290" t="n"/>
    </row>
    <row r="69" ht="13" customHeight="1" s="189">
      <c r="A69" s="289" t="n"/>
      <c r="B69" s="290" t="n"/>
      <c r="C69" s="290" t="n"/>
      <c r="D69" s="291" t="n"/>
      <c r="E69" s="290" t="n"/>
      <c r="F69" s="290" t="n"/>
    </row>
    <row r="70" ht="13" customHeight="1" s="189">
      <c r="A70" s="289" t="n"/>
      <c r="B70" s="290" t="n"/>
      <c r="C70" s="290" t="n"/>
      <c r="D70" s="291" t="n"/>
      <c r="E70" s="290" t="n"/>
      <c r="F70" s="290" t="n"/>
    </row>
    <row r="71" ht="13" customHeight="1" s="189">
      <c r="A71" s="289" t="n"/>
      <c r="B71" s="290" t="n"/>
      <c r="C71" s="290" t="n"/>
      <c r="D71" s="291" t="n"/>
      <c r="E71" s="290" t="n"/>
      <c r="F71" s="290" t="n"/>
    </row>
    <row r="72" ht="13" customHeight="1" s="189">
      <c r="A72" s="289" t="n"/>
      <c r="B72" s="290" t="n"/>
      <c r="C72" s="290" t="n"/>
      <c r="D72" s="291" t="n"/>
      <c r="E72" s="290" t="n"/>
      <c r="F72" s="290" t="n"/>
    </row>
    <row r="73" ht="13" customHeight="1" s="189">
      <c r="A73" s="289" t="n"/>
      <c r="B73" s="290" t="n"/>
      <c r="C73" s="290" t="n"/>
      <c r="D73" s="291" t="n"/>
      <c r="E73" s="290" t="n"/>
      <c r="F73" s="290" t="n"/>
    </row>
    <row r="74" ht="13" customHeight="1" s="189">
      <c r="A74" s="289" t="n"/>
      <c r="B74" s="290" t="n"/>
      <c r="C74" s="290" t="n"/>
      <c r="D74" s="291" t="n"/>
      <c r="E74" s="290" t="n"/>
      <c r="F74" s="290" t="n"/>
    </row>
    <row r="75" ht="13" customHeight="1" s="189">
      <c r="A75" s="289" t="n"/>
      <c r="B75" s="290" t="n"/>
      <c r="C75" s="290" t="n"/>
      <c r="D75" s="291" t="n"/>
      <c r="E75" s="290" t="n"/>
      <c r="F75" s="290" t="n"/>
    </row>
    <row r="76" ht="13" customHeight="1" s="189">
      <c r="A76" s="289" t="n"/>
      <c r="B76" s="290" t="n"/>
      <c r="C76" s="290" t="n"/>
      <c r="D76" s="291" t="n"/>
      <c r="E76" s="290" t="n"/>
      <c r="F76" s="290" t="n"/>
    </row>
    <row r="77" ht="13" customHeight="1" s="189">
      <c r="A77" s="289" t="n"/>
      <c r="B77" s="290" t="n"/>
      <c r="C77" s="290" t="n"/>
      <c r="D77" s="291" t="n"/>
      <c r="E77" s="290" t="n"/>
      <c r="F77" s="290" t="n"/>
    </row>
    <row r="78" ht="13" customHeight="1" s="189">
      <c r="A78" s="289" t="n"/>
      <c r="B78" s="290" t="n"/>
      <c r="C78" s="290" t="n"/>
      <c r="D78" s="291" t="n"/>
      <c r="E78" s="290" t="n"/>
      <c r="F78" s="290" t="n"/>
    </row>
    <row r="79" ht="13" customHeight="1" s="189">
      <c r="A79" s="289" t="n"/>
      <c r="B79" s="290" t="n"/>
      <c r="C79" s="290" t="n"/>
      <c r="D79" s="291" t="n"/>
      <c r="E79" s="290" t="n"/>
      <c r="F79" s="290" t="n"/>
    </row>
    <row r="80" ht="13" customHeight="1" s="189">
      <c r="A80" s="289" t="n"/>
      <c r="B80" s="290" t="n"/>
      <c r="C80" s="290" t="n"/>
      <c r="D80" s="291" t="n"/>
      <c r="E80" s="290" t="n"/>
      <c r="F80" s="290" t="n"/>
    </row>
    <row r="81" ht="13" customHeight="1" s="189">
      <c r="A81" s="289" t="n"/>
      <c r="B81" s="290" t="n"/>
      <c r="C81" s="290" t="n"/>
      <c r="D81" s="291" t="n"/>
      <c r="E81" s="290" t="n"/>
      <c r="F81" s="290" t="n"/>
    </row>
    <row r="82" ht="13" customHeight="1" s="189">
      <c r="A82" s="289" t="n"/>
      <c r="B82" s="290" t="n"/>
      <c r="C82" s="290" t="n"/>
      <c r="D82" s="291" t="n"/>
      <c r="E82" s="290" t="n"/>
      <c r="F82" s="290" t="n"/>
    </row>
    <row r="83" ht="13" customHeight="1" s="189">
      <c r="A83" s="289" t="n"/>
      <c r="B83" s="290" t="n"/>
      <c r="C83" s="290" t="n"/>
      <c r="D83" s="291" t="n"/>
      <c r="E83" s="290" t="n"/>
      <c r="F83" s="290" t="n"/>
    </row>
    <row r="84" ht="13" customHeight="1" s="189">
      <c r="A84" s="289" t="n"/>
      <c r="B84" s="290" t="n"/>
      <c r="C84" s="290" t="n"/>
      <c r="D84" s="291" t="n"/>
      <c r="E84" s="290" t="n"/>
      <c r="F84" s="290" t="n"/>
    </row>
    <row r="85" ht="13" customHeight="1" s="189">
      <c r="A85" s="289" t="n"/>
      <c r="B85" s="290" t="n"/>
      <c r="C85" s="290" t="n"/>
      <c r="D85" s="291" t="n"/>
      <c r="E85" s="290" t="n"/>
      <c r="F85" s="290" t="n"/>
    </row>
    <row r="86" ht="13" customHeight="1" s="189">
      <c r="A86" s="289" t="n"/>
      <c r="B86" s="290" t="n"/>
      <c r="C86" s="290" t="n"/>
      <c r="D86" s="291" t="n"/>
      <c r="E86" s="290" t="n"/>
      <c r="F86" s="290" t="n"/>
    </row>
    <row r="87" ht="13" customHeight="1" s="189">
      <c r="A87" s="289" t="n"/>
      <c r="B87" s="290" t="n"/>
      <c r="C87" s="290" t="n"/>
      <c r="D87" s="291" t="n"/>
      <c r="E87" s="290" t="n"/>
      <c r="F87" s="290" t="n"/>
    </row>
    <row r="88" ht="13" customHeight="1" s="189">
      <c r="A88" s="289" t="n"/>
      <c r="B88" s="290" t="n"/>
      <c r="C88" s="290" t="n"/>
      <c r="D88" s="291" t="n"/>
      <c r="E88" s="290" t="n"/>
      <c r="F88" s="290" t="n"/>
    </row>
    <row r="89" ht="13" customHeight="1" s="189">
      <c r="A89" s="289" t="n"/>
      <c r="B89" s="290" t="n"/>
      <c r="C89" s="290" t="n"/>
      <c r="D89" s="291" t="n"/>
      <c r="E89" s="290" t="n"/>
      <c r="F89" s="290" t="n"/>
    </row>
    <row r="90" ht="13" customHeight="1" s="189">
      <c r="A90" s="289" t="n"/>
      <c r="B90" s="290" t="n"/>
      <c r="C90" s="290" t="n"/>
      <c r="D90" s="291" t="n"/>
      <c r="E90" s="290" t="n"/>
      <c r="F90" s="290" t="n"/>
    </row>
    <row r="91" ht="13" customHeight="1" s="189">
      <c r="A91" s="289" t="n"/>
      <c r="B91" s="290" t="n"/>
      <c r="C91" s="290" t="n"/>
      <c r="D91" s="291" t="n"/>
      <c r="E91" s="290" t="n"/>
      <c r="F91" s="290" t="n"/>
    </row>
    <row r="92" ht="13" customHeight="1" s="189">
      <c r="A92" s="289" t="n"/>
      <c r="B92" s="290" t="n"/>
      <c r="C92" s="290" t="n"/>
      <c r="D92" s="291" t="n"/>
      <c r="E92" s="290" t="n"/>
      <c r="F92" s="290" t="n"/>
    </row>
    <row r="93" ht="13" customHeight="1" s="189">
      <c r="A93" s="289" t="n"/>
      <c r="B93" s="290" t="n"/>
      <c r="C93" s="290" t="n"/>
      <c r="D93" s="291" t="n"/>
      <c r="E93" s="290" t="n"/>
      <c r="F93" s="290" t="n"/>
    </row>
    <row r="94" ht="13" customHeight="1" s="189">
      <c r="A94" s="289" t="n"/>
      <c r="B94" s="290" t="n"/>
      <c r="C94" s="290" t="n"/>
      <c r="D94" s="291" t="n"/>
      <c r="E94" s="290" t="n"/>
      <c r="F94" s="290" t="n"/>
    </row>
    <row r="95" ht="13" customHeight="1" s="189">
      <c r="A95" s="289" t="n"/>
      <c r="B95" s="290" t="n"/>
      <c r="C95" s="290" t="n"/>
      <c r="D95" s="291" t="n"/>
      <c r="E95" s="290" t="n"/>
      <c r="F95" s="290" t="n"/>
    </row>
    <row r="96" ht="13" customHeight="1" s="189">
      <c r="A96" s="289" t="n"/>
      <c r="B96" s="290" t="n"/>
      <c r="C96" s="290" t="n"/>
      <c r="D96" s="291" t="n"/>
      <c r="E96" s="290" t="n"/>
      <c r="F96" s="290" t="n"/>
    </row>
    <row r="97" ht="13" customHeight="1" s="189">
      <c r="A97" s="289" t="n"/>
      <c r="B97" s="290" t="n"/>
      <c r="C97" s="290" t="n"/>
      <c r="D97" s="291" t="n"/>
      <c r="E97" s="290" t="n"/>
      <c r="F97" s="290" t="n"/>
    </row>
    <row r="98" ht="13" customHeight="1" s="189">
      <c r="A98" s="289" t="n"/>
      <c r="B98" s="290" t="n"/>
      <c r="C98" s="290" t="n"/>
      <c r="D98" s="291" t="n"/>
      <c r="E98" s="290" t="n"/>
      <c r="F98" s="290" t="n"/>
    </row>
    <row r="99" ht="13" customHeight="1" s="189">
      <c r="A99" s="289" t="n"/>
      <c r="B99" s="290" t="n"/>
      <c r="C99" s="290" t="n"/>
      <c r="D99" s="291" t="n"/>
      <c r="E99" s="290" t="n"/>
      <c r="F99" s="290" t="n"/>
    </row>
    <row r="100" ht="13" customHeight="1" s="189">
      <c r="A100" s="289" t="n"/>
      <c r="B100" s="290" t="n"/>
      <c r="C100" s="290" t="n"/>
      <c r="D100" s="291" t="n"/>
      <c r="E100" s="290" t="n"/>
      <c r="F100" s="290" t="n"/>
    </row>
    <row r="101" ht="13" customHeight="1" s="189">
      <c r="A101" s="289" t="n"/>
      <c r="B101" s="290" t="n"/>
      <c r="C101" s="290" t="n"/>
      <c r="D101" s="291" t="n"/>
      <c r="E101" s="290" t="n"/>
      <c r="F101" s="290" t="n"/>
    </row>
    <row r="102" ht="13" customHeight="1" s="189">
      <c r="A102" s="289" t="n"/>
      <c r="B102" s="290" t="n"/>
      <c r="C102" s="290" t="n"/>
      <c r="D102" s="291" t="n"/>
      <c r="E102" s="290" t="n"/>
      <c r="F102" s="290" t="n"/>
    </row>
    <row r="103" ht="13" customHeight="1" s="189">
      <c r="A103" s="289" t="n"/>
      <c r="B103" s="290" t="n"/>
      <c r="C103" s="290" t="n"/>
      <c r="D103" s="291" t="n"/>
      <c r="E103" s="290" t="n"/>
      <c r="F103" s="290" t="n"/>
    </row>
    <row r="104" ht="13" customHeight="1" s="189">
      <c r="A104" s="289" t="n"/>
      <c r="B104" s="290" t="n"/>
      <c r="C104" s="290" t="n"/>
      <c r="D104" s="291" t="n"/>
      <c r="E104" s="290" t="n"/>
      <c r="F104" s="290" t="n"/>
    </row>
    <row r="105" ht="13" customHeight="1" s="189">
      <c r="A105" s="289" t="n"/>
      <c r="B105" s="290" t="n"/>
      <c r="C105" s="290" t="n"/>
      <c r="D105" s="291" t="n"/>
      <c r="E105" s="290" t="n"/>
      <c r="F105" s="290" t="n"/>
    </row>
    <row r="106" ht="13" customHeight="1" s="189">
      <c r="A106" s="289" t="n"/>
      <c r="B106" s="290" t="n"/>
      <c r="C106" s="290" t="n"/>
      <c r="D106" s="291" t="n"/>
      <c r="E106" s="290" t="n"/>
      <c r="F106" s="290" t="n"/>
    </row>
    <row r="107" ht="13" customHeight="1" s="189">
      <c r="A107" s="289" t="n"/>
      <c r="B107" s="290" t="n"/>
      <c r="C107" s="290" t="n"/>
      <c r="D107" s="291" t="n"/>
      <c r="E107" s="290" t="n"/>
      <c r="F107" s="290" t="n"/>
    </row>
    <row r="108" ht="13" customHeight="1" s="189">
      <c r="A108" s="289" t="n"/>
      <c r="B108" s="290" t="n"/>
      <c r="C108" s="290" t="n"/>
      <c r="D108" s="291" t="n"/>
      <c r="E108" s="290" t="n"/>
      <c r="F108" s="290" t="n"/>
    </row>
    <row r="109" ht="13" customHeight="1" s="189">
      <c r="A109" s="289" t="n"/>
      <c r="B109" s="290" t="n"/>
      <c r="C109" s="290" t="n"/>
      <c r="D109" s="291" t="n"/>
      <c r="E109" s="290" t="n"/>
      <c r="F109" s="290" t="n"/>
    </row>
    <row r="110" ht="13" customHeight="1" s="189">
      <c r="A110" s="289" t="n"/>
      <c r="B110" s="290" t="n"/>
      <c r="C110" s="290" t="n"/>
      <c r="D110" s="291" t="n"/>
      <c r="E110" s="290" t="n"/>
      <c r="F110" s="290" t="n"/>
    </row>
    <row r="111" ht="13" customHeight="1" s="189">
      <c r="A111" s="289" t="n"/>
      <c r="B111" s="290" t="n"/>
      <c r="C111" s="290" t="n"/>
      <c r="D111" s="291" t="n"/>
      <c r="E111" s="290" t="n"/>
      <c r="F111" s="290" t="n"/>
    </row>
    <row r="112" ht="13" customHeight="1" s="189">
      <c r="A112" s="289" t="n"/>
      <c r="B112" s="290" t="n"/>
      <c r="C112" s="290" t="n"/>
      <c r="D112" s="291" t="n"/>
      <c r="E112" s="290" t="n"/>
      <c r="F112" s="290" t="n"/>
    </row>
    <row r="113" ht="13" customHeight="1" s="189">
      <c r="A113" s="289" t="n"/>
      <c r="B113" s="290" t="n"/>
      <c r="C113" s="290" t="n"/>
      <c r="D113" s="291" t="n"/>
      <c r="E113" s="290" t="n"/>
      <c r="F113" s="290" t="n"/>
    </row>
    <row r="114" ht="13" customHeight="1" s="189">
      <c r="A114" s="289" t="n"/>
      <c r="B114" s="290" t="n"/>
      <c r="C114" s="290" t="n"/>
      <c r="D114" s="291" t="n"/>
      <c r="E114" s="290" t="n"/>
      <c r="F114" s="290" t="n"/>
    </row>
    <row r="115" ht="13" customHeight="1" s="189">
      <c r="A115" s="289" t="n"/>
      <c r="B115" s="290" t="n"/>
      <c r="C115" s="290" t="n"/>
      <c r="D115" s="291" t="n"/>
      <c r="E115" s="290" t="n"/>
      <c r="F115" s="290" t="n"/>
    </row>
    <row r="116" ht="13" customHeight="1" s="189">
      <c r="A116" s="289" t="n"/>
      <c r="B116" s="290" t="n"/>
      <c r="C116" s="290" t="n"/>
      <c r="D116" s="291" t="n"/>
      <c r="E116" s="290" t="n"/>
      <c r="F116" s="290" t="n"/>
    </row>
    <row r="117" ht="13" customHeight="1" s="189">
      <c r="A117" s="289" t="n"/>
      <c r="B117" s="290" t="n"/>
      <c r="C117" s="290" t="n"/>
      <c r="D117" s="291" t="n"/>
      <c r="E117" s="290" t="n"/>
      <c r="F117" s="290" t="n"/>
    </row>
    <row r="118" ht="13" customHeight="1" s="189">
      <c r="A118" s="289" t="n"/>
      <c r="B118" s="290" t="n"/>
      <c r="C118" s="290" t="n"/>
      <c r="D118" s="291" t="n"/>
      <c r="E118" s="290" t="n"/>
      <c r="F118" s="290" t="n"/>
    </row>
    <row r="119" ht="13" customHeight="1" s="189">
      <c r="A119" s="289" t="n"/>
      <c r="B119" s="290" t="n"/>
      <c r="C119" s="290" t="n"/>
      <c r="D119" s="291" t="n"/>
      <c r="E119" s="290" t="n"/>
      <c r="F119" s="290" t="n"/>
    </row>
    <row r="120" ht="13" customHeight="1" s="189">
      <c r="A120" s="289" t="n"/>
      <c r="B120" s="290" t="n"/>
      <c r="C120" s="290" t="n"/>
      <c r="D120" s="291" t="n"/>
      <c r="E120" s="290" t="n"/>
      <c r="F120" s="290" t="n"/>
    </row>
    <row r="121" ht="13" customHeight="1" s="189">
      <c r="A121" s="289" t="n"/>
      <c r="B121" s="290" t="n"/>
      <c r="C121" s="290" t="n"/>
      <c r="D121" s="291" t="n"/>
      <c r="E121" s="290" t="n"/>
      <c r="F121" s="290" t="n"/>
    </row>
    <row r="122" ht="13" customHeight="1" s="189">
      <c r="A122" s="289" t="n"/>
      <c r="B122" s="290" t="n"/>
      <c r="C122" s="290" t="n"/>
      <c r="D122" s="291" t="n"/>
      <c r="E122" s="290" t="n"/>
      <c r="F122" s="290" t="n"/>
    </row>
    <row r="123" ht="13" customHeight="1" s="189">
      <c r="A123" s="289" t="n"/>
      <c r="B123" s="290" t="n"/>
      <c r="C123" s="290" t="n"/>
      <c r="D123" s="291" t="n"/>
      <c r="E123" s="290" t="n"/>
      <c r="F123" s="290" t="n"/>
    </row>
    <row r="124" ht="13" customHeight="1" s="189">
      <c r="A124" s="289" t="n"/>
      <c r="B124" s="290" t="n"/>
      <c r="C124" s="290" t="n"/>
      <c r="D124" s="291" t="n"/>
      <c r="E124" s="290" t="n"/>
      <c r="F124" s="290" t="n"/>
    </row>
    <row r="125" ht="13" customHeight="1" s="189">
      <c r="A125" s="289" t="n"/>
      <c r="B125" s="290" t="n"/>
      <c r="C125" s="290" t="n"/>
      <c r="D125" s="291" t="n"/>
      <c r="E125" s="290" t="n"/>
      <c r="F125" s="290" t="n"/>
    </row>
    <row r="126" ht="13" customHeight="1" s="189">
      <c r="A126" s="289" t="n"/>
      <c r="B126" s="290" t="n"/>
      <c r="C126" s="290" t="n"/>
      <c r="D126" s="291" t="n"/>
      <c r="E126" s="290" t="n"/>
      <c r="F126" s="290" t="n"/>
    </row>
    <row r="127" ht="13" customHeight="1" s="189">
      <c r="A127" s="289" t="n"/>
      <c r="B127" s="290" t="n"/>
      <c r="C127" s="290" t="n"/>
      <c r="D127" s="291" t="n"/>
      <c r="E127" s="290" t="n"/>
      <c r="F127" s="290" t="n"/>
    </row>
    <row r="128" ht="13" customHeight="1" s="189">
      <c r="A128" s="289" t="n"/>
      <c r="B128" s="290" t="n"/>
      <c r="C128" s="290" t="n"/>
      <c r="D128" s="291" t="n"/>
      <c r="E128" s="290" t="n"/>
      <c r="F128" s="290" t="n"/>
    </row>
    <row r="129" ht="13" customHeight="1" s="189">
      <c r="A129" s="289" t="n"/>
      <c r="B129" s="290" t="n"/>
      <c r="C129" s="290" t="n"/>
      <c r="D129" s="291" t="n"/>
      <c r="E129" s="290" t="n"/>
      <c r="F129" s="290" t="n"/>
    </row>
    <row r="130" ht="13" customHeight="1" s="189">
      <c r="A130" s="289" t="n"/>
      <c r="B130" s="290" t="n"/>
      <c r="C130" s="290" t="n"/>
      <c r="D130" s="291" t="n"/>
      <c r="E130" s="290" t="n"/>
      <c r="F130" s="290" t="n"/>
    </row>
    <row r="131" ht="13" customHeight="1" s="189">
      <c r="A131" s="289" t="n"/>
      <c r="B131" s="290" t="n"/>
      <c r="C131" s="290" t="n"/>
      <c r="D131" s="291" t="n"/>
      <c r="E131" s="290" t="n"/>
      <c r="F131" s="290" t="n"/>
    </row>
    <row r="132" ht="13" customHeight="1" s="189">
      <c r="A132" s="289" t="n"/>
      <c r="B132" s="290" t="n"/>
      <c r="C132" s="290" t="n"/>
      <c r="D132" s="291" t="n"/>
      <c r="E132" s="290" t="n"/>
      <c r="F132" s="290" t="n"/>
    </row>
    <row r="133" ht="13" customHeight="1" s="189">
      <c r="A133" s="289" t="n"/>
      <c r="B133" s="290" t="n"/>
      <c r="C133" s="290" t="n"/>
      <c r="D133" s="291" t="n"/>
      <c r="E133" s="290" t="n"/>
      <c r="F133" s="290" t="n"/>
    </row>
    <row r="134" ht="13" customHeight="1" s="189">
      <c r="A134" s="289" t="n"/>
      <c r="B134" s="290" t="n"/>
      <c r="C134" s="290" t="n"/>
      <c r="D134" s="291" t="n"/>
      <c r="E134" s="290" t="n"/>
      <c r="F134" s="290" t="n"/>
    </row>
    <row r="135" ht="13" customHeight="1" s="189">
      <c r="A135" s="289" t="n"/>
      <c r="B135" s="290" t="n"/>
      <c r="C135" s="290" t="n"/>
      <c r="D135" s="291" t="n"/>
      <c r="E135" s="290" t="n"/>
      <c r="F135" s="290" t="n"/>
    </row>
    <row r="136" ht="13" customHeight="1" s="189">
      <c r="A136" s="289" t="n"/>
      <c r="B136" s="290" t="n"/>
      <c r="C136" s="290" t="n"/>
      <c r="D136" s="291" t="n"/>
      <c r="E136" s="290" t="n"/>
      <c r="F136" s="290" t="n"/>
    </row>
    <row r="137" ht="13" customHeight="1" s="189">
      <c r="A137" s="289" t="n"/>
      <c r="B137" s="290" t="n"/>
      <c r="C137" s="290" t="n"/>
      <c r="D137" s="291" t="n"/>
      <c r="E137" s="290" t="n"/>
      <c r="F137" s="290" t="n"/>
    </row>
    <row r="138" ht="13" customHeight="1" s="189">
      <c r="A138" s="289" t="n"/>
      <c r="B138" s="290" t="n"/>
      <c r="C138" s="290" t="n"/>
      <c r="D138" s="291" t="n"/>
      <c r="E138" s="290" t="n"/>
      <c r="F138" s="290" t="n"/>
    </row>
    <row r="139" ht="13" customHeight="1" s="189">
      <c r="A139" s="289" t="n"/>
      <c r="B139" s="290" t="n"/>
      <c r="C139" s="290" t="n"/>
      <c r="D139" s="291" t="n"/>
      <c r="E139" s="290" t="n"/>
      <c r="F139" s="290" t="n"/>
    </row>
    <row r="140" ht="13" customHeight="1" s="189">
      <c r="A140" s="289" t="n"/>
      <c r="B140" s="290" t="n"/>
      <c r="C140" s="290" t="n"/>
      <c r="D140" s="291" t="n"/>
      <c r="E140" s="290" t="n"/>
      <c r="F140" s="290" t="n"/>
    </row>
    <row r="141" ht="13" customHeight="1" s="189">
      <c r="A141" s="289" t="n"/>
      <c r="B141" s="290" t="n"/>
      <c r="C141" s="290" t="n"/>
      <c r="D141" s="291" t="n"/>
      <c r="E141" s="290" t="n"/>
      <c r="F141" s="290" t="n"/>
    </row>
    <row r="142" ht="13" customHeight="1" s="189">
      <c r="A142" s="289" t="n"/>
      <c r="B142" s="290" t="n"/>
      <c r="C142" s="290" t="n"/>
      <c r="D142" s="291" t="n"/>
      <c r="E142" s="290" t="n"/>
      <c r="F142" s="290" t="n"/>
    </row>
    <row r="143" ht="13" customHeight="1" s="189">
      <c r="A143" s="289" t="n"/>
      <c r="B143" s="290" t="n"/>
      <c r="C143" s="290" t="n"/>
      <c r="D143" s="291" t="n"/>
      <c r="E143" s="290" t="n"/>
      <c r="F143" s="290" t="n"/>
    </row>
    <row r="144" ht="13" customHeight="1" s="189">
      <c r="A144" s="289" t="n"/>
      <c r="B144" s="290" t="n"/>
      <c r="C144" s="290" t="n"/>
      <c r="D144" s="291" t="n"/>
      <c r="E144" s="290" t="n"/>
      <c r="F144" s="290" t="n"/>
    </row>
    <row r="145" ht="13" customHeight="1" s="189">
      <c r="A145" s="289" t="n"/>
      <c r="B145" s="290" t="n"/>
      <c r="C145" s="290" t="n"/>
      <c r="D145" s="291" t="n"/>
      <c r="E145" s="290" t="n"/>
      <c r="F145" s="290" t="n"/>
    </row>
    <row r="146" ht="13" customHeight="1" s="189">
      <c r="A146" s="289" t="n"/>
      <c r="B146" s="290" t="n"/>
      <c r="C146" s="290" t="n"/>
      <c r="D146" s="291" t="n"/>
      <c r="E146" s="290" t="n"/>
      <c r="F146" s="290" t="n"/>
    </row>
    <row r="147" ht="13" customHeight="1" s="189">
      <c r="A147" s="289" t="n"/>
      <c r="B147" s="290" t="n"/>
      <c r="C147" s="290" t="n"/>
      <c r="D147" s="291" t="n"/>
      <c r="E147" s="290" t="n"/>
      <c r="F147" s="290" t="n"/>
    </row>
    <row r="148" ht="13" customHeight="1" s="189">
      <c r="A148" s="289" t="n"/>
      <c r="B148" s="290" t="n"/>
      <c r="C148" s="290" t="n"/>
      <c r="D148" s="291" t="n"/>
      <c r="E148" s="290" t="n"/>
      <c r="F148" s="290" t="n"/>
    </row>
    <row r="149" ht="13" customHeight="1" s="189">
      <c r="A149" s="289" t="n"/>
      <c r="B149" s="290" t="n"/>
      <c r="C149" s="290" t="n"/>
      <c r="D149" s="291" t="n"/>
      <c r="E149" s="290" t="n"/>
      <c r="F149" s="290" t="n"/>
    </row>
    <row r="150" ht="13" customHeight="1" s="189">
      <c r="A150" s="289" t="n"/>
      <c r="B150" s="290" t="n"/>
      <c r="C150" s="290" t="n"/>
      <c r="D150" s="291" t="n"/>
      <c r="E150" s="290" t="n"/>
      <c r="F150" s="290" t="n"/>
    </row>
    <row r="151" ht="13" customHeight="1" s="189">
      <c r="A151" s="289" t="n"/>
      <c r="B151" s="290" t="n"/>
      <c r="C151" s="290" t="n"/>
      <c r="D151" s="291" t="n"/>
      <c r="E151" s="290" t="n"/>
      <c r="F151" s="290" t="n"/>
    </row>
    <row r="152" ht="13" customHeight="1" s="189">
      <c r="A152" s="289" t="n"/>
      <c r="B152" s="290" t="n"/>
      <c r="C152" s="290" t="n"/>
      <c r="D152" s="291" t="n"/>
      <c r="E152" s="290" t="n"/>
      <c r="F152" s="290" t="n"/>
    </row>
    <row r="153" ht="13" customHeight="1" s="189">
      <c r="A153" s="289" t="n"/>
      <c r="B153" s="290" t="n"/>
      <c r="C153" s="290" t="n"/>
      <c r="D153" s="291" t="n"/>
      <c r="E153" s="290" t="n"/>
      <c r="F153" s="290" t="n"/>
    </row>
    <row r="154" ht="13" customHeight="1" s="189">
      <c r="A154" s="289" t="n"/>
      <c r="B154" s="290" t="n"/>
      <c r="C154" s="290" t="n"/>
      <c r="D154" s="291" t="n"/>
      <c r="E154" s="290" t="n"/>
      <c r="F154" s="290" t="n"/>
    </row>
    <row r="155" ht="13" customHeight="1" s="189">
      <c r="A155" s="289" t="n"/>
      <c r="B155" s="290" t="n"/>
      <c r="C155" s="290" t="n"/>
      <c r="D155" s="291" t="n"/>
      <c r="E155" s="290" t="n"/>
      <c r="F155" s="290" t="n"/>
    </row>
    <row r="156" ht="13" customHeight="1" s="189">
      <c r="A156" s="289" t="n"/>
      <c r="B156" s="290" t="n"/>
      <c r="C156" s="290" t="n"/>
      <c r="D156" s="291" t="n"/>
      <c r="E156" s="290" t="n"/>
      <c r="F156" s="290" t="n"/>
    </row>
    <row r="157" ht="13" customHeight="1" s="189">
      <c r="A157" s="289" t="n"/>
      <c r="B157" s="290" t="n"/>
      <c r="C157" s="290" t="n"/>
      <c r="D157" s="291" t="n"/>
      <c r="E157" s="290" t="n"/>
      <c r="F157" s="290" t="n"/>
    </row>
    <row r="158" ht="13" customHeight="1" s="189">
      <c r="A158" s="289" t="n"/>
      <c r="B158" s="290" t="n"/>
      <c r="C158" s="290" t="n"/>
      <c r="D158" s="291" t="n"/>
      <c r="E158" s="290" t="n"/>
      <c r="F158" s="290" t="n"/>
    </row>
    <row r="159" ht="13" customHeight="1" s="189">
      <c r="A159" s="289" t="n"/>
      <c r="B159" s="290" t="n"/>
      <c r="C159" s="290" t="n"/>
      <c r="D159" s="291" t="n"/>
      <c r="E159" s="290" t="n"/>
      <c r="F159" s="290" t="n"/>
    </row>
    <row r="160" ht="13" customHeight="1" s="189">
      <c r="A160" s="289" t="n"/>
      <c r="B160" s="290" t="n"/>
      <c r="C160" s="290" t="n"/>
      <c r="D160" s="291" t="n"/>
      <c r="E160" s="290" t="n"/>
      <c r="F160" s="290" t="n"/>
    </row>
    <row r="161" ht="13" customHeight="1" s="189">
      <c r="A161" s="289" t="n"/>
      <c r="B161" s="290" t="n"/>
      <c r="C161" s="290" t="n"/>
      <c r="D161" s="291" t="n"/>
      <c r="E161" s="290" t="n"/>
      <c r="F161" s="290" t="n"/>
    </row>
    <row r="162" ht="13" customHeight="1" s="189">
      <c r="A162" s="289" t="n"/>
      <c r="B162" s="290" t="n"/>
      <c r="C162" s="290" t="n"/>
      <c r="D162" s="291" t="n"/>
      <c r="E162" s="290" t="n"/>
      <c r="F162" s="290" t="n"/>
    </row>
    <row r="163" ht="13" customHeight="1" s="189">
      <c r="A163" s="289" t="n"/>
      <c r="B163" s="290" t="n"/>
      <c r="C163" s="290" t="n"/>
      <c r="D163" s="291" t="n"/>
      <c r="E163" s="290" t="n"/>
      <c r="F163" s="290" t="n"/>
    </row>
    <row r="164" ht="13" customHeight="1" s="189">
      <c r="A164" s="289" t="n"/>
      <c r="B164" s="290" t="n"/>
      <c r="C164" s="290" t="n"/>
      <c r="D164" s="291" t="n"/>
      <c r="E164" s="290" t="n"/>
      <c r="F164" s="290" t="n"/>
    </row>
    <row r="165" ht="13" customHeight="1" s="189">
      <c r="A165" s="289" t="n"/>
      <c r="B165" s="290" t="n"/>
      <c r="C165" s="290" t="n"/>
      <c r="D165" s="291" t="n"/>
      <c r="E165" s="290" t="n"/>
      <c r="F165" s="290" t="n"/>
    </row>
    <row r="166" ht="13" customHeight="1" s="189">
      <c r="A166" s="289" t="n"/>
      <c r="B166" s="290" t="n"/>
      <c r="C166" s="290" t="n"/>
      <c r="D166" s="291" t="n"/>
      <c r="E166" s="290" t="n"/>
      <c r="F166" s="290" t="n"/>
    </row>
    <row r="167" ht="13" customHeight="1" s="189">
      <c r="A167" s="289" t="n"/>
      <c r="B167" s="290" t="n"/>
      <c r="C167" s="290" t="n"/>
      <c r="D167" s="291" t="n"/>
      <c r="E167" s="290" t="n"/>
      <c r="F167" s="290" t="n"/>
    </row>
    <row r="168" ht="13" customHeight="1" s="189">
      <c r="A168" s="289" t="n"/>
      <c r="B168" s="290" t="n"/>
      <c r="C168" s="290" t="n"/>
      <c r="D168" s="291" t="n"/>
      <c r="E168" s="290" t="n"/>
      <c r="F168" s="290" t="n"/>
    </row>
    <row r="169" ht="13" customHeight="1" s="189">
      <c r="A169" s="289" t="n"/>
      <c r="B169" s="290" t="n"/>
      <c r="C169" s="290" t="n"/>
      <c r="D169" s="291" t="n"/>
      <c r="E169" s="290" t="n"/>
      <c r="F169" s="290" t="n"/>
    </row>
    <row r="170" ht="13" customHeight="1" s="189">
      <c r="A170" s="289" t="n"/>
      <c r="B170" s="290" t="n"/>
      <c r="C170" s="290" t="n"/>
      <c r="D170" s="291" t="n"/>
      <c r="E170" s="290" t="n"/>
      <c r="F170" s="290" t="n"/>
    </row>
    <row r="171" ht="13" customHeight="1" s="189">
      <c r="A171" s="289" t="n"/>
      <c r="B171" s="290" t="n"/>
      <c r="C171" s="290" t="n"/>
      <c r="D171" s="291" t="n"/>
      <c r="E171" s="290" t="n"/>
      <c r="F171" s="290" t="n"/>
    </row>
    <row r="172" ht="13" customHeight="1" s="189">
      <c r="A172" s="289" t="n"/>
      <c r="B172" s="290" t="n"/>
      <c r="C172" s="290" t="n"/>
      <c r="D172" s="291" t="n"/>
      <c r="E172" s="290" t="n"/>
      <c r="F172" s="290" t="n"/>
    </row>
    <row r="173" ht="13" customHeight="1" s="189">
      <c r="A173" s="289" t="n"/>
      <c r="B173" s="290" t="n"/>
      <c r="C173" s="290" t="n"/>
      <c r="D173" s="291" t="n"/>
      <c r="E173" s="290" t="n"/>
      <c r="F173" s="290" t="n"/>
    </row>
    <row r="174" ht="13" customHeight="1" s="189">
      <c r="A174" s="289" t="n"/>
      <c r="B174" s="290" t="n"/>
      <c r="C174" s="290" t="n"/>
      <c r="D174" s="291" t="n"/>
      <c r="E174" s="290" t="n"/>
      <c r="F174" s="290" t="n"/>
    </row>
    <row r="175" ht="13" customHeight="1" s="189">
      <c r="A175" s="289" t="n"/>
      <c r="B175" s="290" t="n"/>
      <c r="C175" s="290" t="n"/>
      <c r="D175" s="291" t="n"/>
      <c r="E175" s="290" t="n"/>
      <c r="F175" s="290" t="n"/>
    </row>
    <row r="176" ht="13" customHeight="1" s="189">
      <c r="A176" s="289" t="n"/>
      <c r="B176" s="290" t="n"/>
      <c r="C176" s="290" t="n"/>
      <c r="D176" s="291" t="n"/>
      <c r="E176" s="290" t="n"/>
      <c r="F176" s="290" t="n"/>
    </row>
    <row r="177" ht="13" customHeight="1" s="189">
      <c r="A177" s="289" t="n"/>
      <c r="B177" s="290" t="n"/>
      <c r="C177" s="290" t="n"/>
      <c r="D177" s="291" t="n"/>
      <c r="E177" s="290" t="n"/>
      <c r="F177" s="290" t="n"/>
    </row>
    <row r="178" ht="13" customHeight="1" s="189">
      <c r="A178" s="289" t="n"/>
      <c r="B178" s="290" t="n"/>
      <c r="C178" s="290" t="n"/>
      <c r="D178" s="291" t="n"/>
      <c r="E178" s="290" t="n"/>
      <c r="F178" s="290" t="n"/>
    </row>
    <row r="179" ht="13" customHeight="1" s="189">
      <c r="A179" s="289" t="n"/>
      <c r="B179" s="290" t="n"/>
      <c r="C179" s="290" t="n"/>
      <c r="D179" s="291" t="n"/>
      <c r="E179" s="290" t="n"/>
      <c r="F179" s="290" t="n"/>
    </row>
    <row r="180" ht="13" customHeight="1" s="189">
      <c r="A180" s="289" t="n"/>
      <c r="B180" s="290" t="n"/>
      <c r="C180" s="290" t="n"/>
      <c r="D180" s="291" t="n"/>
      <c r="E180" s="290" t="n"/>
      <c r="F180" s="290" t="n"/>
    </row>
    <row r="181" ht="13" customHeight="1" s="189">
      <c r="A181" s="289" t="n"/>
      <c r="B181" s="290" t="n"/>
      <c r="C181" s="290" t="n"/>
      <c r="D181" s="291" t="n"/>
      <c r="E181" s="290" t="n"/>
      <c r="F181" s="290" t="n"/>
    </row>
    <row r="182" ht="13" customHeight="1" s="189">
      <c r="A182" s="289" t="n"/>
      <c r="B182" s="290" t="n"/>
      <c r="C182" s="290" t="n"/>
      <c r="D182" s="291" t="n"/>
      <c r="E182" s="290" t="n"/>
      <c r="F182" s="290" t="n"/>
    </row>
    <row r="183" ht="13" customHeight="1" s="189">
      <c r="A183" s="289" t="n"/>
      <c r="B183" s="290" t="n"/>
      <c r="C183" s="290" t="n"/>
      <c r="D183" s="291" t="n"/>
      <c r="E183" s="290" t="n"/>
      <c r="F183" s="290" t="n"/>
    </row>
    <row r="184" ht="13" customHeight="1" s="189">
      <c r="A184" s="289" t="n"/>
      <c r="B184" s="290" t="n"/>
      <c r="C184" s="290" t="n"/>
      <c r="D184" s="291" t="n"/>
      <c r="E184" s="290" t="n"/>
      <c r="F184" s="290" t="n"/>
    </row>
    <row r="185" ht="13" customHeight="1" s="189">
      <c r="A185" s="289" t="n"/>
      <c r="B185" s="290" t="n"/>
      <c r="C185" s="290" t="n"/>
      <c r="D185" s="291" t="n"/>
      <c r="E185" s="290" t="n"/>
      <c r="F185" s="290" t="n"/>
    </row>
    <row r="186" ht="13" customHeight="1" s="189">
      <c r="A186" s="289" t="n"/>
      <c r="B186" s="290" t="n"/>
      <c r="C186" s="290" t="n"/>
      <c r="D186" s="291" t="n"/>
      <c r="E186" s="290" t="n"/>
      <c r="F186" s="290" t="n"/>
    </row>
    <row r="187" ht="13" customHeight="1" s="189">
      <c r="A187" s="289" t="n"/>
      <c r="B187" s="290" t="n"/>
      <c r="C187" s="290" t="n"/>
      <c r="D187" s="291" t="n"/>
      <c r="E187" s="290" t="n"/>
      <c r="F187" s="290" t="n"/>
    </row>
    <row r="188" ht="13" customHeight="1" s="189">
      <c r="A188" s="289" t="n"/>
      <c r="B188" s="290" t="n"/>
      <c r="C188" s="290" t="n"/>
      <c r="D188" s="291" t="n"/>
      <c r="E188" s="290" t="n"/>
      <c r="F188" s="290" t="n"/>
    </row>
    <row r="189" ht="13" customHeight="1" s="189">
      <c r="A189" s="289" t="n"/>
      <c r="B189" s="290" t="n"/>
      <c r="C189" s="290" t="n"/>
      <c r="D189" s="291" t="n"/>
      <c r="E189" s="290" t="n"/>
      <c r="F189" s="290" t="n"/>
    </row>
    <row r="190" ht="13" customHeight="1" s="189">
      <c r="A190" s="289" t="n"/>
      <c r="B190" s="290" t="n"/>
      <c r="C190" s="290" t="n"/>
      <c r="D190" s="291" t="n"/>
      <c r="E190" s="290" t="n"/>
      <c r="F190" s="290" t="n"/>
    </row>
    <row r="191" ht="13" customHeight="1" s="189">
      <c r="A191" s="289" t="n"/>
      <c r="B191" s="290" t="n"/>
      <c r="C191" s="290" t="n"/>
      <c r="D191" s="291" t="n"/>
      <c r="E191" s="290" t="n"/>
      <c r="F191" s="290" t="n"/>
    </row>
    <row r="192" ht="13" customHeight="1" s="189">
      <c r="A192" s="289" t="n"/>
      <c r="B192" s="290" t="n"/>
      <c r="C192" s="290" t="n"/>
      <c r="D192" s="291" t="n"/>
      <c r="E192" s="290" t="n"/>
      <c r="F192" s="290" t="n"/>
    </row>
    <row r="193" ht="13" customHeight="1" s="189">
      <c r="A193" s="289" t="n"/>
      <c r="B193" s="290" t="n"/>
      <c r="C193" s="290" t="n"/>
      <c r="D193" s="291" t="n"/>
      <c r="E193" s="290" t="n"/>
      <c r="F193" s="290" t="n"/>
    </row>
    <row r="194" ht="13" customHeight="1" s="189">
      <c r="A194" s="289" t="n"/>
      <c r="B194" s="290" t="n"/>
      <c r="C194" s="290" t="n"/>
      <c r="D194" s="291" t="n"/>
      <c r="E194" s="290" t="n"/>
      <c r="F194" s="290" t="n"/>
    </row>
    <row r="195" ht="13" customHeight="1" s="189">
      <c r="A195" s="289" t="n"/>
      <c r="B195" s="290" t="n"/>
      <c r="C195" s="290" t="n"/>
      <c r="D195" s="291" t="n"/>
      <c r="E195" s="290" t="n"/>
      <c r="F195" s="290" t="n"/>
    </row>
    <row r="196" ht="13" customHeight="1" s="189">
      <c r="A196" s="289" t="n"/>
      <c r="B196" s="290" t="n"/>
      <c r="C196" s="290" t="n"/>
      <c r="D196" s="291" t="n"/>
      <c r="E196" s="290" t="n"/>
      <c r="F196" s="290" t="n"/>
    </row>
    <row r="197" ht="13" customHeight="1" s="189">
      <c r="A197" s="289" t="n"/>
      <c r="B197" s="290" t="n"/>
      <c r="C197" s="290" t="n"/>
      <c r="D197" s="291" t="n"/>
      <c r="E197" s="290" t="n"/>
      <c r="F197" s="290" t="n"/>
    </row>
    <row r="198" ht="13" customHeight="1" s="189">
      <c r="A198" s="289" t="n"/>
      <c r="B198" s="290" t="n"/>
      <c r="C198" s="290" t="n"/>
      <c r="D198" s="291" t="n"/>
      <c r="E198" s="290" t="n"/>
      <c r="F198" s="290" t="n"/>
    </row>
    <row r="199" ht="13" customHeight="1" s="189">
      <c r="A199" s="289" t="n"/>
      <c r="B199" s="290" t="n"/>
      <c r="C199" s="290" t="n"/>
      <c r="D199" s="291" t="n"/>
      <c r="E199" s="290" t="n"/>
      <c r="F199" s="290" t="n"/>
    </row>
    <row r="200" ht="13" customHeight="1" s="189">
      <c r="A200" s="289" t="n"/>
      <c r="B200" s="290" t="n"/>
      <c r="C200" s="290" t="n"/>
      <c r="D200" s="291" t="n"/>
      <c r="E200" s="290" t="n"/>
      <c r="F200" s="290" t="n"/>
    </row>
    <row r="201" ht="13" customHeight="1" s="189">
      <c r="A201" s="289" t="n"/>
      <c r="B201" s="290" t="n"/>
      <c r="C201" s="290" t="n"/>
      <c r="D201" s="291" t="n"/>
      <c r="E201" s="290" t="n"/>
      <c r="F201" s="290" t="n"/>
    </row>
    <row r="202" ht="13" customHeight="1" s="189">
      <c r="A202" s="289" t="n"/>
      <c r="B202" s="290" t="n"/>
      <c r="C202" s="290" t="n"/>
      <c r="D202" s="291" t="n"/>
      <c r="E202" s="290" t="n"/>
      <c r="F202" s="290" t="n"/>
    </row>
    <row r="203" ht="13" customHeight="1" s="189">
      <c r="A203" s="289" t="n"/>
      <c r="B203" s="290" t="n"/>
      <c r="C203" s="290" t="n"/>
      <c r="D203" s="291" t="n"/>
      <c r="E203" s="290" t="n"/>
      <c r="F203" s="290" t="n"/>
    </row>
    <row r="204" ht="13" customHeight="1" s="189">
      <c r="A204" s="289" t="n"/>
      <c r="B204" s="290" t="n"/>
      <c r="C204" s="290" t="n"/>
      <c r="D204" s="291" t="n"/>
      <c r="E204" s="290" t="n"/>
      <c r="F204" s="290" t="n"/>
    </row>
    <row r="205" ht="13" customHeight="1" s="189">
      <c r="A205" s="289" t="n"/>
      <c r="B205" s="290" t="n"/>
      <c r="C205" s="290" t="n"/>
      <c r="D205" s="291" t="n"/>
      <c r="E205" s="290" t="n"/>
      <c r="F205" s="290" t="n"/>
    </row>
    <row r="206" ht="13" customHeight="1" s="189">
      <c r="A206" s="289" t="n"/>
      <c r="B206" s="290" t="n"/>
      <c r="C206" s="290" t="n"/>
      <c r="D206" s="291" t="n"/>
      <c r="E206" s="290" t="n"/>
      <c r="F206" s="290" t="n"/>
    </row>
    <row r="207" ht="13" customHeight="1" s="189">
      <c r="A207" s="289" t="n"/>
      <c r="B207" s="290" t="n"/>
      <c r="C207" s="290" t="n"/>
      <c r="D207" s="291" t="n"/>
      <c r="E207" s="290" t="n"/>
      <c r="F207" s="290" t="n"/>
    </row>
    <row r="208" ht="13" customHeight="1" s="189">
      <c r="A208" s="289" t="n"/>
      <c r="B208" s="290" t="n"/>
      <c r="C208" s="290" t="n"/>
      <c r="D208" s="291" t="n"/>
      <c r="E208" s="290" t="n"/>
      <c r="F208" s="290" t="n"/>
    </row>
    <row r="209" ht="13" customHeight="1" s="189">
      <c r="A209" s="289" t="n"/>
      <c r="B209" s="290" t="n"/>
      <c r="C209" s="290" t="n"/>
      <c r="D209" s="291" t="n"/>
      <c r="E209" s="290" t="n"/>
      <c r="F209" s="290" t="n"/>
    </row>
    <row r="210" ht="13" customHeight="1" s="189">
      <c r="A210" s="289" t="n"/>
      <c r="B210" s="290" t="n"/>
      <c r="C210" s="290" t="n"/>
      <c r="D210" s="291" t="n"/>
      <c r="E210" s="290" t="n"/>
      <c r="F210" s="290" t="n"/>
    </row>
    <row r="211" ht="13" customHeight="1" s="189">
      <c r="A211" s="289" t="n"/>
      <c r="B211" s="290" t="n"/>
      <c r="C211" s="290" t="n"/>
      <c r="D211" s="291" t="n"/>
      <c r="E211" s="290" t="n"/>
      <c r="F211" s="290" t="n"/>
    </row>
    <row r="212" ht="13" customHeight="1" s="189">
      <c r="A212" s="289" t="n"/>
      <c r="B212" s="290" t="n"/>
      <c r="C212" s="290" t="n"/>
      <c r="D212" s="291" t="n"/>
      <c r="E212" s="290" t="n"/>
      <c r="F212" s="290" t="n"/>
    </row>
    <row r="213" ht="13" customHeight="1" s="189">
      <c r="A213" s="289" t="n"/>
      <c r="B213" s="290" t="n"/>
      <c r="C213" s="290" t="n"/>
      <c r="D213" s="291" t="n"/>
      <c r="E213" s="290" t="n"/>
      <c r="F213" s="290" t="n"/>
    </row>
    <row r="214" ht="13" customHeight="1" s="189">
      <c r="A214" s="289" t="n"/>
      <c r="B214" s="290" t="n"/>
      <c r="C214" s="290" t="n"/>
      <c r="D214" s="291" t="n"/>
      <c r="E214" s="290" t="n"/>
      <c r="F214" s="290" t="n"/>
    </row>
    <row r="215" ht="13" customHeight="1" s="189">
      <c r="A215" s="289" t="n"/>
      <c r="B215" s="290" t="n"/>
      <c r="C215" s="290" t="n"/>
      <c r="D215" s="291" t="n"/>
      <c r="E215" s="290" t="n"/>
      <c r="F215" s="290" t="n"/>
    </row>
    <row r="216" ht="13" customHeight="1" s="189">
      <c r="A216" s="289" t="n"/>
      <c r="B216" s="290" t="n"/>
      <c r="C216" s="290" t="n"/>
      <c r="D216" s="291" t="n"/>
      <c r="E216" s="290" t="n"/>
      <c r="F216" s="290" t="n"/>
    </row>
    <row r="217" ht="13" customHeight="1" s="189">
      <c r="A217" s="289" t="n"/>
      <c r="B217" s="290" t="n"/>
      <c r="C217" s="290" t="n"/>
      <c r="D217" s="291" t="n"/>
      <c r="E217" s="290" t="n"/>
      <c r="F217" s="290" t="n"/>
    </row>
    <row r="218" ht="13" customHeight="1" s="189">
      <c r="A218" s="289" t="n"/>
      <c r="B218" s="290" t="n"/>
      <c r="C218" s="290" t="n"/>
      <c r="D218" s="291" t="n"/>
      <c r="E218" s="290" t="n"/>
      <c r="F218" s="290" t="n"/>
    </row>
    <row r="219" ht="13" customHeight="1" s="189">
      <c r="A219" s="289" t="n"/>
      <c r="B219" s="290" t="n"/>
      <c r="C219" s="290" t="n"/>
      <c r="D219" s="291" t="n"/>
      <c r="E219" s="290" t="n"/>
      <c r="F219" s="290" t="n"/>
    </row>
    <row r="220" ht="13" customHeight="1" s="189">
      <c r="A220" s="289" t="n"/>
      <c r="B220" s="290" t="n"/>
      <c r="C220" s="290" t="n"/>
      <c r="D220" s="291" t="n"/>
      <c r="E220" s="290" t="n"/>
      <c r="F220" s="290" t="n"/>
    </row>
    <row r="221" ht="13" customHeight="1" s="189">
      <c r="A221" s="289" t="n"/>
      <c r="B221" s="290" t="n"/>
      <c r="C221" s="290" t="n"/>
      <c r="D221" s="291" t="n"/>
      <c r="E221" s="290" t="n"/>
      <c r="F221" s="290" t="n"/>
    </row>
    <row r="222" ht="13" customHeight="1" s="189">
      <c r="A222" s="289" t="n"/>
      <c r="B222" s="290" t="n"/>
      <c r="C222" s="290" t="n"/>
      <c r="D222" s="291" t="n"/>
      <c r="E222" s="290" t="n"/>
      <c r="F222" s="290" t="n"/>
    </row>
    <row r="223" ht="13" customHeight="1" s="189">
      <c r="A223" s="289" t="n"/>
      <c r="B223" s="290" t="n"/>
      <c r="C223" s="290" t="n"/>
      <c r="D223" s="291" t="n"/>
      <c r="E223" s="290" t="n"/>
      <c r="F223" s="290" t="n"/>
    </row>
    <row r="224" ht="13" customHeight="1" s="189">
      <c r="A224" s="289" t="n"/>
      <c r="B224" s="290" t="n"/>
      <c r="C224" s="290" t="n"/>
      <c r="D224" s="291" t="n"/>
      <c r="E224" s="290" t="n"/>
      <c r="F224" s="290" t="n"/>
    </row>
    <row r="225" ht="13" customHeight="1" s="189">
      <c r="A225" s="289" t="n"/>
      <c r="B225" s="290" t="n"/>
      <c r="C225" s="290" t="n"/>
      <c r="D225" s="291" t="n"/>
      <c r="E225" s="290" t="n"/>
      <c r="F225" s="290" t="n"/>
    </row>
    <row r="226" ht="13" customHeight="1" s="189">
      <c r="A226" s="289" t="n"/>
      <c r="B226" s="290" t="n"/>
      <c r="C226" s="290" t="n"/>
      <c r="D226" s="291" t="n"/>
      <c r="E226" s="290" t="n"/>
      <c r="F226" s="290" t="n"/>
    </row>
    <row r="227" ht="13" customHeight="1" s="189">
      <c r="A227" s="289" t="n"/>
      <c r="B227" s="290" t="n"/>
      <c r="C227" s="290" t="n"/>
      <c r="D227" s="291" t="n"/>
      <c r="E227" s="290" t="n"/>
      <c r="F227" s="290" t="n"/>
    </row>
    <row r="228" ht="13" customHeight="1" s="189">
      <c r="A228" s="289" t="n"/>
      <c r="B228" s="290" t="n"/>
      <c r="C228" s="290" t="n"/>
      <c r="D228" s="291" t="n"/>
      <c r="E228" s="290" t="n"/>
      <c r="F228" s="290" t="n"/>
    </row>
    <row r="229" ht="13" customHeight="1" s="189">
      <c r="A229" s="289" t="n"/>
      <c r="B229" s="290" t="n"/>
      <c r="C229" s="290" t="n"/>
      <c r="D229" s="291" t="n"/>
      <c r="E229" s="290" t="n"/>
      <c r="F229" s="290" t="n"/>
    </row>
    <row r="230" ht="13" customHeight="1" s="189">
      <c r="A230" s="289" t="n"/>
      <c r="B230" s="290" t="n"/>
      <c r="C230" s="290" t="n"/>
      <c r="D230" s="291" t="n"/>
      <c r="E230" s="290" t="n"/>
      <c r="F230" s="290" t="n"/>
    </row>
    <row r="231" ht="13" customHeight="1" s="189">
      <c r="A231" s="289" t="n"/>
      <c r="B231" s="290" t="n"/>
      <c r="C231" s="290" t="n"/>
      <c r="D231" s="291" t="n"/>
      <c r="E231" s="290" t="n"/>
      <c r="F231" s="290" t="n"/>
    </row>
    <row r="232" ht="13" customHeight="1" s="189">
      <c r="A232" s="289" t="n"/>
      <c r="B232" s="290" t="n"/>
      <c r="C232" s="290" t="n"/>
      <c r="D232" s="291" t="n"/>
      <c r="E232" s="290" t="n"/>
      <c r="F232" s="290" t="n"/>
    </row>
    <row r="233" ht="13" customHeight="1" s="189">
      <c r="A233" s="289" t="n"/>
      <c r="B233" s="290" t="n"/>
      <c r="C233" s="290" t="n"/>
      <c r="D233" s="291" t="n"/>
      <c r="E233" s="290" t="n"/>
      <c r="F233" s="290" t="n"/>
    </row>
    <row r="234" ht="13" customHeight="1" s="189">
      <c r="A234" s="289" t="n"/>
      <c r="B234" s="290" t="n"/>
      <c r="C234" s="290" t="n"/>
      <c r="D234" s="291" t="n"/>
      <c r="E234" s="290" t="n"/>
      <c r="F234" s="290" t="n"/>
    </row>
    <row r="235" ht="13" customHeight="1" s="189">
      <c r="A235" s="289" t="n"/>
      <c r="B235" s="290" t="n"/>
      <c r="C235" s="290" t="n"/>
      <c r="D235" s="291" t="n"/>
      <c r="E235" s="290" t="n"/>
      <c r="F235" s="290" t="n"/>
    </row>
    <row r="236" ht="13" customHeight="1" s="189">
      <c r="A236" s="289" t="n"/>
      <c r="B236" s="290" t="n"/>
      <c r="C236" s="290" t="n"/>
      <c r="D236" s="291" t="n"/>
      <c r="E236" s="290" t="n"/>
      <c r="F236" s="290" t="n"/>
    </row>
    <row r="237" ht="13" customHeight="1" s="189">
      <c r="A237" s="289" t="n"/>
      <c r="B237" s="290" t="n"/>
      <c r="C237" s="290" t="n"/>
      <c r="D237" s="291" t="n"/>
      <c r="E237" s="290" t="n"/>
      <c r="F237" s="290" t="n"/>
    </row>
    <row r="238" ht="13" customHeight="1" s="189">
      <c r="A238" s="289" t="n"/>
      <c r="B238" s="290" t="n"/>
      <c r="C238" s="290" t="n"/>
      <c r="D238" s="291" t="n"/>
      <c r="E238" s="290" t="n"/>
      <c r="F238" s="290" t="n"/>
    </row>
    <row r="239" ht="13" customHeight="1" s="189">
      <c r="A239" s="289" t="n"/>
      <c r="B239" s="290" t="n"/>
      <c r="C239" s="290" t="n"/>
      <c r="D239" s="291" t="n"/>
      <c r="E239" s="290" t="n"/>
      <c r="F239" s="290" t="n"/>
    </row>
    <row r="240" ht="13" customHeight="1" s="189">
      <c r="A240" s="289" t="n"/>
      <c r="B240" s="290" t="n"/>
      <c r="C240" s="290" t="n"/>
      <c r="D240" s="291" t="n"/>
      <c r="E240" s="290" t="n"/>
      <c r="F240" s="290" t="n"/>
    </row>
    <row r="241" ht="13" customHeight="1" s="189">
      <c r="A241" s="289" t="n"/>
      <c r="B241" s="290" t="n"/>
      <c r="C241" s="290" t="n"/>
      <c r="D241" s="291" t="n"/>
      <c r="E241" s="290" t="n"/>
      <c r="F241" s="290" t="n"/>
    </row>
    <row r="242" ht="13" customHeight="1" s="189">
      <c r="A242" s="289" t="n"/>
      <c r="B242" s="290" t="n"/>
      <c r="C242" s="290" t="n"/>
      <c r="D242" s="291" t="n"/>
      <c r="E242" s="290" t="n"/>
      <c r="F242" s="290" t="n"/>
    </row>
    <row r="243" ht="13" customHeight="1" s="189">
      <c r="A243" s="289" t="n"/>
      <c r="B243" s="290" t="n"/>
      <c r="C243" s="290" t="n"/>
      <c r="D243" s="291" t="n"/>
      <c r="E243" s="290" t="n"/>
      <c r="F243" s="290" t="n"/>
    </row>
    <row r="244" ht="13" customHeight="1" s="189">
      <c r="A244" s="289" t="n"/>
      <c r="B244" s="290" t="n"/>
      <c r="C244" s="290" t="n"/>
      <c r="D244" s="291" t="n"/>
      <c r="E244" s="290" t="n"/>
      <c r="F244" s="290" t="n"/>
    </row>
    <row r="245" ht="13" customHeight="1" s="189">
      <c r="A245" s="289" t="n"/>
      <c r="B245" s="290" t="n"/>
      <c r="C245" s="290" t="n"/>
      <c r="D245" s="291" t="n"/>
      <c r="E245" s="290" t="n"/>
      <c r="F245" s="290" t="n"/>
    </row>
    <row r="246" ht="13" customHeight="1" s="189">
      <c r="A246" s="289" t="n"/>
      <c r="B246" s="290" t="n"/>
      <c r="C246" s="290" t="n"/>
      <c r="D246" s="291" t="n"/>
      <c r="E246" s="290" t="n"/>
      <c r="F246" s="290" t="n"/>
    </row>
    <row r="247" ht="13" customHeight="1" s="189">
      <c r="A247" s="289" t="n"/>
      <c r="B247" s="290" t="n"/>
      <c r="C247" s="290" t="n"/>
      <c r="D247" s="291" t="n"/>
      <c r="E247" s="290" t="n"/>
      <c r="F247" s="290" t="n"/>
    </row>
    <row r="248" ht="13" customHeight="1" s="189">
      <c r="A248" s="289" t="n"/>
      <c r="B248" s="290" t="n"/>
      <c r="C248" s="290" t="n"/>
      <c r="D248" s="291" t="n"/>
      <c r="E248" s="290" t="n"/>
      <c r="F248" s="290" t="n"/>
    </row>
    <row r="249" ht="13" customHeight="1" s="189">
      <c r="A249" s="289" t="n"/>
      <c r="B249" s="290" t="n"/>
      <c r="C249" s="290" t="n"/>
      <c r="D249" s="291" t="n"/>
      <c r="E249" s="290" t="n"/>
      <c r="F249" s="290" t="n"/>
    </row>
    <row r="250" ht="13" customHeight="1" s="189">
      <c r="A250" s="289" t="n"/>
      <c r="B250" s="290" t="n"/>
      <c r="C250" s="290" t="n"/>
      <c r="D250" s="291" t="n"/>
      <c r="E250" s="290" t="n"/>
      <c r="F250" s="290" t="n"/>
    </row>
    <row r="251" ht="13" customHeight="1" s="189">
      <c r="A251" s="289" t="n"/>
      <c r="B251" s="290" t="n"/>
      <c r="C251" s="290" t="n"/>
      <c r="D251" s="291" t="n"/>
      <c r="E251" s="290" t="n"/>
      <c r="F251" s="290" t="n"/>
    </row>
    <row r="252" ht="13" customHeight="1" s="189">
      <c r="A252" s="289" t="n"/>
      <c r="B252" s="290" t="n"/>
      <c r="C252" s="290" t="n"/>
      <c r="D252" s="291" t="n"/>
      <c r="E252" s="290" t="n"/>
      <c r="F252" s="290" t="n"/>
    </row>
    <row r="253" ht="13" customHeight="1" s="189">
      <c r="A253" s="289" t="n"/>
      <c r="B253" s="290" t="n"/>
      <c r="C253" s="290" t="n"/>
      <c r="D253" s="291" t="n"/>
      <c r="E253" s="290" t="n"/>
      <c r="F253" s="290" t="n"/>
    </row>
    <row r="254" ht="13" customHeight="1" s="189">
      <c r="A254" s="289" t="n"/>
      <c r="B254" s="290" t="n"/>
      <c r="C254" s="290" t="n"/>
      <c r="D254" s="291" t="n"/>
      <c r="E254" s="290" t="n"/>
      <c r="F254" s="290" t="n"/>
    </row>
    <row r="255" ht="13" customHeight="1" s="189">
      <c r="A255" s="289" t="n"/>
      <c r="B255" s="290" t="n"/>
      <c r="C255" s="290" t="n"/>
      <c r="D255" s="291" t="n"/>
      <c r="E255" s="290" t="n"/>
      <c r="F255" s="290" t="n"/>
    </row>
    <row r="256" ht="13" customHeight="1" s="189">
      <c r="A256" s="289" t="n"/>
      <c r="B256" s="290" t="n"/>
      <c r="C256" s="290" t="n"/>
      <c r="D256" s="291" t="n"/>
      <c r="E256" s="290" t="n"/>
      <c r="F256" s="290" t="n"/>
    </row>
    <row r="257" ht="13" customHeight="1" s="189">
      <c r="A257" s="289" t="n"/>
      <c r="B257" s="290" t="n"/>
      <c r="C257" s="290" t="n"/>
      <c r="D257" s="291" t="n"/>
      <c r="E257" s="290" t="n"/>
      <c r="F257" s="290" t="n"/>
    </row>
    <row r="258" ht="13" customHeight="1" s="189">
      <c r="A258" s="289" t="n"/>
      <c r="B258" s="290" t="n"/>
      <c r="C258" s="290" t="n"/>
      <c r="D258" s="291" t="n"/>
      <c r="E258" s="290" t="n"/>
      <c r="F258" s="290" t="n"/>
    </row>
    <row r="259" ht="13" customHeight="1" s="189">
      <c r="A259" s="289" t="n"/>
      <c r="B259" s="290" t="n"/>
      <c r="C259" s="290" t="n"/>
      <c r="D259" s="291" t="n"/>
      <c r="E259" s="290" t="n"/>
      <c r="F259" s="290" t="n"/>
    </row>
    <row r="260" ht="13" customHeight="1" s="189">
      <c r="A260" s="289" t="n"/>
      <c r="B260" s="290" t="n"/>
      <c r="C260" s="290" t="n"/>
      <c r="D260" s="291" t="n"/>
      <c r="E260" s="290" t="n"/>
      <c r="F260" s="290" t="n"/>
    </row>
    <row r="261" ht="13" customHeight="1" s="189">
      <c r="A261" s="289" t="n"/>
      <c r="B261" s="290" t="n"/>
      <c r="C261" s="290" t="n"/>
      <c r="D261" s="291" t="n"/>
      <c r="E261" s="290" t="n"/>
      <c r="F261" s="290" t="n"/>
    </row>
    <row r="262" ht="13" customHeight="1" s="189">
      <c r="A262" s="289" t="n"/>
      <c r="B262" s="290" t="n"/>
      <c r="C262" s="290" t="n"/>
      <c r="D262" s="291" t="n"/>
      <c r="E262" s="290" t="n"/>
      <c r="F262" s="290" t="n"/>
    </row>
    <row r="263" ht="13" customHeight="1" s="189">
      <c r="A263" s="289" t="n"/>
      <c r="B263" s="290" t="n"/>
      <c r="C263" s="290" t="n"/>
      <c r="D263" s="291" t="n"/>
      <c r="E263" s="290" t="n"/>
      <c r="F263" s="290" t="n"/>
    </row>
    <row r="264" ht="13" customHeight="1" s="189">
      <c r="A264" s="289" t="n"/>
      <c r="B264" s="290" t="n"/>
      <c r="C264" s="290" t="n"/>
      <c r="D264" s="291" t="n"/>
      <c r="E264" s="290" t="n"/>
      <c r="F264" s="290" t="n"/>
    </row>
    <row r="265" ht="13" customHeight="1" s="189">
      <c r="A265" s="289" t="n"/>
      <c r="B265" s="290" t="n"/>
      <c r="C265" s="290" t="n"/>
      <c r="D265" s="291" t="n"/>
      <c r="E265" s="290" t="n"/>
      <c r="F265" s="290" t="n"/>
    </row>
    <row r="266" ht="13" customHeight="1" s="189">
      <c r="A266" s="289" t="n"/>
      <c r="B266" s="290" t="n"/>
      <c r="C266" s="290" t="n"/>
      <c r="D266" s="291" t="n"/>
      <c r="E266" s="290" t="n"/>
      <c r="F266" s="290" t="n"/>
    </row>
    <row r="267" ht="13" customHeight="1" s="189">
      <c r="A267" s="289" t="n"/>
      <c r="B267" s="290" t="n"/>
      <c r="C267" s="290" t="n"/>
      <c r="D267" s="291" t="n"/>
      <c r="E267" s="290" t="n"/>
      <c r="F267" s="290" t="n"/>
    </row>
    <row r="268" ht="13" customHeight="1" s="189">
      <c r="A268" s="289" t="n"/>
      <c r="B268" s="290" t="n"/>
      <c r="C268" s="290" t="n"/>
      <c r="D268" s="291" t="n"/>
      <c r="E268" s="290" t="n"/>
      <c r="F268" s="290" t="n"/>
    </row>
    <row r="269" ht="13" customHeight="1" s="189">
      <c r="A269" s="289" t="n"/>
      <c r="B269" s="290" t="n"/>
      <c r="C269" s="290" t="n"/>
      <c r="D269" s="291" t="n"/>
      <c r="E269" s="290" t="n"/>
      <c r="F269" s="290" t="n"/>
    </row>
    <row r="270" ht="13" customHeight="1" s="189">
      <c r="A270" s="289" t="n"/>
      <c r="B270" s="290" t="n"/>
      <c r="C270" s="290" t="n"/>
      <c r="D270" s="291" t="n"/>
      <c r="E270" s="290" t="n"/>
      <c r="F270" s="290" t="n"/>
    </row>
    <row r="271" ht="13" customHeight="1" s="189">
      <c r="A271" s="289" t="n"/>
      <c r="B271" s="290" t="n"/>
      <c r="C271" s="290" t="n"/>
      <c r="D271" s="291" t="n"/>
      <c r="E271" s="290" t="n"/>
      <c r="F271" s="290" t="n"/>
    </row>
    <row r="272" ht="13" customHeight="1" s="189">
      <c r="A272" s="289" t="n"/>
      <c r="B272" s="290" t="n"/>
      <c r="C272" s="290" t="n"/>
      <c r="D272" s="291" t="n"/>
      <c r="E272" s="290" t="n"/>
      <c r="F272" s="290" t="n"/>
    </row>
    <row r="273" ht="13" customHeight="1" s="189">
      <c r="A273" s="289" t="n"/>
      <c r="B273" s="290" t="n"/>
      <c r="C273" s="290" t="n"/>
      <c r="D273" s="291" t="n"/>
      <c r="E273" s="290" t="n"/>
      <c r="F273" s="290" t="n"/>
    </row>
    <row r="274" ht="13" customHeight="1" s="189">
      <c r="A274" s="289" t="n"/>
      <c r="B274" s="290" t="n"/>
      <c r="C274" s="290" t="n"/>
      <c r="D274" s="291" t="n"/>
      <c r="E274" s="290" t="n"/>
      <c r="F274" s="290" t="n"/>
    </row>
    <row r="275" ht="13" customHeight="1" s="189">
      <c r="A275" s="289" t="n"/>
      <c r="B275" s="290" t="n"/>
      <c r="C275" s="290" t="n"/>
      <c r="D275" s="291" t="n"/>
      <c r="E275" s="290" t="n"/>
      <c r="F275" s="290" t="n"/>
    </row>
    <row r="276" ht="13" customHeight="1" s="189">
      <c r="A276" s="289" t="n"/>
      <c r="B276" s="290" t="n"/>
      <c r="C276" s="290" t="n"/>
      <c r="D276" s="291" t="n"/>
      <c r="E276" s="290" t="n"/>
      <c r="F276" s="290" t="n"/>
    </row>
    <row r="277" ht="13" customHeight="1" s="189">
      <c r="A277" s="289" t="n"/>
      <c r="B277" s="290" t="n"/>
      <c r="C277" s="290" t="n"/>
      <c r="D277" s="291" t="n"/>
      <c r="E277" s="290" t="n"/>
      <c r="F277" s="290" t="n"/>
    </row>
    <row r="278" ht="13" customHeight="1" s="189">
      <c r="A278" s="289" t="n"/>
      <c r="B278" s="290" t="n"/>
      <c r="C278" s="290" t="n"/>
      <c r="D278" s="291" t="n"/>
      <c r="E278" s="290" t="n"/>
      <c r="F278" s="290" t="n"/>
    </row>
    <row r="279" ht="13" customHeight="1" s="189">
      <c r="A279" s="289" t="n"/>
      <c r="B279" s="290" t="n"/>
      <c r="C279" s="290" t="n"/>
      <c r="D279" s="291" t="n"/>
      <c r="E279" s="290" t="n"/>
      <c r="F279" s="290" t="n"/>
    </row>
    <row r="280" ht="13" customHeight="1" s="189">
      <c r="A280" s="289" t="n"/>
      <c r="B280" s="290" t="n"/>
      <c r="C280" s="290" t="n"/>
      <c r="D280" s="291" t="n"/>
      <c r="E280" s="290" t="n"/>
      <c r="F280" s="290" t="n"/>
    </row>
    <row r="281" ht="13" customHeight="1" s="189">
      <c r="A281" s="289" t="n"/>
      <c r="B281" s="290" t="n"/>
      <c r="C281" s="290" t="n"/>
      <c r="D281" s="291" t="n"/>
      <c r="E281" s="290" t="n"/>
      <c r="F281" s="290" t="n"/>
    </row>
    <row r="282" ht="13" customHeight="1" s="189">
      <c r="A282" s="289" t="n"/>
      <c r="B282" s="290" t="n"/>
      <c r="C282" s="290" t="n"/>
      <c r="D282" s="291" t="n"/>
      <c r="E282" s="290" t="n"/>
      <c r="F282" s="290" t="n"/>
    </row>
    <row r="283" ht="13" customHeight="1" s="189">
      <c r="A283" s="289" t="n"/>
      <c r="B283" s="290" t="n"/>
      <c r="C283" s="290" t="n"/>
      <c r="D283" s="291" t="n"/>
      <c r="E283" s="290" t="n"/>
      <c r="F283" s="290" t="n"/>
    </row>
    <row r="284" ht="13" customHeight="1" s="189">
      <c r="A284" s="289" t="n"/>
      <c r="B284" s="290" t="n"/>
      <c r="C284" s="290" t="n"/>
      <c r="D284" s="291" t="n"/>
      <c r="E284" s="290" t="n"/>
      <c r="F284" s="290" t="n"/>
    </row>
    <row r="285" ht="13" customHeight="1" s="189">
      <c r="A285" s="289" t="n"/>
      <c r="B285" s="290" t="n"/>
      <c r="C285" s="290" t="n"/>
      <c r="D285" s="291" t="n"/>
      <c r="E285" s="290" t="n"/>
      <c r="F285" s="290" t="n"/>
    </row>
    <row r="286" ht="13" customHeight="1" s="189">
      <c r="A286" s="289" t="n"/>
      <c r="B286" s="290" t="n"/>
      <c r="C286" s="290" t="n"/>
      <c r="D286" s="291" t="n"/>
      <c r="E286" s="290" t="n"/>
      <c r="F286" s="290" t="n"/>
    </row>
    <row r="287" ht="13" customHeight="1" s="189">
      <c r="A287" s="289" t="n"/>
      <c r="B287" s="290" t="n"/>
      <c r="C287" s="290" t="n"/>
      <c r="D287" s="291" t="n"/>
      <c r="E287" s="290" t="n"/>
      <c r="F287" s="290" t="n"/>
    </row>
    <row r="288" ht="13" customHeight="1" s="189">
      <c r="A288" s="289" t="n"/>
      <c r="B288" s="290" t="n"/>
      <c r="C288" s="290" t="n"/>
      <c r="D288" s="291" t="n"/>
      <c r="E288" s="290" t="n"/>
      <c r="F288" s="290" t="n"/>
    </row>
    <row r="289" ht="13" customHeight="1" s="189">
      <c r="A289" s="289" t="n"/>
      <c r="B289" s="290" t="n"/>
      <c r="C289" s="290" t="n"/>
      <c r="D289" s="291" t="n"/>
      <c r="E289" s="290" t="n"/>
      <c r="F289" s="290" t="n"/>
    </row>
    <row r="290" ht="13" customHeight="1" s="189">
      <c r="A290" s="289" t="n"/>
      <c r="B290" s="290" t="n"/>
      <c r="C290" s="290" t="n"/>
      <c r="D290" s="291" t="n"/>
      <c r="E290" s="290" t="n"/>
      <c r="F290" s="290" t="n"/>
    </row>
    <row r="291" ht="13" customHeight="1" s="189">
      <c r="A291" s="289" t="n"/>
      <c r="B291" s="290" t="n"/>
      <c r="C291" s="290" t="n"/>
      <c r="D291" s="291" t="n"/>
      <c r="E291" s="290" t="n"/>
      <c r="F291" s="290" t="n"/>
    </row>
    <row r="292" ht="13" customHeight="1" s="189">
      <c r="A292" s="289" t="n"/>
      <c r="B292" s="290" t="n"/>
      <c r="C292" s="290" t="n"/>
      <c r="D292" s="291" t="n"/>
      <c r="E292" s="290" t="n"/>
      <c r="F292" s="290" t="n"/>
    </row>
    <row r="293" ht="13" customHeight="1" s="189">
      <c r="A293" s="289" t="n"/>
      <c r="B293" s="290" t="n"/>
      <c r="C293" s="290" t="n"/>
      <c r="D293" s="291" t="n"/>
      <c r="E293" s="290" t="n"/>
      <c r="F293" s="290" t="n"/>
    </row>
    <row r="294" ht="13" customHeight="1" s="189">
      <c r="A294" s="289" t="n"/>
      <c r="B294" s="290" t="n"/>
      <c r="C294" s="290" t="n"/>
      <c r="D294" s="291" t="n"/>
      <c r="E294" s="290" t="n"/>
      <c r="F294" s="290" t="n"/>
    </row>
    <row r="295" ht="13" customHeight="1" s="189">
      <c r="A295" s="289" t="n"/>
      <c r="B295" s="290" t="n"/>
      <c r="C295" s="290" t="n"/>
      <c r="D295" s="291" t="n"/>
      <c r="E295" s="290" t="n"/>
      <c r="F295" s="290" t="n"/>
    </row>
    <row r="296" ht="13" customHeight="1" s="189">
      <c r="A296" s="289" t="n"/>
      <c r="B296" s="290" t="n"/>
      <c r="C296" s="290" t="n"/>
      <c r="D296" s="291" t="n"/>
      <c r="E296" s="290" t="n"/>
      <c r="F296" s="290" t="n"/>
    </row>
    <row r="297" ht="13" customHeight="1" s="189">
      <c r="A297" s="289" t="n"/>
      <c r="B297" s="290" t="n"/>
      <c r="C297" s="290" t="n"/>
      <c r="D297" s="291" t="n"/>
      <c r="E297" s="290" t="n"/>
      <c r="F297" s="290" t="n"/>
    </row>
    <row r="298" ht="13" customHeight="1" s="189">
      <c r="A298" s="289" t="n"/>
      <c r="B298" s="290" t="n"/>
      <c r="C298" s="290" t="n"/>
      <c r="D298" s="291" t="n"/>
      <c r="E298" s="290" t="n"/>
      <c r="F298" s="290" t="n"/>
    </row>
    <row r="299" ht="13" customHeight="1" s="189">
      <c r="A299" s="289" t="n"/>
      <c r="B299" s="290" t="n"/>
      <c r="C299" s="290" t="n"/>
      <c r="D299" s="291" t="n"/>
      <c r="E299" s="290" t="n"/>
      <c r="F299" s="290" t="n"/>
    </row>
    <row r="300" ht="13" customHeight="1" s="189">
      <c r="A300" s="289" t="n"/>
      <c r="B300" s="290" t="n"/>
      <c r="C300" s="290" t="n"/>
      <c r="D300" s="291" t="n"/>
      <c r="E300" s="290" t="n"/>
      <c r="F300" s="290" t="n"/>
    </row>
    <row r="301" ht="13" customHeight="1" s="189">
      <c r="A301" s="289" t="n"/>
      <c r="B301" s="290" t="n"/>
      <c r="C301" s="290" t="n"/>
      <c r="D301" s="291" t="n"/>
      <c r="E301" s="290" t="n"/>
      <c r="F301" s="290" t="n"/>
    </row>
    <row r="302" ht="13" customHeight="1" s="189">
      <c r="A302" s="289" t="n"/>
      <c r="B302" s="290" t="n"/>
      <c r="C302" s="290" t="n"/>
      <c r="D302" s="291" t="n"/>
      <c r="E302" s="290" t="n"/>
      <c r="F302" s="290" t="n"/>
    </row>
    <row r="303" ht="13" customHeight="1" s="189">
      <c r="A303" s="289" t="n"/>
      <c r="B303" s="290" t="n"/>
      <c r="C303" s="290" t="n"/>
      <c r="D303" s="291" t="n"/>
      <c r="E303" s="290" t="n"/>
      <c r="F303" s="290" t="n"/>
    </row>
    <row r="304" ht="13" customHeight="1" s="189">
      <c r="A304" s="289" t="n"/>
      <c r="B304" s="290" t="n"/>
      <c r="C304" s="290" t="n"/>
      <c r="D304" s="291" t="n"/>
      <c r="E304" s="290" t="n"/>
      <c r="F304" s="290" t="n"/>
    </row>
    <row r="305" ht="13" customHeight="1" s="189">
      <c r="A305" s="289" t="n"/>
      <c r="B305" s="290" t="n"/>
      <c r="C305" s="290" t="n"/>
      <c r="D305" s="291" t="n"/>
      <c r="E305" s="290" t="n"/>
      <c r="F305" s="290" t="n"/>
    </row>
    <row r="306" ht="13" customHeight="1" s="189">
      <c r="A306" s="289" t="n"/>
      <c r="B306" s="290" t="n"/>
      <c r="C306" s="290" t="n"/>
      <c r="D306" s="291" t="n"/>
      <c r="E306" s="290" t="n"/>
      <c r="F306" s="290" t="n"/>
    </row>
    <row r="307" ht="13" customHeight="1" s="189">
      <c r="A307" s="289" t="n"/>
      <c r="B307" s="290" t="n"/>
      <c r="C307" s="290" t="n"/>
      <c r="D307" s="291" t="n"/>
      <c r="E307" s="290" t="n"/>
      <c r="F307" s="290" t="n"/>
    </row>
    <row r="308" ht="13" customHeight="1" s="189">
      <c r="A308" s="289" t="n"/>
      <c r="B308" s="290" t="n"/>
      <c r="C308" s="290" t="n"/>
      <c r="D308" s="291" t="n"/>
      <c r="E308" s="290" t="n"/>
      <c r="F308" s="290" t="n"/>
    </row>
    <row r="309" ht="13" customHeight="1" s="189">
      <c r="A309" s="289" t="n"/>
      <c r="B309" s="290" t="n"/>
      <c r="C309" s="290" t="n"/>
      <c r="D309" s="291" t="n"/>
      <c r="E309" s="290" t="n"/>
      <c r="F309" s="290" t="n"/>
    </row>
    <row r="310" ht="13" customHeight="1" s="189">
      <c r="A310" s="289" t="n"/>
      <c r="B310" s="290" t="n"/>
      <c r="C310" s="290" t="n"/>
      <c r="D310" s="291" t="n"/>
      <c r="E310" s="290" t="n"/>
      <c r="F310" s="290" t="n"/>
    </row>
    <row r="311" ht="13" customHeight="1" s="189">
      <c r="A311" s="289" t="n"/>
      <c r="B311" s="290" t="n"/>
      <c r="C311" s="290" t="n"/>
      <c r="D311" s="291" t="n"/>
      <c r="E311" s="290" t="n"/>
      <c r="F311" s="290" t="n"/>
    </row>
    <row r="312" ht="13" customHeight="1" s="189">
      <c r="A312" s="289" t="n"/>
      <c r="B312" s="290" t="n"/>
      <c r="C312" s="290" t="n"/>
      <c r="D312" s="291" t="n"/>
      <c r="E312" s="290" t="n"/>
      <c r="F312" s="290" t="n"/>
    </row>
    <row r="313" ht="13" customHeight="1" s="189">
      <c r="A313" s="289" t="n"/>
      <c r="B313" s="290" t="n"/>
      <c r="C313" s="290" t="n"/>
      <c r="D313" s="291" t="n"/>
      <c r="E313" s="290" t="n"/>
      <c r="F313" s="290" t="n"/>
    </row>
    <row r="314" ht="13" customHeight="1" s="189">
      <c r="A314" s="289" t="n"/>
      <c r="B314" s="290" t="n"/>
      <c r="C314" s="290" t="n"/>
      <c r="D314" s="291" t="n"/>
      <c r="E314" s="290" t="n"/>
      <c r="F314" s="290" t="n"/>
    </row>
    <row r="315" ht="13" customHeight="1" s="189">
      <c r="A315" s="289" t="n"/>
      <c r="B315" s="290" t="n"/>
      <c r="C315" s="290" t="n"/>
      <c r="D315" s="291" t="n"/>
      <c r="E315" s="290" t="n"/>
      <c r="F315" s="290" t="n"/>
    </row>
    <row r="316" ht="13" customHeight="1" s="189">
      <c r="A316" s="289" t="n"/>
      <c r="B316" s="290" t="n"/>
      <c r="C316" s="290" t="n"/>
      <c r="D316" s="291" t="n"/>
      <c r="E316" s="290" t="n"/>
      <c r="F316" s="290" t="n"/>
    </row>
    <row r="317" ht="13" customHeight="1" s="189">
      <c r="A317" s="289" t="n"/>
      <c r="B317" s="290" t="n"/>
      <c r="C317" s="290" t="n"/>
      <c r="D317" s="291" t="n"/>
      <c r="E317" s="290" t="n"/>
      <c r="F317" s="290" t="n"/>
    </row>
    <row r="318" ht="13" customHeight="1" s="189">
      <c r="A318" s="289" t="n"/>
      <c r="B318" s="290" t="n"/>
      <c r="C318" s="290" t="n"/>
      <c r="D318" s="291" t="n"/>
      <c r="E318" s="290" t="n"/>
      <c r="F318" s="290" t="n"/>
    </row>
    <row r="319" ht="13" customHeight="1" s="189">
      <c r="A319" s="289" t="n"/>
      <c r="B319" s="290" t="n"/>
      <c r="C319" s="290" t="n"/>
      <c r="D319" s="291" t="n"/>
      <c r="E319" s="290" t="n"/>
      <c r="F319" s="290" t="n"/>
    </row>
    <row r="320" ht="13" customHeight="1" s="189">
      <c r="A320" s="289" t="n"/>
      <c r="B320" s="290" t="n"/>
      <c r="C320" s="290" t="n"/>
      <c r="D320" s="291" t="n"/>
      <c r="E320" s="290" t="n"/>
      <c r="F320" s="290" t="n"/>
    </row>
    <row r="321" ht="13" customHeight="1" s="189">
      <c r="A321" s="289" t="n"/>
      <c r="B321" s="290" t="n"/>
      <c r="C321" s="290" t="n"/>
      <c r="D321" s="291" t="n"/>
      <c r="E321" s="290" t="n"/>
      <c r="F321" s="290" t="n"/>
    </row>
    <row r="322" ht="13" customHeight="1" s="189">
      <c r="A322" s="289" t="n"/>
      <c r="B322" s="290" t="n"/>
      <c r="C322" s="290" t="n"/>
      <c r="D322" s="291" t="n"/>
      <c r="E322" s="290" t="n"/>
      <c r="F322" s="290" t="n"/>
    </row>
    <row r="323" ht="13" customHeight="1" s="189">
      <c r="A323" s="289" t="n"/>
      <c r="B323" s="290" t="n"/>
      <c r="C323" s="290" t="n"/>
      <c r="D323" s="291" t="n"/>
      <c r="E323" s="290" t="n"/>
      <c r="F323" s="290" t="n"/>
    </row>
    <row r="324" ht="13" customHeight="1" s="189">
      <c r="A324" s="289" t="n"/>
      <c r="B324" s="290" t="n"/>
      <c r="C324" s="290" t="n"/>
      <c r="D324" s="291" t="n"/>
      <c r="E324" s="290" t="n"/>
      <c r="F324" s="290" t="n"/>
    </row>
    <row r="325" ht="13" customHeight="1" s="189">
      <c r="A325" s="289" t="n"/>
      <c r="B325" s="290" t="n"/>
      <c r="C325" s="290" t="n"/>
      <c r="D325" s="291" t="n"/>
      <c r="E325" s="290" t="n"/>
      <c r="F325" s="290" t="n"/>
    </row>
    <row r="326" ht="13" customHeight="1" s="189">
      <c r="A326" s="289" t="n"/>
      <c r="B326" s="290" t="n"/>
      <c r="C326" s="290" t="n"/>
      <c r="D326" s="291" t="n"/>
      <c r="E326" s="290" t="n"/>
      <c r="F326" s="290" t="n"/>
    </row>
    <row r="327" ht="13" customHeight="1" s="189">
      <c r="A327" s="289" t="n"/>
      <c r="B327" s="290" t="n"/>
      <c r="C327" s="290" t="n"/>
      <c r="D327" s="291" t="n"/>
      <c r="E327" s="290" t="n"/>
      <c r="F327" s="290" t="n"/>
    </row>
    <row r="328" ht="13" customHeight="1" s="189">
      <c r="A328" s="289" t="n"/>
      <c r="B328" s="290" t="n"/>
      <c r="C328" s="290" t="n"/>
      <c r="D328" s="291" t="n"/>
      <c r="E328" s="290" t="n"/>
      <c r="F328" s="290" t="n"/>
    </row>
    <row r="329" ht="13" customHeight="1" s="189">
      <c r="A329" s="289" t="n"/>
      <c r="B329" s="290" t="n"/>
      <c r="C329" s="290" t="n"/>
      <c r="D329" s="291" t="n"/>
      <c r="E329" s="290" t="n"/>
      <c r="F329" s="290" t="n"/>
    </row>
    <row r="330" ht="13" customHeight="1" s="189">
      <c r="A330" s="289" t="n"/>
      <c r="B330" s="290" t="n"/>
      <c r="C330" s="290" t="n"/>
      <c r="D330" s="291" t="n"/>
      <c r="E330" s="290" t="n"/>
      <c r="F330" s="290" t="n"/>
    </row>
    <row r="331" ht="13" customHeight="1" s="189">
      <c r="A331" s="289" t="n"/>
      <c r="B331" s="290" t="n"/>
      <c r="C331" s="290" t="n"/>
      <c r="D331" s="291" t="n"/>
      <c r="E331" s="290" t="n"/>
      <c r="F331" s="290" t="n"/>
    </row>
    <row r="332" ht="13" customHeight="1" s="189">
      <c r="A332" s="289" t="n"/>
      <c r="B332" s="290" t="n"/>
      <c r="C332" s="290" t="n"/>
      <c r="D332" s="291" t="n"/>
      <c r="E332" s="290" t="n"/>
      <c r="F332" s="290" t="n"/>
    </row>
    <row r="333" ht="13" customHeight="1" s="189">
      <c r="A333" s="289" t="n"/>
      <c r="B333" s="290" t="n"/>
      <c r="C333" s="290" t="n"/>
      <c r="D333" s="291" t="n"/>
      <c r="E333" s="290" t="n"/>
      <c r="F333" s="290" t="n"/>
    </row>
    <row r="334" ht="13" customHeight="1" s="189">
      <c r="A334" s="289" t="n"/>
      <c r="B334" s="290" t="n"/>
      <c r="C334" s="290" t="n"/>
      <c r="D334" s="291" t="n"/>
      <c r="E334" s="290" t="n"/>
      <c r="F334" s="290" t="n"/>
    </row>
    <row r="335" ht="13" customHeight="1" s="189">
      <c r="A335" s="289" t="n"/>
      <c r="B335" s="290" t="n"/>
      <c r="C335" s="290" t="n"/>
      <c r="D335" s="291" t="n"/>
      <c r="E335" s="290" t="n"/>
      <c r="F335" s="290" t="n"/>
    </row>
    <row r="336" ht="13" customHeight="1" s="189">
      <c r="A336" s="289" t="n"/>
      <c r="B336" s="290" t="n"/>
      <c r="C336" s="290" t="n"/>
      <c r="D336" s="291" t="n"/>
      <c r="E336" s="290" t="n"/>
      <c r="F336" s="290" t="n"/>
    </row>
    <row r="337" ht="13" customHeight="1" s="189">
      <c r="A337" s="289" t="n"/>
      <c r="B337" s="290" t="n"/>
      <c r="C337" s="290" t="n"/>
      <c r="D337" s="291" t="n"/>
      <c r="E337" s="290" t="n"/>
      <c r="F337" s="290" t="n"/>
    </row>
    <row r="338" ht="13" customHeight="1" s="189">
      <c r="A338" s="289" t="n"/>
      <c r="B338" s="290" t="n"/>
      <c r="C338" s="290" t="n"/>
      <c r="D338" s="291" t="n"/>
      <c r="E338" s="290" t="n"/>
      <c r="F338" s="290" t="n"/>
    </row>
    <row r="339" ht="13" customHeight="1" s="189">
      <c r="A339" s="289" t="n"/>
      <c r="B339" s="290" t="n"/>
      <c r="C339" s="290" t="n"/>
      <c r="D339" s="291" t="n"/>
      <c r="E339" s="290" t="n"/>
      <c r="F339" s="290" t="n"/>
    </row>
    <row r="340" ht="13" customHeight="1" s="189">
      <c r="A340" s="289" t="n"/>
      <c r="B340" s="290" t="n"/>
      <c r="C340" s="290" t="n"/>
      <c r="D340" s="291" t="n"/>
      <c r="E340" s="290" t="n"/>
      <c r="F340" s="290" t="n"/>
    </row>
    <row r="341" ht="13" customHeight="1" s="189">
      <c r="A341" s="289" t="n"/>
      <c r="B341" s="290" t="n"/>
      <c r="C341" s="290" t="n"/>
      <c r="D341" s="291" t="n"/>
      <c r="E341" s="290" t="n"/>
      <c r="F341" s="290" t="n"/>
    </row>
    <row r="342" ht="13" customHeight="1" s="189">
      <c r="A342" s="289" t="n"/>
      <c r="B342" s="290" t="n"/>
      <c r="C342" s="290" t="n"/>
      <c r="D342" s="291" t="n"/>
      <c r="E342" s="290" t="n"/>
      <c r="F342" s="290" t="n"/>
    </row>
    <row r="343" ht="13" customHeight="1" s="189">
      <c r="A343" s="289" t="n"/>
      <c r="B343" s="290" t="n"/>
      <c r="C343" s="290" t="n"/>
      <c r="D343" s="291" t="n"/>
      <c r="E343" s="290" t="n"/>
      <c r="F343" s="290" t="n"/>
    </row>
    <row r="344" ht="13" customHeight="1" s="189">
      <c r="A344" s="289" t="n"/>
      <c r="B344" s="290" t="n"/>
      <c r="C344" s="290" t="n"/>
      <c r="D344" s="291" t="n"/>
      <c r="E344" s="290" t="n"/>
      <c r="F344" s="290" t="n"/>
    </row>
    <row r="345" ht="13" customHeight="1" s="189">
      <c r="A345" s="289" t="n"/>
      <c r="B345" s="290" t="n"/>
      <c r="C345" s="290" t="n"/>
      <c r="D345" s="291" t="n"/>
      <c r="E345" s="290" t="n"/>
      <c r="F345" s="290" t="n"/>
    </row>
    <row r="346" ht="13" customHeight="1" s="189">
      <c r="A346" s="289" t="n"/>
      <c r="B346" s="290" t="n"/>
      <c r="C346" s="290" t="n"/>
      <c r="D346" s="291" t="n"/>
      <c r="E346" s="290" t="n"/>
      <c r="F346" s="290" t="n"/>
    </row>
    <row r="347" ht="13" customHeight="1" s="189">
      <c r="A347" s="289" t="n"/>
      <c r="B347" s="290" t="n"/>
      <c r="C347" s="290" t="n"/>
      <c r="D347" s="291" t="n"/>
      <c r="E347" s="290" t="n"/>
      <c r="F347" s="290" t="n"/>
    </row>
    <row r="348" ht="13" customHeight="1" s="189">
      <c r="A348" s="289" t="n"/>
      <c r="B348" s="290" t="n"/>
      <c r="C348" s="290" t="n"/>
      <c r="D348" s="291" t="n"/>
      <c r="E348" s="290" t="n"/>
      <c r="F348" s="290" t="n"/>
    </row>
    <row r="349" ht="13" customHeight="1" s="189">
      <c r="A349" s="289" t="n"/>
      <c r="B349" s="290" t="n"/>
      <c r="C349" s="290" t="n"/>
      <c r="D349" s="291" t="n"/>
      <c r="E349" s="290" t="n"/>
      <c r="F349" s="290" t="n"/>
    </row>
    <row r="350" ht="13" customHeight="1" s="189">
      <c r="A350" s="289" t="n"/>
      <c r="B350" s="290" t="n"/>
      <c r="C350" s="290" t="n"/>
      <c r="D350" s="291" t="n"/>
      <c r="E350" s="290" t="n"/>
      <c r="F350" s="290" t="n"/>
    </row>
    <row r="351" ht="13" customHeight="1" s="189">
      <c r="A351" s="289" t="n"/>
      <c r="B351" s="290" t="n"/>
      <c r="C351" s="290" t="n"/>
      <c r="D351" s="291" t="n"/>
      <c r="E351" s="290" t="n"/>
      <c r="F351" s="290" t="n"/>
    </row>
    <row r="352" ht="13" customHeight="1" s="189">
      <c r="A352" s="289" t="n"/>
      <c r="B352" s="290" t="n"/>
      <c r="C352" s="290" t="n"/>
      <c r="D352" s="291" t="n"/>
      <c r="E352" s="290" t="n"/>
      <c r="F352" s="290" t="n"/>
    </row>
    <row r="353" ht="13" customHeight="1" s="189">
      <c r="A353" s="289" t="n"/>
      <c r="B353" s="290" t="n"/>
      <c r="C353" s="290" t="n"/>
      <c r="D353" s="291" t="n"/>
      <c r="E353" s="290" t="n"/>
      <c r="F353" s="290" t="n"/>
    </row>
    <row r="354" ht="13" customHeight="1" s="189">
      <c r="A354" s="289" t="n"/>
      <c r="B354" s="290" t="n"/>
      <c r="C354" s="290" t="n"/>
      <c r="D354" s="291" t="n"/>
      <c r="E354" s="290" t="n"/>
      <c r="F354" s="290" t="n"/>
    </row>
    <row r="355" ht="13" customHeight="1" s="189">
      <c r="A355" s="289" t="n"/>
      <c r="B355" s="290" t="n"/>
      <c r="C355" s="290" t="n"/>
      <c r="D355" s="291" t="n"/>
      <c r="E355" s="290" t="n"/>
      <c r="F355" s="290" t="n"/>
    </row>
    <row r="356" ht="13" customHeight="1" s="189">
      <c r="A356" s="289" t="n"/>
      <c r="B356" s="290" t="n"/>
      <c r="C356" s="290" t="n"/>
      <c r="D356" s="291" t="n"/>
      <c r="E356" s="290" t="n"/>
      <c r="F356" s="290" t="n"/>
    </row>
    <row r="357" ht="13" customHeight="1" s="189">
      <c r="A357" s="289" t="n"/>
      <c r="B357" s="290" t="n"/>
      <c r="C357" s="290" t="n"/>
      <c r="D357" s="291" t="n"/>
      <c r="E357" s="290" t="n"/>
      <c r="F357" s="290" t="n"/>
    </row>
    <row r="358" ht="13" customHeight="1" s="189">
      <c r="A358" s="289" t="n"/>
      <c r="B358" s="290" t="n"/>
      <c r="C358" s="290" t="n"/>
      <c r="D358" s="291" t="n"/>
      <c r="E358" s="290" t="n"/>
      <c r="F358" s="290" t="n"/>
    </row>
    <row r="359" ht="13" customHeight="1" s="189">
      <c r="A359" s="289" t="n"/>
      <c r="B359" s="290" t="n"/>
      <c r="C359" s="290" t="n"/>
      <c r="D359" s="291" t="n"/>
      <c r="E359" s="290" t="n"/>
      <c r="F359" s="290" t="n"/>
    </row>
    <row r="360" ht="13" customHeight="1" s="189">
      <c r="A360" s="289" t="n"/>
      <c r="B360" s="290" t="n"/>
      <c r="C360" s="290" t="n"/>
      <c r="D360" s="291" t="n"/>
      <c r="E360" s="290" t="n"/>
      <c r="F360" s="290" t="n"/>
    </row>
    <row r="361" ht="13" customHeight="1" s="189">
      <c r="A361" s="289" t="n"/>
      <c r="B361" s="290" t="n"/>
      <c r="C361" s="290" t="n"/>
      <c r="D361" s="291" t="n"/>
      <c r="E361" s="290" t="n"/>
      <c r="F361" s="290" t="n"/>
    </row>
    <row r="362" ht="13" customHeight="1" s="189">
      <c r="A362" s="289" t="n"/>
      <c r="B362" s="290" t="n"/>
      <c r="C362" s="290" t="n"/>
      <c r="D362" s="291" t="n"/>
      <c r="E362" s="290" t="n"/>
      <c r="F362" s="290" t="n"/>
    </row>
    <row r="363" ht="13" customHeight="1" s="189">
      <c r="A363" s="289" t="n"/>
      <c r="B363" s="290" t="n"/>
      <c r="C363" s="290" t="n"/>
      <c r="D363" s="291" t="n"/>
      <c r="E363" s="290" t="n"/>
      <c r="F363" s="290" t="n"/>
    </row>
    <row r="364" ht="13" customHeight="1" s="189">
      <c r="A364" s="289" t="n"/>
      <c r="B364" s="290" t="n"/>
      <c r="C364" s="290" t="n"/>
      <c r="D364" s="291" t="n"/>
      <c r="E364" s="290" t="n"/>
      <c r="F364" s="290" t="n"/>
    </row>
    <row r="365" ht="13" customHeight="1" s="189">
      <c r="A365" s="289" t="n"/>
      <c r="B365" s="290" t="n"/>
      <c r="C365" s="290" t="n"/>
      <c r="D365" s="291" t="n"/>
      <c r="E365" s="290" t="n"/>
      <c r="F365" s="290" t="n"/>
    </row>
    <row r="366" ht="13" customHeight="1" s="189">
      <c r="A366" s="289" t="n"/>
      <c r="B366" s="290" t="n"/>
      <c r="C366" s="290" t="n"/>
      <c r="D366" s="291" t="n"/>
      <c r="E366" s="290" t="n"/>
      <c r="F366" s="290" t="n"/>
    </row>
    <row r="367" ht="13" customHeight="1" s="189">
      <c r="A367" s="289" t="n"/>
      <c r="B367" s="290" t="n"/>
      <c r="C367" s="290" t="n"/>
      <c r="D367" s="291" t="n"/>
      <c r="E367" s="290" t="n"/>
      <c r="F367" s="290" t="n"/>
    </row>
    <row r="368" ht="13" customHeight="1" s="189">
      <c r="A368" s="289" t="n"/>
      <c r="B368" s="290" t="n"/>
      <c r="C368" s="290" t="n"/>
      <c r="D368" s="291" t="n"/>
      <c r="E368" s="290" t="n"/>
      <c r="F368" s="290" t="n"/>
    </row>
    <row r="369" ht="13" customHeight="1" s="189">
      <c r="A369" s="289" t="n"/>
      <c r="B369" s="290" t="n"/>
      <c r="C369" s="290" t="n"/>
      <c r="D369" s="291" t="n"/>
      <c r="E369" s="290" t="n"/>
      <c r="F369" s="290" t="n"/>
    </row>
    <row r="370" ht="13" customHeight="1" s="189">
      <c r="A370" s="289" t="n"/>
      <c r="B370" s="290" t="n"/>
      <c r="C370" s="290" t="n"/>
      <c r="D370" s="291" t="n"/>
      <c r="E370" s="290" t="n"/>
      <c r="F370" s="290" t="n"/>
    </row>
    <row r="371" ht="13" customHeight="1" s="189">
      <c r="A371" s="289" t="n"/>
      <c r="B371" s="290" t="n"/>
      <c r="C371" s="290" t="n"/>
      <c r="D371" s="291" t="n"/>
      <c r="E371" s="290" t="n"/>
      <c r="F371" s="290" t="n"/>
    </row>
    <row r="372" ht="13" customHeight="1" s="189">
      <c r="A372" s="289" t="n"/>
      <c r="B372" s="290" t="n"/>
      <c r="C372" s="290" t="n"/>
      <c r="D372" s="291" t="n"/>
      <c r="E372" s="290" t="n"/>
      <c r="F372" s="290" t="n"/>
    </row>
    <row r="373" ht="13" customHeight="1" s="189">
      <c r="A373" s="289" t="n"/>
      <c r="B373" s="290" t="n"/>
      <c r="C373" s="290" t="n"/>
      <c r="D373" s="291" t="n"/>
      <c r="E373" s="290" t="n"/>
      <c r="F373" s="290" t="n"/>
    </row>
    <row r="374" ht="13" customHeight="1" s="189">
      <c r="A374" s="289" t="n"/>
      <c r="B374" s="290" t="n"/>
      <c r="C374" s="290" t="n"/>
      <c r="D374" s="291" t="n"/>
      <c r="E374" s="290" t="n"/>
      <c r="F374" s="290" t="n"/>
    </row>
    <row r="375" ht="13" customHeight="1" s="189">
      <c r="A375" s="289" t="n"/>
      <c r="B375" s="290" t="n"/>
      <c r="C375" s="290" t="n"/>
      <c r="D375" s="291" t="n"/>
      <c r="E375" s="290" t="n"/>
      <c r="F375" s="290" t="n"/>
    </row>
    <row r="376" ht="13" customHeight="1" s="189">
      <c r="A376" s="289" t="n"/>
      <c r="B376" s="290" t="n"/>
      <c r="C376" s="290" t="n"/>
      <c r="D376" s="291" t="n"/>
      <c r="E376" s="290" t="n"/>
      <c r="F376" s="290" t="n"/>
    </row>
    <row r="377" ht="13" customHeight="1" s="189">
      <c r="A377" s="289" t="n"/>
      <c r="B377" s="290" t="n"/>
      <c r="C377" s="290" t="n"/>
      <c r="D377" s="291" t="n"/>
      <c r="E377" s="290" t="n"/>
      <c r="F377" s="290" t="n"/>
    </row>
    <row r="378" ht="13" customHeight="1" s="189">
      <c r="A378" s="289" t="n"/>
      <c r="B378" s="290" t="n"/>
      <c r="C378" s="290" t="n"/>
      <c r="D378" s="291" t="n"/>
      <c r="E378" s="290" t="n"/>
      <c r="F378" s="290" t="n"/>
    </row>
    <row r="379" ht="13" customHeight="1" s="189">
      <c r="A379" s="289" t="n"/>
      <c r="B379" s="290" t="n"/>
      <c r="C379" s="290" t="n"/>
      <c r="D379" s="291" t="n"/>
      <c r="E379" s="290" t="n"/>
      <c r="F379" s="290" t="n"/>
    </row>
    <row r="380" ht="13" customHeight="1" s="189">
      <c r="A380" s="289" t="n"/>
      <c r="B380" s="290" t="n"/>
      <c r="C380" s="290" t="n"/>
      <c r="D380" s="291" t="n"/>
      <c r="E380" s="290" t="n"/>
      <c r="F380" s="290" t="n"/>
    </row>
    <row r="381" ht="13" customHeight="1" s="189">
      <c r="A381" s="289" t="n"/>
      <c r="B381" s="290" t="n"/>
      <c r="C381" s="290" t="n"/>
      <c r="D381" s="291" t="n"/>
      <c r="E381" s="290" t="n"/>
      <c r="F381" s="290" t="n"/>
    </row>
    <row r="382" ht="13" customHeight="1" s="189">
      <c r="A382" s="289" t="n"/>
      <c r="B382" s="290" t="n"/>
      <c r="C382" s="290" t="n"/>
      <c r="D382" s="291" t="n"/>
      <c r="E382" s="290" t="n"/>
      <c r="F382" s="290" t="n"/>
    </row>
    <row r="383" ht="13" customHeight="1" s="189">
      <c r="A383" s="289" t="n"/>
      <c r="B383" s="290" t="n"/>
      <c r="C383" s="290" t="n"/>
      <c r="D383" s="291" t="n"/>
      <c r="E383" s="290" t="n"/>
      <c r="F383" s="290" t="n"/>
    </row>
    <row r="384" ht="13" customHeight="1" s="189">
      <c r="A384" s="289" t="n"/>
      <c r="B384" s="290" t="n"/>
      <c r="C384" s="290" t="n"/>
      <c r="D384" s="291" t="n"/>
      <c r="E384" s="290" t="n"/>
      <c r="F384" s="290" t="n"/>
    </row>
    <row r="385" ht="13" customHeight="1" s="189">
      <c r="A385" s="289" t="n"/>
      <c r="B385" s="290" t="n"/>
      <c r="C385" s="290" t="n"/>
      <c r="D385" s="291" t="n"/>
      <c r="E385" s="290" t="n"/>
      <c r="F385" s="290" t="n"/>
    </row>
    <row r="386" ht="13" customHeight="1" s="189">
      <c r="A386" s="289" t="n"/>
      <c r="B386" s="290" t="n"/>
      <c r="C386" s="290" t="n"/>
      <c r="D386" s="291" t="n"/>
      <c r="E386" s="290" t="n"/>
      <c r="F386" s="290" t="n"/>
    </row>
    <row r="387" ht="13" customHeight="1" s="189">
      <c r="A387" s="289" t="n"/>
      <c r="B387" s="290" t="n"/>
      <c r="C387" s="290" t="n"/>
      <c r="D387" s="291" t="n"/>
      <c r="E387" s="290" t="n"/>
      <c r="F387" s="290" t="n"/>
    </row>
    <row r="388" ht="13" customHeight="1" s="189">
      <c r="A388" s="289" t="n"/>
      <c r="B388" s="290" t="n"/>
      <c r="C388" s="290" t="n"/>
      <c r="D388" s="291" t="n"/>
      <c r="E388" s="290" t="n"/>
      <c r="F388" s="290" t="n"/>
    </row>
    <row r="389" ht="13" customHeight="1" s="189">
      <c r="A389" s="289" t="n"/>
      <c r="B389" s="290" t="n"/>
      <c r="C389" s="290" t="n"/>
      <c r="D389" s="291" t="n"/>
      <c r="E389" s="290" t="n"/>
      <c r="F389" s="290" t="n"/>
    </row>
    <row r="390" ht="13" customHeight="1" s="189">
      <c r="A390" s="289" t="n"/>
      <c r="B390" s="290" t="n"/>
      <c r="C390" s="290" t="n"/>
      <c r="D390" s="291" t="n"/>
      <c r="E390" s="290" t="n"/>
      <c r="F390" s="290" t="n"/>
    </row>
    <row r="391" ht="13" customHeight="1" s="189">
      <c r="A391" s="289" t="n"/>
      <c r="B391" s="290" t="n"/>
      <c r="C391" s="290" t="n"/>
      <c r="D391" s="291" t="n"/>
      <c r="E391" s="290" t="n"/>
      <c r="F391" s="290" t="n"/>
    </row>
    <row r="392" ht="13" customHeight="1" s="189">
      <c r="A392" s="289" t="n"/>
      <c r="B392" s="290" t="n"/>
      <c r="C392" s="290" t="n"/>
      <c r="D392" s="291" t="n"/>
      <c r="E392" s="290" t="n"/>
      <c r="F392" s="290" t="n"/>
    </row>
    <row r="393" ht="13" customHeight="1" s="189">
      <c r="A393" s="289" t="n"/>
      <c r="B393" s="290" t="n"/>
      <c r="C393" s="290" t="n"/>
      <c r="D393" s="291" t="n"/>
      <c r="E393" s="290" t="n"/>
      <c r="F393" s="290" t="n"/>
    </row>
    <row r="394" ht="13" customHeight="1" s="189">
      <c r="A394" s="289" t="n"/>
      <c r="B394" s="290" t="n"/>
      <c r="C394" s="290" t="n"/>
      <c r="D394" s="291" t="n"/>
      <c r="E394" s="290" t="n"/>
      <c r="F394" s="290" t="n"/>
    </row>
    <row r="395" ht="13" customHeight="1" s="189">
      <c r="A395" s="289" t="n"/>
      <c r="B395" s="290" t="n"/>
      <c r="C395" s="290" t="n"/>
      <c r="D395" s="291" t="n"/>
      <c r="E395" s="290" t="n"/>
      <c r="F395" s="290" t="n"/>
    </row>
    <row r="396" ht="13" customHeight="1" s="189">
      <c r="A396" s="289" t="n"/>
      <c r="B396" s="290" t="n"/>
      <c r="C396" s="290" t="n"/>
      <c r="D396" s="291" t="n"/>
      <c r="E396" s="290" t="n"/>
      <c r="F396" s="290" t="n"/>
    </row>
    <row r="397" ht="13" customHeight="1" s="189">
      <c r="A397" s="289" t="n"/>
      <c r="B397" s="290" t="n"/>
      <c r="C397" s="290" t="n"/>
      <c r="D397" s="291" t="n"/>
      <c r="E397" s="290" t="n"/>
      <c r="F397" s="290" t="n"/>
    </row>
    <row r="398" ht="13" customHeight="1" s="189">
      <c r="A398" s="289" t="n"/>
      <c r="B398" s="290" t="n"/>
      <c r="C398" s="290" t="n"/>
      <c r="D398" s="291" t="n"/>
      <c r="E398" s="290" t="n"/>
      <c r="F398" s="290" t="n"/>
    </row>
    <row r="399" ht="13" customHeight="1" s="189">
      <c r="A399" s="289" t="n"/>
      <c r="B399" s="290" t="n"/>
      <c r="C399" s="290" t="n"/>
      <c r="D399" s="291" t="n"/>
      <c r="E399" s="290" t="n"/>
      <c r="F399" s="290" t="n"/>
    </row>
    <row r="400" ht="13" customHeight="1" s="189">
      <c r="A400" s="289" t="n"/>
      <c r="B400" s="290" t="n"/>
      <c r="C400" s="290" t="n"/>
      <c r="D400" s="291" t="n"/>
      <c r="E400" s="290" t="n"/>
      <c r="F400" s="290" t="n"/>
    </row>
    <row r="401" ht="13" customHeight="1" s="189">
      <c r="A401" s="289" t="n"/>
      <c r="B401" s="290" t="n"/>
      <c r="C401" s="290" t="n"/>
      <c r="D401" s="291" t="n"/>
      <c r="E401" s="290" t="n"/>
      <c r="F401" s="290" t="n"/>
    </row>
    <row r="402" ht="13" customHeight="1" s="189">
      <c r="A402" s="289" t="n"/>
      <c r="B402" s="290" t="n"/>
      <c r="C402" s="290" t="n"/>
      <c r="D402" s="291" t="n"/>
      <c r="E402" s="290" t="n"/>
      <c r="F402" s="290" t="n"/>
    </row>
    <row r="403" ht="13" customHeight="1" s="189">
      <c r="A403" s="289" t="n"/>
      <c r="B403" s="290" t="n"/>
      <c r="C403" s="290" t="n"/>
      <c r="D403" s="291" t="n"/>
      <c r="E403" s="290" t="n"/>
      <c r="F403" s="290" t="n"/>
    </row>
    <row r="404" ht="13" customHeight="1" s="189">
      <c r="A404" s="289" t="n"/>
      <c r="B404" s="290" t="n"/>
      <c r="C404" s="290" t="n"/>
      <c r="D404" s="291" t="n"/>
      <c r="E404" s="290" t="n"/>
      <c r="F404" s="290" t="n"/>
    </row>
    <row r="405" ht="13" customHeight="1" s="189">
      <c r="A405" s="289" t="n"/>
      <c r="B405" s="290" t="n"/>
      <c r="C405" s="290" t="n"/>
      <c r="D405" s="291" t="n"/>
      <c r="E405" s="290" t="n"/>
      <c r="F405" s="290" t="n"/>
    </row>
    <row r="406" ht="13" customHeight="1" s="189">
      <c r="A406" s="289" t="n"/>
      <c r="B406" s="290" t="n"/>
      <c r="C406" s="290" t="n"/>
      <c r="D406" s="291" t="n"/>
      <c r="E406" s="290" t="n"/>
      <c r="F406" s="290" t="n"/>
    </row>
    <row r="407" ht="13" customHeight="1" s="189">
      <c r="A407" s="289" t="n"/>
      <c r="B407" s="290" t="n"/>
      <c r="C407" s="290" t="n"/>
      <c r="D407" s="291" t="n"/>
      <c r="E407" s="290" t="n"/>
      <c r="F407" s="290" t="n"/>
    </row>
    <row r="408" ht="13" customHeight="1" s="189">
      <c r="A408" s="289" t="n"/>
      <c r="B408" s="290" t="n"/>
      <c r="C408" s="290" t="n"/>
      <c r="D408" s="291" t="n"/>
      <c r="E408" s="290" t="n"/>
      <c r="F408" s="290" t="n"/>
    </row>
    <row r="409" ht="13" customHeight="1" s="189">
      <c r="A409" s="289" t="n"/>
      <c r="B409" s="290" t="n"/>
      <c r="C409" s="290" t="n"/>
      <c r="D409" s="291" t="n"/>
      <c r="E409" s="290" t="n"/>
      <c r="F409" s="290" t="n"/>
    </row>
    <row r="410" ht="13" customHeight="1" s="189">
      <c r="A410" s="289" t="n"/>
      <c r="B410" s="290" t="n"/>
      <c r="C410" s="290" t="n"/>
      <c r="D410" s="291" t="n"/>
      <c r="E410" s="290" t="n"/>
      <c r="F410" s="290" t="n"/>
    </row>
    <row r="411" ht="13" customHeight="1" s="189">
      <c r="A411" s="289" t="n"/>
      <c r="B411" s="290" t="n"/>
      <c r="C411" s="290" t="n"/>
      <c r="D411" s="291" t="n"/>
      <c r="E411" s="290" t="n"/>
      <c r="F411" s="290" t="n"/>
    </row>
    <row r="412" ht="13" customHeight="1" s="189">
      <c r="A412" s="289" t="n"/>
      <c r="B412" s="290" t="n"/>
      <c r="C412" s="290" t="n"/>
      <c r="D412" s="291" t="n"/>
      <c r="E412" s="290" t="n"/>
      <c r="F412" s="290" t="n"/>
    </row>
    <row r="413" ht="13" customHeight="1" s="189">
      <c r="A413" s="289" t="n"/>
      <c r="B413" s="290" t="n"/>
      <c r="C413" s="290" t="n"/>
      <c r="D413" s="291" t="n"/>
      <c r="E413" s="290" t="n"/>
      <c r="F413" s="290" t="n"/>
    </row>
    <row r="414" ht="13" customHeight="1" s="189">
      <c r="A414" s="289" t="n"/>
      <c r="B414" s="290" t="n"/>
      <c r="C414" s="290" t="n"/>
      <c r="D414" s="291" t="n"/>
      <c r="E414" s="290" t="n"/>
      <c r="F414" s="290" t="n"/>
    </row>
    <row r="415" ht="13" customHeight="1" s="189">
      <c r="A415" s="289" t="n"/>
      <c r="B415" s="290" t="n"/>
      <c r="C415" s="290" t="n"/>
      <c r="D415" s="291" t="n"/>
      <c r="E415" s="290" t="n"/>
      <c r="F415" s="290" t="n"/>
    </row>
    <row r="416" ht="13" customHeight="1" s="189">
      <c r="A416" s="289" t="n"/>
      <c r="B416" s="290" t="n"/>
      <c r="C416" s="290" t="n"/>
      <c r="D416" s="291" t="n"/>
      <c r="E416" s="290" t="n"/>
      <c r="F416" s="290" t="n"/>
    </row>
    <row r="417" ht="13" customHeight="1" s="189">
      <c r="A417" s="289" t="n"/>
      <c r="B417" s="290" t="n"/>
      <c r="C417" s="290" t="n"/>
      <c r="D417" s="291" t="n"/>
      <c r="E417" s="290" t="n"/>
      <c r="F417" s="290" t="n"/>
    </row>
    <row r="418" ht="13" customHeight="1" s="189">
      <c r="A418" s="289" t="n"/>
      <c r="B418" s="290" t="n"/>
      <c r="C418" s="290" t="n"/>
      <c r="D418" s="291" t="n"/>
      <c r="E418" s="290" t="n"/>
      <c r="F418" s="290" t="n"/>
    </row>
    <row r="419" ht="13" customHeight="1" s="189">
      <c r="A419" s="289" t="n"/>
      <c r="B419" s="290" t="n"/>
      <c r="C419" s="290" t="n"/>
      <c r="D419" s="291" t="n"/>
      <c r="E419" s="290" t="n"/>
      <c r="F419" s="290" t="n"/>
    </row>
    <row r="420" ht="13" customHeight="1" s="189">
      <c r="A420" s="289" t="n"/>
      <c r="B420" s="290" t="n"/>
      <c r="C420" s="290" t="n"/>
      <c r="D420" s="291" t="n"/>
      <c r="E420" s="290" t="n"/>
      <c r="F420" s="290" t="n"/>
    </row>
    <row r="421" ht="13" customHeight="1" s="189">
      <c r="A421" s="289" t="n"/>
      <c r="B421" s="290" t="n"/>
      <c r="C421" s="290" t="n"/>
      <c r="D421" s="291" t="n"/>
      <c r="E421" s="290" t="n"/>
      <c r="F421" s="290" t="n"/>
    </row>
    <row r="422" ht="13" customHeight="1" s="189">
      <c r="A422" s="289" t="n"/>
      <c r="B422" s="290" t="n"/>
      <c r="C422" s="290" t="n"/>
      <c r="D422" s="291" t="n"/>
      <c r="E422" s="290" t="n"/>
      <c r="F422" s="290" t="n"/>
    </row>
    <row r="423" ht="13" customHeight="1" s="189">
      <c r="A423" s="289" t="n"/>
      <c r="B423" s="290" t="n"/>
      <c r="C423" s="290" t="n"/>
      <c r="D423" s="291" t="n"/>
      <c r="E423" s="290" t="n"/>
      <c r="F423" s="290" t="n"/>
    </row>
    <row r="424" ht="13" customHeight="1" s="189">
      <c r="A424" s="289" t="n"/>
      <c r="B424" s="290" t="n"/>
      <c r="C424" s="290" t="n"/>
      <c r="D424" s="291" t="n"/>
      <c r="E424" s="290" t="n"/>
      <c r="F424" s="290" t="n"/>
    </row>
    <row r="425" ht="13" customHeight="1" s="189">
      <c r="A425" s="289" t="n"/>
      <c r="B425" s="290" t="n"/>
      <c r="C425" s="290" t="n"/>
      <c r="D425" s="291" t="n"/>
      <c r="E425" s="290" t="n"/>
      <c r="F425" s="290" t="n"/>
    </row>
    <row r="426" ht="13" customHeight="1" s="189">
      <c r="A426" s="289" t="n"/>
      <c r="B426" s="290" t="n"/>
      <c r="C426" s="290" t="n"/>
      <c r="D426" s="291" t="n"/>
      <c r="E426" s="290" t="n"/>
      <c r="F426" s="290" t="n"/>
    </row>
    <row r="427" ht="13" customHeight="1" s="189">
      <c r="A427" s="289" t="n"/>
      <c r="B427" s="290" t="n"/>
      <c r="C427" s="290" t="n"/>
      <c r="D427" s="291" t="n"/>
      <c r="E427" s="290" t="n"/>
      <c r="F427" s="290" t="n"/>
    </row>
    <row r="428" ht="13" customHeight="1" s="189">
      <c r="A428" s="289" t="n"/>
      <c r="B428" s="290" t="n"/>
      <c r="C428" s="290" t="n"/>
      <c r="D428" s="291" t="n"/>
      <c r="E428" s="290" t="n"/>
      <c r="F428" s="290" t="n"/>
    </row>
    <row r="429" ht="13" customHeight="1" s="189">
      <c r="A429" s="289" t="n"/>
      <c r="B429" s="290" t="n"/>
      <c r="C429" s="290" t="n"/>
      <c r="D429" s="291" t="n"/>
      <c r="E429" s="290" t="n"/>
      <c r="F429" s="290" t="n"/>
    </row>
    <row r="430" ht="13" customHeight="1" s="189">
      <c r="A430" s="289" t="n"/>
      <c r="B430" s="290" t="n"/>
      <c r="C430" s="290" t="n"/>
      <c r="D430" s="291" t="n"/>
      <c r="E430" s="290" t="n"/>
      <c r="F430" s="290" t="n"/>
    </row>
    <row r="431" ht="13" customHeight="1" s="189">
      <c r="A431" s="289" t="n"/>
      <c r="B431" s="290" t="n"/>
      <c r="C431" s="290" t="n"/>
      <c r="D431" s="291" t="n"/>
      <c r="E431" s="290" t="n"/>
      <c r="F431" s="290" t="n"/>
    </row>
    <row r="432" ht="13" customHeight="1" s="189">
      <c r="A432" s="289" t="n"/>
      <c r="B432" s="290" t="n"/>
      <c r="C432" s="290" t="n"/>
      <c r="D432" s="291" t="n"/>
      <c r="E432" s="290" t="n"/>
      <c r="F432" s="290" t="n"/>
    </row>
    <row r="433" ht="13" customHeight="1" s="189">
      <c r="A433" s="289" t="n"/>
      <c r="B433" s="290" t="n"/>
      <c r="C433" s="290" t="n"/>
      <c r="D433" s="291" t="n"/>
      <c r="E433" s="290" t="n"/>
      <c r="F433" s="290" t="n"/>
    </row>
    <row r="434" ht="13" customHeight="1" s="189">
      <c r="A434" s="289" t="n"/>
      <c r="B434" s="290" t="n"/>
      <c r="C434" s="290" t="n"/>
      <c r="D434" s="291" t="n"/>
      <c r="E434" s="290" t="n"/>
      <c r="F434" s="290" t="n"/>
    </row>
    <row r="435" ht="13" customHeight="1" s="189">
      <c r="A435" s="289" t="n"/>
      <c r="B435" s="290" t="n"/>
      <c r="C435" s="290" t="n"/>
      <c r="D435" s="291" t="n"/>
      <c r="E435" s="290" t="n"/>
      <c r="F435" s="290" t="n"/>
    </row>
    <row r="436" ht="13" customHeight="1" s="189">
      <c r="A436" s="289" t="n"/>
      <c r="B436" s="290" t="n"/>
      <c r="C436" s="290" t="n"/>
      <c r="D436" s="291" t="n"/>
      <c r="E436" s="290" t="n"/>
      <c r="F436" s="290" t="n"/>
    </row>
    <row r="437" ht="13" customHeight="1" s="189">
      <c r="A437" s="289" t="n"/>
      <c r="B437" s="290" t="n"/>
      <c r="C437" s="290" t="n"/>
      <c r="D437" s="291" t="n"/>
      <c r="E437" s="290" t="n"/>
      <c r="F437" s="290" t="n"/>
    </row>
    <row r="438" ht="13" customHeight="1" s="189">
      <c r="A438" s="289" t="n"/>
      <c r="B438" s="290" t="n"/>
      <c r="C438" s="290" t="n"/>
      <c r="D438" s="291" t="n"/>
      <c r="E438" s="290" t="n"/>
      <c r="F438" s="290" t="n"/>
    </row>
    <row r="439" ht="13" customHeight="1" s="189">
      <c r="A439" s="289" t="n"/>
      <c r="B439" s="290" t="n"/>
      <c r="C439" s="290" t="n"/>
      <c r="D439" s="291" t="n"/>
      <c r="E439" s="290" t="n"/>
      <c r="F439" s="290" t="n"/>
    </row>
    <row r="440" ht="13" customHeight="1" s="189">
      <c r="A440" s="289" t="n"/>
      <c r="B440" s="290" t="n"/>
      <c r="C440" s="290" t="n"/>
      <c r="D440" s="291" t="n"/>
      <c r="E440" s="290" t="n"/>
      <c r="F440" s="290" t="n"/>
    </row>
    <row r="441" ht="13" customHeight="1" s="189">
      <c r="A441" s="289" t="n"/>
      <c r="B441" s="290" t="n"/>
      <c r="C441" s="290" t="n"/>
      <c r="D441" s="291" t="n"/>
      <c r="E441" s="290" t="n"/>
      <c r="F441" s="290" t="n"/>
    </row>
    <row r="442" ht="13" customHeight="1" s="189">
      <c r="A442" s="289" t="n"/>
      <c r="B442" s="290" t="n"/>
      <c r="C442" s="290" t="n"/>
      <c r="D442" s="291" t="n"/>
      <c r="E442" s="290" t="n"/>
      <c r="F442" s="290" t="n"/>
    </row>
    <row r="443" ht="13" customHeight="1" s="189">
      <c r="A443" s="289" t="n"/>
      <c r="B443" s="290" t="n"/>
      <c r="C443" s="290" t="n"/>
      <c r="D443" s="291" t="n"/>
      <c r="E443" s="290" t="n"/>
      <c r="F443" s="290" t="n"/>
    </row>
    <row r="444" ht="13" customHeight="1" s="189">
      <c r="A444" s="289" t="n"/>
      <c r="B444" s="290" t="n"/>
      <c r="C444" s="290" t="n"/>
      <c r="D444" s="291" t="n"/>
      <c r="E444" s="290" t="n"/>
      <c r="F444" s="290" t="n"/>
    </row>
    <row r="445" ht="13" customHeight="1" s="189">
      <c r="A445" s="289" t="n"/>
      <c r="B445" s="290" t="n"/>
      <c r="C445" s="290" t="n"/>
      <c r="D445" s="291" t="n"/>
      <c r="E445" s="290" t="n"/>
      <c r="F445" s="290" t="n"/>
    </row>
    <row r="446" ht="13" customHeight="1" s="189">
      <c r="A446" s="289" t="n"/>
      <c r="B446" s="290" t="n"/>
      <c r="C446" s="290" t="n"/>
      <c r="D446" s="291" t="n"/>
      <c r="E446" s="290" t="n"/>
      <c r="F446" s="290" t="n"/>
    </row>
    <row r="447" ht="13" customHeight="1" s="189">
      <c r="A447" s="289" t="n"/>
      <c r="B447" s="290" t="n"/>
      <c r="C447" s="290" t="n"/>
      <c r="D447" s="291" t="n"/>
      <c r="E447" s="290" t="n"/>
      <c r="F447" s="290" t="n"/>
    </row>
    <row r="448" ht="13" customHeight="1" s="189">
      <c r="A448" s="289" t="n"/>
      <c r="B448" s="290" t="n"/>
      <c r="C448" s="290" t="n"/>
      <c r="D448" s="291" t="n"/>
      <c r="E448" s="290" t="n"/>
      <c r="F448" s="290" t="n"/>
    </row>
    <row r="449" ht="13" customHeight="1" s="189">
      <c r="A449" s="289" t="n"/>
      <c r="B449" s="290" t="n"/>
      <c r="C449" s="290" t="n"/>
      <c r="D449" s="291" t="n"/>
      <c r="E449" s="290" t="n"/>
      <c r="F449" s="290" t="n"/>
    </row>
    <row r="450" ht="13" customHeight="1" s="189">
      <c r="A450" s="289" t="n"/>
      <c r="B450" s="290" t="n"/>
      <c r="C450" s="290" t="n"/>
      <c r="D450" s="291" t="n"/>
      <c r="E450" s="290" t="n"/>
      <c r="F450" s="290" t="n"/>
    </row>
    <row r="451" ht="13" customHeight="1" s="189">
      <c r="A451" s="289" t="n"/>
      <c r="B451" s="290" t="n"/>
      <c r="C451" s="290" t="n"/>
      <c r="D451" s="291" t="n"/>
      <c r="E451" s="290" t="n"/>
      <c r="F451" s="290" t="n"/>
    </row>
    <row r="452" ht="13" customHeight="1" s="189">
      <c r="A452" s="289" t="n"/>
      <c r="B452" s="290" t="n"/>
      <c r="C452" s="290" t="n"/>
      <c r="D452" s="291" t="n"/>
      <c r="E452" s="290" t="n"/>
      <c r="F452" s="290" t="n"/>
    </row>
    <row r="453" ht="13" customHeight="1" s="189">
      <c r="A453" s="289" t="n"/>
      <c r="B453" s="290" t="n"/>
      <c r="C453" s="290" t="n"/>
      <c r="D453" s="291" t="n"/>
      <c r="E453" s="290" t="n"/>
      <c r="F453" s="290" t="n"/>
    </row>
    <row r="454" ht="13" customHeight="1" s="189">
      <c r="A454" s="289" t="n"/>
      <c r="B454" s="290" t="n"/>
      <c r="C454" s="290" t="n"/>
      <c r="D454" s="291" t="n"/>
      <c r="E454" s="290" t="n"/>
      <c r="F454" s="290" t="n"/>
    </row>
    <row r="455" ht="13" customHeight="1" s="189">
      <c r="A455" s="289" t="n"/>
      <c r="B455" s="290" t="n"/>
      <c r="C455" s="290" t="n"/>
      <c r="D455" s="291" t="n"/>
      <c r="E455" s="290" t="n"/>
      <c r="F455" s="290" t="n"/>
    </row>
    <row r="456" ht="13" customHeight="1" s="189">
      <c r="A456" s="289" t="n"/>
      <c r="B456" s="290" t="n"/>
      <c r="C456" s="290" t="n"/>
      <c r="D456" s="291" t="n"/>
      <c r="E456" s="290" t="n"/>
      <c r="F456" s="290" t="n"/>
    </row>
    <row r="457" ht="13" customHeight="1" s="189">
      <c r="A457" s="289" t="n"/>
      <c r="B457" s="290" t="n"/>
      <c r="C457" s="290" t="n"/>
      <c r="D457" s="291" t="n"/>
      <c r="E457" s="290" t="n"/>
      <c r="F457" s="290" t="n"/>
    </row>
    <row r="458" ht="13" customHeight="1" s="189">
      <c r="A458" s="289" t="n"/>
      <c r="B458" s="290" t="n"/>
      <c r="C458" s="290" t="n"/>
      <c r="D458" s="291" t="n"/>
      <c r="E458" s="290" t="n"/>
      <c r="F458" s="290" t="n"/>
    </row>
    <row r="459" ht="13" customHeight="1" s="189">
      <c r="A459" s="289" t="n"/>
      <c r="B459" s="290" t="n"/>
      <c r="C459" s="290" t="n"/>
      <c r="D459" s="291" t="n"/>
      <c r="E459" s="290" t="n"/>
      <c r="F459" s="290" t="n"/>
    </row>
    <row r="460" ht="13" customHeight="1" s="189">
      <c r="A460" s="289" t="n"/>
      <c r="B460" s="290" t="n"/>
      <c r="C460" s="290" t="n"/>
      <c r="D460" s="291" t="n"/>
      <c r="E460" s="290" t="n"/>
      <c r="F460" s="290" t="n"/>
    </row>
    <row r="461" ht="13" customHeight="1" s="189">
      <c r="A461" s="289" t="n"/>
      <c r="B461" s="290" t="n"/>
      <c r="C461" s="290" t="n"/>
      <c r="D461" s="291" t="n"/>
      <c r="E461" s="290" t="n"/>
      <c r="F461" s="290" t="n"/>
    </row>
    <row r="462" ht="13" customHeight="1" s="189">
      <c r="A462" s="289" t="n"/>
      <c r="B462" s="290" t="n"/>
      <c r="C462" s="290" t="n"/>
      <c r="D462" s="291" t="n"/>
      <c r="E462" s="290" t="n"/>
      <c r="F462" s="290" t="n"/>
    </row>
    <row r="463" ht="13" customHeight="1" s="189">
      <c r="A463" s="289" t="n"/>
      <c r="B463" s="290" t="n"/>
      <c r="C463" s="290" t="n"/>
      <c r="D463" s="291" t="n"/>
      <c r="E463" s="290" t="n"/>
      <c r="F463" s="290" t="n"/>
    </row>
    <row r="464" ht="13" customHeight="1" s="189">
      <c r="A464" s="289" t="n"/>
      <c r="B464" s="290" t="n"/>
      <c r="C464" s="290" t="n"/>
      <c r="D464" s="291" t="n"/>
      <c r="E464" s="290" t="n"/>
      <c r="F464" s="290" t="n"/>
    </row>
    <row r="465" ht="13" customHeight="1" s="189">
      <c r="A465" s="289" t="n"/>
      <c r="B465" s="290" t="n"/>
      <c r="C465" s="290" t="n"/>
      <c r="D465" s="291" t="n"/>
      <c r="E465" s="290" t="n"/>
      <c r="F465" s="290" t="n"/>
    </row>
    <row r="466" ht="13" customHeight="1" s="189">
      <c r="A466" s="289" t="n"/>
      <c r="B466" s="290" t="n"/>
      <c r="C466" s="290" t="n"/>
      <c r="D466" s="291" t="n"/>
      <c r="E466" s="290" t="n"/>
      <c r="F466" s="290" t="n"/>
    </row>
    <row r="467" ht="13" customHeight="1" s="189">
      <c r="A467" s="289" t="n"/>
      <c r="B467" s="290" t="n"/>
      <c r="C467" s="290" t="n"/>
      <c r="D467" s="291" t="n"/>
      <c r="E467" s="290" t="n"/>
      <c r="F467" s="290" t="n"/>
    </row>
    <row r="468" ht="13" customHeight="1" s="189">
      <c r="A468" s="289" t="n"/>
      <c r="B468" s="290" t="n"/>
      <c r="C468" s="290" t="n"/>
      <c r="D468" s="291" t="n"/>
      <c r="E468" s="290" t="n"/>
      <c r="F468" s="290" t="n"/>
    </row>
    <row r="469" ht="13" customHeight="1" s="189">
      <c r="A469" s="289" t="n"/>
      <c r="B469" s="290" t="n"/>
      <c r="C469" s="290" t="n"/>
      <c r="D469" s="291" t="n"/>
      <c r="E469" s="290" t="n"/>
      <c r="F469" s="290" t="n"/>
    </row>
    <row r="470" ht="13" customHeight="1" s="189">
      <c r="A470" s="289" t="n"/>
      <c r="B470" s="290" t="n"/>
      <c r="C470" s="290" t="n"/>
      <c r="D470" s="291" t="n"/>
      <c r="E470" s="290" t="n"/>
      <c r="F470" s="290" t="n"/>
    </row>
    <row r="471" ht="13" customHeight="1" s="189">
      <c r="A471" s="289" t="n"/>
      <c r="B471" s="290" t="n"/>
      <c r="C471" s="290" t="n"/>
      <c r="D471" s="291" t="n"/>
      <c r="E471" s="290" t="n"/>
      <c r="F471" s="290" t="n"/>
    </row>
    <row r="472" ht="13" customHeight="1" s="189">
      <c r="A472" s="289" t="n"/>
      <c r="B472" s="290" t="n"/>
      <c r="C472" s="290" t="n"/>
      <c r="D472" s="291" t="n"/>
      <c r="E472" s="290" t="n"/>
      <c r="F472" s="290" t="n"/>
    </row>
    <row r="473" ht="13" customHeight="1" s="189">
      <c r="A473" s="289" t="n"/>
      <c r="B473" s="290" t="n"/>
      <c r="C473" s="290" t="n"/>
      <c r="D473" s="291" t="n"/>
      <c r="E473" s="290" t="n"/>
      <c r="F473" s="290" t="n"/>
    </row>
    <row r="474" ht="13" customHeight="1" s="189">
      <c r="A474" s="289" t="n"/>
      <c r="B474" s="290" t="n"/>
      <c r="C474" s="290" t="n"/>
      <c r="D474" s="291" t="n"/>
      <c r="E474" s="290" t="n"/>
      <c r="F474" s="290" t="n"/>
    </row>
    <row r="475" ht="13" customHeight="1" s="189">
      <c r="A475" s="289" t="n"/>
      <c r="B475" s="290" t="n"/>
      <c r="C475" s="290" t="n"/>
      <c r="D475" s="291" t="n"/>
      <c r="E475" s="290" t="n"/>
      <c r="F475" s="290" t="n"/>
    </row>
    <row r="476" ht="13" customHeight="1" s="189">
      <c r="A476" s="289" t="n"/>
      <c r="B476" s="290" t="n"/>
      <c r="C476" s="290" t="n"/>
      <c r="D476" s="291" t="n"/>
      <c r="E476" s="290" t="n"/>
      <c r="F476" s="290" t="n"/>
    </row>
    <row r="477" ht="13" customHeight="1" s="189">
      <c r="A477" s="289" t="n"/>
      <c r="B477" s="290" t="n"/>
      <c r="C477" s="290" t="n"/>
      <c r="D477" s="291" t="n"/>
      <c r="E477" s="290" t="n"/>
      <c r="F477" s="290" t="n"/>
    </row>
    <row r="478" ht="13" customHeight="1" s="189">
      <c r="A478" s="289" t="n"/>
      <c r="B478" s="290" t="n"/>
      <c r="C478" s="290" t="n"/>
      <c r="D478" s="291" t="n"/>
      <c r="E478" s="290" t="n"/>
      <c r="F478" s="290" t="n"/>
    </row>
    <row r="479" ht="13" customHeight="1" s="189">
      <c r="A479" s="289" t="n"/>
      <c r="B479" s="290" t="n"/>
      <c r="C479" s="290" t="n"/>
      <c r="D479" s="291" t="n"/>
      <c r="E479" s="290" t="n"/>
      <c r="F479" s="290" t="n"/>
    </row>
    <row r="480" ht="13" customHeight="1" s="189">
      <c r="A480" s="289" t="n"/>
      <c r="B480" s="290" t="n"/>
      <c r="C480" s="290" t="n"/>
      <c r="D480" s="291" t="n"/>
      <c r="E480" s="290" t="n"/>
      <c r="F480" s="290" t="n"/>
    </row>
    <row r="481" ht="13" customHeight="1" s="189">
      <c r="A481" s="289" t="n"/>
      <c r="B481" s="290" t="n"/>
      <c r="C481" s="290" t="n"/>
      <c r="D481" s="291" t="n"/>
      <c r="E481" s="290" t="n"/>
      <c r="F481" s="290" t="n"/>
    </row>
    <row r="482" ht="13" customHeight="1" s="189">
      <c r="A482" s="289" t="n"/>
      <c r="B482" s="290" t="n"/>
      <c r="C482" s="290" t="n"/>
      <c r="D482" s="291" t="n"/>
      <c r="E482" s="290" t="n"/>
      <c r="F482" s="290" t="n"/>
    </row>
    <row r="483" ht="13" customHeight="1" s="189">
      <c r="A483" s="289" t="n"/>
      <c r="B483" s="290" t="n"/>
      <c r="C483" s="290" t="n"/>
      <c r="D483" s="291" t="n"/>
      <c r="E483" s="290" t="n"/>
      <c r="F483" s="290" t="n"/>
    </row>
    <row r="484" ht="13" customHeight="1" s="189">
      <c r="A484" s="289" t="n"/>
      <c r="B484" s="290" t="n"/>
      <c r="C484" s="290" t="n"/>
      <c r="D484" s="291" t="n"/>
      <c r="E484" s="290" t="n"/>
      <c r="F484" s="290" t="n"/>
    </row>
    <row r="485" ht="13" customHeight="1" s="189">
      <c r="A485" s="289" t="n"/>
      <c r="B485" s="290" t="n"/>
      <c r="C485" s="290" t="n"/>
      <c r="D485" s="291" t="n"/>
      <c r="E485" s="290" t="n"/>
      <c r="F485" s="290" t="n"/>
    </row>
    <row r="486" ht="13" customHeight="1" s="189">
      <c r="A486" s="289" t="n"/>
      <c r="B486" s="290" t="n"/>
      <c r="C486" s="290" t="n"/>
      <c r="D486" s="291" t="n"/>
      <c r="E486" s="290" t="n"/>
      <c r="F486" s="290" t="n"/>
    </row>
    <row r="487" ht="13" customHeight="1" s="189">
      <c r="A487" s="289" t="n"/>
      <c r="B487" s="290" t="n"/>
      <c r="C487" s="290" t="n"/>
      <c r="D487" s="291" t="n"/>
      <c r="E487" s="290" t="n"/>
      <c r="F487" s="290" t="n"/>
    </row>
    <row r="488" ht="13" customHeight="1" s="189">
      <c r="A488" s="289" t="n"/>
      <c r="B488" s="290" t="n"/>
      <c r="C488" s="290" t="n"/>
      <c r="D488" s="291" t="n"/>
      <c r="E488" s="290" t="n"/>
      <c r="F488" s="290" t="n"/>
    </row>
    <row r="489" ht="13" customHeight="1" s="189">
      <c r="A489" s="289" t="n"/>
      <c r="B489" s="290" t="n"/>
      <c r="C489" s="290" t="n"/>
      <c r="D489" s="291" t="n"/>
      <c r="E489" s="290" t="n"/>
      <c r="F489" s="290" t="n"/>
    </row>
    <row r="490" ht="13" customHeight="1" s="189">
      <c r="A490" s="289" t="n"/>
      <c r="B490" s="290" t="n"/>
      <c r="C490" s="290" t="n"/>
      <c r="D490" s="291" t="n"/>
      <c r="E490" s="290" t="n"/>
      <c r="F490" s="290" t="n"/>
    </row>
    <row r="491" ht="13" customHeight="1" s="189">
      <c r="A491" s="289" t="n"/>
      <c r="B491" s="290" t="n"/>
      <c r="C491" s="290" t="n"/>
      <c r="D491" s="291" t="n"/>
      <c r="E491" s="290" t="n"/>
      <c r="F491" s="290" t="n"/>
    </row>
    <row r="492" ht="13" customHeight="1" s="189">
      <c r="A492" s="289" t="n"/>
      <c r="B492" s="290" t="n"/>
      <c r="C492" s="290" t="n"/>
      <c r="D492" s="291" t="n"/>
      <c r="E492" s="290" t="n"/>
      <c r="F492" s="290" t="n"/>
    </row>
    <row r="493" ht="13" customHeight="1" s="189">
      <c r="A493" s="289" t="n"/>
      <c r="B493" s="290" t="n"/>
      <c r="C493" s="290" t="n"/>
      <c r="D493" s="291" t="n"/>
      <c r="E493" s="290" t="n"/>
      <c r="F493" s="290" t="n"/>
    </row>
    <row r="494" ht="13" customHeight="1" s="189">
      <c r="A494" s="289" t="n"/>
      <c r="B494" s="290" t="n"/>
      <c r="C494" s="290" t="n"/>
      <c r="D494" s="291" t="n"/>
      <c r="E494" s="290" t="n"/>
      <c r="F494" s="290" t="n"/>
    </row>
    <row r="495" ht="13" customHeight="1" s="189">
      <c r="A495" s="289" t="n"/>
      <c r="B495" s="290" t="n"/>
      <c r="C495" s="290" t="n"/>
      <c r="D495" s="291" t="n"/>
      <c r="E495" s="290" t="n"/>
      <c r="F495" s="290" t="n"/>
    </row>
    <row r="496" ht="13" customHeight="1" s="189">
      <c r="A496" s="289" t="n"/>
      <c r="B496" s="290" t="n"/>
      <c r="C496" s="290" t="n"/>
      <c r="D496" s="291" t="n"/>
      <c r="E496" s="290" t="n"/>
      <c r="F496" s="290" t="n"/>
    </row>
    <row r="497" ht="13" customHeight="1" s="189">
      <c r="A497" s="289" t="n"/>
      <c r="B497" s="290" t="n"/>
      <c r="C497" s="290" t="n"/>
      <c r="D497" s="291" t="n"/>
      <c r="E497" s="290" t="n"/>
      <c r="F497" s="290" t="n"/>
    </row>
    <row r="498" ht="13" customHeight="1" s="189">
      <c r="A498" s="289" t="n"/>
      <c r="B498" s="290" t="n"/>
      <c r="C498" s="290" t="n"/>
      <c r="D498" s="291" t="n"/>
      <c r="E498" s="290" t="n"/>
      <c r="F498" s="290" t="n"/>
    </row>
    <row r="499" ht="13" customHeight="1" s="189">
      <c r="A499" s="289" t="n"/>
      <c r="B499" s="290" t="n"/>
      <c r="C499" s="290" t="n"/>
      <c r="D499" s="291" t="n"/>
      <c r="E499" s="290" t="n"/>
      <c r="F499" s="290" t="n"/>
    </row>
    <row r="500" ht="13" customHeight="1" s="189">
      <c r="A500" s="289" t="n"/>
      <c r="B500" s="290" t="n"/>
      <c r="C500" s="290" t="n"/>
      <c r="D500" s="291" t="n"/>
      <c r="E500" s="290" t="n"/>
      <c r="F500" s="290" t="n"/>
    </row>
    <row r="501" ht="13" customHeight="1" s="189">
      <c r="A501" s="289" t="n"/>
      <c r="B501" s="290" t="n"/>
      <c r="C501" s="290" t="n"/>
      <c r="D501" s="291" t="n"/>
      <c r="E501" s="290" t="n"/>
      <c r="F501" s="290" t="n"/>
    </row>
    <row r="502" ht="13" customHeight="1" s="189">
      <c r="A502" s="289" t="n"/>
      <c r="B502" s="290" t="n"/>
      <c r="C502" s="290" t="n"/>
      <c r="D502" s="291" t="n"/>
      <c r="E502" s="290" t="n"/>
      <c r="F502" s="290" t="n"/>
    </row>
    <row r="503" ht="13" customHeight="1" s="189">
      <c r="A503" s="289" t="n"/>
      <c r="B503" s="290" t="n"/>
      <c r="C503" s="290" t="n"/>
      <c r="D503" s="291" t="n"/>
      <c r="E503" s="290" t="n"/>
      <c r="F503" s="290" t="n"/>
    </row>
    <row r="504" ht="13" customHeight="1" s="189">
      <c r="A504" s="289" t="n"/>
      <c r="B504" s="290" t="n"/>
      <c r="C504" s="290" t="n"/>
      <c r="D504" s="291" t="n"/>
      <c r="E504" s="290" t="n"/>
      <c r="F504" s="290" t="n"/>
    </row>
    <row r="505" ht="13" customHeight="1" s="189">
      <c r="A505" s="289" t="n"/>
      <c r="B505" s="290" t="n"/>
      <c r="C505" s="290" t="n"/>
      <c r="D505" s="291" t="n"/>
      <c r="E505" s="290" t="n"/>
      <c r="F505" s="290" t="n"/>
    </row>
    <row r="506" ht="13" customHeight="1" s="189">
      <c r="A506" s="289" t="n"/>
      <c r="B506" s="290" t="n"/>
      <c r="C506" s="290" t="n"/>
      <c r="D506" s="291" t="n"/>
      <c r="E506" s="290" t="n"/>
      <c r="F506" s="290" t="n"/>
    </row>
    <row r="507" ht="13" customHeight="1" s="189">
      <c r="A507" s="289" t="n"/>
      <c r="B507" s="290" t="n"/>
      <c r="C507" s="290" t="n"/>
      <c r="D507" s="291" t="n"/>
      <c r="E507" s="290" t="n"/>
      <c r="F507" s="290" t="n"/>
    </row>
    <row r="508" ht="13" customHeight="1" s="189">
      <c r="A508" s="289" t="n"/>
      <c r="B508" s="290" t="n"/>
      <c r="C508" s="290" t="n"/>
      <c r="D508" s="291" t="n"/>
      <c r="E508" s="290" t="n"/>
      <c r="F508" s="290" t="n"/>
    </row>
    <row r="509" ht="13" customHeight="1" s="189">
      <c r="A509" s="289" t="n"/>
      <c r="B509" s="290" t="n"/>
      <c r="C509" s="290" t="n"/>
      <c r="D509" s="291" t="n"/>
      <c r="E509" s="290" t="n"/>
      <c r="F509" s="290" t="n"/>
    </row>
    <row r="510" ht="13" customHeight="1" s="189">
      <c r="A510" s="289" t="n"/>
      <c r="B510" s="290" t="n"/>
      <c r="C510" s="290" t="n"/>
      <c r="D510" s="291" t="n"/>
      <c r="E510" s="290" t="n"/>
      <c r="F510" s="290" t="n"/>
    </row>
    <row r="511" ht="13" customHeight="1" s="189">
      <c r="A511" s="289" t="n"/>
      <c r="B511" s="290" t="n"/>
      <c r="C511" s="290" t="n"/>
      <c r="D511" s="291" t="n"/>
      <c r="E511" s="290" t="n"/>
      <c r="F511" s="290" t="n"/>
    </row>
    <row r="512" ht="13" customHeight="1" s="189">
      <c r="A512" s="289" t="n"/>
      <c r="B512" s="290" t="n"/>
      <c r="C512" s="290" t="n"/>
      <c r="D512" s="291" t="n"/>
      <c r="E512" s="290" t="n"/>
      <c r="F512" s="290" t="n"/>
    </row>
    <row r="513" ht="13" customHeight="1" s="189">
      <c r="A513" s="289" t="n"/>
      <c r="B513" s="290" t="n"/>
      <c r="C513" s="290" t="n"/>
      <c r="D513" s="291" t="n"/>
      <c r="E513" s="290" t="n"/>
      <c r="F513" s="290" t="n"/>
    </row>
    <row r="514" ht="13" customHeight="1" s="189">
      <c r="A514" s="289" t="n"/>
      <c r="B514" s="290" t="n"/>
      <c r="C514" s="290" t="n"/>
      <c r="D514" s="291" t="n"/>
      <c r="E514" s="290" t="n"/>
      <c r="F514" s="290" t="n"/>
    </row>
    <row r="515" ht="13" customHeight="1" s="189">
      <c r="A515" s="289" t="n"/>
      <c r="B515" s="290" t="n"/>
      <c r="C515" s="290" t="n"/>
      <c r="D515" s="291" t="n"/>
      <c r="E515" s="290" t="n"/>
      <c r="F515" s="290" t="n"/>
    </row>
    <row r="516" ht="13" customHeight="1" s="189">
      <c r="A516" s="289" t="n"/>
      <c r="B516" s="290" t="n"/>
      <c r="C516" s="290" t="n"/>
      <c r="D516" s="291" t="n"/>
      <c r="E516" s="290" t="n"/>
      <c r="F516" s="290" t="n"/>
    </row>
    <row r="517" ht="13" customHeight="1" s="189">
      <c r="A517" s="289" t="n"/>
      <c r="B517" s="290" t="n"/>
      <c r="C517" s="290" t="n"/>
      <c r="D517" s="291" t="n"/>
      <c r="E517" s="290" t="n"/>
      <c r="F517" s="290" t="n"/>
    </row>
    <row r="518" ht="13" customHeight="1" s="189">
      <c r="A518" s="289" t="n"/>
      <c r="B518" s="290" t="n"/>
      <c r="C518" s="290" t="n"/>
      <c r="D518" s="291" t="n"/>
      <c r="E518" s="290" t="n"/>
      <c r="F518" s="290" t="n"/>
    </row>
    <row r="519" ht="13" customHeight="1" s="189">
      <c r="A519" s="289" t="n"/>
      <c r="B519" s="290" t="n"/>
      <c r="C519" s="290" t="n"/>
      <c r="D519" s="291" t="n"/>
      <c r="E519" s="290" t="n"/>
      <c r="F519" s="290" t="n"/>
    </row>
    <row r="520" ht="13" customHeight="1" s="189">
      <c r="A520" s="289" t="n"/>
      <c r="B520" s="290" t="n"/>
      <c r="C520" s="290" t="n"/>
      <c r="D520" s="291" t="n"/>
      <c r="E520" s="290" t="n"/>
      <c r="F520" s="290" t="n"/>
    </row>
    <row r="521" ht="13" customHeight="1" s="189">
      <c r="A521" s="289" t="n"/>
      <c r="B521" s="290" t="n"/>
      <c r="C521" s="290" t="n"/>
      <c r="D521" s="291" t="n"/>
      <c r="E521" s="290" t="n"/>
      <c r="F521" s="290" t="n"/>
    </row>
    <row r="522" ht="13" customHeight="1" s="189">
      <c r="A522" s="289" t="n"/>
      <c r="B522" s="290" t="n"/>
      <c r="C522" s="290" t="n"/>
      <c r="D522" s="291" t="n"/>
      <c r="E522" s="290" t="n"/>
      <c r="F522" s="290" t="n"/>
    </row>
    <row r="523" ht="13" customHeight="1" s="189">
      <c r="A523" s="289" t="n"/>
      <c r="B523" s="290" t="n"/>
      <c r="C523" s="290" t="n"/>
      <c r="D523" s="291" t="n"/>
      <c r="E523" s="290" t="n"/>
      <c r="F523" s="290" t="n"/>
    </row>
    <row r="524" ht="13" customHeight="1" s="189">
      <c r="A524" s="289" t="n"/>
      <c r="B524" s="290" t="n"/>
      <c r="C524" s="290" t="n"/>
      <c r="D524" s="291" t="n"/>
      <c r="E524" s="290" t="n"/>
      <c r="F524" s="290" t="n"/>
    </row>
    <row r="525" ht="13" customHeight="1" s="189">
      <c r="A525" s="289" t="n"/>
      <c r="B525" s="290" t="n"/>
      <c r="C525" s="290" t="n"/>
      <c r="D525" s="291" t="n"/>
      <c r="E525" s="290" t="n"/>
      <c r="F525" s="290" t="n"/>
    </row>
    <row r="526" ht="13" customHeight="1" s="189">
      <c r="A526" s="289" t="n"/>
      <c r="B526" s="290" t="n"/>
      <c r="C526" s="290" t="n"/>
      <c r="D526" s="291" t="n"/>
      <c r="E526" s="290" t="n"/>
      <c r="F526" s="290" t="n"/>
    </row>
    <row r="527" ht="13" customHeight="1" s="189">
      <c r="A527" s="289" t="n"/>
      <c r="B527" s="290" t="n"/>
      <c r="C527" s="290" t="n"/>
      <c r="D527" s="291" t="n"/>
      <c r="E527" s="290" t="n"/>
      <c r="F527" s="290" t="n"/>
    </row>
    <row r="528" ht="13" customHeight="1" s="189">
      <c r="A528" s="289" t="n"/>
      <c r="B528" s="290" t="n"/>
      <c r="C528" s="290" t="n"/>
      <c r="D528" s="291" t="n"/>
      <c r="E528" s="290" t="n"/>
      <c r="F528" s="290" t="n"/>
    </row>
    <row r="529" ht="13" customHeight="1" s="189">
      <c r="A529" s="289" t="n"/>
      <c r="B529" s="290" t="n"/>
      <c r="C529" s="290" t="n"/>
      <c r="D529" s="291" t="n"/>
      <c r="E529" s="290" t="n"/>
      <c r="F529" s="290" t="n"/>
    </row>
    <row r="530" ht="13" customHeight="1" s="189">
      <c r="A530" s="289" t="n"/>
      <c r="B530" s="290" t="n"/>
      <c r="C530" s="290" t="n"/>
      <c r="D530" s="291" t="n"/>
      <c r="E530" s="290" t="n"/>
      <c r="F530" s="290" t="n"/>
    </row>
    <row r="531" ht="13" customHeight="1" s="189">
      <c r="A531" s="289" t="n"/>
      <c r="B531" s="290" t="n"/>
      <c r="C531" s="290" t="n"/>
      <c r="D531" s="291" t="n"/>
      <c r="E531" s="290" t="n"/>
      <c r="F531" s="290" t="n"/>
    </row>
    <row r="532" ht="13" customHeight="1" s="189">
      <c r="A532" s="289" t="n"/>
      <c r="B532" s="290" t="n"/>
      <c r="C532" s="290" t="n"/>
      <c r="D532" s="291" t="n"/>
      <c r="E532" s="290" t="n"/>
      <c r="F532" s="290" t="n"/>
    </row>
    <row r="533" ht="13" customHeight="1" s="189">
      <c r="A533" s="289" t="n"/>
      <c r="B533" s="290" t="n"/>
      <c r="C533" s="290" t="n"/>
      <c r="D533" s="291" t="n"/>
      <c r="E533" s="290" t="n"/>
      <c r="F533" s="290" t="n"/>
    </row>
    <row r="534" ht="13" customHeight="1" s="189">
      <c r="A534" s="289" t="n"/>
      <c r="B534" s="290" t="n"/>
      <c r="C534" s="290" t="n"/>
      <c r="D534" s="291" t="n"/>
      <c r="E534" s="290" t="n"/>
      <c r="F534" s="290" t="n"/>
    </row>
    <row r="535" ht="13" customHeight="1" s="189">
      <c r="A535" s="289" t="n"/>
      <c r="B535" s="290" t="n"/>
      <c r="C535" s="290" t="n"/>
      <c r="D535" s="291" t="n"/>
      <c r="E535" s="290" t="n"/>
      <c r="F535" s="290" t="n"/>
    </row>
    <row r="536" ht="13" customHeight="1" s="189">
      <c r="A536" s="289" t="n"/>
      <c r="B536" s="290" t="n"/>
      <c r="C536" s="290" t="n"/>
      <c r="D536" s="291" t="n"/>
      <c r="E536" s="290" t="n"/>
      <c r="F536" s="290" t="n"/>
    </row>
    <row r="537" ht="13" customHeight="1" s="189">
      <c r="A537" s="289" t="n"/>
      <c r="B537" s="290" t="n"/>
      <c r="C537" s="290" t="n"/>
      <c r="D537" s="291" t="n"/>
      <c r="E537" s="290" t="n"/>
      <c r="F537" s="290" t="n"/>
    </row>
    <row r="538" ht="13" customHeight="1" s="189">
      <c r="A538" s="289" t="n"/>
      <c r="B538" s="290" t="n"/>
      <c r="C538" s="290" t="n"/>
      <c r="D538" s="291" t="n"/>
      <c r="E538" s="290" t="n"/>
      <c r="F538" s="290" t="n"/>
    </row>
    <row r="539" ht="13" customHeight="1" s="189">
      <c r="A539" s="289" t="n"/>
      <c r="B539" s="290" t="n"/>
      <c r="C539" s="290" t="n"/>
      <c r="D539" s="291" t="n"/>
      <c r="E539" s="290" t="n"/>
      <c r="F539" s="290" t="n"/>
    </row>
    <row r="540" ht="13" customHeight="1" s="189">
      <c r="A540" s="289" t="n"/>
      <c r="B540" s="290" t="n"/>
      <c r="C540" s="290" t="n"/>
      <c r="D540" s="291" t="n"/>
      <c r="E540" s="290" t="n"/>
      <c r="F540" s="290" t="n"/>
    </row>
    <row r="541" ht="13" customHeight="1" s="189">
      <c r="A541" s="289" t="n"/>
      <c r="B541" s="290" t="n"/>
      <c r="C541" s="290" t="n"/>
      <c r="D541" s="291" t="n"/>
      <c r="E541" s="290" t="n"/>
      <c r="F541" s="290" t="n"/>
    </row>
    <row r="542" ht="13" customHeight="1" s="189">
      <c r="A542" s="289" t="n"/>
      <c r="B542" s="290" t="n"/>
      <c r="C542" s="290" t="n"/>
      <c r="D542" s="291" t="n"/>
      <c r="E542" s="290" t="n"/>
      <c r="F542" s="290" t="n"/>
    </row>
    <row r="543" ht="13" customHeight="1" s="189">
      <c r="A543" s="289" t="n"/>
      <c r="B543" s="290" t="n"/>
      <c r="C543" s="290" t="n"/>
      <c r="D543" s="291" t="n"/>
      <c r="E543" s="290" t="n"/>
      <c r="F543" s="290" t="n"/>
    </row>
    <row r="544" ht="13" customHeight="1" s="189">
      <c r="A544" s="289" t="n"/>
      <c r="B544" s="290" t="n"/>
      <c r="C544" s="290" t="n"/>
      <c r="D544" s="291" t="n"/>
      <c r="E544" s="290" t="n"/>
      <c r="F544" s="290" t="n"/>
    </row>
    <row r="545" ht="13" customHeight="1" s="189">
      <c r="A545" s="289" t="n"/>
      <c r="B545" s="290" t="n"/>
      <c r="C545" s="290" t="n"/>
      <c r="D545" s="291" t="n"/>
      <c r="E545" s="290" t="n"/>
      <c r="F545" s="290" t="n"/>
    </row>
    <row r="546" ht="13" customHeight="1" s="189">
      <c r="A546" s="289" t="n"/>
      <c r="B546" s="290" t="n"/>
      <c r="C546" s="290" t="n"/>
      <c r="D546" s="291" t="n"/>
      <c r="E546" s="290" t="n"/>
      <c r="F546" s="290" t="n"/>
    </row>
    <row r="547" ht="13" customHeight="1" s="189">
      <c r="A547" s="289" t="n"/>
      <c r="B547" s="290" t="n"/>
      <c r="C547" s="290" t="n"/>
      <c r="D547" s="291" t="n"/>
      <c r="E547" s="290" t="n"/>
      <c r="F547" s="290" t="n"/>
    </row>
    <row r="548" ht="13" customHeight="1" s="189">
      <c r="A548" s="289" t="n"/>
      <c r="B548" s="290" t="n"/>
      <c r="C548" s="290" t="n"/>
      <c r="D548" s="291" t="n"/>
      <c r="E548" s="290" t="n"/>
      <c r="F548" s="290" t="n"/>
    </row>
    <row r="549" ht="13" customHeight="1" s="189">
      <c r="A549" s="289" t="n"/>
      <c r="B549" s="290" t="n"/>
      <c r="C549" s="290" t="n"/>
      <c r="D549" s="291" t="n"/>
      <c r="E549" s="290" t="n"/>
      <c r="F549" s="290" t="n"/>
    </row>
    <row r="550" ht="13" customHeight="1" s="189">
      <c r="A550" s="289" t="n"/>
      <c r="B550" s="290" t="n"/>
      <c r="C550" s="290" t="n"/>
      <c r="D550" s="291" t="n"/>
      <c r="E550" s="290" t="n"/>
      <c r="F550" s="290" t="n"/>
    </row>
    <row r="551" ht="13" customHeight="1" s="189">
      <c r="A551" s="289" t="n"/>
      <c r="B551" s="290" t="n"/>
      <c r="C551" s="290" t="n"/>
      <c r="D551" s="291" t="n"/>
      <c r="E551" s="290" t="n"/>
      <c r="F551" s="290" t="n"/>
    </row>
    <row r="552" ht="13" customHeight="1" s="189">
      <c r="A552" s="289" t="n"/>
      <c r="B552" s="290" t="n"/>
      <c r="C552" s="290" t="n"/>
      <c r="D552" s="291" t="n"/>
      <c r="E552" s="290" t="n"/>
      <c r="F552" s="290" t="n"/>
    </row>
    <row r="553" ht="13" customHeight="1" s="189">
      <c r="A553" s="289" t="n"/>
      <c r="B553" s="290" t="n"/>
      <c r="C553" s="290" t="n"/>
      <c r="D553" s="291" t="n"/>
      <c r="E553" s="290" t="n"/>
      <c r="F553" s="290" t="n"/>
    </row>
    <row r="554" ht="13" customHeight="1" s="189">
      <c r="A554" s="289" t="n"/>
      <c r="B554" s="290" t="n"/>
      <c r="C554" s="290" t="n"/>
      <c r="D554" s="291" t="n"/>
      <c r="E554" s="290" t="n"/>
      <c r="F554" s="290" t="n"/>
    </row>
    <row r="555" ht="13" customHeight="1" s="189">
      <c r="A555" s="289" t="n"/>
      <c r="B555" s="290" t="n"/>
      <c r="C555" s="290" t="n"/>
      <c r="D555" s="291" t="n"/>
      <c r="E555" s="290" t="n"/>
      <c r="F555" s="290" t="n"/>
    </row>
    <row r="556" ht="13" customHeight="1" s="189">
      <c r="A556" s="289" t="n"/>
      <c r="B556" s="290" t="n"/>
      <c r="C556" s="290" t="n"/>
      <c r="D556" s="291" t="n"/>
      <c r="E556" s="290" t="n"/>
      <c r="F556" s="290" t="n"/>
    </row>
    <row r="557" ht="13" customHeight="1" s="189">
      <c r="A557" s="289" t="n"/>
      <c r="B557" s="290" t="n"/>
      <c r="C557" s="290" t="n"/>
      <c r="D557" s="291" t="n"/>
      <c r="E557" s="290" t="n"/>
      <c r="F557" s="290" t="n"/>
    </row>
    <row r="558" ht="13" customHeight="1" s="189">
      <c r="A558" s="289" t="n"/>
      <c r="B558" s="290" t="n"/>
      <c r="C558" s="290" t="n"/>
      <c r="D558" s="291" t="n"/>
      <c r="E558" s="290" t="n"/>
      <c r="F558" s="290" t="n"/>
    </row>
    <row r="559" ht="13" customHeight="1" s="189">
      <c r="A559" s="289" t="n"/>
      <c r="B559" s="290" t="n"/>
      <c r="C559" s="290" t="n"/>
      <c r="D559" s="291" t="n"/>
      <c r="E559" s="290" t="n"/>
      <c r="F559" s="290" t="n"/>
    </row>
    <row r="560" ht="13" customHeight="1" s="189">
      <c r="A560" s="289" t="n"/>
      <c r="B560" s="290" t="n"/>
      <c r="C560" s="290" t="n"/>
      <c r="D560" s="291" t="n"/>
      <c r="E560" s="290" t="n"/>
      <c r="F560" s="290" t="n"/>
    </row>
    <row r="561" ht="13" customHeight="1" s="189">
      <c r="A561" s="289" t="n"/>
      <c r="B561" s="290" t="n"/>
      <c r="C561" s="290" t="n"/>
      <c r="D561" s="291" t="n"/>
      <c r="E561" s="290" t="n"/>
      <c r="F561" s="290" t="n"/>
    </row>
    <row r="562" ht="13" customHeight="1" s="189">
      <c r="A562" s="289" t="n"/>
      <c r="B562" s="290" t="n"/>
      <c r="C562" s="290" t="n"/>
      <c r="D562" s="291" t="n"/>
      <c r="E562" s="290" t="n"/>
      <c r="F562" s="290" t="n"/>
    </row>
    <row r="563" ht="13" customHeight="1" s="189">
      <c r="A563" s="289" t="n"/>
      <c r="B563" s="290" t="n"/>
      <c r="C563" s="290" t="n"/>
      <c r="D563" s="291" t="n"/>
      <c r="E563" s="290" t="n"/>
      <c r="F563" s="290" t="n"/>
    </row>
    <row r="564" ht="13" customHeight="1" s="189">
      <c r="A564" s="289" t="n"/>
      <c r="B564" s="290" t="n"/>
      <c r="C564" s="290" t="n"/>
      <c r="D564" s="291" t="n"/>
      <c r="E564" s="290" t="n"/>
      <c r="F564" s="290" t="n"/>
    </row>
    <row r="565" ht="13" customHeight="1" s="189">
      <c r="A565" s="289" t="n"/>
      <c r="B565" s="290" t="n"/>
      <c r="C565" s="290" t="n"/>
      <c r="D565" s="291" t="n"/>
      <c r="E565" s="290" t="n"/>
      <c r="F565" s="290" t="n"/>
    </row>
    <row r="566" ht="13" customHeight="1" s="189">
      <c r="A566" s="289" t="n"/>
      <c r="B566" s="290" t="n"/>
      <c r="C566" s="290" t="n"/>
      <c r="D566" s="291" t="n"/>
      <c r="E566" s="290" t="n"/>
      <c r="F566" s="290" t="n"/>
    </row>
    <row r="567" ht="13" customHeight="1" s="189">
      <c r="A567" s="289" t="n"/>
      <c r="B567" s="290" t="n"/>
      <c r="C567" s="290" t="n"/>
      <c r="D567" s="291" t="n"/>
      <c r="E567" s="290" t="n"/>
      <c r="F567" s="290" t="n"/>
    </row>
    <row r="568" ht="13" customHeight="1" s="189">
      <c r="A568" s="289" t="n"/>
      <c r="B568" s="290" t="n"/>
      <c r="C568" s="290" t="n"/>
      <c r="D568" s="291" t="n"/>
      <c r="E568" s="290" t="n"/>
      <c r="F568" s="290" t="n"/>
    </row>
    <row r="569" ht="13" customHeight="1" s="189">
      <c r="A569" s="289" t="n"/>
      <c r="B569" s="290" t="n"/>
      <c r="C569" s="290" t="n"/>
      <c r="D569" s="291" t="n"/>
      <c r="E569" s="290" t="n"/>
      <c r="F569" s="290" t="n"/>
    </row>
    <row r="570" ht="13" customHeight="1" s="189">
      <c r="A570" s="289" t="n"/>
      <c r="B570" s="290" t="n"/>
      <c r="C570" s="290" t="n"/>
      <c r="D570" s="291" t="n"/>
      <c r="E570" s="290" t="n"/>
      <c r="F570" s="290" t="n"/>
    </row>
    <row r="571" ht="13" customHeight="1" s="189">
      <c r="A571" s="289" t="n"/>
      <c r="B571" s="290" t="n"/>
      <c r="C571" s="290" t="n"/>
      <c r="D571" s="291" t="n"/>
      <c r="E571" s="290" t="n"/>
      <c r="F571" s="290" t="n"/>
    </row>
    <row r="572" ht="13" customHeight="1" s="189">
      <c r="A572" s="289" t="n"/>
      <c r="B572" s="290" t="n"/>
      <c r="C572" s="290" t="n"/>
      <c r="D572" s="291" t="n"/>
      <c r="E572" s="290" t="n"/>
      <c r="F572" s="290" t="n"/>
    </row>
    <row r="573" ht="13" customHeight="1" s="189">
      <c r="A573" s="289" t="n"/>
      <c r="B573" s="290" t="n"/>
      <c r="C573" s="290" t="n"/>
      <c r="D573" s="291" t="n"/>
      <c r="E573" s="290" t="n"/>
      <c r="F573" s="290" t="n"/>
    </row>
    <row r="574" ht="13" customHeight="1" s="189">
      <c r="A574" s="289" t="n"/>
      <c r="B574" s="290" t="n"/>
      <c r="C574" s="290" t="n"/>
      <c r="D574" s="291" t="n"/>
      <c r="E574" s="290" t="n"/>
      <c r="F574" s="290" t="n"/>
    </row>
    <row r="575" ht="13" customHeight="1" s="189">
      <c r="A575" s="289" t="n"/>
      <c r="B575" s="290" t="n"/>
      <c r="C575" s="290" t="n"/>
      <c r="D575" s="291" t="n"/>
      <c r="E575" s="290" t="n"/>
      <c r="F575" s="290" t="n"/>
    </row>
    <row r="576" ht="13" customHeight="1" s="189">
      <c r="A576" s="289" t="n"/>
      <c r="B576" s="290" t="n"/>
      <c r="C576" s="290" t="n"/>
      <c r="D576" s="291" t="n"/>
      <c r="E576" s="290" t="n"/>
      <c r="F576" s="290" t="n"/>
    </row>
    <row r="577" ht="13" customHeight="1" s="189">
      <c r="A577" s="289" t="n"/>
      <c r="B577" s="290" t="n"/>
      <c r="C577" s="290" t="n"/>
      <c r="D577" s="291" t="n"/>
      <c r="E577" s="290" t="n"/>
      <c r="F577" s="290" t="n"/>
    </row>
    <row r="578" ht="13" customHeight="1" s="189">
      <c r="A578" s="289" t="n"/>
      <c r="B578" s="290" t="n"/>
      <c r="C578" s="290" t="n"/>
      <c r="D578" s="291" t="n"/>
      <c r="E578" s="290" t="n"/>
      <c r="F578" s="290" t="n"/>
    </row>
    <row r="579" ht="13" customHeight="1" s="189">
      <c r="A579" s="289" t="n"/>
      <c r="B579" s="290" t="n"/>
      <c r="C579" s="290" t="n"/>
      <c r="D579" s="291" t="n"/>
      <c r="E579" s="290" t="n"/>
      <c r="F579" s="290" t="n"/>
    </row>
    <row r="580" ht="13" customHeight="1" s="189">
      <c r="A580" s="289" t="n"/>
      <c r="B580" s="290" t="n"/>
      <c r="C580" s="290" t="n"/>
      <c r="D580" s="291" t="n"/>
      <c r="E580" s="290" t="n"/>
      <c r="F580" s="290" t="n"/>
    </row>
    <row r="581" ht="13" customHeight="1" s="189">
      <c r="A581" s="289" t="n"/>
      <c r="B581" s="290" t="n"/>
      <c r="C581" s="290" t="n"/>
      <c r="D581" s="291" t="n"/>
      <c r="E581" s="290" t="n"/>
      <c r="F581" s="290" t="n"/>
    </row>
    <row r="582" ht="13" customHeight="1" s="189">
      <c r="A582" s="289" t="n"/>
      <c r="B582" s="290" t="n"/>
      <c r="C582" s="290" t="n"/>
      <c r="D582" s="291" t="n"/>
      <c r="E582" s="290" t="n"/>
      <c r="F582" s="290" t="n"/>
    </row>
    <row r="583" ht="13" customHeight="1" s="189">
      <c r="A583" s="289" t="n"/>
      <c r="B583" s="290" t="n"/>
      <c r="C583" s="290" t="n"/>
      <c r="D583" s="291" t="n"/>
      <c r="E583" s="290" t="n"/>
      <c r="F583" s="290" t="n"/>
    </row>
    <row r="584" ht="13" customHeight="1" s="189">
      <c r="A584" s="289" t="n"/>
      <c r="B584" s="290" t="n"/>
      <c r="C584" s="290" t="n"/>
      <c r="D584" s="291" t="n"/>
      <c r="E584" s="290" t="n"/>
      <c r="F584" s="290" t="n"/>
    </row>
    <row r="585" ht="13" customHeight="1" s="189">
      <c r="A585" s="289" t="n"/>
      <c r="B585" s="290" t="n"/>
      <c r="C585" s="290" t="n"/>
      <c r="D585" s="291" t="n"/>
      <c r="E585" s="290" t="n"/>
      <c r="F585" s="290" t="n"/>
    </row>
    <row r="586" ht="13" customHeight="1" s="189">
      <c r="A586" s="289" t="n"/>
      <c r="B586" s="290" t="n"/>
      <c r="C586" s="290" t="n"/>
      <c r="D586" s="291" t="n"/>
      <c r="E586" s="290" t="n"/>
      <c r="F586" s="290" t="n"/>
    </row>
    <row r="587" ht="13" customHeight="1" s="189">
      <c r="A587" s="289" t="n"/>
      <c r="B587" s="290" t="n"/>
      <c r="C587" s="290" t="n"/>
      <c r="D587" s="291" t="n"/>
      <c r="E587" s="290" t="n"/>
      <c r="F587" s="290" t="n"/>
    </row>
    <row r="588" ht="13" customHeight="1" s="189">
      <c r="A588" s="289" t="n"/>
      <c r="B588" s="290" t="n"/>
      <c r="C588" s="290" t="n"/>
      <c r="D588" s="291" t="n"/>
      <c r="E588" s="290" t="n"/>
      <c r="F588" s="290" t="n"/>
    </row>
    <row r="589" ht="13" customHeight="1" s="189">
      <c r="A589" s="289" t="n"/>
      <c r="B589" s="290" t="n"/>
      <c r="C589" s="290" t="n"/>
      <c r="D589" s="291" t="n"/>
      <c r="E589" s="290" t="n"/>
      <c r="F589" s="290" t="n"/>
    </row>
    <row r="590" ht="13" customHeight="1" s="189">
      <c r="A590" s="289" t="n"/>
      <c r="B590" s="290" t="n"/>
      <c r="C590" s="290" t="n"/>
      <c r="D590" s="291" t="n"/>
      <c r="E590" s="290" t="n"/>
      <c r="F590" s="290" t="n"/>
    </row>
    <row r="591" ht="13" customHeight="1" s="189">
      <c r="A591" s="289" t="n"/>
      <c r="B591" s="290" t="n"/>
      <c r="C591" s="290" t="n"/>
      <c r="D591" s="291" t="n"/>
      <c r="E591" s="290" t="n"/>
      <c r="F591" s="290" t="n"/>
    </row>
    <row r="592" ht="13" customHeight="1" s="189">
      <c r="A592" s="289" t="n"/>
      <c r="B592" s="290" t="n"/>
      <c r="C592" s="290" t="n"/>
      <c r="D592" s="291" t="n"/>
      <c r="E592" s="290" t="n"/>
      <c r="F592" s="290" t="n"/>
    </row>
    <row r="593" ht="13" customHeight="1" s="189">
      <c r="A593" s="289" t="n"/>
      <c r="B593" s="290" t="n"/>
      <c r="C593" s="290" t="n"/>
      <c r="D593" s="291" t="n"/>
      <c r="E593" s="290" t="n"/>
      <c r="F593" s="290" t="n"/>
    </row>
    <row r="594" ht="13" customHeight="1" s="189">
      <c r="A594" s="289" t="n"/>
      <c r="B594" s="290" t="n"/>
      <c r="C594" s="290" t="n"/>
      <c r="D594" s="291" t="n"/>
      <c r="E594" s="290" t="n"/>
      <c r="F594" s="290" t="n"/>
    </row>
    <row r="595" ht="13" customHeight="1" s="189">
      <c r="A595" s="289" t="n"/>
      <c r="B595" s="290" t="n"/>
      <c r="C595" s="290" t="n"/>
      <c r="D595" s="291" t="n"/>
      <c r="E595" s="290" t="n"/>
      <c r="F595" s="290" t="n"/>
    </row>
    <row r="596" ht="13" customHeight="1" s="189">
      <c r="A596" s="289" t="n"/>
      <c r="B596" s="290" t="n"/>
      <c r="C596" s="290" t="n"/>
      <c r="D596" s="291" t="n"/>
      <c r="E596" s="290" t="n"/>
      <c r="F596" s="290" t="n"/>
    </row>
    <row r="597" ht="13" customHeight="1" s="189">
      <c r="A597" s="289" t="n"/>
      <c r="B597" s="290" t="n"/>
      <c r="C597" s="290" t="n"/>
      <c r="D597" s="291" t="n"/>
      <c r="E597" s="290" t="n"/>
      <c r="F597" s="290" t="n"/>
    </row>
    <row r="598" ht="13" customHeight="1" s="189">
      <c r="A598" s="289" t="n"/>
      <c r="B598" s="290" t="n"/>
      <c r="C598" s="290" t="n"/>
      <c r="D598" s="291" t="n"/>
      <c r="E598" s="290" t="n"/>
      <c r="F598" s="290" t="n"/>
    </row>
    <row r="599" ht="13" customHeight="1" s="189">
      <c r="A599" s="289" t="n"/>
      <c r="B599" s="290" t="n"/>
      <c r="C599" s="290" t="n"/>
      <c r="D599" s="291" t="n"/>
      <c r="E599" s="290" t="n"/>
      <c r="F599" s="290" t="n"/>
    </row>
    <row r="600" ht="13" customHeight="1" s="189">
      <c r="A600" s="289" t="n"/>
      <c r="B600" s="290" t="n"/>
      <c r="C600" s="290" t="n"/>
      <c r="D600" s="291" t="n"/>
      <c r="E600" s="290" t="n"/>
      <c r="F600" s="290" t="n"/>
    </row>
    <row r="601" ht="13" customHeight="1" s="189">
      <c r="A601" s="289" t="n"/>
      <c r="B601" s="290" t="n"/>
      <c r="C601" s="290" t="n"/>
      <c r="D601" s="291" t="n"/>
      <c r="E601" s="290" t="n"/>
      <c r="F601" s="290" t="n"/>
    </row>
    <row r="602" ht="13" customHeight="1" s="189">
      <c r="A602" s="289" t="n"/>
      <c r="B602" s="290" t="n"/>
      <c r="C602" s="290" t="n"/>
      <c r="D602" s="291" t="n"/>
      <c r="E602" s="290" t="n"/>
      <c r="F602" s="290" t="n"/>
    </row>
    <row r="603" ht="13" customHeight="1" s="189">
      <c r="A603" s="289" t="n"/>
      <c r="B603" s="290" t="n"/>
      <c r="C603" s="290" t="n"/>
      <c r="D603" s="291" t="n"/>
      <c r="E603" s="290" t="n"/>
      <c r="F603" s="290" t="n"/>
    </row>
    <row r="604" ht="13" customHeight="1" s="189">
      <c r="A604" s="289" t="n"/>
      <c r="B604" s="290" t="n"/>
      <c r="C604" s="290" t="n"/>
      <c r="D604" s="291" t="n"/>
      <c r="E604" s="290" t="n"/>
      <c r="F604" s="290" t="n"/>
    </row>
    <row r="605" ht="13" customHeight="1" s="189">
      <c r="A605" s="289" t="n"/>
      <c r="B605" s="290" t="n"/>
      <c r="C605" s="290" t="n"/>
      <c r="D605" s="291" t="n"/>
      <c r="E605" s="290" t="n"/>
      <c r="F605" s="290" t="n"/>
    </row>
    <row r="606" ht="13" customHeight="1" s="189">
      <c r="A606" s="289" t="n"/>
      <c r="B606" s="290" t="n"/>
      <c r="C606" s="290" t="n"/>
      <c r="D606" s="291" t="n"/>
      <c r="E606" s="290" t="n"/>
      <c r="F606" s="290" t="n"/>
    </row>
    <row r="607" ht="13" customHeight="1" s="189">
      <c r="A607" s="289" t="n"/>
      <c r="B607" s="290" t="n"/>
      <c r="C607" s="290" t="n"/>
      <c r="D607" s="291" t="n"/>
      <c r="E607" s="290" t="n"/>
      <c r="F607" s="290" t="n"/>
    </row>
    <row r="608" ht="13" customHeight="1" s="189">
      <c r="A608" s="289" t="n"/>
      <c r="B608" s="290" t="n"/>
      <c r="C608" s="290" t="n"/>
      <c r="D608" s="291" t="n"/>
      <c r="E608" s="290" t="n"/>
      <c r="F608" s="290" t="n"/>
    </row>
    <row r="609" ht="13" customHeight="1" s="189">
      <c r="A609" s="289" t="n"/>
      <c r="B609" s="290" t="n"/>
      <c r="C609" s="290" t="n"/>
      <c r="D609" s="291" t="n"/>
      <c r="E609" s="290" t="n"/>
      <c r="F609" s="290" t="n"/>
    </row>
    <row r="610" ht="13" customHeight="1" s="189">
      <c r="A610" s="289" t="n"/>
      <c r="B610" s="290" t="n"/>
      <c r="C610" s="290" t="n"/>
      <c r="D610" s="291" t="n"/>
      <c r="E610" s="290" t="n"/>
      <c r="F610" s="290" t="n"/>
    </row>
    <row r="611" ht="13" customHeight="1" s="189">
      <c r="A611" s="289" t="n"/>
      <c r="B611" s="290" t="n"/>
      <c r="C611" s="290" t="n"/>
      <c r="D611" s="291" t="n"/>
      <c r="E611" s="290" t="n"/>
      <c r="F611" s="290" t="n"/>
    </row>
    <row r="612" ht="13" customHeight="1" s="189">
      <c r="A612" s="289" t="n"/>
      <c r="B612" s="290" t="n"/>
      <c r="C612" s="290" t="n"/>
      <c r="D612" s="291" t="n"/>
      <c r="E612" s="290" t="n"/>
      <c r="F612" s="290" t="n"/>
    </row>
    <row r="613" ht="13" customHeight="1" s="189">
      <c r="A613" s="289" t="n"/>
      <c r="B613" s="290" t="n"/>
      <c r="C613" s="290" t="n"/>
      <c r="D613" s="291" t="n"/>
      <c r="E613" s="290" t="n"/>
      <c r="F613" s="290" t="n"/>
    </row>
    <row r="614" ht="13" customHeight="1" s="189">
      <c r="A614" s="289" t="n"/>
      <c r="B614" s="290" t="n"/>
      <c r="C614" s="290" t="n"/>
      <c r="D614" s="291" t="n"/>
      <c r="E614" s="290" t="n"/>
      <c r="F614" s="290" t="n"/>
    </row>
    <row r="615" ht="13" customHeight="1" s="189">
      <c r="A615" s="289" t="n"/>
      <c r="B615" s="290" t="n"/>
      <c r="C615" s="290" t="n"/>
      <c r="D615" s="291" t="n"/>
      <c r="E615" s="290" t="n"/>
      <c r="F615" s="290" t="n"/>
    </row>
    <row r="616" ht="13" customHeight="1" s="189">
      <c r="A616" s="289" t="n"/>
      <c r="B616" s="290" t="n"/>
      <c r="C616" s="290" t="n"/>
      <c r="D616" s="291" t="n"/>
      <c r="E616" s="290" t="n"/>
      <c r="F616" s="290" t="n"/>
    </row>
    <row r="617" ht="13" customHeight="1" s="189">
      <c r="A617" s="289" t="n"/>
      <c r="B617" s="290" t="n"/>
      <c r="C617" s="290" t="n"/>
      <c r="D617" s="291" t="n"/>
      <c r="E617" s="290" t="n"/>
      <c r="F617" s="290" t="n"/>
    </row>
    <row r="618" ht="13" customHeight="1" s="189">
      <c r="A618" s="289" t="n"/>
      <c r="B618" s="290" t="n"/>
      <c r="C618" s="290" t="n"/>
      <c r="D618" s="291" t="n"/>
      <c r="E618" s="290" t="n"/>
      <c r="F618" s="290" t="n"/>
    </row>
    <row r="619" ht="13" customHeight="1" s="189">
      <c r="A619" s="289" t="n"/>
      <c r="B619" s="290" t="n"/>
      <c r="C619" s="290" t="n"/>
      <c r="D619" s="291" t="n"/>
      <c r="E619" s="290" t="n"/>
      <c r="F619" s="290" t="n"/>
    </row>
    <row r="620" ht="13" customHeight="1" s="189">
      <c r="A620" s="289" t="n"/>
      <c r="B620" s="290" t="n"/>
      <c r="C620" s="290" t="n"/>
      <c r="D620" s="291" t="n"/>
      <c r="E620" s="290" t="n"/>
      <c r="F620" s="290" t="n"/>
    </row>
    <row r="621" ht="13" customHeight="1" s="189">
      <c r="A621" s="289" t="n"/>
      <c r="B621" s="290" t="n"/>
      <c r="C621" s="290" t="n"/>
      <c r="D621" s="291" t="n"/>
      <c r="E621" s="290" t="n"/>
      <c r="F621" s="290" t="n"/>
    </row>
    <row r="622" ht="13" customHeight="1" s="189">
      <c r="A622" s="289" t="n"/>
      <c r="B622" s="290" t="n"/>
      <c r="C622" s="290" t="n"/>
      <c r="D622" s="291" t="n"/>
      <c r="E622" s="290" t="n"/>
      <c r="F622" s="290" t="n"/>
    </row>
    <row r="623" ht="13" customHeight="1" s="189">
      <c r="A623" s="289" t="n"/>
      <c r="B623" s="290" t="n"/>
      <c r="C623" s="290" t="n"/>
      <c r="D623" s="291" t="n"/>
      <c r="E623" s="290" t="n"/>
      <c r="F623" s="290" t="n"/>
    </row>
    <row r="624" ht="13" customHeight="1" s="189">
      <c r="A624" s="289" t="n"/>
      <c r="B624" s="290" t="n"/>
      <c r="C624" s="290" t="n"/>
      <c r="D624" s="291" t="n"/>
      <c r="E624" s="290" t="n"/>
      <c r="F624" s="290" t="n"/>
    </row>
    <row r="625" ht="13" customHeight="1" s="189">
      <c r="A625" s="289" t="n"/>
      <c r="B625" s="290" t="n"/>
      <c r="C625" s="290" t="n"/>
      <c r="D625" s="291" t="n"/>
      <c r="E625" s="290" t="n"/>
      <c r="F625" s="290" t="n"/>
    </row>
    <row r="626" ht="13" customHeight="1" s="189">
      <c r="A626" s="289" t="n"/>
      <c r="B626" s="290" t="n"/>
      <c r="C626" s="290" t="n"/>
      <c r="D626" s="291" t="n"/>
      <c r="E626" s="290" t="n"/>
      <c r="F626" s="290" t="n"/>
    </row>
    <row r="627" ht="13" customHeight="1" s="189">
      <c r="A627" s="289" t="n"/>
      <c r="B627" s="290" t="n"/>
      <c r="C627" s="290" t="n"/>
      <c r="D627" s="291" t="n"/>
      <c r="E627" s="290" t="n"/>
      <c r="F627" s="290" t="n"/>
    </row>
    <row r="628" ht="13" customHeight="1" s="189">
      <c r="A628" s="289" t="n"/>
      <c r="B628" s="290" t="n"/>
      <c r="C628" s="290" t="n"/>
      <c r="D628" s="291" t="n"/>
      <c r="E628" s="290" t="n"/>
      <c r="F628" s="290" t="n"/>
    </row>
    <row r="629" ht="13" customHeight="1" s="189">
      <c r="A629" s="289" t="n"/>
      <c r="B629" s="290" t="n"/>
      <c r="C629" s="290" t="n"/>
      <c r="D629" s="291" t="n"/>
      <c r="E629" s="290" t="n"/>
      <c r="F629" s="290" t="n"/>
    </row>
    <row r="630" ht="13" customHeight="1" s="189">
      <c r="A630" s="289" t="n"/>
      <c r="B630" s="290" t="n"/>
      <c r="C630" s="290" t="n"/>
      <c r="D630" s="291" t="n"/>
      <c r="E630" s="290" t="n"/>
      <c r="F630" s="290" t="n"/>
    </row>
    <row r="631" ht="13" customHeight="1" s="189">
      <c r="A631" s="289" t="n"/>
      <c r="B631" s="290" t="n"/>
      <c r="C631" s="290" t="n"/>
      <c r="D631" s="291" t="n"/>
      <c r="E631" s="290" t="n"/>
      <c r="F631" s="290" t="n"/>
    </row>
    <row r="632" ht="13" customHeight="1" s="189">
      <c r="A632" s="289" t="n"/>
      <c r="B632" s="290" t="n"/>
      <c r="C632" s="290" t="n"/>
      <c r="D632" s="291" t="n"/>
      <c r="E632" s="290" t="n"/>
      <c r="F632" s="290" t="n"/>
    </row>
    <row r="633" ht="13" customHeight="1" s="189">
      <c r="A633" s="289" t="n"/>
      <c r="B633" s="290" t="n"/>
      <c r="C633" s="290" t="n"/>
      <c r="D633" s="291" t="n"/>
      <c r="E633" s="290" t="n"/>
      <c r="F633" s="290" t="n"/>
    </row>
    <row r="634" ht="13" customHeight="1" s="189">
      <c r="A634" s="289" t="n"/>
      <c r="B634" s="290" t="n"/>
      <c r="C634" s="290" t="n"/>
      <c r="D634" s="291" t="n"/>
      <c r="E634" s="290" t="n"/>
      <c r="F634" s="290" t="n"/>
    </row>
    <row r="635" ht="13" customHeight="1" s="189">
      <c r="A635" s="289" t="n"/>
      <c r="B635" s="290" t="n"/>
      <c r="C635" s="290" t="n"/>
      <c r="D635" s="291" t="n"/>
      <c r="E635" s="290" t="n"/>
      <c r="F635" s="290" t="n"/>
    </row>
    <row r="636" ht="13" customHeight="1" s="189">
      <c r="A636" s="289" t="n"/>
      <c r="B636" s="290" t="n"/>
      <c r="C636" s="290" t="n"/>
      <c r="D636" s="291" t="n"/>
      <c r="E636" s="290" t="n"/>
      <c r="F636" s="290" t="n"/>
    </row>
    <row r="637" ht="13" customHeight="1" s="189">
      <c r="A637" s="289" t="n"/>
      <c r="B637" s="290" t="n"/>
      <c r="C637" s="290" t="n"/>
      <c r="D637" s="291" t="n"/>
      <c r="E637" s="290" t="n"/>
      <c r="F637" s="290" t="n"/>
    </row>
    <row r="638" ht="13" customHeight="1" s="189">
      <c r="A638" s="289" t="n"/>
      <c r="B638" s="290" t="n"/>
      <c r="C638" s="290" t="n"/>
      <c r="D638" s="291" t="n"/>
      <c r="E638" s="290" t="n"/>
      <c r="F638" s="290" t="n"/>
    </row>
    <row r="639" ht="13" customHeight="1" s="189">
      <c r="A639" s="289" t="n"/>
      <c r="B639" s="290" t="n"/>
      <c r="C639" s="290" t="n"/>
      <c r="D639" s="291" t="n"/>
      <c r="E639" s="290" t="n"/>
      <c r="F639" s="290" t="n"/>
    </row>
    <row r="640" ht="13" customHeight="1" s="189">
      <c r="A640" s="289" t="n"/>
      <c r="B640" s="290" t="n"/>
      <c r="C640" s="290" t="n"/>
      <c r="D640" s="291" t="n"/>
      <c r="E640" s="290" t="n"/>
      <c r="F640" s="290" t="n"/>
    </row>
    <row r="641" ht="13" customHeight="1" s="189">
      <c r="A641" s="289" t="n"/>
      <c r="B641" s="290" t="n"/>
      <c r="C641" s="290" t="n"/>
      <c r="D641" s="291" t="n"/>
      <c r="E641" s="290" t="n"/>
      <c r="F641" s="290" t="n"/>
    </row>
    <row r="642" ht="13" customHeight="1" s="189">
      <c r="A642" s="289" t="n"/>
      <c r="B642" s="290" t="n"/>
      <c r="C642" s="290" t="n"/>
      <c r="D642" s="291" t="n"/>
      <c r="E642" s="290" t="n"/>
      <c r="F642" s="290" t="n"/>
    </row>
    <row r="643" ht="13" customHeight="1" s="189">
      <c r="A643" s="289" t="n"/>
      <c r="B643" s="290" t="n"/>
      <c r="C643" s="290" t="n"/>
      <c r="D643" s="291" t="n"/>
      <c r="E643" s="290" t="n"/>
      <c r="F643" s="290" t="n"/>
    </row>
    <row r="644" ht="13" customHeight="1" s="189">
      <c r="A644" s="289" t="n"/>
      <c r="B644" s="290" t="n"/>
      <c r="C644" s="290" t="n"/>
      <c r="D644" s="291" t="n"/>
      <c r="E644" s="290" t="n"/>
      <c r="F644" s="290" t="n"/>
    </row>
    <row r="645" ht="13" customHeight="1" s="189">
      <c r="A645" s="289" t="n"/>
      <c r="B645" s="290" t="n"/>
      <c r="C645" s="290" t="n"/>
      <c r="D645" s="291" t="n"/>
      <c r="E645" s="290" t="n"/>
      <c r="F645" s="290" t="n"/>
    </row>
    <row r="646" ht="13" customHeight="1" s="189">
      <c r="A646" s="289" t="n"/>
      <c r="B646" s="290" t="n"/>
      <c r="C646" s="290" t="n"/>
      <c r="D646" s="291" t="n"/>
      <c r="E646" s="290" t="n"/>
      <c r="F646" s="290" t="n"/>
    </row>
    <row r="647" ht="13" customHeight="1" s="189">
      <c r="A647" s="289" t="n"/>
      <c r="B647" s="290" t="n"/>
      <c r="C647" s="290" t="n"/>
      <c r="D647" s="291" t="n"/>
      <c r="E647" s="290" t="n"/>
      <c r="F647" s="290" t="n"/>
    </row>
    <row r="648" ht="13" customHeight="1" s="189">
      <c r="A648" s="289" t="n"/>
      <c r="B648" s="290" t="n"/>
      <c r="C648" s="290" t="n"/>
      <c r="D648" s="291" t="n"/>
      <c r="E648" s="290" t="n"/>
      <c r="F648" s="290" t="n"/>
    </row>
    <row r="649" ht="13" customHeight="1" s="189">
      <c r="A649" s="289" t="n"/>
      <c r="B649" s="290" t="n"/>
      <c r="C649" s="290" t="n"/>
      <c r="D649" s="291" t="n"/>
      <c r="E649" s="290" t="n"/>
      <c r="F649" s="290" t="n"/>
    </row>
    <row r="650" ht="13" customHeight="1" s="189">
      <c r="A650" s="289" t="n"/>
      <c r="B650" s="290" t="n"/>
      <c r="C650" s="290" t="n"/>
      <c r="D650" s="291" t="n"/>
      <c r="E650" s="290" t="n"/>
      <c r="F650" s="290" t="n"/>
    </row>
    <row r="651" ht="13" customHeight="1" s="189">
      <c r="A651" s="289" t="n"/>
      <c r="B651" s="290" t="n"/>
      <c r="C651" s="290" t="n"/>
      <c r="D651" s="291" t="n"/>
      <c r="E651" s="290" t="n"/>
      <c r="F651" s="290" t="n"/>
    </row>
    <row r="652" ht="13" customHeight="1" s="189">
      <c r="A652" s="289" t="n"/>
      <c r="B652" s="290" t="n"/>
      <c r="C652" s="290" t="n"/>
      <c r="D652" s="291" t="n"/>
      <c r="E652" s="290" t="n"/>
      <c r="F652" s="290" t="n"/>
    </row>
    <row r="653" ht="13" customHeight="1" s="189">
      <c r="A653" s="289" t="n"/>
      <c r="B653" s="290" t="n"/>
      <c r="C653" s="290" t="n"/>
      <c r="D653" s="291" t="n"/>
      <c r="E653" s="290" t="n"/>
      <c r="F653" s="290" t="n"/>
    </row>
    <row r="654" ht="13" customHeight="1" s="189">
      <c r="A654" s="289" t="n"/>
      <c r="B654" s="290" t="n"/>
      <c r="C654" s="290" t="n"/>
      <c r="D654" s="291" t="n"/>
      <c r="E654" s="290" t="n"/>
      <c r="F654" s="290" t="n"/>
    </row>
    <row r="655" ht="13" customHeight="1" s="189">
      <c r="A655" s="289" t="n"/>
      <c r="B655" s="290" t="n"/>
      <c r="C655" s="290" t="n"/>
      <c r="D655" s="291" t="n"/>
      <c r="E655" s="290" t="n"/>
      <c r="F655" s="290" t="n"/>
    </row>
    <row r="656" ht="13" customHeight="1" s="189">
      <c r="A656" s="289" t="n"/>
      <c r="B656" s="290" t="n"/>
      <c r="C656" s="290" t="n"/>
      <c r="D656" s="291" t="n"/>
      <c r="E656" s="290" t="n"/>
      <c r="F656" s="290" t="n"/>
    </row>
    <row r="657" ht="13" customHeight="1" s="189">
      <c r="A657" s="289" t="n"/>
      <c r="B657" s="290" t="n"/>
      <c r="C657" s="290" t="n"/>
      <c r="D657" s="291" t="n"/>
      <c r="E657" s="290" t="n"/>
      <c r="F657" s="290" t="n"/>
    </row>
    <row r="658" ht="13" customHeight="1" s="189">
      <c r="A658" s="289" t="n"/>
      <c r="B658" s="290" t="n"/>
      <c r="C658" s="290" t="n"/>
      <c r="D658" s="291" t="n"/>
      <c r="E658" s="290" t="n"/>
      <c r="F658" s="290" t="n"/>
    </row>
    <row r="659" ht="13" customHeight="1" s="189">
      <c r="A659" s="289" t="n"/>
      <c r="B659" s="290" t="n"/>
      <c r="C659" s="290" t="n"/>
      <c r="D659" s="291" t="n"/>
      <c r="E659" s="290" t="n"/>
      <c r="F659" s="290" t="n"/>
    </row>
    <row r="660" ht="13" customHeight="1" s="189">
      <c r="A660" s="289" t="n"/>
      <c r="B660" s="290" t="n"/>
      <c r="C660" s="290" t="n"/>
      <c r="D660" s="291" t="n"/>
      <c r="E660" s="290" t="n"/>
      <c r="F660" s="290" t="n"/>
    </row>
    <row r="661" ht="13" customHeight="1" s="189">
      <c r="A661" s="289" t="n"/>
      <c r="B661" s="290" t="n"/>
      <c r="C661" s="290" t="n"/>
      <c r="D661" s="291" t="n"/>
      <c r="E661" s="290" t="n"/>
      <c r="F661" s="290" t="n"/>
    </row>
    <row r="662" ht="13" customHeight="1" s="189">
      <c r="A662" s="289" t="n"/>
      <c r="B662" s="290" t="n"/>
      <c r="C662" s="290" t="n"/>
      <c r="D662" s="291" t="n"/>
      <c r="E662" s="290" t="n"/>
      <c r="F662" s="290" t="n"/>
    </row>
    <row r="663" ht="13" customHeight="1" s="189">
      <c r="A663" s="289" t="n"/>
      <c r="B663" s="290" t="n"/>
      <c r="C663" s="290" t="n"/>
      <c r="D663" s="291" t="n"/>
      <c r="E663" s="290" t="n"/>
      <c r="F663" s="290" t="n"/>
    </row>
    <row r="664" ht="13" customHeight="1" s="189">
      <c r="A664" s="289" t="n"/>
      <c r="B664" s="290" t="n"/>
      <c r="C664" s="290" t="n"/>
      <c r="D664" s="291" t="n"/>
      <c r="E664" s="290" t="n"/>
      <c r="F664" s="290" t="n"/>
    </row>
    <row r="665" ht="13" customHeight="1" s="189">
      <c r="A665" s="289" t="n"/>
      <c r="B665" s="290" t="n"/>
      <c r="C665" s="290" t="n"/>
      <c r="D665" s="291" t="n"/>
      <c r="E665" s="290" t="n"/>
      <c r="F665" s="290" t="n"/>
    </row>
    <row r="666" ht="13" customHeight="1" s="189">
      <c r="A666" s="289" t="n"/>
      <c r="B666" s="290" t="n"/>
      <c r="C666" s="290" t="n"/>
      <c r="D666" s="291" t="n"/>
      <c r="E666" s="290" t="n"/>
      <c r="F666" s="290" t="n"/>
    </row>
    <row r="667" ht="13" customHeight="1" s="189">
      <c r="A667" s="289" t="n"/>
      <c r="B667" s="290" t="n"/>
      <c r="C667" s="290" t="n"/>
      <c r="D667" s="291" t="n"/>
      <c r="E667" s="290" t="n"/>
      <c r="F667" s="290" t="n"/>
    </row>
    <row r="668" ht="13" customHeight="1" s="189">
      <c r="A668" s="289" t="n"/>
      <c r="B668" s="290" t="n"/>
      <c r="C668" s="290" t="n"/>
      <c r="D668" s="291" t="n"/>
      <c r="E668" s="290" t="n"/>
      <c r="F668" s="290" t="n"/>
    </row>
    <row r="669" ht="13" customHeight="1" s="189">
      <c r="A669" s="289" t="n"/>
      <c r="B669" s="290" t="n"/>
      <c r="C669" s="290" t="n"/>
      <c r="D669" s="291" t="n"/>
      <c r="E669" s="290" t="n"/>
      <c r="F669" s="290" t="n"/>
    </row>
    <row r="670" ht="13" customHeight="1" s="189">
      <c r="A670" s="289" t="n"/>
      <c r="B670" s="290" t="n"/>
      <c r="C670" s="290" t="n"/>
      <c r="D670" s="291" t="n"/>
      <c r="E670" s="290" t="n"/>
      <c r="F670" s="290" t="n"/>
    </row>
    <row r="671" ht="13" customHeight="1" s="189">
      <c r="A671" s="289" t="n"/>
      <c r="B671" s="290" t="n"/>
      <c r="C671" s="290" t="n"/>
      <c r="D671" s="291" t="n"/>
      <c r="E671" s="290" t="n"/>
      <c r="F671" s="290" t="n"/>
    </row>
    <row r="672" ht="13" customHeight="1" s="189">
      <c r="A672" s="289" t="n"/>
      <c r="B672" s="290" t="n"/>
      <c r="C672" s="290" t="n"/>
      <c r="D672" s="291" t="n"/>
      <c r="E672" s="290" t="n"/>
      <c r="F672" s="290" t="n"/>
    </row>
    <row r="673" ht="13" customHeight="1" s="189">
      <c r="A673" s="289" t="n"/>
      <c r="B673" s="290" t="n"/>
      <c r="C673" s="290" t="n"/>
      <c r="D673" s="291" t="n"/>
      <c r="E673" s="290" t="n"/>
      <c r="F673" s="290" t="n"/>
    </row>
    <row r="674" ht="13" customHeight="1" s="189">
      <c r="A674" s="289" t="n"/>
      <c r="B674" s="290" t="n"/>
      <c r="C674" s="290" t="n"/>
      <c r="D674" s="291" t="n"/>
      <c r="E674" s="290" t="n"/>
      <c r="F674" s="290" t="n"/>
    </row>
    <row r="675" ht="13" customHeight="1" s="189">
      <c r="A675" s="289" t="n"/>
      <c r="B675" s="290" t="n"/>
      <c r="C675" s="290" t="n"/>
      <c r="D675" s="291" t="n"/>
      <c r="E675" s="290" t="n"/>
      <c r="F675" s="290" t="n"/>
    </row>
    <row r="676" ht="13" customHeight="1" s="189">
      <c r="A676" s="289" t="n"/>
      <c r="B676" s="290" t="n"/>
      <c r="C676" s="290" t="n"/>
      <c r="D676" s="291" t="n"/>
      <c r="E676" s="290" t="n"/>
      <c r="F676" s="290" t="n"/>
    </row>
    <row r="677" ht="13" customHeight="1" s="189">
      <c r="A677" s="289" t="n"/>
      <c r="B677" s="290" t="n"/>
      <c r="C677" s="290" t="n"/>
      <c r="D677" s="291" t="n"/>
      <c r="E677" s="290" t="n"/>
      <c r="F677" s="290" t="n"/>
    </row>
    <row r="678" ht="13" customHeight="1" s="189">
      <c r="A678" s="289" t="n"/>
      <c r="B678" s="290" t="n"/>
      <c r="C678" s="290" t="n"/>
      <c r="D678" s="291" t="n"/>
      <c r="E678" s="290" t="n"/>
      <c r="F678" s="290" t="n"/>
    </row>
    <row r="679" ht="13" customHeight="1" s="189">
      <c r="A679" s="289" t="n"/>
      <c r="B679" s="290" t="n"/>
      <c r="C679" s="290" t="n"/>
      <c r="D679" s="291" t="n"/>
      <c r="E679" s="290" t="n"/>
      <c r="F679" s="290" t="n"/>
    </row>
    <row r="680" ht="13" customHeight="1" s="189">
      <c r="A680" s="289" t="n"/>
      <c r="B680" s="290" t="n"/>
      <c r="C680" s="290" t="n"/>
      <c r="D680" s="291" t="n"/>
      <c r="E680" s="290" t="n"/>
      <c r="F680" s="290" t="n"/>
    </row>
    <row r="681" ht="13" customHeight="1" s="189">
      <c r="A681" s="289" t="n"/>
      <c r="B681" s="290" t="n"/>
      <c r="C681" s="290" t="n"/>
      <c r="D681" s="291" t="n"/>
      <c r="E681" s="290" t="n"/>
      <c r="F681" s="290" t="n"/>
    </row>
    <row r="682" ht="13" customHeight="1" s="189">
      <c r="A682" s="289" t="n"/>
      <c r="B682" s="290" t="n"/>
      <c r="C682" s="290" t="n"/>
      <c r="D682" s="291" t="n"/>
      <c r="E682" s="290" t="n"/>
      <c r="F682" s="290" t="n"/>
    </row>
    <row r="683" ht="13" customHeight="1" s="189">
      <c r="A683" s="289" t="n"/>
      <c r="B683" s="290" t="n"/>
      <c r="C683" s="290" t="n"/>
      <c r="D683" s="291" t="n"/>
      <c r="E683" s="290" t="n"/>
      <c r="F683" s="290" t="n"/>
    </row>
    <row r="684" ht="13" customHeight="1" s="189">
      <c r="A684" s="289" t="n"/>
      <c r="B684" s="290" t="n"/>
      <c r="C684" s="290" t="n"/>
      <c r="D684" s="291" t="n"/>
      <c r="E684" s="290" t="n"/>
      <c r="F684" s="290" t="n"/>
    </row>
    <row r="685" ht="13" customHeight="1" s="189">
      <c r="A685" s="289" t="n"/>
      <c r="B685" s="290" t="n"/>
      <c r="C685" s="290" t="n"/>
      <c r="D685" s="291" t="n"/>
      <c r="E685" s="290" t="n"/>
      <c r="F685" s="290" t="n"/>
    </row>
    <row r="686" ht="13" customHeight="1" s="189">
      <c r="A686" s="289" t="n"/>
      <c r="B686" s="290" t="n"/>
      <c r="C686" s="290" t="n"/>
      <c r="D686" s="291" t="n"/>
      <c r="E686" s="290" t="n"/>
      <c r="F686" s="290" t="n"/>
    </row>
    <row r="687" ht="13" customHeight="1" s="189">
      <c r="A687" s="289" t="n"/>
      <c r="B687" s="290" t="n"/>
      <c r="C687" s="290" t="n"/>
      <c r="D687" s="291" t="n"/>
      <c r="E687" s="290" t="n"/>
      <c r="F687" s="290" t="n"/>
    </row>
    <row r="688" ht="13" customHeight="1" s="189">
      <c r="A688" s="289" t="n"/>
      <c r="B688" s="290" t="n"/>
      <c r="C688" s="290" t="n"/>
      <c r="D688" s="291" t="n"/>
      <c r="E688" s="290" t="n"/>
      <c r="F688" s="290" t="n"/>
    </row>
    <row r="689" ht="13" customHeight="1" s="189">
      <c r="A689" s="289" t="n"/>
      <c r="B689" s="290" t="n"/>
      <c r="C689" s="290" t="n"/>
      <c r="D689" s="291" t="n"/>
      <c r="E689" s="290" t="n"/>
      <c r="F689" s="290" t="n"/>
    </row>
    <row r="690" ht="13" customHeight="1" s="189">
      <c r="A690" s="289" t="n"/>
      <c r="B690" s="290" t="n"/>
      <c r="C690" s="290" t="n"/>
      <c r="D690" s="291" t="n"/>
      <c r="E690" s="290" t="n"/>
      <c r="F690" s="290" t="n"/>
    </row>
    <row r="691" ht="13" customHeight="1" s="189">
      <c r="A691" s="289" t="n"/>
      <c r="B691" s="290" t="n"/>
      <c r="C691" s="290" t="n"/>
      <c r="D691" s="291" t="n"/>
      <c r="E691" s="290" t="n"/>
      <c r="F691" s="290" t="n"/>
    </row>
    <row r="692" ht="13" customHeight="1" s="189">
      <c r="A692" s="289" t="n"/>
      <c r="B692" s="290" t="n"/>
      <c r="C692" s="290" t="n"/>
      <c r="D692" s="291" t="n"/>
      <c r="E692" s="290" t="n"/>
      <c r="F692" s="290" t="n"/>
    </row>
    <row r="693" ht="13" customHeight="1" s="189">
      <c r="A693" s="289" t="n"/>
      <c r="B693" s="290" t="n"/>
      <c r="C693" s="290" t="n"/>
      <c r="D693" s="291" t="n"/>
      <c r="E693" s="290" t="n"/>
      <c r="F693" s="290" t="n"/>
    </row>
    <row r="694" ht="13" customHeight="1" s="189">
      <c r="A694" s="289" t="n"/>
      <c r="B694" s="290" t="n"/>
      <c r="C694" s="290" t="n"/>
      <c r="D694" s="291" t="n"/>
      <c r="E694" s="290" t="n"/>
      <c r="F694" s="290" t="n"/>
    </row>
    <row r="695" ht="13" customHeight="1" s="189">
      <c r="A695" s="289" t="n"/>
      <c r="B695" s="290" t="n"/>
      <c r="C695" s="290" t="n"/>
      <c r="D695" s="291" t="n"/>
      <c r="E695" s="290" t="n"/>
      <c r="F695" s="290" t="n"/>
    </row>
    <row r="696" ht="13" customHeight="1" s="189">
      <c r="A696" s="289" t="n"/>
      <c r="B696" s="290" t="n"/>
      <c r="C696" s="290" t="n"/>
      <c r="D696" s="291" t="n"/>
      <c r="E696" s="290" t="n"/>
      <c r="F696" s="290" t="n"/>
    </row>
    <row r="697" ht="13" customHeight="1" s="189">
      <c r="A697" s="289" t="n"/>
      <c r="B697" s="290" t="n"/>
      <c r="C697" s="290" t="n"/>
      <c r="D697" s="291" t="n"/>
      <c r="E697" s="290" t="n"/>
      <c r="F697" s="290" t="n"/>
    </row>
    <row r="698" ht="13" customHeight="1" s="189">
      <c r="A698" s="289" t="n"/>
      <c r="B698" s="290" t="n"/>
      <c r="C698" s="290" t="n"/>
      <c r="D698" s="291" t="n"/>
      <c r="E698" s="290" t="n"/>
      <c r="F698" s="290" t="n"/>
    </row>
    <row r="699" ht="13" customHeight="1" s="189">
      <c r="A699" s="289" t="n"/>
      <c r="B699" s="290" t="n"/>
      <c r="C699" s="290" t="n"/>
      <c r="D699" s="291" t="n"/>
      <c r="E699" s="290" t="n"/>
      <c r="F699" s="290" t="n"/>
    </row>
    <row r="700" ht="13" customHeight="1" s="189">
      <c r="A700" s="289" t="n"/>
      <c r="B700" s="290" t="n"/>
      <c r="C700" s="290" t="n"/>
      <c r="D700" s="291" t="n"/>
      <c r="E700" s="290" t="n"/>
      <c r="F700" s="290" t="n"/>
    </row>
    <row r="701" ht="13" customHeight="1" s="189">
      <c r="A701" s="289" t="n"/>
      <c r="B701" s="290" t="n"/>
      <c r="C701" s="290" t="n"/>
      <c r="D701" s="291" t="n"/>
      <c r="E701" s="290" t="n"/>
      <c r="F701" s="290" t="n"/>
    </row>
    <row r="702" ht="13" customHeight="1" s="189">
      <c r="A702" s="289" t="n"/>
      <c r="B702" s="290" t="n"/>
      <c r="C702" s="290" t="n"/>
      <c r="D702" s="291" t="n"/>
      <c r="E702" s="290" t="n"/>
      <c r="F702" s="290" t="n"/>
    </row>
    <row r="703" ht="13" customHeight="1" s="189">
      <c r="A703" s="289" t="n"/>
      <c r="B703" s="290" t="n"/>
      <c r="C703" s="290" t="n"/>
      <c r="D703" s="291" t="n"/>
      <c r="E703" s="290" t="n"/>
      <c r="F703" s="290" t="n"/>
    </row>
    <row r="704" ht="13" customHeight="1" s="189">
      <c r="A704" s="289" t="n"/>
      <c r="B704" s="290" t="n"/>
      <c r="C704" s="290" t="n"/>
      <c r="D704" s="291" t="n"/>
      <c r="E704" s="290" t="n"/>
      <c r="F704" s="290" t="n"/>
    </row>
    <row r="705" ht="13" customHeight="1" s="189">
      <c r="A705" s="289" t="n"/>
      <c r="B705" s="290" t="n"/>
      <c r="C705" s="290" t="n"/>
      <c r="D705" s="291" t="n"/>
      <c r="E705" s="290" t="n"/>
      <c r="F705" s="290" t="n"/>
    </row>
    <row r="706" ht="13" customHeight="1" s="189">
      <c r="A706" s="289" t="n"/>
      <c r="B706" s="290" t="n"/>
      <c r="C706" s="290" t="n"/>
      <c r="D706" s="291" t="n"/>
      <c r="E706" s="290" t="n"/>
      <c r="F706" s="290" t="n"/>
    </row>
    <row r="707" ht="13" customHeight="1" s="189">
      <c r="A707" s="289" t="n"/>
      <c r="B707" s="290" t="n"/>
      <c r="C707" s="290" t="n"/>
      <c r="D707" s="291" t="n"/>
      <c r="E707" s="290" t="n"/>
      <c r="F707" s="290" t="n"/>
    </row>
    <row r="708" ht="13" customHeight="1" s="189">
      <c r="A708" s="289" t="n"/>
      <c r="B708" s="290" t="n"/>
      <c r="C708" s="290" t="n"/>
      <c r="D708" s="291" t="n"/>
      <c r="E708" s="290" t="n"/>
      <c r="F708" s="290" t="n"/>
    </row>
    <row r="709" ht="13" customHeight="1" s="189">
      <c r="A709" s="289" t="n"/>
      <c r="B709" s="290" t="n"/>
      <c r="C709" s="290" t="n"/>
      <c r="D709" s="291" t="n"/>
      <c r="E709" s="290" t="n"/>
      <c r="F709" s="290" t="n"/>
    </row>
    <row r="710" ht="13" customHeight="1" s="189">
      <c r="A710" s="289" t="n"/>
      <c r="B710" s="290" t="n"/>
      <c r="C710" s="290" t="n"/>
      <c r="D710" s="291" t="n"/>
      <c r="E710" s="290" t="n"/>
      <c r="F710" s="290" t="n"/>
    </row>
    <row r="711" ht="13" customHeight="1" s="189">
      <c r="A711" s="289" t="n"/>
      <c r="B711" s="290" t="n"/>
      <c r="C711" s="290" t="n"/>
      <c r="D711" s="291" t="n"/>
      <c r="E711" s="290" t="n"/>
      <c r="F711" s="290" t="n"/>
    </row>
    <row r="712" ht="13" customHeight="1" s="189">
      <c r="A712" s="289" t="n"/>
      <c r="B712" s="290" t="n"/>
      <c r="C712" s="290" t="n"/>
      <c r="D712" s="291" t="n"/>
      <c r="E712" s="290" t="n"/>
      <c r="F712" s="290" t="n"/>
    </row>
    <row r="713" ht="13" customHeight="1" s="189">
      <c r="A713" s="289" t="n"/>
      <c r="B713" s="290" t="n"/>
      <c r="C713" s="290" t="n"/>
      <c r="D713" s="291" t="n"/>
      <c r="E713" s="290" t="n"/>
      <c r="F713" s="290" t="n"/>
    </row>
    <row r="714" ht="13" customHeight="1" s="189">
      <c r="A714" s="289" t="n"/>
      <c r="B714" s="290" t="n"/>
      <c r="C714" s="290" t="n"/>
      <c r="D714" s="291" t="n"/>
      <c r="E714" s="290" t="n"/>
      <c r="F714" s="290" t="n"/>
    </row>
    <row r="715" ht="13" customHeight="1" s="189">
      <c r="A715" s="289" t="n"/>
      <c r="B715" s="290" t="n"/>
      <c r="C715" s="290" t="n"/>
      <c r="D715" s="291" t="n"/>
      <c r="E715" s="290" t="n"/>
      <c r="F715" s="290" t="n"/>
    </row>
    <row r="716" ht="13" customHeight="1" s="189">
      <c r="A716" s="289" t="n"/>
      <c r="B716" s="290" t="n"/>
      <c r="C716" s="290" t="n"/>
      <c r="D716" s="291" t="n"/>
      <c r="E716" s="290" t="n"/>
      <c r="F716" s="290" t="n"/>
    </row>
    <row r="717" ht="13" customHeight="1" s="189">
      <c r="A717" s="289" t="n"/>
      <c r="B717" s="290" t="n"/>
      <c r="C717" s="290" t="n"/>
      <c r="D717" s="291" t="n"/>
      <c r="E717" s="290" t="n"/>
      <c r="F717" s="290" t="n"/>
    </row>
    <row r="718" ht="13" customHeight="1" s="189">
      <c r="A718" s="289" t="n"/>
      <c r="B718" s="290" t="n"/>
      <c r="C718" s="290" t="n"/>
      <c r="D718" s="291" t="n"/>
      <c r="E718" s="290" t="n"/>
      <c r="F718" s="290" t="n"/>
    </row>
    <row r="719" ht="13" customHeight="1" s="189">
      <c r="A719" s="289" t="n"/>
      <c r="B719" s="290" t="n"/>
      <c r="C719" s="290" t="n"/>
      <c r="D719" s="291" t="n"/>
      <c r="E719" s="290" t="n"/>
      <c r="F719" s="290" t="n"/>
    </row>
    <row r="720" ht="13" customHeight="1" s="189">
      <c r="A720" s="289" t="n"/>
      <c r="B720" s="290" t="n"/>
      <c r="C720" s="290" t="n"/>
      <c r="D720" s="291" t="n"/>
      <c r="E720" s="290" t="n"/>
      <c r="F720" s="290" t="n"/>
    </row>
    <row r="721" ht="13" customHeight="1" s="189">
      <c r="A721" s="289" t="n"/>
      <c r="B721" s="290" t="n"/>
      <c r="C721" s="290" t="n"/>
      <c r="D721" s="291" t="n"/>
      <c r="E721" s="290" t="n"/>
      <c r="F721" s="290" t="n"/>
    </row>
    <row r="722" ht="13" customHeight="1" s="189">
      <c r="A722" s="289" t="n"/>
      <c r="B722" s="290" t="n"/>
      <c r="C722" s="290" t="n"/>
      <c r="D722" s="291" t="n"/>
      <c r="E722" s="290" t="n"/>
      <c r="F722" s="290" t="n"/>
    </row>
    <row r="723" ht="13" customHeight="1" s="189">
      <c r="A723" s="289" t="n"/>
      <c r="B723" s="290" t="n"/>
      <c r="C723" s="290" t="n"/>
      <c r="D723" s="291" t="n"/>
      <c r="E723" s="290" t="n"/>
      <c r="F723" s="290" t="n"/>
    </row>
    <row r="724" ht="13" customHeight="1" s="189">
      <c r="A724" s="289" t="n"/>
      <c r="B724" s="290" t="n"/>
      <c r="C724" s="290" t="n"/>
      <c r="D724" s="291" t="n"/>
      <c r="E724" s="290" t="n"/>
      <c r="F724" s="290" t="n"/>
    </row>
    <row r="725" ht="13" customHeight="1" s="189">
      <c r="A725" s="289" t="n"/>
      <c r="B725" s="290" t="n"/>
      <c r="C725" s="290" t="n"/>
      <c r="D725" s="291" t="n"/>
      <c r="E725" s="290" t="n"/>
      <c r="F725" s="290" t="n"/>
    </row>
    <row r="726" ht="13" customHeight="1" s="189">
      <c r="A726" s="289" t="n"/>
      <c r="B726" s="290" t="n"/>
      <c r="C726" s="290" t="n"/>
      <c r="D726" s="291" t="n"/>
      <c r="E726" s="290" t="n"/>
      <c r="F726" s="290" t="n"/>
    </row>
    <row r="727" ht="13" customHeight="1" s="189">
      <c r="A727" s="289" t="n"/>
      <c r="B727" s="290" t="n"/>
      <c r="C727" s="290" t="n"/>
      <c r="D727" s="291" t="n"/>
      <c r="E727" s="290" t="n"/>
      <c r="F727" s="290" t="n"/>
    </row>
    <row r="728" ht="13" customHeight="1" s="189">
      <c r="A728" s="289" t="n"/>
      <c r="B728" s="290" t="n"/>
      <c r="C728" s="290" t="n"/>
      <c r="D728" s="291" t="n"/>
      <c r="E728" s="290" t="n"/>
      <c r="F728" s="290" t="n"/>
    </row>
    <row r="729" ht="13" customHeight="1" s="189">
      <c r="A729" s="289" t="n"/>
      <c r="B729" s="290" t="n"/>
      <c r="C729" s="290" t="n"/>
      <c r="D729" s="291" t="n"/>
      <c r="E729" s="290" t="n"/>
      <c r="F729" s="290" t="n"/>
    </row>
    <row r="730" ht="13" customHeight="1" s="189">
      <c r="A730" s="289" t="n"/>
      <c r="B730" s="290" t="n"/>
      <c r="C730" s="290" t="n"/>
      <c r="D730" s="291" t="n"/>
      <c r="E730" s="290" t="n"/>
      <c r="F730" s="290" t="n"/>
    </row>
    <row r="731" ht="13" customHeight="1" s="189">
      <c r="A731" s="289" t="n"/>
      <c r="B731" s="290" t="n"/>
      <c r="C731" s="290" t="n"/>
      <c r="D731" s="291" t="n"/>
      <c r="E731" s="290" t="n"/>
      <c r="F731" s="290" t="n"/>
    </row>
    <row r="732" ht="13" customHeight="1" s="189">
      <c r="A732" s="289" t="n"/>
      <c r="B732" s="290" t="n"/>
      <c r="C732" s="290" t="n"/>
      <c r="D732" s="291" t="n"/>
      <c r="E732" s="290" t="n"/>
      <c r="F732" s="290" t="n"/>
    </row>
    <row r="733" ht="13" customHeight="1" s="189">
      <c r="A733" s="289" t="n"/>
      <c r="B733" s="290" t="n"/>
      <c r="C733" s="290" t="n"/>
      <c r="D733" s="291" t="n"/>
      <c r="E733" s="290" t="n"/>
      <c r="F733" s="290" t="n"/>
    </row>
    <row r="734" ht="13" customHeight="1" s="189">
      <c r="A734" s="289" t="n"/>
      <c r="B734" s="290" t="n"/>
      <c r="C734" s="290" t="n"/>
      <c r="D734" s="291" t="n"/>
      <c r="E734" s="290" t="n"/>
      <c r="F734" s="290" t="n"/>
    </row>
    <row r="735" ht="13" customHeight="1" s="189">
      <c r="A735" s="289" t="n"/>
      <c r="B735" s="290" t="n"/>
      <c r="C735" s="290" t="n"/>
      <c r="D735" s="291" t="n"/>
      <c r="E735" s="290" t="n"/>
      <c r="F735" s="290" t="n"/>
    </row>
    <row r="736" ht="13" customHeight="1" s="189">
      <c r="A736" s="289" t="n"/>
      <c r="B736" s="290" t="n"/>
      <c r="C736" s="290" t="n"/>
      <c r="D736" s="291" t="n"/>
      <c r="E736" s="290" t="n"/>
      <c r="F736" s="290" t="n"/>
    </row>
    <row r="737" ht="13" customHeight="1" s="189">
      <c r="A737" s="289" t="n"/>
      <c r="B737" s="290" t="n"/>
      <c r="C737" s="290" t="n"/>
      <c r="D737" s="291" t="n"/>
      <c r="E737" s="290" t="n"/>
      <c r="F737" s="290" t="n"/>
    </row>
    <row r="738" ht="13" customHeight="1" s="189">
      <c r="A738" s="289" t="n"/>
      <c r="B738" s="290" t="n"/>
      <c r="C738" s="290" t="n"/>
      <c r="D738" s="291" t="n"/>
      <c r="E738" s="290" t="n"/>
      <c r="F738" s="290" t="n"/>
    </row>
    <row r="739" ht="13" customHeight="1" s="189">
      <c r="A739" s="289" t="n"/>
      <c r="B739" s="290" t="n"/>
      <c r="C739" s="290" t="n"/>
      <c r="D739" s="291" t="n"/>
      <c r="E739" s="290" t="n"/>
      <c r="F739" s="290" t="n"/>
    </row>
    <row r="740" ht="13" customHeight="1" s="189">
      <c r="A740" s="289" t="n"/>
      <c r="B740" s="290" t="n"/>
      <c r="C740" s="290" t="n"/>
      <c r="D740" s="291" t="n"/>
      <c r="E740" s="290" t="n"/>
      <c r="F740" s="290" t="n"/>
    </row>
    <row r="741" ht="13" customHeight="1" s="189">
      <c r="A741" s="289" t="n"/>
      <c r="B741" s="290" t="n"/>
      <c r="C741" s="290" t="n"/>
      <c r="D741" s="291" t="n"/>
      <c r="E741" s="290" t="n"/>
      <c r="F741" s="290" t="n"/>
    </row>
    <row r="742" ht="13" customHeight="1" s="189">
      <c r="A742" s="289" t="n"/>
      <c r="B742" s="290" t="n"/>
      <c r="C742" s="290" t="n"/>
      <c r="D742" s="291" t="n"/>
      <c r="E742" s="290" t="n"/>
      <c r="F742" s="290" t="n"/>
    </row>
    <row r="743" ht="13" customHeight="1" s="189">
      <c r="A743" s="289" t="n"/>
      <c r="B743" s="290" t="n"/>
      <c r="C743" s="290" t="n"/>
      <c r="D743" s="291" t="n"/>
      <c r="E743" s="290" t="n"/>
      <c r="F743" s="290" t="n"/>
    </row>
    <row r="744" ht="13" customHeight="1" s="189">
      <c r="A744" s="289" t="n"/>
      <c r="B744" s="290" t="n"/>
      <c r="C744" s="290" t="n"/>
      <c r="D744" s="291" t="n"/>
      <c r="E744" s="290" t="n"/>
      <c r="F744" s="290" t="n"/>
    </row>
    <row r="745" ht="13" customHeight="1" s="189">
      <c r="A745" s="289" t="n"/>
      <c r="B745" s="290" t="n"/>
      <c r="C745" s="290" t="n"/>
      <c r="D745" s="291" t="n"/>
      <c r="E745" s="290" t="n"/>
      <c r="F745" s="290" t="n"/>
    </row>
    <row r="746" ht="13" customHeight="1" s="189">
      <c r="A746" s="289" t="n"/>
      <c r="B746" s="290" t="n"/>
      <c r="C746" s="290" t="n"/>
      <c r="D746" s="291" t="n"/>
      <c r="E746" s="290" t="n"/>
      <c r="F746" s="290" t="n"/>
    </row>
    <row r="747" ht="13" customHeight="1" s="189">
      <c r="A747" s="289" t="n"/>
      <c r="B747" s="290" t="n"/>
      <c r="C747" s="290" t="n"/>
      <c r="D747" s="291" t="n"/>
      <c r="E747" s="290" t="n"/>
      <c r="F747" s="290" t="n"/>
    </row>
    <row r="748" ht="13" customHeight="1" s="189">
      <c r="A748" s="289" t="n"/>
      <c r="B748" s="290" t="n"/>
      <c r="C748" s="290" t="n"/>
      <c r="D748" s="291" t="n"/>
      <c r="E748" s="290" t="n"/>
      <c r="F748" s="290" t="n"/>
    </row>
    <row r="749" ht="13" customHeight="1" s="189">
      <c r="A749" s="289" t="n"/>
      <c r="B749" s="290" t="n"/>
      <c r="C749" s="290" t="n"/>
      <c r="D749" s="291" t="n"/>
      <c r="E749" s="290" t="n"/>
      <c r="F749" s="290" t="n"/>
    </row>
    <row r="750" ht="13" customHeight="1" s="189">
      <c r="A750" s="289" t="n"/>
      <c r="B750" s="290" t="n"/>
      <c r="C750" s="290" t="n"/>
      <c r="D750" s="291" t="n"/>
      <c r="E750" s="290" t="n"/>
      <c r="F750" s="290" t="n"/>
    </row>
    <row r="751" ht="13" customHeight="1" s="189">
      <c r="A751" s="289" t="n"/>
      <c r="B751" s="290" t="n"/>
      <c r="C751" s="290" t="n"/>
      <c r="D751" s="291" t="n"/>
      <c r="E751" s="290" t="n"/>
      <c r="F751" s="290" t="n"/>
    </row>
    <row r="752" ht="13" customHeight="1" s="189">
      <c r="A752" s="289" t="n"/>
      <c r="B752" s="290" t="n"/>
      <c r="C752" s="290" t="n"/>
      <c r="D752" s="291" t="n"/>
      <c r="E752" s="290" t="n"/>
      <c r="F752" s="290" t="n"/>
    </row>
    <row r="753" ht="13" customHeight="1" s="189">
      <c r="A753" s="289" t="n"/>
      <c r="B753" s="290" t="n"/>
      <c r="C753" s="290" t="n"/>
      <c r="D753" s="291" t="n"/>
      <c r="E753" s="290" t="n"/>
      <c r="F753" s="290" t="n"/>
    </row>
    <row r="754" ht="13" customHeight="1" s="189">
      <c r="A754" s="289" t="n"/>
      <c r="B754" s="290" t="n"/>
      <c r="C754" s="290" t="n"/>
      <c r="D754" s="291" t="n"/>
      <c r="E754" s="290" t="n"/>
      <c r="F754" s="290" t="n"/>
    </row>
    <row r="755" ht="13" customHeight="1" s="189">
      <c r="A755" s="289" t="n"/>
      <c r="B755" s="290" t="n"/>
      <c r="C755" s="290" t="n"/>
      <c r="D755" s="291" t="n"/>
      <c r="E755" s="290" t="n"/>
      <c r="F755" s="290" t="n"/>
    </row>
    <row r="756" ht="13" customHeight="1" s="189">
      <c r="A756" s="289" t="n"/>
      <c r="B756" s="290" t="n"/>
      <c r="C756" s="290" t="n"/>
      <c r="D756" s="291" t="n"/>
      <c r="E756" s="290" t="n"/>
      <c r="F756" s="290" t="n"/>
    </row>
    <row r="757" ht="13" customHeight="1" s="189">
      <c r="A757" s="289" t="n"/>
      <c r="B757" s="290" t="n"/>
      <c r="C757" s="290" t="n"/>
      <c r="D757" s="291" t="n"/>
      <c r="E757" s="290" t="n"/>
      <c r="F757" s="290" t="n"/>
    </row>
    <row r="758" ht="13" customHeight="1" s="189">
      <c r="A758" s="289" t="n"/>
      <c r="B758" s="290" t="n"/>
      <c r="C758" s="290" t="n"/>
      <c r="D758" s="291" t="n"/>
      <c r="E758" s="290" t="n"/>
      <c r="F758" s="290" t="n"/>
    </row>
    <row r="759" ht="13" customHeight="1" s="189">
      <c r="A759" s="289" t="n"/>
      <c r="B759" s="290" t="n"/>
      <c r="C759" s="290" t="n"/>
      <c r="D759" s="291" t="n"/>
      <c r="E759" s="290" t="n"/>
      <c r="F759" s="290" t="n"/>
    </row>
    <row r="760" ht="13" customHeight="1" s="189">
      <c r="A760" s="289" t="n"/>
      <c r="B760" s="290" t="n"/>
      <c r="C760" s="290" t="n"/>
      <c r="D760" s="291" t="n"/>
      <c r="E760" s="290" t="n"/>
      <c r="F760" s="290" t="n"/>
    </row>
    <row r="761" ht="13" customHeight="1" s="189">
      <c r="A761" s="289" t="n"/>
      <c r="B761" s="290" t="n"/>
      <c r="C761" s="290" t="n"/>
      <c r="D761" s="291" t="n"/>
      <c r="E761" s="290" t="n"/>
      <c r="F761" s="290" t="n"/>
    </row>
    <row r="762" ht="13" customHeight="1" s="189">
      <c r="A762" s="289" t="n"/>
      <c r="B762" s="290" t="n"/>
      <c r="C762" s="290" t="n"/>
      <c r="D762" s="291" t="n"/>
      <c r="E762" s="290" t="n"/>
      <c r="F762" s="290" t="n"/>
    </row>
    <row r="763" ht="13" customHeight="1" s="189">
      <c r="A763" s="289" t="n"/>
      <c r="B763" s="290" t="n"/>
      <c r="C763" s="290" t="n"/>
      <c r="D763" s="291" t="n"/>
      <c r="E763" s="290" t="n"/>
      <c r="F763" s="290" t="n"/>
    </row>
    <row r="764" ht="13" customHeight="1" s="189">
      <c r="A764" s="289" t="n"/>
      <c r="B764" s="290" t="n"/>
      <c r="C764" s="290" t="n"/>
      <c r="D764" s="291" t="n"/>
      <c r="E764" s="290" t="n"/>
      <c r="F764" s="290" t="n"/>
    </row>
    <row r="765" ht="13" customHeight="1" s="189">
      <c r="A765" s="289" t="n"/>
      <c r="B765" s="290" t="n"/>
      <c r="C765" s="290" t="n"/>
      <c r="D765" s="291" t="n"/>
      <c r="E765" s="290" t="n"/>
      <c r="F765" s="290" t="n"/>
    </row>
    <row r="766" ht="13" customHeight="1" s="189">
      <c r="A766" s="289" t="n"/>
      <c r="B766" s="290" t="n"/>
      <c r="C766" s="290" t="n"/>
      <c r="D766" s="291" t="n"/>
      <c r="E766" s="290" t="n"/>
      <c r="F766" s="290" t="n"/>
    </row>
    <row r="767" ht="13" customHeight="1" s="189">
      <c r="A767" s="289" t="n"/>
      <c r="B767" s="290" t="n"/>
      <c r="C767" s="290" t="n"/>
      <c r="D767" s="291" t="n"/>
      <c r="E767" s="290" t="n"/>
      <c r="F767" s="290" t="n"/>
    </row>
    <row r="768" ht="13" customHeight="1" s="189">
      <c r="A768" s="289" t="n"/>
      <c r="B768" s="290" t="n"/>
      <c r="C768" s="290" t="n"/>
      <c r="D768" s="291" t="n"/>
      <c r="E768" s="290" t="n"/>
      <c r="F768" s="290" t="n"/>
    </row>
    <row r="769" ht="13" customHeight="1" s="189">
      <c r="A769" s="289" t="n"/>
      <c r="B769" s="290" t="n"/>
      <c r="C769" s="290" t="n"/>
      <c r="D769" s="291" t="n"/>
      <c r="E769" s="290" t="n"/>
      <c r="F769" s="290" t="n"/>
    </row>
    <row r="770" ht="13" customHeight="1" s="189">
      <c r="A770" s="289" t="n"/>
      <c r="B770" s="290" t="n"/>
      <c r="C770" s="290" t="n"/>
      <c r="D770" s="291" t="n"/>
      <c r="E770" s="290" t="n"/>
      <c r="F770" s="290" t="n"/>
    </row>
    <row r="771" ht="13" customHeight="1" s="189">
      <c r="A771" s="289" t="n"/>
      <c r="B771" s="290" t="n"/>
      <c r="C771" s="290" t="n"/>
      <c r="D771" s="291" t="n"/>
      <c r="E771" s="290" t="n"/>
      <c r="F771" s="290" t="n"/>
    </row>
    <row r="772" ht="13" customHeight="1" s="189">
      <c r="A772" s="289" t="n"/>
      <c r="B772" s="290" t="n"/>
      <c r="C772" s="290" t="n"/>
      <c r="D772" s="291" t="n"/>
      <c r="E772" s="290" t="n"/>
      <c r="F772" s="290" t="n"/>
    </row>
    <row r="773" ht="13" customHeight="1" s="189">
      <c r="A773" s="289" t="n"/>
      <c r="B773" s="290" t="n"/>
      <c r="C773" s="290" t="n"/>
      <c r="D773" s="291" t="n"/>
      <c r="E773" s="290" t="n"/>
      <c r="F773" s="290" t="n"/>
    </row>
    <row r="774" ht="13" customHeight="1" s="189">
      <c r="A774" s="289" t="n"/>
      <c r="B774" s="290" t="n"/>
      <c r="C774" s="290" t="n"/>
      <c r="D774" s="291" t="n"/>
      <c r="E774" s="290" t="n"/>
      <c r="F774" s="290" t="n"/>
    </row>
    <row r="775" ht="13" customHeight="1" s="189">
      <c r="A775" s="289" t="n"/>
      <c r="B775" s="290" t="n"/>
      <c r="C775" s="290" t="n"/>
      <c r="D775" s="291" t="n"/>
      <c r="E775" s="290" t="n"/>
      <c r="F775" s="290" t="n"/>
    </row>
    <row r="776" ht="13" customHeight="1" s="189">
      <c r="A776" s="289" t="n"/>
      <c r="B776" s="290" t="n"/>
      <c r="C776" s="290" t="n"/>
      <c r="D776" s="291" t="n"/>
      <c r="E776" s="290" t="n"/>
      <c r="F776" s="290" t="n"/>
    </row>
    <row r="777" ht="13" customHeight="1" s="189">
      <c r="A777" s="289" t="n"/>
      <c r="B777" s="290" t="n"/>
      <c r="C777" s="290" t="n"/>
      <c r="D777" s="291" t="n"/>
      <c r="E777" s="290" t="n"/>
      <c r="F777" s="290" t="n"/>
    </row>
    <row r="778" ht="13" customHeight="1" s="189">
      <c r="A778" s="289" t="n"/>
      <c r="B778" s="290" t="n"/>
      <c r="C778" s="290" t="n"/>
      <c r="D778" s="291" t="n"/>
      <c r="E778" s="290" t="n"/>
      <c r="F778" s="290" t="n"/>
    </row>
    <row r="779" ht="13" customHeight="1" s="189">
      <c r="A779" s="289" t="n"/>
      <c r="B779" s="290" t="n"/>
      <c r="C779" s="290" t="n"/>
      <c r="D779" s="291" t="n"/>
      <c r="E779" s="290" t="n"/>
      <c r="F779" s="290" t="n"/>
    </row>
    <row r="780" ht="13" customHeight="1" s="189">
      <c r="A780" s="289" t="n"/>
      <c r="B780" s="290" t="n"/>
      <c r="C780" s="290" t="n"/>
      <c r="D780" s="291" t="n"/>
      <c r="E780" s="290" t="n"/>
      <c r="F780" s="290" t="n"/>
    </row>
    <row r="781" ht="13" customHeight="1" s="189">
      <c r="A781" s="289" t="n"/>
      <c r="B781" s="290" t="n"/>
      <c r="C781" s="290" t="n"/>
      <c r="D781" s="291" t="n"/>
      <c r="E781" s="290" t="n"/>
      <c r="F781" s="290" t="n"/>
    </row>
    <row r="782" ht="13" customHeight="1" s="189">
      <c r="A782" s="289" t="n"/>
      <c r="B782" s="290" t="n"/>
      <c r="C782" s="290" t="n"/>
      <c r="D782" s="291" t="n"/>
      <c r="E782" s="290" t="n"/>
      <c r="F782" s="290" t="n"/>
    </row>
    <row r="783" ht="13" customHeight="1" s="189">
      <c r="A783" s="289" t="n"/>
      <c r="B783" s="290" t="n"/>
      <c r="C783" s="290" t="n"/>
      <c r="D783" s="291" t="n"/>
      <c r="E783" s="290" t="n"/>
      <c r="F783" s="290" t="n"/>
    </row>
    <row r="784" ht="13" customHeight="1" s="189">
      <c r="A784" s="289" t="n"/>
      <c r="B784" s="290" t="n"/>
      <c r="C784" s="290" t="n"/>
      <c r="D784" s="291" t="n"/>
      <c r="E784" s="290" t="n"/>
      <c r="F784" s="290" t="n"/>
    </row>
    <row r="785" ht="13" customHeight="1" s="189">
      <c r="A785" s="289" t="n"/>
      <c r="B785" s="290" t="n"/>
      <c r="C785" s="290" t="n"/>
      <c r="D785" s="291" t="n"/>
      <c r="E785" s="290" t="n"/>
      <c r="F785" s="290" t="n"/>
    </row>
    <row r="786" ht="13" customHeight="1" s="189">
      <c r="A786" s="289" t="n"/>
      <c r="B786" s="290" t="n"/>
      <c r="C786" s="290" t="n"/>
      <c r="D786" s="291" t="n"/>
      <c r="E786" s="290" t="n"/>
      <c r="F786" s="290" t="n"/>
    </row>
    <row r="787" ht="13" customHeight="1" s="189">
      <c r="A787" s="289" t="n"/>
      <c r="B787" s="290" t="n"/>
      <c r="C787" s="290" t="n"/>
      <c r="D787" s="291" t="n"/>
      <c r="E787" s="290" t="n"/>
      <c r="F787" s="290" t="n"/>
    </row>
    <row r="788" ht="13" customHeight="1" s="189">
      <c r="A788" s="289" t="n"/>
      <c r="B788" s="290" t="n"/>
      <c r="C788" s="290" t="n"/>
      <c r="D788" s="291" t="n"/>
      <c r="E788" s="290" t="n"/>
      <c r="F788" s="290" t="n"/>
    </row>
    <row r="789" ht="13" customHeight="1" s="189">
      <c r="A789" s="289" t="n"/>
      <c r="B789" s="290" t="n"/>
      <c r="C789" s="290" t="n"/>
      <c r="D789" s="291" t="n"/>
      <c r="E789" s="290" t="n"/>
      <c r="F789" s="290" t="n"/>
    </row>
    <row r="790" ht="13" customHeight="1" s="189">
      <c r="A790" s="289" t="n"/>
      <c r="B790" s="290" t="n"/>
      <c r="C790" s="290" t="n"/>
      <c r="D790" s="291" t="n"/>
      <c r="E790" s="290" t="n"/>
      <c r="F790" s="290" t="n"/>
    </row>
    <row r="791" ht="13" customHeight="1" s="189">
      <c r="A791" s="289" t="n"/>
      <c r="B791" s="290" t="n"/>
      <c r="C791" s="290" t="n"/>
      <c r="D791" s="291" t="n"/>
      <c r="E791" s="290" t="n"/>
      <c r="F791" s="290" t="n"/>
    </row>
    <row r="792" ht="13" customHeight="1" s="189">
      <c r="A792" s="289" t="n"/>
      <c r="B792" s="290" t="n"/>
      <c r="C792" s="290" t="n"/>
      <c r="D792" s="291" t="n"/>
      <c r="E792" s="290" t="n"/>
      <c r="F792" s="290" t="n"/>
    </row>
    <row r="793" ht="13" customHeight="1" s="189">
      <c r="A793" s="289" t="n"/>
      <c r="B793" s="290" t="n"/>
      <c r="C793" s="290" t="n"/>
      <c r="D793" s="291" t="n"/>
      <c r="E793" s="290" t="n"/>
      <c r="F793" s="290" t="n"/>
    </row>
    <row r="794" ht="13" customHeight="1" s="189">
      <c r="A794" s="289" t="n"/>
      <c r="B794" s="290" t="n"/>
      <c r="C794" s="290" t="n"/>
      <c r="D794" s="291" t="n"/>
      <c r="E794" s="290" t="n"/>
      <c r="F794" s="290" t="n"/>
    </row>
    <row r="795" ht="13" customHeight="1" s="189">
      <c r="A795" s="289" t="n"/>
      <c r="B795" s="290" t="n"/>
      <c r="C795" s="290" t="n"/>
      <c r="D795" s="291" t="n"/>
      <c r="E795" s="290" t="n"/>
      <c r="F795" s="290" t="n"/>
    </row>
    <row r="796" ht="13" customHeight="1" s="189">
      <c r="A796" s="289" t="n"/>
      <c r="B796" s="290" t="n"/>
      <c r="C796" s="290" t="n"/>
      <c r="D796" s="291" t="n"/>
      <c r="E796" s="290" t="n"/>
      <c r="F796" s="290" t="n"/>
    </row>
    <row r="797" ht="13" customHeight="1" s="189">
      <c r="A797" s="289" t="n"/>
      <c r="B797" s="290" t="n"/>
      <c r="C797" s="290" t="n"/>
      <c r="D797" s="291" t="n"/>
      <c r="E797" s="290" t="n"/>
      <c r="F797" s="290" t="n"/>
    </row>
    <row r="798" ht="13" customHeight="1" s="189">
      <c r="A798" s="289" t="n"/>
      <c r="B798" s="290" t="n"/>
      <c r="C798" s="290" t="n"/>
      <c r="D798" s="291" t="n"/>
      <c r="E798" s="290" t="n"/>
      <c r="F798" s="290" t="n"/>
    </row>
    <row r="799" ht="13" customHeight="1" s="189">
      <c r="A799" s="289" t="n"/>
      <c r="B799" s="290" t="n"/>
      <c r="C799" s="290" t="n"/>
      <c r="D799" s="291" t="n"/>
      <c r="E799" s="290" t="n"/>
      <c r="F799" s="290" t="n"/>
    </row>
    <row r="800" ht="13" customHeight="1" s="189">
      <c r="A800" s="289" t="n"/>
      <c r="B800" s="290" t="n"/>
      <c r="C800" s="290" t="n"/>
      <c r="D800" s="291" t="n"/>
      <c r="E800" s="290" t="n"/>
      <c r="F800" s="290" t="n"/>
    </row>
    <row r="801" ht="13" customHeight="1" s="189">
      <c r="A801" s="289" t="n"/>
      <c r="B801" s="290" t="n"/>
      <c r="C801" s="290" t="n"/>
      <c r="D801" s="291" t="n"/>
      <c r="E801" s="290" t="n"/>
      <c r="F801" s="290" t="n"/>
    </row>
    <row r="802" ht="13" customHeight="1" s="189">
      <c r="A802" s="289" t="n"/>
      <c r="B802" s="290" t="n"/>
      <c r="C802" s="290" t="n"/>
      <c r="D802" s="291" t="n"/>
      <c r="E802" s="290" t="n"/>
      <c r="F802" s="290" t="n"/>
    </row>
    <row r="803" ht="13" customHeight="1" s="189">
      <c r="A803" s="289" t="n"/>
      <c r="B803" s="290" t="n"/>
      <c r="C803" s="290" t="n"/>
      <c r="D803" s="291" t="n"/>
      <c r="E803" s="290" t="n"/>
      <c r="F803" s="290" t="n"/>
    </row>
    <row r="804" ht="13" customHeight="1" s="189">
      <c r="A804" s="289" t="n"/>
      <c r="B804" s="290" t="n"/>
      <c r="C804" s="290" t="n"/>
      <c r="D804" s="291" t="n"/>
      <c r="E804" s="290" t="n"/>
      <c r="F804" s="290" t="n"/>
    </row>
    <row r="805" ht="13" customHeight="1" s="189">
      <c r="A805" s="289" t="n"/>
      <c r="B805" s="290" t="n"/>
      <c r="C805" s="290" t="n"/>
      <c r="D805" s="291" t="n"/>
      <c r="E805" s="290" t="n"/>
      <c r="F805" s="290" t="n"/>
    </row>
    <row r="806" ht="13" customHeight="1" s="189">
      <c r="A806" s="289" t="n"/>
      <c r="B806" s="290" t="n"/>
      <c r="C806" s="290" t="n"/>
      <c r="D806" s="291" t="n"/>
      <c r="E806" s="290" t="n"/>
      <c r="F806" s="290" t="n"/>
    </row>
    <row r="807" ht="13" customHeight="1" s="189">
      <c r="A807" s="289" t="n"/>
      <c r="B807" s="290" t="n"/>
      <c r="C807" s="290" t="n"/>
      <c r="D807" s="291" t="n"/>
      <c r="E807" s="290" t="n"/>
      <c r="F807" s="290" t="n"/>
    </row>
    <row r="808" ht="13" customHeight="1" s="189">
      <c r="A808" s="289" t="n"/>
      <c r="B808" s="290" t="n"/>
      <c r="C808" s="290" t="n"/>
      <c r="D808" s="291" t="n"/>
      <c r="E808" s="290" t="n"/>
      <c r="F808" s="290" t="n"/>
    </row>
    <row r="809" ht="13" customHeight="1" s="189">
      <c r="A809" s="289" t="n"/>
      <c r="B809" s="290" t="n"/>
      <c r="C809" s="290" t="n"/>
      <c r="D809" s="291" t="n"/>
      <c r="E809" s="290" t="n"/>
      <c r="F809" s="290" t="n"/>
    </row>
    <row r="810" ht="13" customHeight="1" s="189">
      <c r="A810" s="289" t="n"/>
      <c r="B810" s="290" t="n"/>
      <c r="C810" s="290" t="n"/>
      <c r="D810" s="291" t="n"/>
      <c r="E810" s="290" t="n"/>
      <c r="F810" s="290" t="n"/>
    </row>
    <row r="811" ht="13" customHeight="1" s="189">
      <c r="A811" s="289" t="n"/>
      <c r="B811" s="290" t="n"/>
      <c r="C811" s="290" t="n"/>
      <c r="D811" s="291" t="n"/>
      <c r="E811" s="290" t="n"/>
      <c r="F811" s="290" t="n"/>
    </row>
    <row r="812" ht="13" customHeight="1" s="189">
      <c r="A812" s="289" t="n"/>
      <c r="B812" s="290" t="n"/>
      <c r="C812" s="290" t="n"/>
      <c r="D812" s="291" t="n"/>
      <c r="E812" s="290" t="n"/>
      <c r="F812" s="290" t="n"/>
    </row>
    <row r="813" ht="13" customHeight="1" s="189">
      <c r="A813" s="289" t="n"/>
      <c r="B813" s="290" t="n"/>
      <c r="C813" s="290" t="n"/>
      <c r="D813" s="291" t="n"/>
      <c r="E813" s="290" t="n"/>
      <c r="F813" s="290" t="n"/>
    </row>
    <row r="814" ht="13" customHeight="1" s="189">
      <c r="A814" s="289" t="n"/>
      <c r="B814" s="290" t="n"/>
      <c r="C814" s="290" t="n"/>
      <c r="D814" s="291" t="n"/>
      <c r="E814" s="290" t="n"/>
      <c r="F814" s="290" t="n"/>
    </row>
    <row r="815" ht="13" customHeight="1" s="189">
      <c r="A815" s="289" t="n"/>
      <c r="B815" s="290" t="n"/>
      <c r="C815" s="290" t="n"/>
      <c r="D815" s="291" t="n"/>
      <c r="E815" s="290" t="n"/>
      <c r="F815" s="290" t="n"/>
    </row>
    <row r="816" ht="13" customHeight="1" s="189">
      <c r="A816" s="289" t="n"/>
      <c r="B816" s="290" t="n"/>
      <c r="C816" s="290" t="n"/>
      <c r="D816" s="291" t="n"/>
      <c r="E816" s="290" t="n"/>
      <c r="F816" s="290" t="n"/>
    </row>
    <row r="817" ht="13" customHeight="1" s="189">
      <c r="A817" s="289" t="n"/>
      <c r="B817" s="290" t="n"/>
      <c r="C817" s="290" t="n"/>
      <c r="D817" s="291" t="n"/>
      <c r="E817" s="290" t="n"/>
      <c r="F817" s="290" t="n"/>
    </row>
    <row r="818" ht="13" customHeight="1" s="189">
      <c r="A818" s="289" t="n"/>
      <c r="B818" s="290" t="n"/>
      <c r="C818" s="290" t="n"/>
      <c r="D818" s="291" t="n"/>
      <c r="E818" s="290" t="n"/>
      <c r="F818" s="290" t="n"/>
    </row>
    <row r="819" ht="13" customHeight="1" s="189">
      <c r="A819" s="289" t="n"/>
      <c r="B819" s="290" t="n"/>
      <c r="C819" s="290" t="n"/>
      <c r="D819" s="291" t="n"/>
      <c r="E819" s="290" t="n"/>
      <c r="F819" s="290" t="n"/>
    </row>
    <row r="820" ht="13" customHeight="1" s="189">
      <c r="A820" s="289" t="n"/>
      <c r="B820" s="290" t="n"/>
      <c r="C820" s="290" t="n"/>
      <c r="D820" s="291" t="n"/>
      <c r="E820" s="290" t="n"/>
      <c r="F820" s="290" t="n"/>
    </row>
    <row r="821" ht="13" customHeight="1" s="189">
      <c r="A821" s="289" t="n"/>
      <c r="B821" s="290" t="n"/>
      <c r="C821" s="290" t="n"/>
      <c r="D821" s="291" t="n"/>
      <c r="E821" s="290" t="n"/>
      <c r="F821" s="290" t="n"/>
    </row>
    <row r="822" ht="13" customHeight="1" s="189">
      <c r="A822" s="289" t="n"/>
      <c r="B822" s="290" t="n"/>
      <c r="C822" s="290" t="n"/>
      <c r="D822" s="291" t="n"/>
      <c r="E822" s="290" t="n"/>
      <c r="F822" s="290" t="n"/>
    </row>
    <row r="823" ht="13" customHeight="1" s="189">
      <c r="A823" s="289" t="n"/>
      <c r="B823" s="290" t="n"/>
      <c r="C823" s="290" t="n"/>
      <c r="D823" s="291" t="n"/>
      <c r="E823" s="290" t="n"/>
      <c r="F823" s="290" t="n"/>
    </row>
    <row r="824" ht="13" customHeight="1" s="189">
      <c r="A824" s="289" t="n"/>
      <c r="B824" s="290" t="n"/>
      <c r="C824" s="290" t="n"/>
      <c r="D824" s="291" t="n"/>
      <c r="E824" s="290" t="n"/>
      <c r="F824" s="290" t="n"/>
    </row>
    <row r="825" ht="13" customHeight="1" s="189">
      <c r="A825" s="289" t="n"/>
      <c r="B825" s="290" t="n"/>
      <c r="C825" s="290" t="n"/>
      <c r="D825" s="291" t="n"/>
      <c r="E825" s="290" t="n"/>
      <c r="F825" s="290" t="n"/>
    </row>
    <row r="826" ht="13" customHeight="1" s="189">
      <c r="A826" s="289" t="n"/>
      <c r="B826" s="290" t="n"/>
      <c r="C826" s="290" t="n"/>
      <c r="D826" s="291" t="n"/>
      <c r="E826" s="290" t="n"/>
      <c r="F826" s="290" t="n"/>
    </row>
    <row r="827" ht="13" customHeight="1" s="189">
      <c r="A827" s="289" t="n"/>
      <c r="B827" s="290" t="n"/>
      <c r="C827" s="290" t="n"/>
      <c r="D827" s="291" t="n"/>
      <c r="E827" s="290" t="n"/>
      <c r="F827" s="290" t="n"/>
    </row>
    <row r="828" ht="13" customHeight="1" s="189">
      <c r="A828" s="289" t="n"/>
      <c r="B828" s="290" t="n"/>
      <c r="C828" s="290" t="n"/>
      <c r="D828" s="291" t="n"/>
      <c r="E828" s="290" t="n"/>
      <c r="F828" s="290" t="n"/>
    </row>
    <row r="829" ht="13" customHeight="1" s="189">
      <c r="A829" s="289" t="n"/>
      <c r="B829" s="290" t="n"/>
      <c r="C829" s="290" t="n"/>
      <c r="D829" s="291" t="n"/>
      <c r="E829" s="290" t="n"/>
      <c r="F829" s="290" t="n"/>
    </row>
    <row r="830" ht="13" customHeight="1" s="189">
      <c r="A830" s="289" t="n"/>
      <c r="B830" s="290" t="n"/>
      <c r="C830" s="290" t="n"/>
      <c r="D830" s="291" t="n"/>
      <c r="E830" s="290" t="n"/>
      <c r="F830" s="290" t="n"/>
    </row>
    <row r="831" ht="13" customHeight="1" s="189">
      <c r="A831" s="289" t="n"/>
      <c r="B831" s="290" t="n"/>
      <c r="C831" s="290" t="n"/>
      <c r="D831" s="291" t="n"/>
      <c r="E831" s="290" t="n"/>
      <c r="F831" s="290" t="n"/>
    </row>
    <row r="832" ht="13" customHeight="1" s="189">
      <c r="A832" s="289" t="n"/>
      <c r="B832" s="290" t="n"/>
      <c r="C832" s="290" t="n"/>
      <c r="D832" s="291" t="n"/>
      <c r="E832" s="290" t="n"/>
      <c r="F832" s="290" t="n"/>
    </row>
    <row r="833" ht="13" customHeight="1" s="189">
      <c r="A833" s="289" t="n"/>
      <c r="B833" s="290" t="n"/>
      <c r="C833" s="290" t="n"/>
      <c r="D833" s="291" t="n"/>
      <c r="E833" s="290" t="n"/>
      <c r="F833" s="290" t="n"/>
    </row>
    <row r="834" ht="13" customHeight="1" s="189">
      <c r="A834" s="289" t="n"/>
      <c r="B834" s="290" t="n"/>
      <c r="C834" s="290" t="n"/>
      <c r="D834" s="291" t="n"/>
      <c r="E834" s="290" t="n"/>
      <c r="F834" s="290" t="n"/>
    </row>
    <row r="835" ht="13" customHeight="1" s="189">
      <c r="A835" s="289" t="n"/>
      <c r="B835" s="290" t="n"/>
      <c r="C835" s="290" t="n"/>
      <c r="D835" s="291" t="n"/>
      <c r="E835" s="290" t="n"/>
      <c r="F835" s="290" t="n"/>
    </row>
    <row r="836" ht="13" customHeight="1" s="189">
      <c r="A836" s="289" t="n"/>
      <c r="B836" s="290" t="n"/>
      <c r="C836" s="290" t="n"/>
      <c r="D836" s="291" t="n"/>
      <c r="E836" s="290" t="n"/>
      <c r="F836" s="290" t="n"/>
    </row>
    <row r="837" ht="13" customHeight="1" s="189">
      <c r="A837" s="289" t="n"/>
      <c r="B837" s="290" t="n"/>
      <c r="C837" s="290" t="n"/>
      <c r="D837" s="291" t="n"/>
      <c r="E837" s="290" t="n"/>
      <c r="F837" s="290" t="n"/>
    </row>
    <row r="838" ht="13" customHeight="1" s="189">
      <c r="A838" s="289" t="n"/>
      <c r="B838" s="290" t="n"/>
      <c r="C838" s="290" t="n"/>
      <c r="D838" s="291" t="n"/>
      <c r="E838" s="290" t="n"/>
      <c r="F838" s="290" t="n"/>
    </row>
    <row r="839" ht="13" customHeight="1" s="189">
      <c r="A839" s="289" t="n"/>
      <c r="B839" s="290" t="n"/>
      <c r="C839" s="290" t="n"/>
      <c r="D839" s="291" t="n"/>
      <c r="E839" s="290" t="n"/>
      <c r="F839" s="290" t="n"/>
    </row>
    <row r="840" ht="13" customHeight="1" s="189">
      <c r="A840" s="289" t="n"/>
      <c r="B840" s="290" t="n"/>
      <c r="C840" s="290" t="n"/>
      <c r="D840" s="291" t="n"/>
      <c r="E840" s="290" t="n"/>
      <c r="F840" s="290" t="n"/>
    </row>
    <row r="841" ht="13" customHeight="1" s="189">
      <c r="A841" s="289" t="n"/>
      <c r="B841" s="290" t="n"/>
      <c r="C841" s="290" t="n"/>
      <c r="D841" s="291" t="n"/>
      <c r="E841" s="290" t="n"/>
      <c r="F841" s="290" t="n"/>
    </row>
    <row r="842" ht="13" customHeight="1" s="189">
      <c r="A842" s="289" t="n"/>
      <c r="B842" s="290" t="n"/>
      <c r="C842" s="290" t="n"/>
      <c r="D842" s="291" t="n"/>
      <c r="E842" s="290" t="n"/>
      <c r="F842" s="290" t="n"/>
    </row>
    <row r="843" ht="13" customHeight="1" s="189">
      <c r="A843" s="289" t="n"/>
      <c r="B843" s="290" t="n"/>
      <c r="C843" s="290" t="n"/>
      <c r="D843" s="291" t="n"/>
      <c r="E843" s="290" t="n"/>
      <c r="F843" s="290" t="n"/>
    </row>
    <row r="844" ht="13" customHeight="1" s="189">
      <c r="A844" s="289" t="n"/>
      <c r="B844" s="290" t="n"/>
      <c r="C844" s="290" t="n"/>
      <c r="D844" s="291" t="n"/>
      <c r="E844" s="290" t="n"/>
      <c r="F844" s="290" t="n"/>
    </row>
    <row r="845" ht="13" customHeight="1" s="189">
      <c r="A845" s="289" t="n"/>
      <c r="B845" s="290" t="n"/>
      <c r="C845" s="290" t="n"/>
      <c r="D845" s="291" t="n"/>
      <c r="E845" s="290" t="n"/>
      <c r="F845" s="290" t="n"/>
    </row>
    <row r="846" ht="13" customHeight="1" s="189">
      <c r="A846" s="289" t="n"/>
      <c r="B846" s="290" t="n"/>
      <c r="C846" s="290" t="n"/>
      <c r="D846" s="291" t="n"/>
      <c r="E846" s="290" t="n"/>
      <c r="F846" s="290" t="n"/>
    </row>
    <row r="847" ht="13" customHeight="1" s="189">
      <c r="A847" s="289" t="n"/>
      <c r="B847" s="290" t="n"/>
      <c r="C847" s="290" t="n"/>
      <c r="D847" s="291" t="n"/>
      <c r="E847" s="290" t="n"/>
      <c r="F847" s="290" t="n"/>
    </row>
    <row r="848" ht="13" customHeight="1" s="189">
      <c r="A848" s="289" t="n"/>
      <c r="B848" s="290" t="n"/>
      <c r="C848" s="290" t="n"/>
      <c r="D848" s="291" t="n"/>
      <c r="E848" s="290" t="n"/>
      <c r="F848" s="290" t="n"/>
    </row>
    <row r="849" ht="13" customHeight="1" s="189">
      <c r="A849" s="289" t="n"/>
      <c r="B849" s="290" t="n"/>
      <c r="C849" s="290" t="n"/>
      <c r="D849" s="291" t="n"/>
      <c r="E849" s="290" t="n"/>
      <c r="F849" s="290" t="n"/>
    </row>
    <row r="850" ht="13" customHeight="1" s="189">
      <c r="A850" s="289" t="n"/>
      <c r="B850" s="290" t="n"/>
      <c r="C850" s="290" t="n"/>
      <c r="D850" s="291" t="n"/>
      <c r="E850" s="290" t="n"/>
      <c r="F850" s="290" t="n"/>
    </row>
    <row r="851" ht="13" customHeight="1" s="189">
      <c r="A851" s="289" t="n"/>
      <c r="B851" s="290" t="n"/>
      <c r="C851" s="290" t="n"/>
      <c r="D851" s="291" t="n"/>
      <c r="E851" s="290" t="n"/>
      <c r="F851" s="290" t="n"/>
    </row>
    <row r="852" ht="13" customHeight="1" s="189">
      <c r="A852" s="289" t="n"/>
      <c r="B852" s="290" t="n"/>
      <c r="C852" s="290" t="n"/>
      <c r="D852" s="291" t="n"/>
      <c r="E852" s="290" t="n"/>
      <c r="F852" s="290" t="n"/>
    </row>
    <row r="853" ht="13" customHeight="1" s="189">
      <c r="A853" s="289" t="n"/>
      <c r="B853" s="290" t="n"/>
      <c r="C853" s="290" t="n"/>
      <c r="D853" s="291" t="n"/>
      <c r="E853" s="290" t="n"/>
      <c r="F853" s="290" t="n"/>
    </row>
    <row r="854" ht="13" customHeight="1" s="189">
      <c r="A854" s="289" t="n"/>
      <c r="B854" s="290" t="n"/>
      <c r="C854" s="290" t="n"/>
      <c r="D854" s="291" t="n"/>
      <c r="E854" s="290" t="n"/>
      <c r="F854" s="290" t="n"/>
    </row>
    <row r="855" ht="13" customHeight="1" s="189">
      <c r="A855" s="289" t="n"/>
      <c r="B855" s="290" t="n"/>
      <c r="C855" s="290" t="n"/>
      <c r="D855" s="291" t="n"/>
      <c r="E855" s="290" t="n"/>
      <c r="F855" s="290" t="n"/>
    </row>
    <row r="856" ht="13" customHeight="1" s="189">
      <c r="A856" s="289" t="n"/>
      <c r="B856" s="290" t="n"/>
      <c r="C856" s="290" t="n"/>
      <c r="D856" s="291" t="n"/>
      <c r="E856" s="290" t="n"/>
      <c r="F856" s="290" t="n"/>
    </row>
    <row r="857" ht="13" customHeight="1" s="189">
      <c r="A857" s="289" t="n"/>
      <c r="B857" s="290" t="n"/>
      <c r="C857" s="290" t="n"/>
      <c r="D857" s="291" t="n"/>
      <c r="E857" s="290" t="n"/>
      <c r="F857" s="290" t="n"/>
    </row>
    <row r="858" ht="13" customHeight="1" s="189">
      <c r="A858" s="289" t="n"/>
      <c r="B858" s="290" t="n"/>
      <c r="C858" s="290" t="n"/>
      <c r="D858" s="291" t="n"/>
      <c r="E858" s="290" t="n"/>
      <c r="F858" s="290" t="n"/>
    </row>
    <row r="859" ht="13" customHeight="1" s="189">
      <c r="A859" s="289" t="n"/>
      <c r="B859" s="290" t="n"/>
      <c r="C859" s="290" t="n"/>
      <c r="D859" s="291" t="n"/>
      <c r="E859" s="290" t="n"/>
      <c r="F859" s="290" t="n"/>
    </row>
    <row r="860" ht="13" customHeight="1" s="189">
      <c r="A860" s="289" t="n"/>
      <c r="B860" s="290" t="n"/>
      <c r="C860" s="290" t="n"/>
      <c r="D860" s="291" t="n"/>
      <c r="E860" s="290" t="n"/>
      <c r="F860" s="290" t="n"/>
    </row>
    <row r="861" ht="13" customHeight="1" s="189">
      <c r="A861" s="289" t="n"/>
      <c r="B861" s="290" t="n"/>
      <c r="C861" s="290" t="n"/>
      <c r="D861" s="291" t="n"/>
      <c r="E861" s="290" t="n"/>
      <c r="F861" s="290" t="n"/>
    </row>
    <row r="862" ht="13" customHeight="1" s="189">
      <c r="A862" s="289" t="n"/>
      <c r="B862" s="290" t="n"/>
      <c r="C862" s="290" t="n"/>
      <c r="D862" s="291" t="n"/>
      <c r="E862" s="290" t="n"/>
      <c r="F862" s="290" t="n"/>
    </row>
    <row r="863" ht="13" customHeight="1" s="189">
      <c r="A863" s="289" t="n"/>
      <c r="B863" s="290" t="n"/>
      <c r="C863" s="290" t="n"/>
      <c r="D863" s="291" t="n"/>
      <c r="E863" s="290" t="n"/>
      <c r="F863" s="290" t="n"/>
    </row>
    <row r="864" ht="13" customHeight="1" s="189">
      <c r="A864" s="289" t="n"/>
      <c r="B864" s="290" t="n"/>
      <c r="C864" s="290" t="n"/>
      <c r="D864" s="291" t="n"/>
      <c r="E864" s="290" t="n"/>
      <c r="F864" s="290" t="n"/>
    </row>
    <row r="865" ht="13" customHeight="1" s="189">
      <c r="A865" s="289" t="n"/>
      <c r="B865" s="290" t="n"/>
      <c r="C865" s="290" t="n"/>
      <c r="D865" s="291" t="n"/>
      <c r="E865" s="290" t="n"/>
      <c r="F865" s="290" t="n"/>
    </row>
    <row r="866" ht="13" customHeight="1" s="189">
      <c r="A866" s="289" t="n"/>
      <c r="B866" s="290" t="n"/>
      <c r="C866" s="290" t="n"/>
      <c r="D866" s="291" t="n"/>
      <c r="E866" s="290" t="n"/>
      <c r="F866" s="290" t="n"/>
    </row>
    <row r="867" ht="13" customHeight="1" s="189">
      <c r="A867" s="289" t="n"/>
      <c r="B867" s="290" t="n"/>
      <c r="C867" s="290" t="n"/>
      <c r="D867" s="291" t="n"/>
      <c r="E867" s="290" t="n"/>
      <c r="F867" s="290" t="n"/>
    </row>
    <row r="868" ht="13" customHeight="1" s="189">
      <c r="A868" s="289" t="n"/>
      <c r="B868" s="290" t="n"/>
      <c r="C868" s="290" t="n"/>
      <c r="D868" s="291" t="n"/>
      <c r="E868" s="290" t="n"/>
      <c r="F868" s="290" t="n"/>
    </row>
    <row r="869" ht="13" customHeight="1" s="189">
      <c r="A869" s="289" t="n"/>
      <c r="B869" s="290" t="n"/>
      <c r="C869" s="290" t="n"/>
      <c r="D869" s="291" t="n"/>
      <c r="E869" s="290" t="n"/>
      <c r="F869" s="290" t="n"/>
    </row>
    <row r="870" ht="13" customHeight="1" s="189">
      <c r="A870" s="289" t="n"/>
      <c r="B870" s="290" t="n"/>
      <c r="C870" s="290" t="n"/>
      <c r="D870" s="291" t="n"/>
      <c r="E870" s="290" t="n"/>
      <c r="F870" s="290" t="n"/>
    </row>
    <row r="871" ht="13" customHeight="1" s="189">
      <c r="A871" s="289" t="n"/>
      <c r="B871" s="290" t="n"/>
      <c r="C871" s="290" t="n"/>
      <c r="D871" s="291" t="n"/>
      <c r="E871" s="290" t="n"/>
      <c r="F871" s="290" t="n"/>
    </row>
    <row r="872" ht="13" customHeight="1" s="189">
      <c r="A872" s="289" t="n"/>
      <c r="B872" s="290" t="n"/>
      <c r="C872" s="290" t="n"/>
      <c r="D872" s="291" t="n"/>
      <c r="E872" s="290" t="n"/>
      <c r="F872" s="290" t="n"/>
    </row>
    <row r="873" ht="13" customHeight="1" s="189">
      <c r="A873" s="289" t="n"/>
      <c r="B873" s="290" t="n"/>
      <c r="C873" s="290" t="n"/>
      <c r="D873" s="291" t="n"/>
      <c r="E873" s="290" t="n"/>
      <c r="F873" s="290" t="n"/>
    </row>
    <row r="874" ht="13" customHeight="1" s="189">
      <c r="A874" s="289" t="n"/>
      <c r="B874" s="290" t="n"/>
      <c r="C874" s="290" t="n"/>
      <c r="D874" s="291" t="n"/>
      <c r="E874" s="290" t="n"/>
      <c r="F874" s="290" t="n"/>
    </row>
    <row r="875" ht="13" customHeight="1" s="189">
      <c r="A875" s="289" t="n"/>
      <c r="B875" s="290" t="n"/>
      <c r="C875" s="290" t="n"/>
      <c r="D875" s="291" t="n"/>
      <c r="E875" s="290" t="n"/>
      <c r="F875" s="290" t="n"/>
    </row>
    <row r="876" ht="13" customHeight="1" s="189">
      <c r="A876" s="289" t="n"/>
      <c r="B876" s="290" t="n"/>
      <c r="C876" s="290" t="n"/>
      <c r="D876" s="291" t="n"/>
      <c r="E876" s="290" t="n"/>
      <c r="F876" s="290" t="n"/>
    </row>
    <row r="877" ht="13" customHeight="1" s="189">
      <c r="A877" s="289" t="n"/>
      <c r="B877" s="290" t="n"/>
      <c r="C877" s="290" t="n"/>
      <c r="D877" s="291" t="n"/>
      <c r="E877" s="290" t="n"/>
      <c r="F877" s="290" t="n"/>
    </row>
    <row r="878" ht="13" customHeight="1" s="189">
      <c r="A878" s="289" t="n"/>
      <c r="B878" s="290" t="n"/>
      <c r="C878" s="290" t="n"/>
      <c r="D878" s="291" t="n"/>
      <c r="E878" s="290" t="n"/>
      <c r="F878" s="290" t="n"/>
    </row>
    <row r="879" ht="13" customHeight="1" s="189">
      <c r="A879" s="289" t="n"/>
      <c r="B879" s="290" t="n"/>
      <c r="C879" s="290" t="n"/>
      <c r="D879" s="291" t="n"/>
      <c r="E879" s="290" t="n"/>
      <c r="F879" s="290" t="n"/>
    </row>
    <row r="880" ht="13" customHeight="1" s="189">
      <c r="A880" s="289" t="n"/>
      <c r="B880" s="290" t="n"/>
      <c r="C880" s="290" t="n"/>
      <c r="D880" s="291" t="n"/>
      <c r="E880" s="290" t="n"/>
      <c r="F880" s="290" t="n"/>
    </row>
    <row r="881" ht="13" customHeight="1" s="189">
      <c r="A881" s="289" t="n"/>
      <c r="B881" s="290" t="n"/>
      <c r="C881" s="290" t="n"/>
      <c r="D881" s="291" t="n"/>
      <c r="E881" s="290" t="n"/>
      <c r="F881" s="290" t="n"/>
    </row>
    <row r="882" ht="13" customHeight="1" s="189">
      <c r="A882" s="289" t="n"/>
      <c r="B882" s="290" t="n"/>
      <c r="C882" s="290" t="n"/>
      <c r="D882" s="291" t="n"/>
      <c r="E882" s="290" t="n"/>
      <c r="F882" s="290" t="n"/>
    </row>
    <row r="883" ht="13" customHeight="1" s="189">
      <c r="A883" s="289" t="n"/>
      <c r="B883" s="290" t="n"/>
      <c r="C883" s="290" t="n"/>
      <c r="D883" s="291" t="n"/>
      <c r="E883" s="290" t="n"/>
      <c r="F883" s="290" t="n"/>
    </row>
    <row r="884" ht="13" customHeight="1" s="189">
      <c r="A884" s="289" t="n"/>
      <c r="B884" s="290" t="n"/>
      <c r="C884" s="290" t="n"/>
      <c r="D884" s="291" t="n"/>
      <c r="E884" s="290" t="n"/>
      <c r="F884" s="290" t="n"/>
    </row>
    <row r="885" ht="13" customHeight="1" s="189">
      <c r="A885" s="289" t="n"/>
      <c r="B885" s="290" t="n"/>
      <c r="C885" s="290" t="n"/>
      <c r="D885" s="291" t="n"/>
      <c r="E885" s="290" t="n"/>
      <c r="F885" s="290" t="n"/>
    </row>
    <row r="886" ht="13" customHeight="1" s="189">
      <c r="A886" s="289" t="n"/>
      <c r="B886" s="290" t="n"/>
      <c r="C886" s="290" t="n"/>
      <c r="D886" s="291" t="n"/>
      <c r="E886" s="290" t="n"/>
      <c r="F886" s="290" t="n"/>
    </row>
    <row r="887" ht="13" customHeight="1" s="189">
      <c r="A887" s="289" t="n"/>
      <c r="B887" s="290" t="n"/>
      <c r="C887" s="290" t="n"/>
      <c r="D887" s="291" t="n"/>
      <c r="E887" s="290" t="n"/>
      <c r="F887" s="290" t="n"/>
    </row>
    <row r="888" ht="13" customHeight="1" s="189">
      <c r="A888" s="289" t="n"/>
      <c r="B888" s="290" t="n"/>
      <c r="C888" s="290" t="n"/>
      <c r="D888" s="291" t="n"/>
      <c r="E888" s="290" t="n"/>
      <c r="F888" s="290" t="n"/>
    </row>
    <row r="889" ht="13" customHeight="1" s="189">
      <c r="A889" s="289" t="n"/>
      <c r="B889" s="290" t="n"/>
      <c r="C889" s="290" t="n"/>
      <c r="D889" s="291" t="n"/>
      <c r="E889" s="290" t="n"/>
      <c r="F889" s="290" t="n"/>
    </row>
    <row r="890" ht="13" customHeight="1" s="189">
      <c r="A890" s="289" t="n"/>
      <c r="B890" s="290" t="n"/>
      <c r="C890" s="290" t="n"/>
      <c r="D890" s="291" t="n"/>
      <c r="E890" s="290" t="n"/>
      <c r="F890" s="290" t="n"/>
    </row>
    <row r="891" ht="13" customHeight="1" s="189">
      <c r="A891" s="289" t="n"/>
      <c r="B891" s="290" t="n"/>
      <c r="C891" s="290" t="n"/>
      <c r="D891" s="291" t="n"/>
      <c r="E891" s="290" t="n"/>
      <c r="F891" s="290" t="n"/>
    </row>
    <row r="892" ht="13" customHeight="1" s="189">
      <c r="A892" s="289" t="n"/>
      <c r="B892" s="290" t="n"/>
      <c r="C892" s="290" t="n"/>
      <c r="D892" s="291" t="n"/>
      <c r="E892" s="290" t="n"/>
      <c r="F892" s="290" t="n"/>
    </row>
    <row r="893" ht="13" customHeight="1" s="189">
      <c r="A893" s="289" t="n"/>
      <c r="B893" s="290" t="n"/>
      <c r="C893" s="290" t="n"/>
      <c r="D893" s="291" t="n"/>
      <c r="E893" s="290" t="n"/>
      <c r="F893" s="290" t="n"/>
    </row>
    <row r="894" ht="13" customHeight="1" s="189">
      <c r="A894" s="289" t="n"/>
      <c r="B894" s="290" t="n"/>
      <c r="C894" s="290" t="n"/>
      <c r="D894" s="291" t="n"/>
      <c r="E894" s="290" t="n"/>
      <c r="F894" s="290" t="n"/>
    </row>
    <row r="895" ht="13" customHeight="1" s="189">
      <c r="A895" s="289" t="n"/>
      <c r="B895" s="290" t="n"/>
      <c r="C895" s="290" t="n"/>
      <c r="D895" s="291" t="n"/>
      <c r="E895" s="290" t="n"/>
      <c r="F895" s="290" t="n"/>
    </row>
    <row r="896" ht="13" customHeight="1" s="189">
      <c r="A896" s="289" t="n"/>
      <c r="B896" s="290" t="n"/>
      <c r="C896" s="290" t="n"/>
      <c r="D896" s="291" t="n"/>
      <c r="E896" s="290" t="n"/>
      <c r="F896" s="290" t="n"/>
    </row>
    <row r="897" ht="13" customHeight="1" s="189">
      <c r="A897" s="289" t="n"/>
      <c r="B897" s="290" t="n"/>
      <c r="C897" s="290" t="n"/>
      <c r="D897" s="291" t="n"/>
      <c r="E897" s="290" t="n"/>
      <c r="F897" s="290" t="n"/>
    </row>
    <row r="898" ht="13" customHeight="1" s="189">
      <c r="A898" s="289" t="n"/>
      <c r="B898" s="290" t="n"/>
      <c r="C898" s="290" t="n"/>
      <c r="D898" s="291" t="n"/>
      <c r="E898" s="290" t="n"/>
      <c r="F898" s="290" t="n"/>
    </row>
    <row r="899" ht="13" customHeight="1" s="189">
      <c r="A899" s="289" t="n"/>
      <c r="B899" s="290" t="n"/>
      <c r="C899" s="290" t="n"/>
      <c r="D899" s="291" t="n"/>
      <c r="E899" s="290" t="n"/>
      <c r="F899" s="290" t="n"/>
    </row>
    <row r="900" ht="13" customHeight="1" s="189">
      <c r="A900" s="289" t="n"/>
      <c r="B900" s="290" t="n"/>
      <c r="C900" s="290" t="n"/>
      <c r="D900" s="291" t="n"/>
      <c r="E900" s="290" t="n"/>
      <c r="F900" s="290" t="n"/>
    </row>
    <row r="901" ht="13" customHeight="1" s="189">
      <c r="A901" s="289" t="n"/>
      <c r="B901" s="290" t="n"/>
      <c r="C901" s="290" t="n"/>
      <c r="D901" s="291" t="n"/>
      <c r="E901" s="290" t="n"/>
      <c r="F901" s="290" t="n"/>
    </row>
    <row r="902" ht="13" customHeight="1" s="189">
      <c r="A902" s="289" t="n"/>
      <c r="B902" s="290" t="n"/>
      <c r="C902" s="290" t="n"/>
      <c r="D902" s="291" t="n"/>
      <c r="E902" s="290" t="n"/>
      <c r="F902" s="290" t="n"/>
    </row>
    <row r="903" ht="13" customHeight="1" s="189">
      <c r="A903" s="289" t="n"/>
      <c r="B903" s="290" t="n"/>
      <c r="C903" s="290" t="n"/>
      <c r="D903" s="291" t="n"/>
      <c r="E903" s="290" t="n"/>
      <c r="F903" s="290" t="n"/>
    </row>
    <row r="904" ht="13" customHeight="1" s="189">
      <c r="A904" s="289" t="n"/>
      <c r="B904" s="290" t="n"/>
      <c r="C904" s="290" t="n"/>
      <c r="D904" s="291" t="n"/>
      <c r="E904" s="290" t="n"/>
      <c r="F904" s="290" t="n"/>
    </row>
    <row r="905" ht="13" customHeight="1" s="189">
      <c r="A905" s="289" t="n"/>
      <c r="B905" s="290" t="n"/>
      <c r="C905" s="290" t="n"/>
      <c r="D905" s="291" t="n"/>
      <c r="E905" s="290" t="n"/>
      <c r="F905" s="290" t="n"/>
    </row>
    <row r="906" ht="13" customHeight="1" s="189">
      <c r="A906" s="289" t="n"/>
      <c r="B906" s="290" t="n"/>
      <c r="C906" s="290" t="n"/>
      <c r="D906" s="291" t="n"/>
      <c r="E906" s="290" t="n"/>
      <c r="F906" s="290" t="n"/>
    </row>
    <row r="907" ht="13" customHeight="1" s="189">
      <c r="A907" s="289" t="n"/>
      <c r="B907" s="290" t="n"/>
      <c r="C907" s="290" t="n"/>
      <c r="D907" s="291" t="n"/>
      <c r="E907" s="290" t="n"/>
      <c r="F907" s="290" t="n"/>
    </row>
    <row r="908" ht="13" customHeight="1" s="189">
      <c r="A908" s="289" t="n"/>
      <c r="B908" s="290" t="n"/>
      <c r="C908" s="290" t="n"/>
      <c r="D908" s="291" t="n"/>
      <c r="E908" s="290" t="n"/>
      <c r="F908" s="290" t="n"/>
    </row>
    <row r="909" ht="13" customHeight="1" s="189">
      <c r="A909" s="289" t="n"/>
      <c r="B909" s="290" t="n"/>
      <c r="C909" s="290" t="n"/>
      <c r="D909" s="291" t="n"/>
      <c r="E909" s="290" t="n"/>
      <c r="F909" s="290" t="n"/>
    </row>
    <row r="910" ht="13" customHeight="1" s="189">
      <c r="A910" s="289" t="n"/>
      <c r="B910" s="290" t="n"/>
      <c r="C910" s="290" t="n"/>
      <c r="D910" s="291" t="n"/>
      <c r="E910" s="290" t="n"/>
      <c r="F910" s="290" t="n"/>
    </row>
    <row r="911" ht="13" customHeight="1" s="189">
      <c r="A911" s="289" t="n"/>
      <c r="B911" s="290" t="n"/>
      <c r="C911" s="290" t="n"/>
      <c r="D911" s="291" t="n"/>
      <c r="E911" s="290" t="n"/>
      <c r="F911" s="290" t="n"/>
    </row>
    <row r="912" ht="13" customHeight="1" s="189">
      <c r="A912" s="289" t="n"/>
      <c r="B912" s="290" t="n"/>
      <c r="C912" s="290" t="n"/>
      <c r="D912" s="291" t="n"/>
      <c r="E912" s="290" t="n"/>
      <c r="F912" s="290" t="n"/>
    </row>
    <row r="913" ht="13" customHeight="1" s="189">
      <c r="A913" s="289" t="n"/>
      <c r="B913" s="290" t="n"/>
      <c r="C913" s="290" t="n"/>
      <c r="D913" s="291" t="n"/>
      <c r="E913" s="290" t="n"/>
      <c r="F913" s="290" t="n"/>
    </row>
    <row r="914" ht="13" customHeight="1" s="189">
      <c r="A914" s="289" t="n"/>
      <c r="B914" s="290" t="n"/>
      <c r="C914" s="290" t="n"/>
      <c r="D914" s="291" t="n"/>
      <c r="E914" s="290" t="n"/>
      <c r="F914" s="290" t="n"/>
    </row>
    <row r="915" ht="13" customHeight="1" s="189">
      <c r="A915" s="289" t="n"/>
      <c r="B915" s="290" t="n"/>
      <c r="C915" s="290" t="n"/>
      <c r="D915" s="291" t="n"/>
      <c r="E915" s="290" t="n"/>
      <c r="F915" s="290" t="n"/>
    </row>
    <row r="916" ht="13" customHeight="1" s="189">
      <c r="A916" s="289" t="n"/>
      <c r="B916" s="290" t="n"/>
      <c r="C916" s="290" t="n"/>
      <c r="D916" s="291" t="n"/>
      <c r="E916" s="290" t="n"/>
      <c r="F916" s="290" t="n"/>
    </row>
    <row r="917" ht="13" customHeight="1" s="189">
      <c r="A917" s="289" t="n"/>
      <c r="B917" s="290" t="n"/>
      <c r="C917" s="290" t="n"/>
      <c r="D917" s="291" t="n"/>
      <c r="E917" s="290" t="n"/>
      <c r="F917" s="290" t="n"/>
    </row>
    <row r="918" ht="13" customHeight="1" s="189">
      <c r="A918" s="289" t="n"/>
      <c r="B918" s="290" t="n"/>
      <c r="C918" s="290" t="n"/>
      <c r="D918" s="291" t="n"/>
      <c r="E918" s="290" t="n"/>
      <c r="F918" s="290" t="n"/>
    </row>
    <row r="919" ht="13" customHeight="1" s="189">
      <c r="A919" s="289" t="n"/>
      <c r="B919" s="290" t="n"/>
      <c r="C919" s="290" t="n"/>
      <c r="D919" s="291" t="n"/>
      <c r="E919" s="290" t="n"/>
      <c r="F919" s="290" t="n"/>
    </row>
    <row r="920" ht="13" customHeight="1" s="189">
      <c r="A920" s="289" t="n"/>
      <c r="B920" s="290" t="n"/>
      <c r="C920" s="290" t="n"/>
      <c r="D920" s="291" t="n"/>
      <c r="E920" s="290" t="n"/>
      <c r="F920" s="290" t="n"/>
    </row>
    <row r="921" ht="13" customHeight="1" s="189">
      <c r="A921" s="289" t="n"/>
      <c r="B921" s="290" t="n"/>
      <c r="C921" s="290" t="n"/>
      <c r="D921" s="291" t="n"/>
      <c r="E921" s="290" t="n"/>
      <c r="F921" s="290" t="n"/>
    </row>
    <row r="922" ht="13" customHeight="1" s="189">
      <c r="A922" s="289" t="n"/>
      <c r="B922" s="290" t="n"/>
      <c r="C922" s="290" t="n"/>
      <c r="D922" s="291" t="n"/>
      <c r="E922" s="290" t="n"/>
      <c r="F922" s="290" t="n"/>
    </row>
    <row r="923" ht="13" customHeight="1" s="189">
      <c r="A923" s="289" t="n"/>
      <c r="B923" s="290" t="n"/>
      <c r="C923" s="290" t="n"/>
      <c r="D923" s="291" t="n"/>
      <c r="E923" s="290" t="n"/>
      <c r="F923" s="290" t="n"/>
    </row>
    <row r="924" ht="13" customHeight="1" s="189">
      <c r="A924" s="289" t="n"/>
      <c r="B924" s="290" t="n"/>
      <c r="C924" s="290" t="n"/>
      <c r="D924" s="291" t="n"/>
      <c r="E924" s="290" t="n"/>
      <c r="F924" s="290" t="n"/>
    </row>
    <row r="925" ht="13" customHeight="1" s="189">
      <c r="A925" s="289" t="n"/>
      <c r="B925" s="290" t="n"/>
      <c r="C925" s="290" t="n"/>
      <c r="D925" s="291" t="n"/>
      <c r="E925" s="290" t="n"/>
      <c r="F925" s="290" t="n"/>
    </row>
    <row r="926" ht="13" customHeight="1" s="189">
      <c r="A926" s="289" t="n"/>
      <c r="B926" s="290" t="n"/>
      <c r="C926" s="290" t="n"/>
      <c r="D926" s="291" t="n"/>
      <c r="E926" s="290" t="n"/>
      <c r="F926" s="290" t="n"/>
    </row>
    <row r="927" ht="13" customHeight="1" s="189">
      <c r="A927" s="289" t="n"/>
      <c r="B927" s="290" t="n"/>
      <c r="C927" s="290" t="n"/>
      <c r="D927" s="291" t="n"/>
      <c r="E927" s="290" t="n"/>
      <c r="F927" s="290" t="n"/>
    </row>
    <row r="928" ht="13" customHeight="1" s="189">
      <c r="A928" s="289" t="n"/>
      <c r="B928" s="290" t="n"/>
      <c r="C928" s="290" t="n"/>
      <c r="D928" s="291" t="n"/>
      <c r="E928" s="290" t="n"/>
      <c r="F928" s="290" t="n"/>
    </row>
    <row r="929" ht="13" customHeight="1" s="189">
      <c r="A929" s="289" t="n"/>
      <c r="B929" s="290" t="n"/>
      <c r="C929" s="290" t="n"/>
      <c r="D929" s="291" t="n"/>
      <c r="E929" s="290" t="n"/>
      <c r="F929" s="290" t="n"/>
    </row>
    <row r="930" ht="13" customHeight="1" s="189">
      <c r="A930" s="289" t="n"/>
      <c r="B930" s="290" t="n"/>
      <c r="C930" s="290" t="n"/>
      <c r="D930" s="291" t="n"/>
      <c r="E930" s="290" t="n"/>
      <c r="F930" s="290" t="n"/>
    </row>
    <row r="931" ht="13" customHeight="1" s="189">
      <c r="A931" s="289" t="n"/>
      <c r="B931" s="290" t="n"/>
      <c r="C931" s="290" t="n"/>
      <c r="D931" s="291" t="n"/>
      <c r="E931" s="290" t="n"/>
      <c r="F931" s="290" t="n"/>
    </row>
    <row r="932" ht="13" customHeight="1" s="189">
      <c r="A932" s="289" t="n"/>
      <c r="B932" s="290" t="n"/>
      <c r="C932" s="290" t="n"/>
      <c r="D932" s="291" t="n"/>
      <c r="E932" s="290" t="n"/>
      <c r="F932" s="290" t="n"/>
    </row>
    <row r="933" ht="13" customHeight="1" s="189">
      <c r="A933" s="289" t="n"/>
      <c r="B933" s="290" t="n"/>
      <c r="C933" s="290" t="n"/>
      <c r="D933" s="291" t="n"/>
      <c r="E933" s="290" t="n"/>
      <c r="F933" s="290" t="n"/>
    </row>
    <row r="934" ht="13" customHeight="1" s="189">
      <c r="A934" s="289" t="n"/>
      <c r="B934" s="290" t="n"/>
      <c r="C934" s="290" t="n"/>
      <c r="D934" s="291" t="n"/>
      <c r="E934" s="290" t="n"/>
      <c r="F934" s="290" t="n"/>
    </row>
    <row r="935" ht="13" customHeight="1" s="189">
      <c r="A935" s="289" t="n"/>
      <c r="B935" s="290" t="n"/>
      <c r="C935" s="290" t="n"/>
      <c r="D935" s="291" t="n"/>
      <c r="E935" s="290" t="n"/>
      <c r="F935" s="290" t="n"/>
    </row>
    <row r="936" ht="13" customHeight="1" s="189">
      <c r="A936" s="289" t="n"/>
      <c r="B936" s="290" t="n"/>
      <c r="C936" s="290" t="n"/>
      <c r="D936" s="291" t="n"/>
      <c r="E936" s="290" t="n"/>
      <c r="F936" s="290" t="n"/>
    </row>
    <row r="937" ht="13" customHeight="1" s="189">
      <c r="A937" s="289" t="n"/>
      <c r="B937" s="290" t="n"/>
      <c r="C937" s="290" t="n"/>
      <c r="D937" s="291" t="n"/>
      <c r="E937" s="290" t="n"/>
      <c r="F937" s="290" t="n"/>
    </row>
    <row r="938" ht="13" customHeight="1" s="189">
      <c r="A938" s="289" t="n"/>
      <c r="B938" s="290" t="n"/>
      <c r="C938" s="290" t="n"/>
      <c r="D938" s="291" t="n"/>
      <c r="E938" s="290" t="n"/>
      <c r="F938" s="290" t="n"/>
    </row>
    <row r="939" ht="13" customHeight="1" s="189">
      <c r="A939" s="289" t="n"/>
      <c r="B939" s="290" t="n"/>
      <c r="C939" s="290" t="n"/>
      <c r="D939" s="291" t="n"/>
      <c r="E939" s="290" t="n"/>
      <c r="F939" s="290" t="n"/>
    </row>
    <row r="940" ht="13" customHeight="1" s="189">
      <c r="A940" s="289" t="n"/>
      <c r="B940" s="290" t="n"/>
      <c r="C940" s="290" t="n"/>
      <c r="D940" s="291" t="n"/>
      <c r="E940" s="290" t="n"/>
      <c r="F940" s="290" t="n"/>
    </row>
    <row r="941" ht="13" customHeight="1" s="189">
      <c r="A941" s="289" t="n"/>
      <c r="B941" s="290" t="n"/>
      <c r="C941" s="290" t="n"/>
      <c r="D941" s="291" t="n"/>
      <c r="E941" s="290" t="n"/>
      <c r="F941" s="290" t="n"/>
    </row>
    <row r="942" ht="13" customHeight="1" s="189">
      <c r="A942" s="289" t="n"/>
      <c r="B942" s="290" t="n"/>
      <c r="C942" s="290" t="n"/>
      <c r="D942" s="291" t="n"/>
      <c r="E942" s="290" t="n"/>
      <c r="F942" s="290" t="n"/>
    </row>
    <row r="943" ht="13" customHeight="1" s="189">
      <c r="A943" s="289" t="n"/>
      <c r="B943" s="290" t="n"/>
      <c r="C943" s="290" t="n"/>
      <c r="D943" s="291" t="n"/>
      <c r="E943" s="290" t="n"/>
      <c r="F943" s="290" t="n"/>
    </row>
    <row r="944" ht="13" customHeight="1" s="189">
      <c r="A944" s="289" t="n"/>
      <c r="B944" s="290" t="n"/>
      <c r="C944" s="290" t="n"/>
      <c r="D944" s="291" t="n"/>
      <c r="E944" s="290" t="n"/>
      <c r="F944" s="290" t="n"/>
    </row>
    <row r="945" ht="13" customHeight="1" s="189">
      <c r="A945" s="289" t="n"/>
      <c r="B945" s="290" t="n"/>
      <c r="C945" s="290" t="n"/>
      <c r="D945" s="291" t="n"/>
      <c r="E945" s="290" t="n"/>
      <c r="F945" s="290" t="n"/>
    </row>
    <row r="946" ht="13" customHeight="1" s="189">
      <c r="A946" s="289" t="n"/>
      <c r="B946" s="290" t="n"/>
      <c r="C946" s="290" t="n"/>
      <c r="D946" s="291" t="n"/>
      <c r="E946" s="290" t="n"/>
      <c r="F946" s="290" t="n"/>
    </row>
    <row r="947" ht="13" customHeight="1" s="189">
      <c r="A947" s="289" t="n"/>
      <c r="B947" s="290" t="n"/>
      <c r="C947" s="290" t="n"/>
      <c r="D947" s="291" t="n"/>
      <c r="E947" s="290" t="n"/>
      <c r="F947" s="290" t="n"/>
    </row>
    <row r="948" ht="13" customHeight="1" s="189">
      <c r="A948" s="289" t="n"/>
      <c r="B948" s="290" t="n"/>
      <c r="C948" s="290" t="n"/>
      <c r="D948" s="291" t="n"/>
      <c r="E948" s="290" t="n"/>
      <c r="F948" s="290" t="n"/>
    </row>
    <row r="949" ht="13" customHeight="1" s="189">
      <c r="A949" s="289" t="n"/>
      <c r="B949" s="290" t="n"/>
      <c r="C949" s="290" t="n"/>
      <c r="D949" s="291" t="n"/>
      <c r="E949" s="290" t="n"/>
      <c r="F949" s="290" t="n"/>
    </row>
    <row r="950" ht="13" customHeight="1" s="189">
      <c r="A950" s="289" t="n"/>
      <c r="B950" s="290" t="n"/>
      <c r="C950" s="290" t="n"/>
      <c r="D950" s="291" t="n"/>
      <c r="E950" s="290" t="n"/>
      <c r="F950" s="290" t="n"/>
    </row>
    <row r="951" ht="13" customHeight="1" s="189">
      <c r="A951" s="289" t="n"/>
      <c r="B951" s="290" t="n"/>
      <c r="C951" s="290" t="n"/>
      <c r="D951" s="291" t="n"/>
      <c r="E951" s="290" t="n"/>
      <c r="F951" s="290" t="n"/>
    </row>
    <row r="952" ht="13" customHeight="1" s="189">
      <c r="A952" s="289" t="n"/>
      <c r="B952" s="290" t="n"/>
      <c r="C952" s="290" t="n"/>
      <c r="D952" s="291" t="n"/>
      <c r="E952" s="290" t="n"/>
      <c r="F952" s="290" t="n"/>
    </row>
    <row r="953" ht="13" customHeight="1" s="189">
      <c r="A953" s="289" t="n"/>
      <c r="B953" s="290" t="n"/>
      <c r="C953" s="290" t="n"/>
      <c r="D953" s="291" t="n"/>
      <c r="E953" s="290" t="n"/>
      <c r="F953" s="290" t="n"/>
    </row>
    <row r="954" ht="13" customHeight="1" s="189">
      <c r="A954" s="289" t="n"/>
      <c r="B954" s="290" t="n"/>
      <c r="C954" s="290" t="n"/>
      <c r="D954" s="291" t="n"/>
      <c r="E954" s="290" t="n"/>
      <c r="F954" s="290" t="n"/>
    </row>
    <row r="955" ht="13" customHeight="1" s="189">
      <c r="A955" s="289" t="n"/>
      <c r="B955" s="290" t="n"/>
      <c r="C955" s="290" t="n"/>
      <c r="D955" s="291" t="n"/>
      <c r="E955" s="290" t="n"/>
      <c r="F955" s="290" t="n"/>
    </row>
    <row r="956" ht="13" customHeight="1" s="189">
      <c r="A956" s="289" t="n"/>
      <c r="B956" s="290" t="n"/>
      <c r="C956" s="290" t="n"/>
      <c r="D956" s="291" t="n"/>
      <c r="E956" s="290" t="n"/>
      <c r="F956" s="290" t="n"/>
    </row>
    <row r="957" ht="13" customHeight="1" s="189">
      <c r="A957" s="289" t="n"/>
      <c r="B957" s="290" t="n"/>
      <c r="C957" s="290" t="n"/>
      <c r="D957" s="291" t="n"/>
      <c r="E957" s="290" t="n"/>
      <c r="F957" s="290" t="n"/>
    </row>
    <row r="958" ht="13" customHeight="1" s="189">
      <c r="A958" s="289" t="n"/>
      <c r="B958" s="290" t="n"/>
      <c r="C958" s="290" t="n"/>
      <c r="D958" s="291" t="n"/>
      <c r="E958" s="290" t="n"/>
      <c r="F958" s="290" t="n"/>
    </row>
    <row r="959" ht="13" customHeight="1" s="189">
      <c r="A959" s="289" t="n"/>
      <c r="B959" s="290" t="n"/>
      <c r="C959" s="290" t="n"/>
      <c r="D959" s="291" t="n"/>
      <c r="E959" s="290" t="n"/>
      <c r="F959" s="290" t="n"/>
    </row>
    <row r="960" ht="13" customHeight="1" s="189">
      <c r="A960" s="289" t="n"/>
      <c r="B960" s="290" t="n"/>
      <c r="C960" s="290" t="n"/>
      <c r="D960" s="291" t="n"/>
      <c r="E960" s="290" t="n"/>
      <c r="F960" s="290" t="n"/>
    </row>
    <row r="961" ht="13" customHeight="1" s="189">
      <c r="A961" s="289" t="n"/>
      <c r="B961" s="290" t="n"/>
      <c r="C961" s="290" t="n"/>
      <c r="D961" s="291" t="n"/>
      <c r="E961" s="290" t="n"/>
      <c r="F961" s="290" t="n"/>
    </row>
    <row r="962" ht="13" customHeight="1" s="189">
      <c r="A962" s="289" t="n"/>
      <c r="B962" s="290" t="n"/>
      <c r="C962" s="290" t="n"/>
      <c r="D962" s="291" t="n"/>
      <c r="E962" s="290" t="n"/>
      <c r="F962" s="290" t="n"/>
    </row>
    <row r="963" ht="13" customHeight="1" s="189">
      <c r="A963" s="289" t="n"/>
      <c r="B963" s="290" t="n"/>
      <c r="C963" s="290" t="n"/>
      <c r="D963" s="291" t="n"/>
      <c r="E963" s="290" t="n"/>
      <c r="F963" s="290" t="n"/>
    </row>
    <row r="964" ht="13" customHeight="1" s="189">
      <c r="A964" s="289" t="n"/>
      <c r="B964" s="290" t="n"/>
      <c r="C964" s="290" t="n"/>
      <c r="D964" s="291" t="n"/>
      <c r="E964" s="290" t="n"/>
      <c r="F964" s="290" t="n"/>
    </row>
    <row r="965" ht="13" customHeight="1" s="189">
      <c r="A965" s="289" t="n"/>
      <c r="B965" s="290" t="n"/>
      <c r="C965" s="290" t="n"/>
      <c r="D965" s="291" t="n"/>
      <c r="E965" s="290" t="n"/>
      <c r="F965" s="290" t="n"/>
    </row>
    <row r="966" ht="13" customHeight="1" s="189">
      <c r="A966" s="289" t="n"/>
      <c r="B966" s="290" t="n"/>
      <c r="C966" s="290" t="n"/>
      <c r="D966" s="291" t="n"/>
      <c r="E966" s="290" t="n"/>
      <c r="F966" s="290" t="n"/>
    </row>
    <row r="967" ht="13" customHeight="1" s="189">
      <c r="A967" s="289" t="n"/>
      <c r="B967" s="290" t="n"/>
      <c r="C967" s="290" t="n"/>
      <c r="D967" s="291" t="n"/>
      <c r="E967" s="290" t="n"/>
      <c r="F967" s="290" t="n"/>
    </row>
    <row r="968" ht="13" customHeight="1" s="189">
      <c r="A968" s="289" t="n"/>
      <c r="B968" s="290" t="n"/>
      <c r="C968" s="290" t="n"/>
      <c r="D968" s="291" t="n"/>
      <c r="E968" s="290" t="n"/>
      <c r="F968" s="290" t="n"/>
    </row>
    <row r="969" ht="13" customHeight="1" s="189">
      <c r="A969" s="289" t="n"/>
      <c r="B969" s="290" t="n"/>
      <c r="C969" s="290" t="n"/>
      <c r="D969" s="291" t="n"/>
      <c r="E969" s="290" t="n"/>
      <c r="F969" s="290" t="n"/>
    </row>
    <row r="970" ht="13" customHeight="1" s="189">
      <c r="A970" s="289" t="n"/>
      <c r="B970" s="290" t="n"/>
      <c r="C970" s="290" t="n"/>
      <c r="D970" s="291" t="n"/>
      <c r="E970" s="290" t="n"/>
      <c r="F970" s="290" t="n"/>
    </row>
    <row r="971" ht="13" customHeight="1" s="189">
      <c r="A971" s="289" t="n"/>
      <c r="B971" s="290" t="n"/>
      <c r="C971" s="290" t="n"/>
      <c r="D971" s="291" t="n"/>
      <c r="E971" s="290" t="n"/>
      <c r="F971" s="290" t="n"/>
    </row>
    <row r="972" ht="13" customHeight="1" s="189">
      <c r="A972" s="289" t="n"/>
      <c r="B972" s="290" t="n"/>
      <c r="C972" s="290" t="n"/>
      <c r="D972" s="291" t="n"/>
      <c r="E972" s="290" t="n"/>
      <c r="F972" s="290" t="n"/>
    </row>
    <row r="973" ht="13" customHeight="1" s="189">
      <c r="A973" s="289" t="n"/>
      <c r="B973" s="290" t="n"/>
      <c r="C973" s="290" t="n"/>
      <c r="D973" s="291" t="n"/>
      <c r="E973" s="290" t="n"/>
      <c r="F973" s="290" t="n"/>
    </row>
    <row r="974" ht="13" customHeight="1" s="189">
      <c r="A974" s="289" t="n"/>
      <c r="B974" s="290" t="n"/>
      <c r="C974" s="290" t="n"/>
      <c r="D974" s="291" t="n"/>
      <c r="E974" s="290" t="n"/>
      <c r="F974" s="290" t="n"/>
    </row>
    <row r="975" ht="13" customHeight="1" s="189">
      <c r="A975" s="289" t="n"/>
      <c r="B975" s="290" t="n"/>
      <c r="C975" s="290" t="n"/>
      <c r="D975" s="291" t="n"/>
      <c r="E975" s="290" t="n"/>
      <c r="F975" s="290" t="n"/>
    </row>
    <row r="976" ht="13" customHeight="1" s="189">
      <c r="A976" s="289" t="n"/>
      <c r="B976" s="290" t="n"/>
      <c r="C976" s="290" t="n"/>
      <c r="D976" s="291" t="n"/>
      <c r="E976" s="290" t="n"/>
      <c r="F976" s="290" t="n"/>
    </row>
    <row r="977" ht="13" customHeight="1" s="189">
      <c r="A977" s="289" t="n"/>
      <c r="B977" s="290" t="n"/>
      <c r="C977" s="290" t="n"/>
      <c r="D977" s="291" t="n"/>
      <c r="E977" s="290" t="n"/>
      <c r="F977" s="290" t="n"/>
    </row>
    <row r="978" ht="13" customHeight="1" s="189">
      <c r="A978" s="289" t="n"/>
      <c r="B978" s="290" t="n"/>
      <c r="C978" s="290" t="n"/>
      <c r="D978" s="291" t="n"/>
      <c r="E978" s="290" t="n"/>
      <c r="F978" s="290" t="n"/>
    </row>
    <row r="979" ht="13" customHeight="1" s="189">
      <c r="A979" s="289" t="n"/>
      <c r="B979" s="290" t="n"/>
      <c r="C979" s="290" t="n"/>
      <c r="D979" s="291" t="n"/>
      <c r="E979" s="290" t="n"/>
      <c r="F979" s="290" t="n"/>
    </row>
    <row r="980" ht="13" customHeight="1" s="189">
      <c r="A980" s="289" t="n"/>
      <c r="B980" s="290" t="n"/>
      <c r="C980" s="290" t="n"/>
      <c r="D980" s="291" t="n"/>
      <c r="E980" s="290" t="n"/>
      <c r="F980" s="290" t="n"/>
    </row>
    <row r="981" ht="13" customHeight="1" s="189">
      <c r="A981" s="289" t="n"/>
      <c r="B981" s="290" t="n"/>
      <c r="C981" s="290" t="n"/>
      <c r="D981" s="291" t="n"/>
      <c r="E981" s="290" t="n"/>
      <c r="F981" s="290" t="n"/>
    </row>
    <row r="982" ht="13" customHeight="1" s="189">
      <c r="A982" s="289" t="n"/>
      <c r="B982" s="290" t="n"/>
      <c r="C982" s="290" t="n"/>
      <c r="D982" s="291" t="n"/>
      <c r="E982" s="290" t="n"/>
      <c r="F982" s="290" t="n"/>
    </row>
    <row r="983" ht="13" customHeight="1" s="189">
      <c r="A983" s="289" t="n"/>
      <c r="B983" s="290" t="n"/>
      <c r="C983" s="290" t="n"/>
      <c r="D983" s="291" t="n"/>
      <c r="E983" s="290" t="n"/>
      <c r="F983" s="290" t="n"/>
    </row>
    <row r="984" ht="13" customHeight="1" s="189">
      <c r="A984" s="289" t="n"/>
      <c r="B984" s="290" t="n"/>
      <c r="C984" s="290" t="n"/>
      <c r="D984" s="291" t="n"/>
      <c r="E984" s="290" t="n"/>
      <c r="F984" s="290" t="n"/>
    </row>
    <row r="985" ht="13" customHeight="1" s="189">
      <c r="A985" s="289" t="n"/>
      <c r="B985" s="290" t="n"/>
      <c r="C985" s="290" t="n"/>
      <c r="D985" s="291" t="n"/>
      <c r="E985" s="290" t="n"/>
      <c r="F985" s="290" t="n"/>
    </row>
    <row r="986" ht="13" customHeight="1" s="189">
      <c r="A986" s="289" t="n"/>
      <c r="B986" s="290" t="n"/>
      <c r="C986" s="290" t="n"/>
      <c r="D986" s="291" t="n"/>
      <c r="E986" s="290" t="n"/>
      <c r="F986" s="290" t="n"/>
    </row>
    <row r="987" ht="13" customHeight="1" s="189">
      <c r="A987" s="289" t="n"/>
      <c r="B987" s="290" t="n"/>
      <c r="C987" s="290" t="n"/>
      <c r="D987" s="291" t="n"/>
      <c r="E987" s="290" t="n"/>
      <c r="F987" s="290" t="n"/>
    </row>
    <row r="988" ht="13" customHeight="1" s="189">
      <c r="A988" s="289" t="n"/>
      <c r="B988" s="290" t="n"/>
      <c r="C988" s="290" t="n"/>
      <c r="D988" s="291" t="n"/>
      <c r="E988" s="290" t="n"/>
      <c r="F988" s="290" t="n"/>
    </row>
    <row r="989" ht="13" customHeight="1" s="189">
      <c r="A989" s="289" t="n"/>
      <c r="B989" s="290" t="n"/>
      <c r="C989" s="290" t="n"/>
      <c r="D989" s="291" t="n"/>
      <c r="E989" s="290" t="n"/>
      <c r="F989" s="290" t="n"/>
    </row>
    <row r="990" ht="13" customHeight="1" s="189">
      <c r="A990" s="289" t="n"/>
      <c r="B990" s="290" t="n"/>
      <c r="C990" s="290" t="n"/>
      <c r="D990" s="291" t="n"/>
      <c r="E990" s="290" t="n"/>
      <c r="F990" s="290" t="n"/>
    </row>
    <row r="991" ht="13" customHeight="1" s="189">
      <c r="A991" s="289" t="n"/>
      <c r="B991" s="290" t="n"/>
      <c r="C991" s="290" t="n"/>
      <c r="D991" s="291" t="n"/>
      <c r="E991" s="290" t="n"/>
      <c r="F991" s="290" t="n"/>
    </row>
    <row r="992" ht="13" customHeight="1" s="189">
      <c r="A992" s="289" t="n"/>
      <c r="B992" s="290" t="n"/>
      <c r="C992" s="290" t="n"/>
      <c r="D992" s="291" t="n"/>
      <c r="E992" s="290" t="n"/>
      <c r="F992" s="290" t="n"/>
    </row>
    <row r="993" ht="13" customHeight="1" s="189">
      <c r="A993" s="289" t="n"/>
      <c r="B993" s="290" t="n"/>
      <c r="C993" s="290" t="n"/>
      <c r="D993" s="291" t="n"/>
      <c r="E993" s="290" t="n"/>
      <c r="F993" s="290" t="n"/>
    </row>
    <row r="994" ht="13" customHeight="1" s="189">
      <c r="A994" s="289" t="n"/>
      <c r="B994" s="290" t="n"/>
      <c r="C994" s="290" t="n"/>
      <c r="D994" s="291" t="n"/>
      <c r="E994" s="290" t="n"/>
      <c r="F994" s="290" t="n"/>
    </row>
    <row r="995" ht="13" customHeight="1" s="189">
      <c r="A995" s="289" t="n"/>
      <c r="B995" s="290" t="n"/>
      <c r="C995" s="290" t="n"/>
      <c r="D995" s="291" t="n"/>
      <c r="E995" s="290" t="n"/>
      <c r="F995" s="290" t="n"/>
    </row>
    <row r="996" ht="13" customHeight="1" s="189">
      <c r="A996" s="289" t="n"/>
      <c r="B996" s="290" t="n"/>
      <c r="C996" s="290" t="n"/>
      <c r="D996" s="291" t="n"/>
      <c r="E996" s="290" t="n"/>
      <c r="F996" s="290" t="n"/>
    </row>
    <row r="997" ht="13" customHeight="1" s="189">
      <c r="A997" s="289" t="n"/>
      <c r="B997" s="290" t="n"/>
      <c r="C997" s="290" t="n"/>
      <c r="D997" s="291" t="n"/>
      <c r="E997" s="290" t="n"/>
      <c r="F997" s="290" t="n"/>
    </row>
    <row r="998" ht="13" customHeight="1" s="189">
      <c r="A998" s="289" t="n"/>
      <c r="B998" s="290" t="n"/>
      <c r="C998" s="290" t="n"/>
      <c r="D998" s="291" t="n"/>
      <c r="E998" s="290" t="n"/>
      <c r="F998" s="290" t="n"/>
    </row>
    <row r="999" ht="13" customHeight="1" s="189">
      <c r="A999" s="289" t="n"/>
      <c r="B999" s="290" t="n"/>
      <c r="C999" s="290" t="n"/>
      <c r="D999" s="291" t="n"/>
      <c r="E999" s="290" t="n"/>
      <c r="F999" s="290" t="n"/>
    </row>
    <row r="1000" ht="13" customHeight="1" s="189">
      <c r="A1000" s="289" t="n"/>
      <c r="B1000" s="290" t="n"/>
      <c r="C1000" s="290" t="n"/>
      <c r="D1000" s="291" t="n"/>
      <c r="E1000" s="290" t="n"/>
      <c r="F1000" s="290" t="n"/>
    </row>
    <row r="1001" ht="13" customHeight="1" s="189">
      <c r="A1001" s="289" t="n"/>
      <c r="B1001" s="290" t="n"/>
      <c r="C1001" s="290" t="n"/>
      <c r="D1001" s="291" t="n"/>
      <c r="E1001" s="290" t="n"/>
      <c r="F1001" s="290" t="n"/>
    </row>
    <row r="1002" ht="13" customHeight="1" s="189">
      <c r="A1002" s="289" t="n"/>
      <c r="B1002" s="290" t="n"/>
      <c r="C1002" s="290" t="n"/>
      <c r="D1002" s="291" t="n"/>
      <c r="E1002" s="290" t="n"/>
      <c r="F1002" s="290" t="n"/>
    </row>
    <row r="1003" ht="13" customHeight="1" s="189">
      <c r="A1003" s="289" t="n"/>
      <c r="B1003" s="290" t="n"/>
      <c r="C1003" s="290" t="n"/>
      <c r="D1003" s="291" t="n"/>
      <c r="E1003" s="290" t="n"/>
      <c r="F1003" s="290" t="n"/>
    </row>
    <row r="1004" ht="13" customHeight="1" s="189">
      <c r="A1004" s="289" t="n"/>
      <c r="B1004" s="290" t="n"/>
      <c r="C1004" s="290" t="n"/>
      <c r="D1004" s="291" t="n"/>
      <c r="E1004" s="290" t="n"/>
      <c r="F1004" s="290" t="n"/>
    </row>
    <row r="1005" ht="13" customHeight="1" s="189">
      <c r="A1005" s="289" t="n"/>
      <c r="B1005" s="290" t="n"/>
      <c r="C1005" s="290" t="n"/>
      <c r="D1005" s="291" t="n"/>
      <c r="E1005" s="290" t="n"/>
      <c r="F1005" s="290" t="n"/>
    </row>
    <row r="1006" ht="13" customHeight="1" s="189">
      <c r="A1006" s="289" t="n"/>
      <c r="B1006" s="290" t="n"/>
      <c r="C1006" s="290" t="n"/>
      <c r="D1006" s="291" t="n"/>
      <c r="E1006" s="290" t="n"/>
      <c r="F1006" s="290" t="n"/>
    </row>
    <row r="1007" ht="13" customHeight="1" s="189">
      <c r="A1007" s="289" t="n"/>
      <c r="B1007" s="290" t="n"/>
      <c r="C1007" s="290" t="n"/>
      <c r="D1007" s="291" t="n"/>
      <c r="E1007" s="290" t="n"/>
      <c r="F1007" s="290" t="n"/>
    </row>
    <row r="1008" ht="13" customHeight="1" s="189">
      <c r="A1008" s="289" t="n"/>
      <c r="B1008" s="290" t="n"/>
      <c r="C1008" s="290" t="n"/>
      <c r="D1008" s="291" t="n"/>
      <c r="E1008" s="290" t="n"/>
      <c r="F1008" s="290" t="n"/>
    </row>
    <row r="1009" ht="13" customHeight="1" s="189">
      <c r="A1009" s="289" t="n"/>
      <c r="B1009" s="290" t="n"/>
      <c r="C1009" s="290" t="n"/>
      <c r="D1009" s="291" t="n"/>
      <c r="E1009" s="290" t="n"/>
      <c r="F1009" s="290" t="n"/>
    </row>
    <row r="1010" ht="13" customHeight="1" s="189">
      <c r="A1010" s="289" t="n"/>
      <c r="B1010" s="290" t="n"/>
      <c r="C1010" s="290" t="n"/>
      <c r="D1010" s="291" t="n"/>
      <c r="E1010" s="290" t="n"/>
      <c r="F1010" s="290" t="n"/>
    </row>
    <row r="1011" ht="13" customHeight="1" s="189">
      <c r="A1011" s="289" t="n"/>
      <c r="B1011" s="290" t="n"/>
      <c r="C1011" s="290" t="n"/>
      <c r="D1011" s="291" t="n"/>
      <c r="E1011" s="290" t="n"/>
      <c r="F1011" s="290" t="n"/>
    </row>
    <row r="1012" ht="13" customHeight="1" s="189">
      <c r="A1012" s="289" t="n"/>
      <c r="B1012" s="290" t="n"/>
      <c r="C1012" s="290" t="n"/>
      <c r="D1012" s="291" t="n"/>
      <c r="E1012" s="290" t="n"/>
      <c r="F1012" s="290" t="n"/>
    </row>
    <row r="1013" ht="13" customHeight="1" s="189">
      <c r="A1013" s="289" t="n"/>
      <c r="B1013" s="290" t="n"/>
      <c r="C1013" s="290" t="n"/>
      <c r="D1013" s="291" t="n"/>
      <c r="E1013" s="290" t="n"/>
      <c r="F1013" s="290" t="n"/>
    </row>
    <row r="1014" ht="13" customHeight="1" s="189">
      <c r="A1014" s="289" t="n"/>
      <c r="B1014" s="290" t="n"/>
      <c r="C1014" s="290" t="n"/>
      <c r="D1014" s="291" t="n"/>
      <c r="E1014" s="290" t="n"/>
      <c r="F1014" s="290" t="n"/>
    </row>
    <row r="1015" ht="13" customHeight="1" s="189">
      <c r="A1015" s="289" t="n"/>
      <c r="B1015" s="290" t="n"/>
      <c r="C1015" s="290" t="n"/>
      <c r="D1015" s="291" t="n"/>
      <c r="E1015" s="290" t="n"/>
      <c r="F1015" s="290" t="n"/>
    </row>
    <row r="1016" ht="13" customHeight="1" s="189">
      <c r="A1016" s="289" t="n"/>
      <c r="B1016" s="290" t="n"/>
      <c r="C1016" s="290" t="n"/>
      <c r="D1016" s="291" t="n"/>
      <c r="E1016" s="290" t="n"/>
      <c r="F1016" s="290" t="n"/>
    </row>
    <row r="1017" ht="13" customHeight="1" s="189">
      <c r="A1017" s="289" t="n"/>
      <c r="B1017" s="290" t="n"/>
      <c r="C1017" s="290" t="n"/>
      <c r="D1017" s="291" t="n"/>
      <c r="E1017" s="290" t="n"/>
      <c r="F1017" s="290" t="n"/>
    </row>
    <row r="1018" ht="13" customHeight="1" s="189">
      <c r="A1018" s="289" t="n"/>
      <c r="B1018" s="290" t="n"/>
      <c r="C1018" s="290" t="n"/>
      <c r="D1018" s="291" t="n"/>
      <c r="E1018" s="290" t="n"/>
      <c r="F1018" s="290" t="n"/>
    </row>
    <row r="1019" ht="13" customHeight="1" s="189">
      <c r="A1019" s="289" t="n"/>
      <c r="B1019" s="290" t="n"/>
      <c r="C1019" s="290" t="n"/>
      <c r="D1019" s="291" t="n"/>
      <c r="E1019" s="290" t="n"/>
      <c r="F1019" s="290" t="n"/>
    </row>
    <row r="1020" ht="13" customHeight="1" s="189">
      <c r="A1020" s="289" t="n"/>
      <c r="B1020" s="290" t="n"/>
      <c r="C1020" s="290" t="n"/>
      <c r="D1020" s="291" t="n"/>
      <c r="E1020" s="290" t="n"/>
      <c r="F1020" s="290" t="n"/>
    </row>
    <row r="1021" ht="13" customHeight="1" s="189">
      <c r="A1021" s="289" t="n"/>
      <c r="B1021" s="290" t="n"/>
      <c r="C1021" s="290" t="n"/>
      <c r="D1021" s="291" t="n"/>
      <c r="E1021" s="290" t="n"/>
      <c r="F1021" s="290" t="n"/>
    </row>
    <row r="1022" ht="13" customHeight="1" s="189">
      <c r="A1022" s="289" t="n"/>
      <c r="B1022" s="290" t="n"/>
      <c r="C1022" s="290" t="n"/>
      <c r="D1022" s="291" t="n"/>
      <c r="E1022" s="290" t="n"/>
      <c r="F1022" s="290" t="n"/>
    </row>
    <row r="1023" ht="13" customHeight="1" s="189">
      <c r="A1023" s="289" t="n"/>
      <c r="B1023" s="290" t="n"/>
      <c r="C1023" s="290" t="n"/>
      <c r="D1023" s="291" t="n"/>
      <c r="E1023" s="290" t="n"/>
      <c r="F1023" s="290" t="n"/>
    </row>
    <row r="1024" ht="13" customHeight="1" s="189">
      <c r="A1024" s="289" t="n"/>
      <c r="B1024" s="290" t="n"/>
      <c r="C1024" s="290" t="n"/>
      <c r="D1024" s="291" t="n"/>
      <c r="E1024" s="290" t="n"/>
      <c r="F1024" s="290" t="n"/>
    </row>
    <row r="1025" ht="13" customHeight="1" s="189"/>
    <row r="1026" ht="13" customHeight="1" s="189"/>
    <row r="1027" ht="13" customHeight="1" s="189"/>
    <row r="1028" ht="13" customHeight="1" s="189"/>
    <row r="1029" ht="13" customHeight="1" s="189"/>
    <row r="1030" ht="13" customHeight="1" s="189"/>
    <row r="1031" ht="13" customHeight="1" s="189"/>
    <row r="1032" ht="13" customHeight="1" s="189"/>
    <row r="1033" ht="13" customHeight="1" s="189"/>
    <row r="1034" ht="13" customHeight="1" s="189"/>
    <row r="1035" ht="13" customHeight="1" s="189"/>
    <row r="1036" ht="13" customHeight="1" s="189"/>
    <row r="1037" ht="13" customHeight="1" s="189"/>
    <row r="1038" ht="13" customHeight="1" s="189"/>
    <row r="1039" ht="13" customHeight="1" s="189"/>
    <row r="1040" ht="13" customHeight="1" s="189"/>
    <row r="1041" ht="13" customHeight="1" s="189"/>
    <row r="1042" ht="13" customHeight="1" s="189"/>
    <row r="1043" ht="13" customHeight="1" s="189"/>
    <row r="1044" ht="13" customHeight="1" s="189"/>
    <row r="1045" ht="13" customHeight="1" s="189"/>
    <row r="1046" ht="13" customHeight="1" s="189"/>
    <row r="1047" ht="13" customHeight="1" s="189"/>
    <row r="1048" ht="13" customHeight="1" s="189"/>
    <row r="1049" ht="13" customHeight="1" s="189"/>
    <row r="1050" ht="13" customHeight="1" s="189"/>
    <row r="1051" ht="13" customHeight="1" s="189"/>
    <row r="1052" ht="13" customHeight="1" s="189"/>
    <row r="1053" ht="13" customHeight="1" s="189"/>
    <row r="1054" ht="13" customHeight="1" s="189"/>
    <row r="1055" ht="13" customHeight="1" s="189"/>
    <row r="1056" ht="13" customHeight="1" s="189"/>
    <row r="1057" ht="13" customHeight="1" s="189"/>
    <row r="1058" ht="13" customHeight="1" s="189"/>
    <row r="1059" ht="13" customHeight="1" s="189"/>
    <row r="1060" ht="13" customHeight="1" s="189"/>
    <row r="1061" ht="13" customHeight="1" s="189"/>
    <row r="1062" ht="13" customHeight="1" s="189"/>
    <row r="1063" ht="13" customHeight="1" s="189"/>
    <row r="1064" ht="13" customHeight="1" s="189"/>
    <row r="1065" ht="13" customHeight="1" s="189"/>
    <row r="1066" ht="13" customHeight="1" s="189"/>
    <row r="1067" ht="13" customHeight="1" s="189"/>
    <row r="1068" ht="13" customHeight="1" s="189"/>
    <row r="1069" ht="13" customHeight="1" s="189"/>
    <row r="1070" ht="13" customHeight="1" s="189"/>
    <row r="1071" ht="13" customHeight="1" s="189"/>
    <row r="1072" ht="13" customHeight="1" s="189"/>
    <row r="1073" ht="13" customHeight="1" s="189"/>
    <row r="1074" ht="13" customHeight="1" s="189"/>
    <row r="1075" ht="13" customHeight="1" s="189"/>
    <row r="1076" ht="13" customHeight="1" s="189"/>
    <row r="1077" ht="13" customHeight="1" s="189"/>
    <row r="1078" ht="13" customHeight="1" s="189"/>
    <row r="1079" ht="13" customHeight="1" s="189"/>
    <row r="1080" ht="13" customHeight="1" s="189"/>
    <row r="1081" ht="13" customHeight="1" s="189"/>
    <row r="1082" ht="13" customHeight="1" s="189"/>
    <row r="1083" ht="13" customHeight="1" s="189"/>
    <row r="1084" ht="13" customHeight="1" s="189"/>
    <row r="1085" ht="13" customHeight="1" s="189"/>
    <row r="1086" ht="13" customHeight="1" s="189"/>
    <row r="1087" ht="13" customHeight="1" s="189"/>
    <row r="1088" ht="13" customHeight="1" s="189"/>
    <row r="1089" ht="13" customHeight="1" s="189"/>
    <row r="1090" ht="13" customHeight="1" s="189"/>
    <row r="1091" ht="13" customHeight="1" s="189"/>
    <row r="1092" ht="13" customHeight="1" s="189"/>
    <row r="1093" ht="13" customHeight="1" s="189"/>
    <row r="1094" ht="13" customHeight="1" s="189"/>
    <row r="1095" ht="13" customHeight="1" s="189"/>
    <row r="1096" ht="13" customHeight="1" s="189"/>
    <row r="1097" ht="13" customHeight="1" s="189"/>
    <row r="1098" ht="13" customHeight="1" s="189"/>
    <row r="1099" ht="13" customHeight="1" s="189"/>
    <row r="1100" ht="13" customHeight="1" s="189"/>
    <row r="1101" ht="13" customHeight="1" s="189"/>
    <row r="1102" ht="13" customHeight="1" s="189"/>
    <row r="1103" ht="13" customHeight="1" s="189"/>
    <row r="1104" ht="13" customHeight="1" s="189"/>
    <row r="1105" ht="13" customHeight="1" s="189"/>
    <row r="1106" ht="13" customHeight="1" s="189"/>
    <row r="1107" ht="13" customHeight="1" s="189"/>
    <row r="1108" ht="13" customHeight="1" s="189"/>
    <row r="1109" ht="13" customHeight="1" s="189"/>
    <row r="1110" ht="13" customHeight="1" s="189"/>
    <row r="1111" ht="13" customHeight="1" s="189"/>
    <row r="1112" ht="13" customHeight="1" s="189"/>
    <row r="1113" ht="13" customHeight="1" s="189"/>
    <row r="1114" ht="13" customHeight="1" s="189"/>
    <row r="1115" ht="13" customHeight="1" s="189"/>
    <row r="1116" ht="13" customHeight="1" s="189"/>
    <row r="1117" ht="13" customHeight="1" s="189"/>
    <row r="1118" ht="13" customHeight="1" s="189"/>
    <row r="1119" ht="13" customHeight="1" s="189"/>
    <row r="1120" ht="13" customHeight="1" s="189"/>
    <row r="1121" ht="13" customHeight="1" s="189"/>
    <row r="1122" ht="13" customHeight="1" s="189"/>
    <row r="1123" ht="13" customHeight="1" s="189"/>
    <row r="1124" ht="13" customHeight="1" s="189"/>
    <row r="1125" ht="13" customHeight="1" s="189"/>
    <row r="1126" ht="13" customHeight="1" s="189"/>
    <row r="1127" ht="13" customHeight="1" s="189"/>
    <row r="1128" ht="13" customHeight="1" s="189"/>
    <row r="1129" ht="13" customHeight="1" s="189"/>
    <row r="1130" ht="13" customHeight="1" s="189"/>
    <row r="1131" ht="13" customHeight="1" s="189"/>
    <row r="1132" ht="13" customHeight="1" s="189"/>
    <row r="1133" ht="13" customHeight="1" s="189"/>
    <row r="1134" ht="13" customHeight="1" s="189"/>
    <row r="1135" ht="13" customHeight="1" s="189"/>
    <row r="1136" ht="13" customHeight="1" s="189"/>
    <row r="1137" ht="13" customHeight="1" s="189"/>
    <row r="1138" ht="13" customHeight="1" s="189"/>
    <row r="1139" ht="13" customHeight="1" s="189"/>
    <row r="1140" ht="13" customHeight="1" s="189"/>
    <row r="1141" ht="13" customHeight="1" s="189"/>
    <row r="1142" ht="13" customHeight="1" s="189"/>
    <row r="1143" ht="13" customHeight="1" s="189"/>
    <row r="1144" ht="13" customHeight="1" s="189"/>
    <row r="1145" ht="13" customHeight="1" s="189"/>
    <row r="1146" ht="13" customHeight="1" s="189"/>
    <row r="1147" ht="13" customHeight="1" s="189"/>
    <row r="1148" ht="13" customHeight="1" s="189"/>
    <row r="1149" ht="13" customHeight="1" s="189"/>
    <row r="1150" ht="13" customHeight="1" s="189"/>
    <row r="1151" ht="13" customHeight="1" s="189"/>
    <row r="1152" ht="13" customHeight="1" s="189"/>
    <row r="1153" ht="13" customHeight="1" s="189"/>
    <row r="1154" ht="13" customHeight="1" s="189"/>
    <row r="1155" ht="13" customHeight="1" s="189"/>
    <row r="1156" ht="13" customHeight="1" s="189"/>
    <row r="1157" ht="13" customHeight="1" s="189"/>
    <row r="1158" ht="13" customHeight="1" s="189"/>
    <row r="1159" ht="13" customHeight="1" s="189"/>
    <row r="1160" ht="13" customHeight="1" s="189"/>
    <row r="1161" ht="13" customHeight="1" s="189"/>
    <row r="1162" ht="13" customHeight="1" s="189"/>
    <row r="1163" ht="13" customHeight="1" s="189"/>
    <row r="1164" ht="13" customHeight="1" s="189"/>
    <row r="1165" ht="13" customHeight="1" s="189"/>
    <row r="1166" ht="13" customHeight="1" s="189"/>
    <row r="1167" ht="13" customHeight="1" s="189"/>
    <row r="1168" ht="13" customHeight="1" s="189"/>
    <row r="1169" ht="13" customHeight="1" s="189"/>
    <row r="1170" ht="13" customHeight="1" s="189"/>
    <row r="1171" ht="13" customHeight="1" s="189"/>
    <row r="1172" ht="13" customHeight="1" s="189"/>
    <row r="1173" ht="13" customHeight="1" s="189"/>
    <row r="1174" ht="13" customHeight="1" s="189"/>
    <row r="1175" ht="13" customHeight="1" s="189"/>
    <row r="1176" ht="13" customHeight="1" s="189"/>
    <row r="1177" ht="13" customHeight="1" s="189"/>
    <row r="1178" ht="13" customHeight="1" s="189"/>
    <row r="1179" ht="13" customHeight="1" s="189"/>
    <row r="1180" ht="13" customHeight="1" s="189"/>
    <row r="1181" ht="13" customHeight="1" s="189"/>
    <row r="1182" ht="13" customHeight="1" s="189"/>
    <row r="1183" ht="13" customHeight="1" s="189"/>
    <row r="1184" ht="13" customHeight="1" s="189"/>
    <row r="1185" ht="13" customHeight="1" s="189"/>
    <row r="1186" ht="13" customHeight="1" s="189"/>
    <row r="1187" ht="13" customHeight="1" s="189"/>
    <row r="1188" ht="13" customHeight="1" s="189"/>
    <row r="1189" ht="13" customHeight="1" s="189"/>
    <row r="1190" ht="13" customHeight="1" s="189"/>
    <row r="1191" ht="13" customHeight="1" s="189"/>
    <row r="1192" ht="13" customHeight="1" s="189"/>
    <row r="1193" ht="13" customHeight="1" s="189"/>
    <row r="1194" ht="13" customHeight="1" s="189"/>
    <row r="1195" ht="13" customHeight="1" s="189"/>
    <row r="1196" ht="13" customHeight="1" s="189"/>
    <row r="1197" ht="13" customHeight="1" s="189"/>
    <row r="1198" ht="13" customHeight="1" s="189"/>
    <row r="1199" ht="13" customHeight="1" s="189"/>
    <row r="1200" ht="13" customHeight="1" s="189"/>
    <row r="1201" ht="13" customHeight="1" s="189"/>
    <row r="1202" ht="13" customHeight="1" s="189"/>
    <row r="1203" ht="13" customHeight="1" s="189"/>
    <row r="1204" ht="13" customHeight="1" s="189"/>
    <row r="1205" ht="13" customHeight="1" s="189"/>
    <row r="1206" ht="13" customHeight="1" s="189"/>
    <row r="1207" ht="13" customHeight="1" s="189"/>
    <row r="1208" ht="13" customHeight="1" s="189"/>
    <row r="1209" ht="13" customHeight="1" s="189"/>
    <row r="1210" ht="13" customHeight="1" s="189"/>
    <row r="1211" ht="13" customHeight="1" s="189"/>
    <row r="1212" ht="13" customHeight="1" s="189"/>
    <row r="1213" ht="13" customHeight="1" s="189"/>
    <row r="1214" ht="13" customHeight="1" s="189"/>
    <row r="1215" ht="13" customHeight="1" s="189"/>
    <row r="1216" ht="13" customHeight="1" s="189"/>
    <row r="1217" ht="13" customHeight="1" s="189"/>
    <row r="1218" ht="13" customHeight="1" s="189"/>
    <row r="1219" ht="13" customHeight="1" s="189"/>
    <row r="1220" ht="13" customHeight="1" s="189"/>
    <row r="1221" ht="13" customHeight="1" s="189"/>
    <row r="1222" ht="13" customHeight="1" s="189"/>
    <row r="1223" ht="13" customHeight="1" s="189"/>
    <row r="1224" ht="13" customHeight="1" s="189"/>
    <row r="1225" ht="13" customHeight="1" s="189"/>
    <row r="1226" ht="13" customHeight="1" s="189"/>
    <row r="1227" ht="13" customHeight="1" s="189"/>
    <row r="1228" ht="13" customHeight="1" s="189"/>
    <row r="1229" ht="13" customHeight="1" s="189"/>
    <row r="1230" ht="13" customHeight="1" s="189"/>
    <row r="1231" ht="13" customHeight="1" s="189"/>
    <row r="1232" ht="13" customHeight="1" s="189"/>
    <row r="1233" ht="13" customHeight="1" s="189"/>
    <row r="1234" ht="13" customHeight="1" s="189"/>
    <row r="1235" ht="13" customHeight="1" s="189"/>
    <row r="1236" ht="13" customHeight="1" s="189"/>
    <row r="1237" ht="13" customHeight="1" s="189"/>
    <row r="1238" ht="13" customHeight="1" s="189"/>
    <row r="1239" ht="13" customHeight="1" s="189"/>
    <row r="1240" ht="13" customHeight="1" s="189"/>
    <row r="1241" ht="13" customHeight="1" s="189"/>
    <row r="1242" ht="13" customHeight="1" s="189"/>
    <row r="1243" ht="13" customHeight="1" s="189"/>
    <row r="1244" ht="13" customHeight="1" s="189"/>
    <row r="1245" ht="13" customHeight="1" s="189"/>
    <row r="1246" ht="13" customHeight="1" s="189"/>
    <row r="1247" ht="13" customHeight="1" s="189"/>
    <row r="1248" ht="13" customHeight="1" s="189"/>
    <row r="1249" ht="13" customHeight="1" s="189"/>
    <row r="1250" ht="13" customHeight="1" s="189"/>
    <row r="1251" ht="13" customHeight="1" s="189"/>
    <row r="1252" ht="13" customHeight="1" s="189"/>
    <row r="1253" ht="13" customHeight="1" s="189"/>
    <row r="1254" ht="13" customHeight="1" s="189"/>
    <row r="1255" ht="13" customHeight="1" s="189"/>
    <row r="1256" ht="13" customHeight="1" s="189"/>
    <row r="1257" ht="13" customHeight="1" s="189"/>
    <row r="1258" ht="13" customHeight="1" s="189"/>
    <row r="1259" ht="13" customHeight="1" s="189"/>
    <row r="1260" ht="13" customHeight="1" s="189"/>
    <row r="1261" ht="13" customHeight="1" s="189"/>
    <row r="1262" ht="13" customHeight="1" s="189"/>
    <row r="1263" ht="13" customHeight="1" s="189"/>
    <row r="1264" ht="13" customHeight="1" s="189"/>
    <row r="1265" ht="13" customHeight="1" s="189"/>
    <row r="1266" ht="13" customHeight="1" s="189"/>
    <row r="1267" ht="13" customHeight="1" s="189"/>
    <row r="1268" ht="13" customHeight="1" s="189"/>
    <row r="1269" ht="13" customHeight="1" s="189"/>
    <row r="1270" ht="13" customHeight="1" s="189"/>
    <row r="1271" ht="13" customHeight="1" s="189"/>
    <row r="1272" ht="13" customHeight="1" s="189"/>
    <row r="1273" ht="13" customHeight="1" s="189"/>
    <row r="1274" ht="13" customHeight="1" s="189"/>
    <row r="1275" ht="13" customHeight="1" s="189"/>
    <row r="1276" ht="13" customHeight="1" s="189"/>
    <row r="1277" ht="13" customHeight="1" s="189"/>
    <row r="1278" ht="13" customHeight="1" s="189"/>
    <row r="1279" ht="13" customHeight="1" s="189"/>
    <row r="1280" ht="13" customHeight="1" s="189"/>
    <row r="1281" ht="13" customHeight="1" s="189"/>
    <row r="1282" ht="13" customHeight="1" s="189"/>
    <row r="1283" ht="13" customHeight="1" s="189"/>
    <row r="1284" ht="13" customHeight="1" s="189"/>
    <row r="1285" ht="13" customHeight="1" s="189"/>
    <row r="1286" ht="13" customHeight="1" s="189"/>
    <row r="1287" ht="13" customHeight="1" s="189"/>
    <row r="1288" ht="13" customHeight="1" s="189"/>
    <row r="1289" ht="13" customHeight="1" s="189"/>
    <row r="1290" ht="13" customHeight="1" s="189"/>
    <row r="1291" ht="13" customHeight="1" s="189"/>
    <row r="1292" ht="13" customHeight="1" s="189"/>
    <row r="1293" ht="13" customHeight="1" s="189"/>
    <row r="1294" ht="13" customHeight="1" s="189"/>
    <row r="1295" ht="13" customHeight="1" s="189"/>
    <row r="1296" ht="13" customHeight="1" s="189"/>
    <row r="1297" ht="13" customHeight="1" s="189"/>
    <row r="1298" ht="13" customHeight="1" s="189"/>
    <row r="1299" ht="13" customHeight="1" s="189"/>
    <row r="1300" ht="13" customHeight="1" s="189"/>
    <row r="1301" ht="13" customHeight="1" s="189"/>
    <row r="1302" ht="13" customHeight="1" s="189"/>
    <row r="1303" ht="13" customHeight="1" s="189"/>
    <row r="1304" ht="13" customHeight="1" s="189"/>
    <row r="1305" ht="13" customHeight="1" s="189"/>
    <row r="1306" ht="13" customHeight="1" s="189"/>
    <row r="1307" ht="13" customHeight="1" s="189"/>
    <row r="1308" ht="13" customHeight="1" s="189"/>
    <row r="1309" ht="13" customHeight="1" s="189"/>
    <row r="1310" ht="13" customHeight="1" s="189"/>
    <row r="1311" ht="13" customHeight="1" s="189"/>
    <row r="1312" ht="13" customHeight="1" s="189"/>
    <row r="1313" ht="13" customHeight="1" s="189"/>
    <row r="1314" ht="13" customHeight="1" s="189"/>
    <row r="1315" ht="13" customHeight="1" s="189"/>
    <row r="1316" ht="13" customHeight="1" s="189"/>
    <row r="1317" ht="13" customHeight="1" s="189"/>
    <row r="1318" ht="13" customHeight="1" s="189"/>
    <row r="1319" ht="13" customHeight="1" s="189"/>
    <row r="1320" ht="13" customHeight="1" s="189"/>
    <row r="1321" ht="13" customHeight="1" s="189"/>
    <row r="1322" ht="13" customHeight="1" s="189"/>
    <row r="1323" ht="13" customHeight="1" s="189"/>
    <row r="1324" ht="13" customHeight="1" s="189"/>
    <row r="1325" ht="13" customHeight="1" s="189"/>
    <row r="1326" ht="13" customHeight="1" s="189"/>
    <row r="1327" ht="13" customHeight="1" s="189"/>
    <row r="1328" ht="13" customHeight="1" s="189"/>
    <row r="1329" ht="13" customHeight="1" s="189"/>
    <row r="1330" ht="13" customHeight="1" s="189"/>
    <row r="1331" ht="13" customHeight="1" s="189"/>
    <row r="1332" ht="13" customHeight="1" s="189"/>
    <row r="1333" ht="13" customHeight="1" s="189"/>
    <row r="1334" ht="13" customHeight="1" s="189"/>
    <row r="1335" ht="13" customHeight="1" s="189"/>
    <row r="1336" ht="13" customHeight="1" s="189"/>
    <row r="1337" ht="13" customHeight="1" s="189"/>
    <row r="1338" ht="13" customHeight="1" s="189"/>
    <row r="1339" ht="13" customHeight="1" s="189"/>
    <row r="1340" ht="13" customHeight="1" s="189"/>
    <row r="1341" ht="13" customHeight="1" s="189"/>
    <row r="1342" ht="13" customHeight="1" s="189"/>
    <row r="1343" ht="13" customHeight="1" s="189"/>
    <row r="1344" ht="13" customHeight="1" s="189"/>
    <row r="1345" ht="13" customHeight="1" s="189"/>
    <row r="1346" ht="13" customHeight="1" s="189"/>
    <row r="1347" ht="13" customHeight="1" s="189"/>
    <row r="1348" ht="13" customHeight="1" s="189"/>
    <row r="1349" ht="13" customHeight="1" s="189"/>
    <row r="1350" ht="13" customHeight="1" s="189"/>
    <row r="1351" ht="13" customHeight="1" s="189"/>
    <row r="1352" ht="13" customHeight="1" s="189"/>
    <row r="1353" ht="13" customHeight="1" s="189"/>
    <row r="1354" ht="13" customHeight="1" s="189"/>
    <row r="1355" ht="13" customHeight="1" s="189"/>
    <row r="1356" ht="13" customHeight="1" s="189"/>
    <row r="1357" ht="13" customHeight="1" s="189"/>
    <row r="1358" ht="13" customHeight="1" s="189"/>
    <row r="1359" ht="13" customHeight="1" s="189"/>
    <row r="1360" ht="13" customHeight="1" s="189"/>
    <row r="1361" ht="13" customHeight="1" s="189"/>
    <row r="1362" ht="13" customHeight="1" s="189"/>
    <row r="1363" ht="13" customHeight="1" s="189"/>
    <row r="1364" ht="13" customHeight="1" s="189"/>
    <row r="1365" ht="13" customHeight="1" s="189"/>
    <row r="1366" ht="13" customHeight="1" s="189"/>
    <row r="1367" ht="13" customHeight="1" s="189"/>
    <row r="1368" ht="13" customHeight="1" s="189"/>
    <row r="1369" ht="13" customHeight="1" s="189"/>
    <row r="1370" ht="13" customHeight="1" s="189"/>
    <row r="1371" ht="13" customHeight="1" s="189"/>
    <row r="1372" ht="13" customHeight="1" s="189"/>
    <row r="1373" ht="13" customHeight="1" s="189"/>
    <row r="1374" ht="13" customHeight="1" s="189"/>
    <row r="1375" ht="13" customHeight="1" s="189"/>
    <row r="1376" ht="13" customHeight="1" s="189"/>
    <row r="1377" ht="13" customHeight="1" s="189"/>
    <row r="1378" ht="13" customHeight="1" s="189"/>
    <row r="1379" ht="13" customHeight="1" s="189"/>
    <row r="1380" ht="13" customHeight="1" s="189"/>
    <row r="1381" ht="13" customHeight="1" s="189"/>
    <row r="1382" ht="13" customHeight="1" s="189"/>
    <row r="1383" ht="13" customHeight="1" s="189"/>
    <row r="1384" ht="13" customHeight="1" s="189"/>
    <row r="1385" ht="13" customHeight="1" s="189"/>
    <row r="1386" ht="13" customHeight="1" s="189"/>
    <row r="1387" ht="13" customHeight="1" s="189"/>
    <row r="1388" ht="13" customHeight="1" s="189"/>
    <row r="1389" ht="13" customHeight="1" s="189"/>
    <row r="1390" ht="13" customHeight="1" s="189"/>
    <row r="1391" ht="13" customHeight="1" s="189"/>
    <row r="1392" ht="13" customHeight="1" s="189"/>
    <row r="1393" ht="13" customHeight="1" s="189"/>
    <row r="1394" ht="13" customHeight="1" s="189"/>
    <row r="1395" ht="13" customHeight="1" s="189"/>
    <row r="1396" ht="13" customHeight="1" s="189"/>
    <row r="1397" ht="13" customHeight="1" s="189"/>
    <row r="1398" ht="13" customHeight="1" s="189"/>
    <row r="1399" ht="13" customHeight="1" s="189"/>
    <row r="1400" ht="13" customHeight="1" s="189"/>
    <row r="1401" ht="13" customHeight="1" s="189"/>
    <row r="1402" ht="13" customHeight="1" s="189"/>
    <row r="1403" ht="13" customHeight="1" s="189"/>
    <row r="1404" ht="13" customHeight="1" s="189"/>
    <row r="1405" ht="13" customHeight="1" s="189"/>
    <row r="1406" ht="13" customHeight="1" s="189"/>
    <row r="1407" ht="13" customHeight="1" s="189"/>
    <row r="1408" ht="13" customHeight="1" s="189"/>
    <row r="1409" ht="13" customHeight="1" s="189"/>
    <row r="1410" ht="13" customHeight="1" s="189"/>
    <row r="1411" ht="13" customHeight="1" s="189"/>
    <row r="1412" ht="13" customHeight="1" s="189"/>
    <row r="1413" ht="13" customHeight="1" s="189"/>
    <row r="1414" ht="13" customHeight="1" s="189"/>
    <row r="1415" ht="13" customHeight="1" s="189"/>
    <row r="1416" ht="13" customHeight="1" s="189"/>
    <row r="1417" ht="13" customHeight="1" s="189"/>
    <row r="1418" ht="13" customHeight="1" s="189"/>
    <row r="1419" ht="13" customHeight="1" s="189"/>
    <row r="1420" ht="13" customHeight="1" s="189"/>
    <row r="1421" ht="13" customHeight="1" s="189"/>
    <row r="1422" ht="13" customHeight="1" s="189"/>
    <row r="1423" ht="13" customHeight="1" s="189"/>
    <row r="1424" ht="13" customHeight="1" s="189"/>
    <row r="1425" ht="13" customHeight="1" s="189"/>
    <row r="1426" ht="13" customHeight="1" s="189"/>
    <row r="1427" ht="13" customHeight="1" s="189"/>
    <row r="1428" ht="13" customHeight="1" s="189"/>
    <row r="1429" ht="13" customHeight="1" s="189"/>
    <row r="1430" ht="13" customHeight="1" s="189"/>
    <row r="1431" ht="13" customHeight="1" s="189"/>
    <row r="1432" ht="13" customHeight="1" s="189"/>
    <row r="1433" ht="13" customHeight="1" s="189"/>
    <row r="1434" ht="13" customHeight="1" s="189"/>
    <row r="1435" ht="13" customHeight="1" s="189"/>
    <row r="1436" ht="13" customHeight="1" s="189"/>
    <row r="1437" ht="13" customHeight="1" s="189"/>
    <row r="1438" ht="13" customHeight="1" s="189"/>
    <row r="1439" ht="13" customHeight="1" s="189"/>
    <row r="1440" ht="13" customHeight="1" s="189"/>
    <row r="1441" ht="13" customHeight="1" s="189"/>
    <row r="1442" ht="13" customHeight="1" s="189"/>
    <row r="1443" ht="13" customHeight="1" s="189"/>
    <row r="1444" ht="13" customHeight="1" s="189"/>
    <row r="1445" ht="13" customHeight="1" s="189"/>
    <row r="1446" ht="13" customHeight="1" s="189"/>
    <row r="1447" ht="13" customHeight="1" s="189"/>
    <row r="1448" ht="13" customHeight="1" s="189"/>
    <row r="1449" ht="13" customHeight="1" s="189"/>
    <row r="1450" ht="13" customHeight="1" s="189"/>
    <row r="1451" ht="13" customHeight="1" s="189"/>
    <row r="1452" ht="13" customHeight="1" s="189"/>
    <row r="1453" ht="13" customHeight="1" s="189"/>
    <row r="1454" ht="13" customHeight="1" s="189"/>
    <row r="1455" ht="13" customHeight="1" s="189"/>
    <row r="1456" ht="13" customHeight="1" s="189"/>
    <row r="1457" ht="13" customHeight="1" s="189"/>
    <row r="1458" ht="13" customHeight="1" s="189"/>
    <row r="1459" ht="13" customHeight="1" s="189"/>
    <row r="1460" ht="13" customHeight="1" s="189"/>
    <row r="1461" ht="13" customHeight="1" s="189"/>
    <row r="1462" ht="13" customHeight="1" s="189"/>
    <row r="1463" ht="13" customHeight="1" s="189"/>
    <row r="1464" ht="13" customHeight="1" s="189"/>
  </sheetData>
  <mergeCells count="8">
    <mergeCell ref="A4:B4"/>
    <mergeCell ref="E4:F4"/>
    <mergeCell ref="A2:B2"/>
    <mergeCell ref="E2:F2"/>
    <mergeCell ref="A1:F1"/>
    <mergeCell ref="A5:F5"/>
    <mergeCell ref="A3:B3"/>
    <mergeCell ref="E3:F3"/>
  </mergeCells>
  <printOptions horizontalCentered="0" verticalCentered="0" headings="0" gridLines="1" gridLinesSet="1"/>
  <pageMargins left="0.75" right="0.75" top="1" bottom="1"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18.xml><?xml version="1.0" encoding="utf-8"?>
<worksheet xmlns="http://schemas.openxmlformats.org/spreadsheetml/2006/main">
  <sheetPr filterMode="0">
    <outlinePr summaryBelow="1" summaryRight="1"/>
    <pageSetUpPr fitToPage="0"/>
  </sheetPr>
  <dimension ref="A1:G1025"/>
  <sheetViews>
    <sheetView showFormulas="0" showGridLines="1" showRowColHeaders="1" showZeros="1" rightToLeft="0" tabSelected="0" showOutlineSymbols="1" defaultGridColor="1" view="normal" topLeftCell="A13" colorId="64" zoomScale="100" zoomScaleNormal="100" zoomScalePageLayoutView="100" workbookViewId="0">
      <selection pane="topLeft" activeCell="G25" activeCellId="0" sqref="G25"/>
    </sheetView>
  </sheetViews>
  <sheetFormatPr baseColWidth="8" defaultColWidth="9.0546875" defaultRowHeight="12.5" zeroHeight="0" outlineLevelRow="0"/>
  <cols>
    <col width="3.17" customWidth="1" style="287" min="1" max="1"/>
    <col width="37.72" customWidth="1" style="188" min="2" max="3"/>
    <col width="10.72" customWidth="1" style="293" min="4" max="4"/>
    <col width="10.72" customWidth="1" style="188" min="5" max="5"/>
    <col width="11.44" customWidth="1" style="188" min="6" max="7"/>
  </cols>
  <sheetData>
    <row r="1" ht="15.5" customHeight="1" s="189">
      <c r="A1" s="243" t="inlineStr">
        <is>
          <t>Communication Plan</t>
        </is>
      </c>
      <c r="B1" s="213" t="n"/>
      <c r="C1" s="213" t="n"/>
      <c r="D1" s="213" t="n"/>
      <c r="E1" s="213" t="n"/>
      <c r="F1" s="213" t="n"/>
      <c r="G1" s="214" t="n"/>
    </row>
    <row r="2" ht="13" customHeight="1" s="189">
      <c r="A2" s="266" t="inlineStr">
        <is>
          <t>Project</t>
        </is>
      </c>
      <c r="B2" s="214" t="n"/>
      <c r="C2" s="208">
        <f>Data!B1</f>
        <v/>
      </c>
      <c r="D2" s="266" t="inlineStr">
        <is>
          <t>Project #</t>
        </is>
      </c>
      <c r="E2" s="208">
        <f>Data!B2</f>
        <v/>
      </c>
      <c r="F2" s="213" t="n"/>
      <c r="G2" s="214" t="n"/>
    </row>
    <row r="3" ht="13" customHeight="1" s="189">
      <c r="A3" s="266" t="inlineStr">
        <is>
          <t>Project manager</t>
        </is>
      </c>
      <c r="B3" s="214" t="n"/>
      <c r="C3" s="208">
        <f>Data!B3</f>
        <v/>
      </c>
      <c r="D3" s="266" t="inlineStr">
        <is>
          <t>Sponsor</t>
        </is>
      </c>
      <c r="E3" s="208">
        <f>Data!B4</f>
        <v/>
      </c>
      <c r="F3" s="213" t="n"/>
      <c r="G3" s="214" t="n"/>
    </row>
    <row r="4" ht="13" customHeight="1" s="189">
      <c r="A4" s="266" t="inlineStr">
        <is>
          <t>Project artifacts</t>
        </is>
      </c>
      <c r="B4" s="214" t="n"/>
      <c r="C4" s="208">
        <f>Data!B5</f>
        <v/>
      </c>
      <c r="D4" s="266" t="inlineStr">
        <is>
          <t>Updated</t>
        </is>
      </c>
      <c r="E4" s="208">
        <f>Data!B6</f>
        <v/>
      </c>
      <c r="F4" s="213" t="n"/>
      <c r="G4" s="214" t="n"/>
    </row>
    <row r="5" ht="12.5" customHeight="1" s="189">
      <c r="A5" s="288" t="n"/>
      <c r="B5" s="213" t="n"/>
      <c r="C5" s="213" t="n"/>
      <c r="D5" s="213" t="n"/>
      <c r="E5" s="213" t="n"/>
      <c r="F5" s="214" t="n"/>
      <c r="G5" s="222" t="n"/>
    </row>
    <row r="6" ht="46.5" customHeight="1" s="189">
      <c r="A6" s="281" t="inlineStr">
        <is>
          <t>ID</t>
        </is>
      </c>
      <c r="B6" s="281" t="inlineStr">
        <is>
          <t>Communication</t>
        </is>
      </c>
      <c r="C6" s="281" t="inlineStr">
        <is>
          <t>Description</t>
        </is>
      </c>
      <c r="D6" s="281" t="inlineStr">
        <is>
          <t>Frequency</t>
        </is>
      </c>
      <c r="E6" s="281" t="inlineStr">
        <is>
          <t>Format</t>
        </is>
      </c>
      <c r="F6" s="281" t="inlineStr">
        <is>
          <t>Owner</t>
        </is>
      </c>
      <c r="G6" s="281" t="inlineStr">
        <is>
          <t>Recipient/ Attendees</t>
        </is>
      </c>
    </row>
    <row r="7" ht="21.75" customHeight="1" s="189">
      <c r="A7" s="272" t="n">
        <v>1</v>
      </c>
      <c r="B7" s="199" t="inlineStr">
        <is>
          <t>Weekly Status Meeting</t>
        </is>
      </c>
      <c r="C7" s="199" t="inlineStr">
        <is>
          <t>Review sprint progress, blockers, and action items</t>
        </is>
      </c>
      <c r="D7" s="285" t="inlineStr">
        <is>
          <t>Weekly</t>
        </is>
      </c>
      <c r="E7" s="199" t="inlineStr">
        <is>
          <t>Video call / Meeting notes</t>
        </is>
      </c>
      <c r="F7" s="284" t="inlineStr">
        <is>
          <t>Mohammedreda El aroui</t>
        </is>
      </c>
      <c r="G7" s="284" t="inlineStr">
        <is>
          <t>All team members</t>
        </is>
      </c>
    </row>
    <row r="8" ht="21.75" customHeight="1" s="189">
      <c r="A8" s="272" t="n">
        <v>2</v>
      </c>
      <c r="B8" s="199" t="inlineStr">
        <is>
          <t>Sponsor Update Report</t>
        </is>
      </c>
      <c r="C8" s="199" t="inlineStr">
        <is>
          <t>High-level project status, budget, risks for sponsor</t>
        </is>
      </c>
      <c r="D8" s="285" t="inlineStr">
        <is>
          <t>Bi-weekly</t>
        </is>
      </c>
      <c r="E8" s="199" t="inlineStr">
        <is>
          <t>Email report</t>
        </is>
      </c>
      <c r="F8" s="285" t="inlineStr">
        <is>
          <t>Mohammedreda El aroui</t>
        </is>
      </c>
      <c r="G8" s="222" t="inlineStr">
        <is>
          <t>Mohamed AAZI</t>
        </is>
      </c>
    </row>
    <row r="9" ht="21.75" customHeight="1" s="189">
      <c r="A9" s="272" t="n">
        <v>3</v>
      </c>
      <c r="B9" s="199" t="inlineStr">
        <is>
          <t>Sprint Review</t>
        </is>
      </c>
      <c r="C9" s="199" t="inlineStr">
        <is>
          <t>Demo of completed features to stakeholders</t>
        </is>
      </c>
      <c r="D9" s="285" t="inlineStr">
        <is>
          <t>End of each sprint</t>
        </is>
      </c>
      <c r="E9" s="199" t="inlineStr">
        <is>
          <t>Live demo / Presentation</t>
        </is>
      </c>
      <c r="F9" s="285" t="inlineStr">
        <is>
          <t>Dev Lead</t>
        </is>
      </c>
      <c r="G9" s="222" t="inlineStr">
        <is>
          <t>Sponsor, PM, QA</t>
        </is>
      </c>
    </row>
    <row r="10" ht="21.75" customHeight="1" s="189">
      <c r="A10" s="272" t="n">
        <v>4</v>
      </c>
      <c r="B10" s="199" t="inlineStr">
        <is>
          <t>Risk Review</t>
        </is>
      </c>
      <c r="C10" s="199" t="inlineStr">
        <is>
          <t>Review and update risk register</t>
        </is>
      </c>
      <c r="D10" s="285" t="inlineStr">
        <is>
          <t>Monthly</t>
        </is>
      </c>
      <c r="E10" s="199" t="inlineStr">
        <is>
          <t>Risk register document</t>
        </is>
      </c>
      <c r="F10" s="285" t="inlineStr">
        <is>
          <t>Mohammedreda El aroui</t>
        </is>
      </c>
      <c r="G10" s="222" t="inlineStr">
        <is>
          <t>All team members</t>
        </is>
      </c>
    </row>
    <row r="11" ht="21.75" customHeight="1" s="189">
      <c r="A11" s="272" t="n">
        <v>5</v>
      </c>
      <c r="B11" s="199" t="inlineStr">
        <is>
          <t>Change Request Notification</t>
        </is>
      </c>
      <c r="C11" s="199" t="inlineStr">
        <is>
          <t>Notify stakeholders of scope/schedule change requests</t>
        </is>
      </c>
      <c r="D11" s="285" t="inlineStr">
        <is>
          <t>As needed</t>
        </is>
      </c>
      <c r="E11" s="199" t="inlineStr">
        <is>
          <t>Email + Change log</t>
        </is>
      </c>
      <c r="F11" s="285" t="inlineStr">
        <is>
          <t>Mohammedreda El aroui</t>
        </is>
      </c>
      <c r="G11" s="222" t="inlineStr">
        <is>
          <t>Sponsor, Dev Lead</t>
        </is>
      </c>
    </row>
    <row r="12" ht="21.75" customHeight="1" s="189">
      <c r="A12" s="272" t="n">
        <v>6</v>
      </c>
      <c r="B12" s="199" t="inlineStr">
        <is>
          <t>Project Kickoff Meeting</t>
        </is>
      </c>
      <c r="C12" s="199" t="inlineStr">
        <is>
          <t>Introduce project goals, team, plan, and timeline</t>
        </is>
      </c>
      <c r="D12" s="285" t="inlineStr">
        <is>
          <t>Once (project start)</t>
        </is>
      </c>
      <c r="E12" s="199" t="inlineStr">
        <is>
          <t>In-person / Video call</t>
        </is>
      </c>
      <c r="F12" s="285" t="inlineStr">
        <is>
          <t>Mohammedreda El aroui</t>
        </is>
      </c>
      <c r="G12" s="222" t="inlineStr">
        <is>
          <t>All stakeholders</t>
        </is>
      </c>
    </row>
    <row r="13" ht="21.75" customHeight="1" s="189">
      <c r="A13" s="272" t="n">
        <v>7</v>
      </c>
      <c r="B13" s="199" t="inlineStr">
        <is>
          <t>User Testing Report</t>
        </is>
      </c>
      <c r="C13" s="199" t="inlineStr">
        <is>
          <t>Share findings from beta user testing sessions</t>
        </is>
      </c>
      <c r="D13" s="285" t="inlineStr">
        <is>
          <t>End of testing phase</t>
        </is>
      </c>
      <c r="E13" s="199" t="inlineStr">
        <is>
          <t>Written report + Dashboard</t>
        </is>
      </c>
      <c r="F13" s="285" t="inlineStr">
        <is>
          <t>QA Lead</t>
        </is>
      </c>
      <c r="G13" s="222" t="inlineStr">
        <is>
          <t>PM, Sponsor</t>
        </is>
      </c>
    </row>
    <row r="14" ht="21.75" customHeight="1" s="189">
      <c r="A14" s="272" t="n">
        <v>8</v>
      </c>
      <c r="B14" s="199" t="inlineStr">
        <is>
          <t>Project Closure Report</t>
        </is>
      </c>
      <c r="C14" s="199" t="inlineStr">
        <is>
          <t>Document final deliverables, lessons learned, sign-off</t>
        </is>
      </c>
      <c r="D14" s="285" t="inlineStr">
        <is>
          <t>Project end</t>
        </is>
      </c>
      <c r="E14" s="199" t="inlineStr">
        <is>
          <t>Final report document</t>
        </is>
      </c>
      <c r="F14" s="285" t="inlineStr">
        <is>
          <t>Mohammedreda El aroui</t>
        </is>
      </c>
      <c r="G14" s="222" t="inlineStr">
        <is>
          <t>Mohamed AAZI, All team</t>
        </is>
      </c>
    </row>
    <row r="15" ht="21.75" customHeight="1" s="189">
      <c r="A15" s="272" t="n">
        <v>9</v>
      </c>
      <c r="B15" s="199" t="n"/>
      <c r="C15" s="199" t="n"/>
      <c r="D15" s="285" t="n"/>
      <c r="E15" s="199" t="n"/>
      <c r="F15" s="285" t="n"/>
      <c r="G15" s="222" t="n"/>
    </row>
    <row r="16" ht="21.75" customHeight="1" s="189">
      <c r="A16" s="272" t="n">
        <v>10</v>
      </c>
      <c r="B16" s="199" t="n"/>
      <c r="C16" s="199" t="n"/>
      <c r="D16" s="285" t="n"/>
      <c r="E16" s="199" t="n"/>
      <c r="F16" s="285" t="n"/>
      <c r="G16" s="222" t="n"/>
    </row>
    <row r="17" ht="21.75" customHeight="1" s="189">
      <c r="A17" s="272" t="n">
        <v>11</v>
      </c>
      <c r="B17" s="199" t="n"/>
      <c r="C17" s="199" t="n"/>
      <c r="D17" s="285" t="n"/>
      <c r="E17" s="199" t="n"/>
      <c r="F17" s="285" t="n"/>
      <c r="G17" s="222" t="n"/>
    </row>
    <row r="18" ht="21.75" customHeight="1" s="189">
      <c r="A18" s="272" t="n">
        <v>12</v>
      </c>
      <c r="B18" s="199" t="n"/>
      <c r="C18" s="199" t="n"/>
      <c r="D18" s="285" t="n"/>
      <c r="E18" s="199" t="n"/>
      <c r="F18" s="285" t="n"/>
      <c r="G18" s="222" t="n"/>
    </row>
    <row r="19" ht="21.75" customHeight="1" s="189">
      <c r="A19" s="272" t="n">
        <v>13</v>
      </c>
      <c r="B19" s="199" t="n"/>
      <c r="C19" s="199" t="n"/>
      <c r="D19" s="285" t="n"/>
      <c r="E19" s="199" t="n"/>
      <c r="F19" s="285" t="n"/>
      <c r="G19" s="222" t="n"/>
    </row>
    <row r="20" ht="21.75" customHeight="1" s="189">
      <c r="A20" s="272" t="n">
        <v>14</v>
      </c>
      <c r="B20" s="199" t="n"/>
      <c r="C20" s="199" t="n"/>
      <c r="D20" s="285" t="n"/>
      <c r="E20" s="199" t="n"/>
      <c r="F20" s="285" t="n"/>
      <c r="G20" s="222" t="n"/>
    </row>
    <row r="21" ht="21.75" customHeight="1" s="189">
      <c r="A21" s="272" t="n">
        <v>15</v>
      </c>
      <c r="B21" s="199" t="n"/>
      <c r="C21" s="199" t="n"/>
      <c r="D21" s="285" t="n"/>
      <c r="E21" s="199" t="n"/>
      <c r="F21" s="285" t="n"/>
      <c r="G21" s="222" t="n"/>
    </row>
    <row r="22" ht="21.75" customHeight="1" s="189">
      <c r="A22" s="272" t="n">
        <v>16</v>
      </c>
      <c r="B22" s="199" t="n"/>
      <c r="C22" s="199" t="n"/>
      <c r="D22" s="285" t="n"/>
      <c r="E22" s="199" t="n"/>
      <c r="F22" s="285" t="n"/>
      <c r="G22" s="222" t="n"/>
    </row>
    <row r="23" ht="21.75" customHeight="1" s="189">
      <c r="A23" s="272" t="n">
        <v>17</v>
      </c>
      <c r="B23" s="199" t="n"/>
      <c r="C23" s="199" t="n"/>
      <c r="D23" s="285" t="n"/>
      <c r="E23" s="199" t="n"/>
      <c r="F23" s="285" t="n"/>
      <c r="G23" s="222" t="n"/>
    </row>
    <row r="24" ht="21.75" customHeight="1" s="189">
      <c r="A24" s="289" t="n"/>
      <c r="B24" s="290" t="n"/>
      <c r="C24" s="290" t="n"/>
      <c r="D24" s="291" t="n"/>
      <c r="E24" s="290" t="n"/>
      <c r="F24" s="291" t="n"/>
    </row>
    <row r="25" ht="13" customHeight="1" s="189">
      <c r="A25" s="289" t="n"/>
      <c r="B25" s="290" t="n"/>
      <c r="C25" s="290" t="n"/>
      <c r="D25" s="291" t="n"/>
      <c r="E25" s="290" t="n"/>
      <c r="F25" s="291" t="n"/>
      <c r="G25" s="201" t="inlineStr">
        <is>
          <t>© Global Knowledge Training LLC</t>
        </is>
      </c>
    </row>
    <row r="26" ht="21.75" customHeight="1" s="189">
      <c r="A26" s="289" t="n"/>
      <c r="B26" s="290" t="n"/>
      <c r="C26" s="290" t="n"/>
      <c r="D26" s="291" t="n"/>
      <c r="E26" s="290" t="n"/>
      <c r="F26" s="291" t="n"/>
    </row>
    <row r="27" ht="21.75" customHeight="1" s="189">
      <c r="A27" s="289" t="n"/>
      <c r="B27" s="290" t="n"/>
      <c r="C27" s="290" t="n"/>
      <c r="D27" s="291" t="n"/>
      <c r="E27" s="290" t="n"/>
      <c r="F27" s="290" t="n"/>
    </row>
    <row r="28" ht="21.75" customHeight="1" s="189">
      <c r="A28" s="289" t="n"/>
      <c r="B28" s="290" t="n"/>
      <c r="C28" s="290" t="n"/>
      <c r="D28" s="291" t="n"/>
      <c r="E28" s="290" t="n"/>
      <c r="F28" s="290" t="n"/>
    </row>
    <row r="29" ht="21.75" customHeight="1" s="189">
      <c r="A29" s="289" t="n"/>
      <c r="B29" s="290" t="n"/>
      <c r="C29" s="290" t="n"/>
      <c r="D29" s="291" t="n"/>
      <c r="E29" s="290" t="n"/>
      <c r="F29" s="290" t="n"/>
    </row>
    <row r="30" ht="21.75" customHeight="1" s="189">
      <c r="A30" s="289" t="n"/>
      <c r="B30" s="290" t="n"/>
      <c r="C30" s="290" t="n"/>
      <c r="D30" s="291" t="n"/>
      <c r="E30" s="290" t="n"/>
      <c r="F30" s="290" t="n"/>
    </row>
    <row r="31" ht="21.75" customHeight="1" s="189">
      <c r="A31" s="289" t="n"/>
      <c r="B31" s="290" t="n"/>
      <c r="C31" s="290" t="n"/>
      <c r="D31" s="291" t="n"/>
      <c r="E31" s="290" t="n"/>
      <c r="F31" s="290" t="n"/>
    </row>
    <row r="32" ht="21.75" customHeight="1" s="189">
      <c r="A32" s="289" t="n"/>
      <c r="B32" s="290" t="n"/>
      <c r="C32" s="290" t="n"/>
      <c r="D32" s="291" t="n"/>
      <c r="E32" s="290" t="n"/>
      <c r="F32" s="290" t="n"/>
    </row>
    <row r="33" ht="21.75" customHeight="1" s="189">
      <c r="A33" s="289" t="n"/>
      <c r="B33" s="290" t="n"/>
      <c r="C33" s="290" t="n"/>
      <c r="D33" s="291" t="n"/>
      <c r="E33" s="290" t="n"/>
      <c r="F33" s="290" t="n"/>
    </row>
    <row r="34" ht="21.75" customHeight="1" s="189">
      <c r="A34" s="289" t="n"/>
      <c r="B34" s="290" t="n"/>
      <c r="C34" s="290" t="n"/>
      <c r="D34" s="291" t="n"/>
      <c r="E34" s="290" t="n"/>
      <c r="F34" s="290" t="n"/>
    </row>
    <row r="35" ht="21.75" customHeight="1" s="189">
      <c r="A35" s="289" t="n"/>
      <c r="B35" s="290" t="n"/>
      <c r="C35" s="290" t="n"/>
      <c r="D35" s="291" t="n"/>
      <c r="E35" s="290" t="n"/>
      <c r="F35" s="290" t="n"/>
    </row>
    <row r="36" ht="21.75" customHeight="1" s="189">
      <c r="A36" s="289" t="n"/>
      <c r="B36" s="290" t="n"/>
      <c r="C36" s="290" t="n"/>
      <c r="D36" s="291" t="n"/>
      <c r="E36" s="290" t="n"/>
      <c r="F36" s="290" t="n"/>
    </row>
    <row r="37" ht="21.75" customHeight="1" s="189">
      <c r="A37" s="289" t="n"/>
      <c r="B37" s="290" t="n"/>
      <c r="C37" s="290" t="n"/>
      <c r="D37" s="291" t="n"/>
      <c r="E37" s="290" t="n"/>
      <c r="F37" s="290" t="n"/>
    </row>
    <row r="38" ht="21.75" customHeight="1" s="189">
      <c r="A38" s="289" t="n"/>
      <c r="B38" s="290" t="n"/>
      <c r="C38" s="290" t="n"/>
      <c r="D38" s="291" t="n"/>
      <c r="E38" s="290" t="n"/>
      <c r="F38" s="290" t="n"/>
    </row>
    <row r="39" ht="21.75" customHeight="1" s="189">
      <c r="A39" s="289" t="n"/>
      <c r="B39" s="290" t="n"/>
      <c r="C39" s="290" t="n"/>
      <c r="D39" s="291" t="n"/>
      <c r="E39" s="290" t="n"/>
      <c r="F39" s="290" t="n"/>
    </row>
    <row r="40" ht="21.75" customHeight="1" s="189">
      <c r="A40" s="289" t="n"/>
      <c r="B40" s="290" t="n"/>
      <c r="C40" s="290" t="n"/>
      <c r="D40" s="291" t="n"/>
      <c r="E40" s="290" t="n"/>
      <c r="F40" s="290" t="n"/>
    </row>
    <row r="41" ht="21.75" customHeight="1" s="189">
      <c r="A41" s="289" t="n"/>
      <c r="B41" s="290" t="n"/>
      <c r="C41" s="290" t="n"/>
      <c r="D41" s="291" t="n"/>
      <c r="E41" s="290" t="n"/>
      <c r="F41" s="290" t="n"/>
    </row>
    <row r="42" ht="21.75" customHeight="1" s="189">
      <c r="A42" s="289" t="n"/>
      <c r="B42" s="290" t="n"/>
      <c r="C42" s="290" t="n"/>
      <c r="D42" s="291" t="n"/>
      <c r="E42" s="290" t="n"/>
      <c r="F42" s="290" t="n"/>
    </row>
    <row r="43" ht="21.75" customHeight="1" s="189">
      <c r="A43" s="289" t="n"/>
      <c r="B43" s="290" t="n"/>
      <c r="C43" s="290" t="n"/>
      <c r="D43" s="291" t="n"/>
      <c r="E43" s="290" t="n"/>
      <c r="F43" s="290" t="n"/>
    </row>
    <row r="44" ht="21.75" customHeight="1" s="189">
      <c r="A44" s="289" t="n"/>
      <c r="B44" s="290" t="n"/>
      <c r="C44" s="290" t="n"/>
      <c r="D44" s="291" t="n"/>
      <c r="E44" s="290" t="n"/>
      <c r="F44" s="290" t="n"/>
    </row>
    <row r="45" ht="21.75" customHeight="1" s="189">
      <c r="A45" s="289" t="n"/>
      <c r="B45" s="290" t="n"/>
      <c r="C45" s="290" t="n"/>
      <c r="D45" s="291" t="n"/>
      <c r="E45" s="290" t="n"/>
      <c r="F45" s="290" t="n"/>
    </row>
    <row r="46" ht="21.75" customHeight="1" s="189">
      <c r="A46" s="289" t="n"/>
      <c r="B46" s="290" t="n"/>
      <c r="C46" s="290" t="n"/>
      <c r="D46" s="291" t="n"/>
      <c r="E46" s="290" t="n"/>
      <c r="F46" s="290" t="n"/>
    </row>
    <row r="47" ht="21.75" customHeight="1" s="189">
      <c r="A47" s="289" t="n"/>
      <c r="B47" s="290" t="n"/>
      <c r="C47" s="290" t="n"/>
      <c r="D47" s="291" t="n"/>
      <c r="E47" s="290" t="n"/>
      <c r="F47" s="290" t="n"/>
    </row>
    <row r="48" ht="21.75" customHeight="1" s="189">
      <c r="A48" s="289" t="n"/>
      <c r="B48" s="290" t="n"/>
      <c r="C48" s="290" t="n"/>
      <c r="D48" s="291" t="n"/>
      <c r="E48" s="290" t="n"/>
      <c r="F48" s="290" t="n"/>
    </row>
    <row r="49" ht="21.75" customHeight="1" s="189">
      <c r="A49" s="289" t="n"/>
      <c r="B49" s="290" t="n"/>
      <c r="C49" s="290" t="n"/>
      <c r="D49" s="291" t="n"/>
      <c r="E49" s="290" t="n"/>
      <c r="F49" s="290" t="n"/>
    </row>
    <row r="50" ht="21.75" customHeight="1" s="189">
      <c r="A50" s="289" t="n"/>
      <c r="B50" s="290" t="n"/>
      <c r="C50" s="290" t="n"/>
      <c r="D50" s="291" t="n"/>
      <c r="E50" s="290" t="n"/>
      <c r="F50" s="290" t="n"/>
    </row>
    <row r="51" ht="21.75" customHeight="1" s="189">
      <c r="A51" s="289" t="n"/>
      <c r="B51" s="290" t="n"/>
      <c r="C51" s="290" t="n"/>
      <c r="D51" s="291" t="n"/>
      <c r="E51" s="290" t="n"/>
      <c r="F51" s="290" t="n"/>
    </row>
    <row r="52" ht="21.75" customHeight="1" s="189">
      <c r="A52" s="289" t="n"/>
      <c r="B52" s="290" t="n"/>
      <c r="C52" s="290" t="n"/>
      <c r="D52" s="291" t="n"/>
      <c r="E52" s="290" t="n"/>
      <c r="F52" s="290" t="n"/>
    </row>
    <row r="53" ht="21.75" customHeight="1" s="189">
      <c r="A53" s="289" t="n"/>
      <c r="B53" s="290" t="n"/>
      <c r="C53" s="290" t="n"/>
      <c r="D53" s="291" t="n"/>
      <c r="E53" s="290" t="n"/>
      <c r="F53" s="290" t="n"/>
    </row>
    <row r="54" ht="21.75" customHeight="1" s="189">
      <c r="A54" s="289" t="n"/>
      <c r="B54" s="290" t="n"/>
      <c r="C54" s="290" t="n"/>
      <c r="D54" s="291" t="n"/>
      <c r="E54" s="290" t="n"/>
      <c r="F54" s="290" t="n"/>
    </row>
    <row r="55" ht="21.75" customHeight="1" s="189">
      <c r="A55" s="289" t="n"/>
      <c r="B55" s="290" t="n"/>
      <c r="C55" s="290" t="n"/>
      <c r="D55" s="291" t="n"/>
      <c r="E55" s="290" t="n"/>
      <c r="F55" s="290" t="n"/>
    </row>
    <row r="56" ht="21.75" customHeight="1" s="189">
      <c r="A56" s="289" t="n"/>
      <c r="B56" s="290" t="n"/>
      <c r="C56" s="290" t="n"/>
      <c r="D56" s="291" t="n"/>
      <c r="E56" s="290" t="n"/>
      <c r="F56" s="290" t="n"/>
    </row>
    <row r="57" ht="21.75" customHeight="1" s="189">
      <c r="A57" s="289" t="n"/>
      <c r="B57" s="290" t="n"/>
      <c r="C57" s="290" t="n"/>
      <c r="D57" s="291" t="n"/>
      <c r="E57" s="290" t="n"/>
      <c r="F57" s="290" t="n"/>
    </row>
    <row r="58" ht="21.75" customHeight="1" s="189">
      <c r="A58" s="289" t="n"/>
      <c r="B58" s="290" t="n"/>
      <c r="C58" s="290" t="n"/>
      <c r="D58" s="291" t="n"/>
      <c r="E58" s="290" t="n"/>
      <c r="F58" s="290" t="n"/>
    </row>
    <row r="59" ht="21.75" customHeight="1" s="189">
      <c r="A59" s="289" t="n"/>
      <c r="B59" s="290" t="n"/>
      <c r="C59" s="290" t="n"/>
      <c r="D59" s="291" t="n"/>
      <c r="E59" s="290" t="n"/>
      <c r="F59" s="290" t="n"/>
    </row>
    <row r="60" ht="21.75" customHeight="1" s="189">
      <c r="A60" s="289" t="n"/>
      <c r="B60" s="290" t="n"/>
      <c r="C60" s="290" t="n"/>
      <c r="D60" s="291" t="n"/>
      <c r="E60" s="290" t="n"/>
      <c r="F60" s="290" t="n"/>
    </row>
    <row r="61" ht="21.75" customHeight="1" s="189">
      <c r="A61" s="289" t="n"/>
      <c r="B61" s="290" t="n"/>
      <c r="C61" s="290" t="n"/>
      <c r="D61" s="291" t="n"/>
      <c r="E61" s="290" t="n"/>
      <c r="F61" s="290" t="n"/>
    </row>
    <row r="62" ht="21.75" customHeight="1" s="189">
      <c r="A62" s="289" t="n"/>
      <c r="B62" s="290" t="n"/>
      <c r="C62" s="290" t="n"/>
      <c r="D62" s="291" t="n"/>
      <c r="E62" s="290" t="n"/>
      <c r="F62" s="290" t="n"/>
    </row>
    <row r="63" ht="21.75" customHeight="1" s="189">
      <c r="A63" s="289" t="n"/>
      <c r="B63" s="290" t="n"/>
      <c r="C63" s="290" t="n"/>
      <c r="D63" s="291" t="n"/>
      <c r="E63" s="290" t="n"/>
      <c r="F63" s="290" t="n"/>
    </row>
    <row r="64" ht="21.75" customHeight="1" s="189">
      <c r="A64" s="289" t="n"/>
      <c r="B64" s="290" t="n"/>
      <c r="C64" s="290" t="n"/>
      <c r="D64" s="291" t="n"/>
      <c r="E64" s="290" t="n"/>
      <c r="F64" s="290" t="n"/>
    </row>
    <row r="65" ht="21.75" customHeight="1" s="189">
      <c r="A65" s="289" t="n"/>
      <c r="B65" s="290" t="n"/>
      <c r="C65" s="290" t="n"/>
      <c r="D65" s="291" t="n"/>
      <c r="E65" s="290" t="n"/>
      <c r="F65" s="290" t="n"/>
    </row>
    <row r="66" ht="21.75" customHeight="1" s="189">
      <c r="A66" s="289" t="n"/>
      <c r="B66" s="290" t="n"/>
      <c r="C66" s="290" t="n"/>
      <c r="D66" s="291" t="n"/>
      <c r="E66" s="290" t="n"/>
      <c r="F66" s="290" t="n"/>
    </row>
    <row r="67" ht="21.75" customHeight="1" s="189">
      <c r="A67" s="289" t="n"/>
      <c r="B67" s="290" t="n"/>
      <c r="C67" s="290" t="n"/>
      <c r="D67" s="291" t="n"/>
      <c r="E67" s="290" t="n"/>
      <c r="F67" s="290" t="n"/>
    </row>
    <row r="68" ht="21.75" customHeight="1" s="189">
      <c r="A68" s="289" t="n"/>
      <c r="B68" s="290" t="n"/>
      <c r="C68" s="290" t="n"/>
      <c r="D68" s="291" t="n"/>
      <c r="E68" s="290" t="n"/>
      <c r="F68" s="290" t="n"/>
    </row>
    <row r="69" ht="21.75" customHeight="1" s="189">
      <c r="A69" s="289" t="n"/>
      <c r="B69" s="290" t="n"/>
      <c r="C69" s="290" t="n"/>
      <c r="D69" s="291" t="n"/>
      <c r="E69" s="290" t="n"/>
      <c r="F69" s="290" t="n"/>
    </row>
    <row r="70" ht="21.75" customHeight="1" s="189">
      <c r="A70" s="289" t="n"/>
      <c r="B70" s="290" t="n"/>
      <c r="C70" s="290" t="n"/>
      <c r="D70" s="291" t="n"/>
      <c r="E70" s="290" t="n"/>
      <c r="F70" s="290" t="n"/>
    </row>
    <row r="71" ht="21.75" customHeight="1" s="189">
      <c r="A71" s="289" t="n"/>
      <c r="B71" s="290" t="n"/>
      <c r="C71" s="290" t="n"/>
      <c r="D71" s="291" t="n"/>
      <c r="E71" s="290" t="n"/>
      <c r="F71" s="290" t="n"/>
    </row>
    <row r="72" ht="21.75" customHeight="1" s="189">
      <c r="A72" s="289" t="n"/>
      <c r="B72" s="290" t="n"/>
      <c r="C72" s="290" t="n"/>
      <c r="D72" s="291" t="n"/>
      <c r="E72" s="290" t="n"/>
      <c r="F72" s="290" t="n"/>
    </row>
    <row r="73" ht="21.75" customHeight="1" s="189">
      <c r="A73" s="289" t="n"/>
      <c r="B73" s="290" t="n"/>
      <c r="C73" s="290" t="n"/>
      <c r="D73" s="291" t="n"/>
      <c r="E73" s="290" t="n"/>
      <c r="F73" s="290" t="n"/>
    </row>
    <row r="74" ht="21.75" customHeight="1" s="189">
      <c r="A74" s="289" t="n"/>
      <c r="B74" s="290" t="n"/>
      <c r="C74" s="290" t="n"/>
      <c r="D74" s="291" t="n"/>
      <c r="E74" s="290" t="n"/>
      <c r="F74" s="290" t="n"/>
    </row>
    <row r="75" ht="21.75" customHeight="1" s="189">
      <c r="A75" s="289" t="n"/>
      <c r="B75" s="290" t="n"/>
      <c r="C75" s="290" t="n"/>
      <c r="D75" s="291" t="n"/>
      <c r="E75" s="290" t="n"/>
      <c r="F75" s="290" t="n"/>
    </row>
    <row r="76" ht="21.75" customHeight="1" s="189">
      <c r="A76" s="289" t="n"/>
      <c r="B76" s="290" t="n"/>
      <c r="C76" s="290" t="n"/>
      <c r="D76" s="291" t="n"/>
      <c r="E76" s="290" t="n"/>
      <c r="F76" s="290" t="n"/>
    </row>
    <row r="77" ht="21.75" customHeight="1" s="189">
      <c r="A77" s="289" t="n"/>
      <c r="B77" s="290" t="n"/>
      <c r="C77" s="290" t="n"/>
      <c r="D77" s="291" t="n"/>
      <c r="E77" s="290" t="n"/>
      <c r="F77" s="290" t="n"/>
    </row>
    <row r="78" ht="21.75" customHeight="1" s="189">
      <c r="A78" s="289" t="n"/>
      <c r="B78" s="290" t="n"/>
      <c r="C78" s="290" t="n"/>
      <c r="D78" s="291" t="n"/>
      <c r="E78" s="290" t="n"/>
      <c r="F78" s="290" t="n"/>
    </row>
    <row r="79" ht="21.75" customHeight="1" s="189">
      <c r="A79" s="289" t="n"/>
      <c r="B79" s="290" t="n"/>
      <c r="C79" s="290" t="n"/>
      <c r="D79" s="291" t="n"/>
      <c r="E79" s="290" t="n"/>
      <c r="F79" s="290" t="n"/>
    </row>
    <row r="80" ht="21.75" customHeight="1" s="189">
      <c r="A80" s="289" t="n"/>
      <c r="B80" s="290" t="n"/>
      <c r="C80" s="290" t="n"/>
      <c r="D80" s="291" t="n"/>
      <c r="E80" s="290" t="n"/>
      <c r="F80" s="290" t="n"/>
    </row>
    <row r="81" ht="21.75" customHeight="1" s="189">
      <c r="A81" s="289" t="n"/>
      <c r="B81" s="290" t="n"/>
      <c r="C81" s="290" t="n"/>
      <c r="D81" s="291" t="n"/>
      <c r="E81" s="290" t="n"/>
      <c r="F81" s="290" t="n"/>
    </row>
    <row r="82" ht="21.75" customHeight="1" s="189">
      <c r="A82" s="289" t="n"/>
      <c r="B82" s="290" t="n"/>
      <c r="C82" s="290" t="n"/>
      <c r="D82" s="291" t="n"/>
      <c r="E82" s="290" t="n"/>
      <c r="F82" s="290" t="n"/>
    </row>
    <row r="83" ht="21.75" customHeight="1" s="189">
      <c r="A83" s="289" t="n"/>
      <c r="B83" s="290" t="n"/>
      <c r="C83" s="290" t="n"/>
      <c r="D83" s="291" t="n"/>
      <c r="E83" s="290" t="n"/>
      <c r="F83" s="290" t="n"/>
    </row>
    <row r="84" ht="21.75" customHeight="1" s="189">
      <c r="A84" s="289" t="n"/>
      <c r="B84" s="290" t="n"/>
      <c r="C84" s="290" t="n"/>
      <c r="D84" s="291" t="n"/>
      <c r="E84" s="290" t="n"/>
      <c r="F84" s="290" t="n"/>
    </row>
    <row r="85" ht="21.75" customHeight="1" s="189">
      <c r="A85" s="289" t="n"/>
      <c r="B85" s="290" t="n"/>
      <c r="C85" s="290" t="n"/>
      <c r="D85" s="291" t="n"/>
      <c r="E85" s="290" t="n"/>
      <c r="F85" s="290" t="n"/>
    </row>
    <row r="86" ht="21.75" customHeight="1" s="189">
      <c r="A86" s="289" t="n"/>
      <c r="B86" s="290" t="n"/>
      <c r="C86" s="290" t="n"/>
      <c r="D86" s="291" t="n"/>
      <c r="E86" s="290" t="n"/>
      <c r="F86" s="290" t="n"/>
    </row>
    <row r="87" ht="21.75" customHeight="1" s="189">
      <c r="A87" s="289" t="n"/>
      <c r="B87" s="290" t="n"/>
      <c r="C87" s="290" t="n"/>
      <c r="D87" s="291" t="n"/>
      <c r="E87" s="290" t="n"/>
      <c r="F87" s="290" t="n"/>
    </row>
    <row r="88" ht="21.75" customHeight="1" s="189">
      <c r="A88" s="289" t="n"/>
      <c r="B88" s="290" t="n"/>
      <c r="C88" s="290" t="n"/>
      <c r="D88" s="291" t="n"/>
      <c r="E88" s="290" t="n"/>
      <c r="F88" s="290" t="n"/>
    </row>
    <row r="89" ht="21.75" customHeight="1" s="189">
      <c r="A89" s="289" t="n"/>
      <c r="B89" s="290" t="n"/>
      <c r="C89" s="290" t="n"/>
      <c r="D89" s="291" t="n"/>
      <c r="E89" s="290" t="n"/>
      <c r="F89" s="290" t="n"/>
    </row>
    <row r="90" ht="21.75" customHeight="1" s="189">
      <c r="A90" s="289" t="n"/>
      <c r="B90" s="290" t="n"/>
      <c r="C90" s="290" t="n"/>
      <c r="D90" s="291" t="n"/>
      <c r="E90" s="290" t="n"/>
      <c r="F90" s="290" t="n"/>
    </row>
    <row r="91" ht="21.75" customHeight="1" s="189">
      <c r="A91" s="289" t="n"/>
      <c r="B91" s="290" t="n"/>
      <c r="C91" s="290" t="n"/>
      <c r="D91" s="291" t="n"/>
      <c r="E91" s="290" t="n"/>
      <c r="F91" s="290" t="n"/>
    </row>
    <row r="92" ht="21.75" customHeight="1" s="189">
      <c r="A92" s="289" t="n"/>
      <c r="B92" s="290" t="n"/>
      <c r="C92" s="290" t="n"/>
      <c r="D92" s="291" t="n"/>
      <c r="E92" s="290" t="n"/>
      <c r="F92" s="290" t="n"/>
    </row>
    <row r="93" ht="21.75" customHeight="1" s="189">
      <c r="A93" s="289" t="n"/>
      <c r="B93" s="290" t="n"/>
      <c r="C93" s="290" t="n"/>
      <c r="D93" s="291" t="n"/>
      <c r="E93" s="290" t="n"/>
      <c r="F93" s="290" t="n"/>
    </row>
    <row r="94" ht="21.75" customHeight="1" s="189">
      <c r="A94" s="289" t="n"/>
      <c r="B94" s="290" t="n"/>
      <c r="C94" s="290" t="n"/>
      <c r="D94" s="291" t="n"/>
      <c r="E94" s="290" t="n"/>
      <c r="F94" s="290" t="n"/>
    </row>
    <row r="95" ht="21.75" customHeight="1" s="189">
      <c r="A95" s="289" t="n"/>
      <c r="B95" s="290" t="n"/>
      <c r="C95" s="290" t="n"/>
      <c r="D95" s="291" t="n"/>
      <c r="E95" s="290" t="n"/>
      <c r="F95" s="290" t="n"/>
    </row>
    <row r="96" ht="21.75" customHeight="1" s="189">
      <c r="A96" s="289" t="n"/>
      <c r="B96" s="290" t="n"/>
      <c r="C96" s="290" t="n"/>
      <c r="D96" s="291" t="n"/>
      <c r="E96" s="290" t="n"/>
      <c r="F96" s="290" t="n"/>
    </row>
    <row r="97" ht="21.75" customHeight="1" s="189">
      <c r="A97" s="289" t="n"/>
      <c r="B97" s="290" t="n"/>
      <c r="C97" s="290" t="n"/>
      <c r="D97" s="291" t="n"/>
      <c r="E97" s="290" t="n"/>
      <c r="F97" s="290" t="n"/>
    </row>
    <row r="98" ht="21.75" customHeight="1" s="189">
      <c r="A98" s="289" t="n"/>
      <c r="B98" s="290" t="n"/>
      <c r="C98" s="290" t="n"/>
      <c r="D98" s="291" t="n"/>
      <c r="E98" s="290" t="n"/>
      <c r="F98" s="290" t="n"/>
    </row>
    <row r="99" ht="21.75" customHeight="1" s="189">
      <c r="A99" s="289" t="n"/>
      <c r="B99" s="290" t="n"/>
      <c r="C99" s="290" t="n"/>
      <c r="D99" s="291" t="n"/>
      <c r="E99" s="290" t="n"/>
      <c r="F99" s="290" t="n"/>
    </row>
    <row r="100" ht="21.75" customHeight="1" s="189">
      <c r="A100" s="289" t="n"/>
      <c r="B100" s="290" t="n"/>
      <c r="C100" s="290" t="n"/>
      <c r="D100" s="291" t="n"/>
      <c r="E100" s="290" t="n"/>
      <c r="F100" s="290" t="n"/>
    </row>
    <row r="101" ht="21.75" customHeight="1" s="189">
      <c r="A101" s="289" t="n"/>
      <c r="B101" s="290" t="n"/>
      <c r="C101" s="290" t="n"/>
      <c r="D101" s="291" t="n"/>
      <c r="E101" s="290" t="n"/>
      <c r="F101" s="290" t="n"/>
    </row>
    <row r="102" ht="21.75" customHeight="1" s="189">
      <c r="A102" s="289" t="n"/>
      <c r="B102" s="290" t="n"/>
      <c r="C102" s="290" t="n"/>
      <c r="D102" s="291" t="n"/>
      <c r="E102" s="290" t="n"/>
      <c r="F102" s="290" t="n"/>
    </row>
    <row r="103" ht="21.75" customHeight="1" s="189">
      <c r="A103" s="289" t="n"/>
      <c r="B103" s="290" t="n"/>
      <c r="C103" s="290" t="n"/>
      <c r="D103" s="291" t="n"/>
      <c r="E103" s="290" t="n"/>
      <c r="F103" s="290" t="n"/>
    </row>
    <row r="104" ht="21.75" customHeight="1" s="189">
      <c r="A104" s="289" t="n"/>
      <c r="B104" s="290" t="n"/>
      <c r="C104" s="290" t="n"/>
      <c r="D104" s="291" t="n"/>
      <c r="E104" s="290" t="n"/>
      <c r="F104" s="290" t="n"/>
    </row>
    <row r="105" ht="21.75" customHeight="1" s="189">
      <c r="A105" s="289" t="n"/>
      <c r="B105" s="290" t="n"/>
      <c r="C105" s="290" t="n"/>
      <c r="D105" s="291" t="n"/>
      <c r="E105" s="290" t="n"/>
      <c r="F105" s="290" t="n"/>
    </row>
    <row r="106" ht="21.75" customHeight="1" s="189">
      <c r="A106" s="289" t="n"/>
      <c r="B106" s="290" t="n"/>
      <c r="C106" s="290" t="n"/>
      <c r="D106" s="291" t="n"/>
      <c r="E106" s="290" t="n"/>
      <c r="F106" s="290" t="n"/>
    </row>
    <row r="107" ht="21.75" customHeight="1" s="189">
      <c r="A107" s="289" t="n"/>
      <c r="B107" s="290" t="n"/>
      <c r="C107" s="290" t="n"/>
      <c r="D107" s="291" t="n"/>
      <c r="E107" s="290" t="n"/>
      <c r="F107" s="290" t="n"/>
    </row>
    <row r="108" ht="21.75" customHeight="1" s="189">
      <c r="A108" s="289" t="n"/>
      <c r="B108" s="290" t="n"/>
      <c r="C108" s="290" t="n"/>
      <c r="D108" s="291" t="n"/>
      <c r="E108" s="290" t="n"/>
      <c r="F108" s="290" t="n"/>
    </row>
    <row r="109" ht="21.75" customHeight="1" s="189">
      <c r="A109" s="289" t="n"/>
      <c r="B109" s="290" t="n"/>
      <c r="C109" s="290" t="n"/>
      <c r="D109" s="291" t="n"/>
      <c r="E109" s="290" t="n"/>
      <c r="F109" s="290" t="n"/>
    </row>
    <row r="110" ht="21.75" customHeight="1" s="189">
      <c r="A110" s="289" t="n"/>
      <c r="B110" s="290" t="n"/>
      <c r="C110" s="290" t="n"/>
      <c r="D110" s="291" t="n"/>
      <c r="E110" s="290" t="n"/>
      <c r="F110" s="290" t="n"/>
    </row>
    <row r="111" ht="21.75" customHeight="1" s="189">
      <c r="A111" s="289" t="n"/>
      <c r="B111" s="290" t="n"/>
      <c r="C111" s="290" t="n"/>
      <c r="D111" s="291" t="n"/>
      <c r="E111" s="290" t="n"/>
      <c r="F111" s="290" t="n"/>
    </row>
    <row r="112" ht="21.75" customHeight="1" s="189">
      <c r="A112" s="289" t="n"/>
      <c r="B112" s="290" t="n"/>
      <c r="C112" s="290" t="n"/>
      <c r="D112" s="291" t="n"/>
      <c r="E112" s="290" t="n"/>
      <c r="F112" s="290" t="n"/>
    </row>
    <row r="113" ht="21.75" customHeight="1" s="189">
      <c r="A113" s="289" t="n"/>
      <c r="B113" s="290" t="n"/>
      <c r="C113" s="290" t="n"/>
      <c r="D113" s="291" t="n"/>
      <c r="E113" s="290" t="n"/>
      <c r="F113" s="290" t="n"/>
    </row>
    <row r="114" ht="21.75" customHeight="1" s="189">
      <c r="A114" s="289" t="n"/>
      <c r="B114" s="290" t="n"/>
      <c r="C114" s="290" t="n"/>
      <c r="D114" s="291" t="n"/>
      <c r="E114" s="290" t="n"/>
      <c r="F114" s="290" t="n"/>
    </row>
    <row r="115" ht="21.75" customHeight="1" s="189">
      <c r="A115" s="289" t="n"/>
      <c r="B115" s="290" t="n"/>
      <c r="C115" s="290" t="n"/>
      <c r="D115" s="291" t="n"/>
      <c r="E115" s="290" t="n"/>
      <c r="F115" s="290" t="n"/>
    </row>
    <row r="116" ht="21.75" customHeight="1" s="189">
      <c r="A116" s="289" t="n"/>
      <c r="B116" s="290" t="n"/>
      <c r="C116" s="290" t="n"/>
      <c r="D116" s="291" t="n"/>
      <c r="E116" s="290" t="n"/>
      <c r="F116" s="290" t="n"/>
    </row>
    <row r="117" ht="21.75" customHeight="1" s="189">
      <c r="A117" s="289" t="n"/>
      <c r="B117" s="290" t="n"/>
      <c r="C117" s="290" t="n"/>
      <c r="D117" s="291" t="n"/>
      <c r="E117" s="290" t="n"/>
      <c r="F117" s="290" t="n"/>
    </row>
    <row r="118" ht="21.75" customHeight="1" s="189">
      <c r="A118" s="289" t="n"/>
      <c r="B118" s="290" t="n"/>
      <c r="C118" s="290" t="n"/>
      <c r="D118" s="291" t="n"/>
      <c r="E118" s="290" t="n"/>
      <c r="F118" s="290" t="n"/>
    </row>
    <row r="119" ht="21.75" customHeight="1" s="189">
      <c r="A119" s="289" t="n"/>
      <c r="B119" s="290" t="n"/>
      <c r="C119" s="290" t="n"/>
      <c r="D119" s="291" t="n"/>
      <c r="E119" s="290" t="n"/>
      <c r="F119" s="290" t="n"/>
    </row>
    <row r="120" ht="21.75" customHeight="1" s="189">
      <c r="A120" s="289" t="n"/>
      <c r="B120" s="290" t="n"/>
      <c r="C120" s="290" t="n"/>
      <c r="D120" s="291" t="n"/>
      <c r="E120" s="290" t="n"/>
      <c r="F120" s="290" t="n"/>
    </row>
    <row r="121" ht="21.75" customHeight="1" s="189">
      <c r="A121" s="289" t="n"/>
      <c r="B121" s="290" t="n"/>
      <c r="C121" s="290" t="n"/>
      <c r="D121" s="291" t="n"/>
      <c r="E121" s="290" t="n"/>
      <c r="F121" s="290" t="n"/>
    </row>
    <row r="122" ht="21.75" customHeight="1" s="189">
      <c r="A122" s="289" t="n"/>
      <c r="B122" s="290" t="n"/>
      <c r="C122" s="290" t="n"/>
      <c r="D122" s="291" t="n"/>
      <c r="E122" s="290" t="n"/>
      <c r="F122" s="290" t="n"/>
    </row>
    <row r="123" ht="21.75" customHeight="1" s="189">
      <c r="A123" s="289" t="n"/>
      <c r="B123" s="290" t="n"/>
      <c r="C123" s="290" t="n"/>
      <c r="D123" s="291" t="n"/>
      <c r="E123" s="290" t="n"/>
      <c r="F123" s="290" t="n"/>
    </row>
    <row r="124" ht="21.75" customHeight="1" s="189">
      <c r="A124" s="289" t="n"/>
      <c r="B124" s="290" t="n"/>
      <c r="C124" s="290" t="n"/>
      <c r="D124" s="291" t="n"/>
      <c r="E124" s="290" t="n"/>
      <c r="F124" s="290" t="n"/>
    </row>
    <row r="125" ht="21.75" customHeight="1" s="189">
      <c r="A125" s="289" t="n"/>
      <c r="B125" s="290" t="n"/>
      <c r="C125" s="290" t="n"/>
      <c r="D125" s="291" t="n"/>
      <c r="E125" s="290" t="n"/>
      <c r="F125" s="290" t="n"/>
    </row>
    <row r="126" ht="21.75" customHeight="1" s="189">
      <c r="A126" s="289" t="n"/>
      <c r="B126" s="290" t="n"/>
      <c r="C126" s="290" t="n"/>
      <c r="D126" s="291" t="n"/>
      <c r="E126" s="290" t="n"/>
      <c r="F126" s="290" t="n"/>
    </row>
    <row r="127" ht="21.75" customHeight="1" s="189">
      <c r="A127" s="289" t="n"/>
      <c r="B127" s="290" t="n"/>
      <c r="C127" s="290" t="n"/>
      <c r="D127" s="291" t="n"/>
      <c r="E127" s="290" t="n"/>
      <c r="F127" s="290" t="n"/>
    </row>
    <row r="128" ht="21.75" customHeight="1" s="189">
      <c r="A128" s="289" t="n"/>
      <c r="B128" s="290" t="n"/>
      <c r="C128" s="290" t="n"/>
      <c r="D128" s="291" t="n"/>
      <c r="E128" s="290" t="n"/>
      <c r="F128" s="290" t="n"/>
    </row>
    <row r="129" ht="21.75" customHeight="1" s="189">
      <c r="A129" s="289" t="n"/>
      <c r="B129" s="290" t="n"/>
      <c r="C129" s="290" t="n"/>
      <c r="D129" s="291" t="n"/>
      <c r="E129" s="290" t="n"/>
      <c r="F129" s="290" t="n"/>
    </row>
    <row r="130" ht="21.75" customHeight="1" s="189">
      <c r="A130" s="289" t="n"/>
      <c r="B130" s="290" t="n"/>
      <c r="C130" s="290" t="n"/>
      <c r="D130" s="291" t="n"/>
      <c r="E130" s="290" t="n"/>
      <c r="F130" s="290" t="n"/>
    </row>
    <row r="131" ht="21.75" customHeight="1" s="189">
      <c r="A131" s="289" t="n"/>
      <c r="B131" s="290" t="n"/>
      <c r="C131" s="290" t="n"/>
      <c r="D131" s="291" t="n"/>
      <c r="E131" s="290" t="n"/>
      <c r="F131" s="290" t="n"/>
    </row>
    <row r="132" ht="21.75" customHeight="1" s="189">
      <c r="A132" s="289" t="n"/>
      <c r="B132" s="290" t="n"/>
      <c r="C132" s="290" t="n"/>
      <c r="D132" s="291" t="n"/>
      <c r="E132" s="290" t="n"/>
      <c r="F132" s="290" t="n"/>
    </row>
    <row r="133" ht="21.75" customHeight="1" s="189">
      <c r="A133" s="289" t="n"/>
      <c r="B133" s="290" t="n"/>
      <c r="C133" s="290" t="n"/>
      <c r="D133" s="291" t="n"/>
      <c r="E133" s="290" t="n"/>
      <c r="F133" s="290" t="n"/>
    </row>
    <row r="134" ht="21.75" customHeight="1" s="189">
      <c r="A134" s="289" t="n"/>
      <c r="B134" s="290" t="n"/>
      <c r="C134" s="290" t="n"/>
      <c r="D134" s="291" t="n"/>
      <c r="E134" s="290" t="n"/>
      <c r="F134" s="290" t="n"/>
    </row>
    <row r="135" ht="21.75" customHeight="1" s="189">
      <c r="A135" s="289" t="n"/>
      <c r="B135" s="290" t="n"/>
      <c r="C135" s="290" t="n"/>
      <c r="D135" s="291" t="n"/>
      <c r="E135" s="290" t="n"/>
      <c r="F135" s="290" t="n"/>
    </row>
    <row r="136" ht="21.75" customHeight="1" s="189">
      <c r="A136" s="289" t="n"/>
      <c r="B136" s="290" t="n"/>
      <c r="C136" s="290" t="n"/>
      <c r="D136" s="291" t="n"/>
      <c r="E136" s="290" t="n"/>
      <c r="F136" s="290" t="n"/>
    </row>
    <row r="137" ht="21.75" customHeight="1" s="189">
      <c r="A137" s="289" t="n"/>
      <c r="B137" s="290" t="n"/>
      <c r="C137" s="290" t="n"/>
      <c r="D137" s="291" t="n"/>
      <c r="E137" s="290" t="n"/>
      <c r="F137" s="290" t="n"/>
    </row>
    <row r="138" ht="21.75" customHeight="1" s="189">
      <c r="A138" s="289" t="n"/>
      <c r="B138" s="290" t="n"/>
      <c r="C138" s="290" t="n"/>
      <c r="D138" s="291" t="n"/>
      <c r="E138" s="290" t="n"/>
      <c r="F138" s="290" t="n"/>
    </row>
    <row r="139" ht="21.75" customHeight="1" s="189">
      <c r="A139" s="289" t="n"/>
      <c r="B139" s="290" t="n"/>
      <c r="C139" s="290" t="n"/>
      <c r="D139" s="291" t="n"/>
      <c r="E139" s="290" t="n"/>
      <c r="F139" s="290" t="n"/>
    </row>
    <row r="140" ht="21.75" customHeight="1" s="189">
      <c r="A140" s="289" t="n"/>
      <c r="B140" s="290" t="n"/>
      <c r="C140" s="290" t="n"/>
      <c r="D140" s="291" t="n"/>
      <c r="E140" s="290" t="n"/>
      <c r="F140" s="290" t="n"/>
    </row>
    <row r="141" ht="21.75" customHeight="1" s="189">
      <c r="A141" s="289" t="n"/>
      <c r="B141" s="290" t="n"/>
      <c r="C141" s="290" t="n"/>
      <c r="D141" s="291" t="n"/>
      <c r="E141" s="290" t="n"/>
      <c r="F141" s="290" t="n"/>
    </row>
    <row r="142" ht="21.75" customHeight="1" s="189">
      <c r="A142" s="289" t="n"/>
      <c r="B142" s="290" t="n"/>
      <c r="C142" s="290" t="n"/>
      <c r="D142" s="291" t="n"/>
      <c r="E142" s="290" t="n"/>
      <c r="F142" s="290" t="n"/>
    </row>
    <row r="143" ht="21.75" customHeight="1" s="189">
      <c r="A143" s="289" t="n"/>
      <c r="B143" s="290" t="n"/>
      <c r="C143" s="290" t="n"/>
      <c r="D143" s="291" t="n"/>
      <c r="E143" s="290" t="n"/>
      <c r="F143" s="290" t="n"/>
    </row>
    <row r="144" ht="21.75" customHeight="1" s="189">
      <c r="A144" s="289" t="n"/>
      <c r="B144" s="290" t="n"/>
      <c r="C144" s="290" t="n"/>
      <c r="D144" s="291" t="n"/>
      <c r="E144" s="290" t="n"/>
      <c r="F144" s="290" t="n"/>
    </row>
    <row r="145" ht="21.75" customHeight="1" s="189">
      <c r="A145" s="289" t="n"/>
      <c r="B145" s="290" t="n"/>
      <c r="C145" s="290" t="n"/>
      <c r="D145" s="291" t="n"/>
      <c r="E145" s="290" t="n"/>
      <c r="F145" s="290" t="n"/>
    </row>
    <row r="146" ht="21.75" customHeight="1" s="189">
      <c r="A146" s="289" t="n"/>
      <c r="B146" s="290" t="n"/>
      <c r="C146" s="290" t="n"/>
      <c r="D146" s="291" t="n"/>
      <c r="E146" s="290" t="n"/>
      <c r="F146" s="290" t="n"/>
    </row>
    <row r="147" ht="21.75" customHeight="1" s="189">
      <c r="A147" s="289" t="n"/>
      <c r="B147" s="290" t="n"/>
      <c r="C147" s="290" t="n"/>
      <c r="D147" s="291" t="n"/>
      <c r="E147" s="290" t="n"/>
      <c r="F147" s="290" t="n"/>
    </row>
    <row r="148" ht="21.75" customHeight="1" s="189">
      <c r="A148" s="289" t="n"/>
      <c r="B148" s="290" t="n"/>
      <c r="C148" s="290" t="n"/>
      <c r="D148" s="291" t="n"/>
      <c r="E148" s="290" t="n"/>
      <c r="F148" s="290" t="n"/>
    </row>
    <row r="149" ht="21.75" customHeight="1" s="189">
      <c r="A149" s="289" t="n"/>
      <c r="B149" s="290" t="n"/>
      <c r="C149" s="290" t="n"/>
      <c r="D149" s="291" t="n"/>
      <c r="E149" s="290" t="n"/>
      <c r="F149" s="290" t="n"/>
    </row>
    <row r="150" ht="13" customHeight="1" s="189">
      <c r="A150" s="289" t="n"/>
      <c r="B150" s="290" t="n"/>
      <c r="C150" s="290" t="n"/>
      <c r="D150" s="291" t="n"/>
      <c r="E150" s="290" t="n"/>
      <c r="F150" s="290" t="n"/>
    </row>
    <row r="151" ht="13" customHeight="1" s="189">
      <c r="A151" s="289" t="n"/>
      <c r="B151" s="290" t="n"/>
      <c r="C151" s="290" t="n"/>
      <c r="D151" s="291" t="n"/>
      <c r="E151" s="290" t="n"/>
      <c r="F151" s="290" t="n"/>
    </row>
    <row r="152" ht="13" customHeight="1" s="189">
      <c r="A152" s="289" t="n"/>
      <c r="B152" s="290" t="n"/>
      <c r="C152" s="290" t="n"/>
      <c r="D152" s="291" t="n"/>
      <c r="E152" s="290" t="n"/>
      <c r="F152" s="290" t="n"/>
    </row>
    <row r="153" ht="13" customHeight="1" s="189">
      <c r="A153" s="289" t="n"/>
      <c r="B153" s="290" t="n"/>
      <c r="C153" s="290" t="n"/>
      <c r="D153" s="291" t="n"/>
      <c r="E153" s="290" t="n"/>
      <c r="F153" s="290" t="n"/>
    </row>
    <row r="154" ht="13" customHeight="1" s="189">
      <c r="A154" s="289" t="n"/>
      <c r="B154" s="290" t="n"/>
      <c r="C154" s="290" t="n"/>
      <c r="D154" s="291" t="n"/>
      <c r="E154" s="290" t="n"/>
      <c r="F154" s="290" t="n"/>
    </row>
    <row r="155" ht="13" customHeight="1" s="189">
      <c r="A155" s="289" t="n"/>
      <c r="B155" s="290" t="n"/>
      <c r="C155" s="290" t="n"/>
      <c r="D155" s="291" t="n"/>
      <c r="E155" s="290" t="n"/>
      <c r="F155" s="290" t="n"/>
    </row>
    <row r="156" ht="13" customHeight="1" s="189">
      <c r="A156" s="289" t="n"/>
      <c r="B156" s="290" t="n"/>
      <c r="C156" s="290" t="n"/>
      <c r="D156" s="291" t="n"/>
      <c r="E156" s="290" t="n"/>
      <c r="F156" s="290" t="n"/>
    </row>
    <row r="157" ht="13" customHeight="1" s="189">
      <c r="A157" s="289" t="n"/>
      <c r="B157" s="290" t="n"/>
      <c r="C157" s="290" t="n"/>
      <c r="D157" s="291" t="n"/>
      <c r="E157" s="290" t="n"/>
      <c r="F157" s="290" t="n"/>
    </row>
    <row r="158" ht="13" customHeight="1" s="189">
      <c r="A158" s="289" t="n"/>
      <c r="B158" s="290" t="n"/>
      <c r="C158" s="290" t="n"/>
      <c r="D158" s="291" t="n"/>
      <c r="E158" s="290" t="n"/>
      <c r="F158" s="290" t="n"/>
    </row>
    <row r="159" ht="13" customHeight="1" s="189">
      <c r="A159" s="289" t="n"/>
      <c r="B159" s="290" t="n"/>
      <c r="C159" s="290" t="n"/>
      <c r="D159" s="291" t="n"/>
      <c r="E159" s="290" t="n"/>
      <c r="F159" s="290" t="n"/>
    </row>
    <row r="160" ht="13" customHeight="1" s="189">
      <c r="A160" s="289" t="n"/>
      <c r="B160" s="290" t="n"/>
      <c r="C160" s="290" t="n"/>
      <c r="D160" s="291" t="n"/>
      <c r="E160" s="290" t="n"/>
      <c r="F160" s="290" t="n"/>
    </row>
    <row r="161" ht="13" customHeight="1" s="189">
      <c r="A161" s="289" t="n"/>
      <c r="B161" s="290" t="n"/>
      <c r="C161" s="290" t="n"/>
      <c r="D161" s="291" t="n"/>
      <c r="E161" s="290" t="n"/>
      <c r="F161" s="290" t="n"/>
    </row>
    <row r="162" ht="13" customHeight="1" s="189">
      <c r="A162" s="289" t="n"/>
      <c r="B162" s="290" t="n"/>
      <c r="C162" s="290" t="n"/>
      <c r="D162" s="291" t="n"/>
      <c r="E162" s="290" t="n"/>
      <c r="F162" s="290" t="n"/>
    </row>
    <row r="163" ht="13" customHeight="1" s="189">
      <c r="A163" s="289" t="n"/>
      <c r="B163" s="290" t="n"/>
      <c r="C163" s="290" t="n"/>
      <c r="D163" s="291" t="n"/>
      <c r="E163" s="290" t="n"/>
      <c r="F163" s="290" t="n"/>
    </row>
    <row r="164" ht="13" customHeight="1" s="189">
      <c r="A164" s="289" t="n"/>
      <c r="B164" s="290" t="n"/>
      <c r="C164" s="290" t="n"/>
      <c r="D164" s="291" t="n"/>
      <c r="E164" s="290" t="n"/>
      <c r="F164" s="290" t="n"/>
    </row>
    <row r="165" ht="13" customHeight="1" s="189">
      <c r="A165" s="289" t="n"/>
      <c r="B165" s="290" t="n"/>
      <c r="C165" s="290" t="n"/>
      <c r="D165" s="291" t="n"/>
      <c r="E165" s="290" t="n"/>
      <c r="F165" s="290" t="n"/>
    </row>
    <row r="166" ht="13" customHeight="1" s="189">
      <c r="A166" s="289" t="n"/>
      <c r="B166" s="290" t="n"/>
      <c r="C166" s="290" t="n"/>
      <c r="D166" s="291" t="n"/>
      <c r="E166" s="290" t="n"/>
      <c r="F166" s="290" t="n"/>
    </row>
    <row r="167" ht="13" customHeight="1" s="189">
      <c r="A167" s="289" t="n"/>
      <c r="B167" s="290" t="n"/>
      <c r="C167" s="290" t="n"/>
      <c r="D167" s="291" t="n"/>
      <c r="E167" s="290" t="n"/>
      <c r="F167" s="290" t="n"/>
    </row>
    <row r="168" ht="13" customHeight="1" s="189">
      <c r="A168" s="289" t="n"/>
      <c r="B168" s="290" t="n"/>
      <c r="C168" s="290" t="n"/>
      <c r="D168" s="291" t="n"/>
      <c r="E168" s="290" t="n"/>
      <c r="F168" s="290" t="n"/>
    </row>
    <row r="169" ht="13" customHeight="1" s="189">
      <c r="A169" s="289" t="n"/>
      <c r="B169" s="290" t="n"/>
      <c r="C169" s="290" t="n"/>
      <c r="D169" s="291" t="n"/>
      <c r="E169" s="290" t="n"/>
      <c r="F169" s="290" t="n"/>
    </row>
    <row r="170" ht="13" customHeight="1" s="189">
      <c r="A170" s="289" t="n"/>
      <c r="B170" s="290" t="n"/>
      <c r="C170" s="290" t="n"/>
      <c r="D170" s="291" t="n"/>
      <c r="E170" s="290" t="n"/>
      <c r="F170" s="290" t="n"/>
    </row>
    <row r="171" ht="13" customHeight="1" s="189">
      <c r="A171" s="289" t="n"/>
      <c r="B171" s="290" t="n"/>
      <c r="C171" s="290" t="n"/>
      <c r="D171" s="291" t="n"/>
      <c r="E171" s="290" t="n"/>
      <c r="F171" s="290" t="n"/>
    </row>
    <row r="172" ht="13" customHeight="1" s="189">
      <c r="A172" s="289" t="n"/>
      <c r="B172" s="290" t="n"/>
      <c r="C172" s="290" t="n"/>
      <c r="D172" s="291" t="n"/>
      <c r="E172" s="290" t="n"/>
      <c r="F172" s="290" t="n"/>
    </row>
    <row r="173" ht="13" customHeight="1" s="189">
      <c r="A173" s="289" t="n"/>
      <c r="B173" s="290" t="n"/>
      <c r="C173" s="290" t="n"/>
      <c r="D173" s="291" t="n"/>
      <c r="E173" s="290" t="n"/>
      <c r="F173" s="290" t="n"/>
    </row>
    <row r="174" ht="13" customHeight="1" s="189">
      <c r="A174" s="289" t="n"/>
      <c r="B174" s="290" t="n"/>
      <c r="C174" s="290" t="n"/>
      <c r="D174" s="291" t="n"/>
      <c r="E174" s="290" t="n"/>
      <c r="F174" s="290" t="n"/>
    </row>
    <row r="175" ht="13" customHeight="1" s="189">
      <c r="A175" s="289" t="n"/>
      <c r="B175" s="290" t="n"/>
      <c r="C175" s="290" t="n"/>
      <c r="D175" s="291" t="n"/>
      <c r="E175" s="290" t="n"/>
      <c r="F175" s="290" t="n"/>
    </row>
    <row r="176" ht="13" customHeight="1" s="189">
      <c r="A176" s="289" t="n"/>
      <c r="B176" s="290" t="n"/>
      <c r="C176" s="290" t="n"/>
      <c r="D176" s="291" t="n"/>
      <c r="E176" s="290" t="n"/>
      <c r="F176" s="290" t="n"/>
    </row>
    <row r="177" ht="13" customHeight="1" s="189">
      <c r="A177" s="289" t="n"/>
      <c r="B177" s="290" t="n"/>
      <c r="C177" s="290" t="n"/>
      <c r="D177" s="291" t="n"/>
      <c r="E177" s="290" t="n"/>
      <c r="F177" s="290" t="n"/>
    </row>
    <row r="178" ht="13" customHeight="1" s="189">
      <c r="A178" s="289" t="n"/>
      <c r="B178" s="290" t="n"/>
      <c r="C178" s="290" t="n"/>
      <c r="D178" s="291" t="n"/>
      <c r="E178" s="290" t="n"/>
      <c r="F178" s="290" t="n"/>
    </row>
    <row r="179" ht="13" customHeight="1" s="189">
      <c r="A179" s="289" t="n"/>
      <c r="B179" s="290" t="n"/>
      <c r="C179" s="290" t="n"/>
      <c r="D179" s="291" t="n"/>
      <c r="E179" s="290" t="n"/>
      <c r="F179" s="290" t="n"/>
    </row>
    <row r="180" ht="13" customHeight="1" s="189">
      <c r="A180" s="289" t="n"/>
      <c r="B180" s="290" t="n"/>
      <c r="C180" s="290" t="n"/>
      <c r="D180" s="291" t="n"/>
      <c r="E180" s="290" t="n"/>
      <c r="F180" s="290" t="n"/>
    </row>
    <row r="181" ht="13" customHeight="1" s="189">
      <c r="A181" s="289" t="n"/>
      <c r="B181" s="290" t="n"/>
      <c r="C181" s="290" t="n"/>
      <c r="D181" s="291" t="n"/>
      <c r="E181" s="290" t="n"/>
      <c r="F181" s="290" t="n"/>
    </row>
    <row r="182" ht="13" customHeight="1" s="189">
      <c r="A182" s="289" t="n"/>
      <c r="B182" s="290" t="n"/>
      <c r="C182" s="290" t="n"/>
      <c r="D182" s="291" t="n"/>
      <c r="E182" s="290" t="n"/>
      <c r="F182" s="290" t="n"/>
    </row>
    <row r="183" ht="13" customHeight="1" s="189">
      <c r="A183" s="289" t="n"/>
      <c r="B183" s="290" t="n"/>
      <c r="C183" s="290" t="n"/>
      <c r="D183" s="291" t="n"/>
      <c r="E183" s="290" t="n"/>
      <c r="F183" s="290" t="n"/>
    </row>
    <row r="184" ht="13" customHeight="1" s="189">
      <c r="A184" s="289" t="n"/>
      <c r="B184" s="290" t="n"/>
      <c r="C184" s="290" t="n"/>
      <c r="D184" s="291" t="n"/>
      <c r="E184" s="290" t="n"/>
      <c r="F184" s="290" t="n"/>
    </row>
    <row r="185" ht="13" customHeight="1" s="189">
      <c r="A185" s="289" t="n"/>
      <c r="B185" s="290" t="n"/>
      <c r="C185" s="290" t="n"/>
      <c r="D185" s="291" t="n"/>
      <c r="E185" s="290" t="n"/>
      <c r="F185" s="290" t="n"/>
    </row>
    <row r="186" ht="13" customHeight="1" s="189">
      <c r="A186" s="289" t="n"/>
      <c r="B186" s="290" t="n"/>
      <c r="C186" s="290" t="n"/>
      <c r="D186" s="291" t="n"/>
      <c r="E186" s="290" t="n"/>
      <c r="F186" s="290" t="n"/>
    </row>
    <row r="187" ht="13" customHeight="1" s="189">
      <c r="A187" s="289" t="n"/>
      <c r="B187" s="290" t="n"/>
      <c r="C187" s="290" t="n"/>
      <c r="D187" s="291" t="n"/>
      <c r="E187" s="290" t="n"/>
      <c r="F187" s="290" t="n"/>
    </row>
    <row r="188" ht="13" customHeight="1" s="189">
      <c r="A188" s="289" t="n"/>
      <c r="B188" s="290" t="n"/>
      <c r="C188" s="290" t="n"/>
      <c r="D188" s="291" t="n"/>
      <c r="E188" s="290" t="n"/>
      <c r="F188" s="290" t="n"/>
    </row>
    <row r="189" ht="13" customHeight="1" s="189">
      <c r="A189" s="289" t="n"/>
      <c r="B189" s="290" t="n"/>
      <c r="C189" s="290" t="n"/>
      <c r="D189" s="291" t="n"/>
      <c r="E189" s="290" t="n"/>
      <c r="F189" s="290" t="n"/>
    </row>
    <row r="190" ht="13" customHeight="1" s="189">
      <c r="A190" s="289" t="n"/>
      <c r="B190" s="290" t="n"/>
      <c r="C190" s="290" t="n"/>
      <c r="D190" s="291" t="n"/>
      <c r="E190" s="290" t="n"/>
      <c r="F190" s="290" t="n"/>
    </row>
    <row r="191" ht="13" customHeight="1" s="189">
      <c r="A191" s="289" t="n"/>
      <c r="B191" s="290" t="n"/>
      <c r="C191" s="290" t="n"/>
      <c r="D191" s="291" t="n"/>
      <c r="E191" s="290" t="n"/>
      <c r="F191" s="290" t="n"/>
    </row>
    <row r="192" ht="13" customHeight="1" s="189">
      <c r="A192" s="289" t="n"/>
      <c r="B192" s="290" t="n"/>
      <c r="C192" s="290" t="n"/>
      <c r="D192" s="291" t="n"/>
      <c r="E192" s="290" t="n"/>
      <c r="F192" s="290" t="n"/>
    </row>
    <row r="193" ht="13" customHeight="1" s="189">
      <c r="A193" s="289" t="n"/>
      <c r="B193" s="290" t="n"/>
      <c r="C193" s="290" t="n"/>
      <c r="D193" s="291" t="n"/>
      <c r="E193" s="290" t="n"/>
      <c r="F193" s="290" t="n"/>
    </row>
    <row r="194" ht="13" customHeight="1" s="189">
      <c r="A194" s="289" t="n"/>
      <c r="B194" s="290" t="n"/>
      <c r="C194" s="290" t="n"/>
      <c r="D194" s="291" t="n"/>
      <c r="E194" s="290" t="n"/>
      <c r="F194" s="290" t="n"/>
    </row>
    <row r="195" ht="13" customHeight="1" s="189">
      <c r="A195" s="289" t="n"/>
      <c r="B195" s="290" t="n"/>
      <c r="C195" s="290" t="n"/>
      <c r="D195" s="291" t="n"/>
      <c r="E195" s="290" t="n"/>
      <c r="F195" s="290" t="n"/>
    </row>
    <row r="196" ht="13" customHeight="1" s="189">
      <c r="A196" s="289" t="n"/>
      <c r="B196" s="290" t="n"/>
      <c r="C196" s="290" t="n"/>
      <c r="D196" s="291" t="n"/>
      <c r="E196" s="290" t="n"/>
      <c r="F196" s="290" t="n"/>
    </row>
    <row r="197" ht="13" customHeight="1" s="189">
      <c r="A197" s="289" t="n"/>
      <c r="B197" s="290" t="n"/>
      <c r="C197" s="290" t="n"/>
      <c r="D197" s="291" t="n"/>
      <c r="E197" s="290" t="n"/>
      <c r="F197" s="290" t="n"/>
    </row>
    <row r="198" ht="13" customHeight="1" s="189">
      <c r="A198" s="289" t="n"/>
      <c r="B198" s="290" t="n"/>
      <c r="C198" s="290" t="n"/>
      <c r="D198" s="291" t="n"/>
      <c r="E198" s="290" t="n"/>
      <c r="F198" s="290" t="n"/>
    </row>
    <row r="199" ht="13" customHeight="1" s="189">
      <c r="A199" s="289" t="n"/>
      <c r="B199" s="290" t="n"/>
      <c r="C199" s="290" t="n"/>
      <c r="D199" s="291" t="n"/>
      <c r="E199" s="290" t="n"/>
      <c r="F199" s="290" t="n"/>
    </row>
    <row r="200" ht="13" customHeight="1" s="189">
      <c r="A200" s="289" t="n"/>
      <c r="B200" s="290" t="n"/>
      <c r="C200" s="290" t="n"/>
      <c r="D200" s="291" t="n"/>
      <c r="E200" s="290" t="n"/>
      <c r="F200" s="290" t="n"/>
    </row>
    <row r="201" ht="13" customHeight="1" s="189">
      <c r="A201" s="289" t="n"/>
      <c r="B201" s="290" t="n"/>
      <c r="C201" s="290" t="n"/>
      <c r="D201" s="291" t="n"/>
      <c r="E201" s="290" t="n"/>
      <c r="F201" s="290" t="n"/>
    </row>
    <row r="202" ht="13" customHeight="1" s="189">
      <c r="A202" s="289" t="n"/>
      <c r="B202" s="290" t="n"/>
      <c r="C202" s="290" t="n"/>
      <c r="D202" s="291" t="n"/>
      <c r="E202" s="290" t="n"/>
      <c r="F202" s="290" t="n"/>
    </row>
    <row r="203" ht="13" customHeight="1" s="189">
      <c r="A203" s="289" t="n"/>
      <c r="B203" s="290" t="n"/>
      <c r="C203" s="290" t="n"/>
      <c r="D203" s="291" t="n"/>
      <c r="E203" s="290" t="n"/>
      <c r="F203" s="290" t="n"/>
    </row>
    <row r="204" ht="13" customHeight="1" s="189">
      <c r="A204" s="289" t="n"/>
      <c r="B204" s="290" t="n"/>
      <c r="C204" s="290" t="n"/>
      <c r="D204" s="291" t="n"/>
      <c r="E204" s="290" t="n"/>
      <c r="F204" s="290" t="n"/>
    </row>
    <row r="205" ht="13" customHeight="1" s="189">
      <c r="A205" s="289" t="n"/>
      <c r="B205" s="290" t="n"/>
      <c r="C205" s="290" t="n"/>
      <c r="D205" s="291" t="n"/>
      <c r="E205" s="290" t="n"/>
      <c r="F205" s="290" t="n"/>
    </row>
    <row r="206" ht="13" customHeight="1" s="189">
      <c r="A206" s="289" t="n"/>
      <c r="B206" s="290" t="n"/>
      <c r="C206" s="290" t="n"/>
      <c r="D206" s="291" t="n"/>
      <c r="E206" s="290" t="n"/>
      <c r="F206" s="290" t="n"/>
    </row>
    <row r="207" ht="13" customHeight="1" s="189">
      <c r="A207" s="289" t="n"/>
      <c r="B207" s="290" t="n"/>
      <c r="C207" s="290" t="n"/>
      <c r="D207" s="291" t="n"/>
      <c r="E207" s="290" t="n"/>
      <c r="F207" s="290" t="n"/>
    </row>
    <row r="208" ht="13" customHeight="1" s="189">
      <c r="A208" s="289" t="n"/>
      <c r="B208" s="290" t="n"/>
      <c r="C208" s="290" t="n"/>
      <c r="D208" s="291" t="n"/>
      <c r="E208" s="290" t="n"/>
      <c r="F208" s="290" t="n"/>
    </row>
    <row r="209" ht="13" customHeight="1" s="189">
      <c r="A209" s="289" t="n"/>
      <c r="B209" s="290" t="n"/>
      <c r="C209" s="290" t="n"/>
      <c r="D209" s="291" t="n"/>
      <c r="E209" s="290" t="n"/>
      <c r="F209" s="290" t="n"/>
    </row>
    <row r="210" ht="13" customHeight="1" s="189">
      <c r="A210" s="289" t="n"/>
      <c r="B210" s="290" t="n"/>
      <c r="C210" s="290" t="n"/>
      <c r="D210" s="291" t="n"/>
      <c r="E210" s="290" t="n"/>
      <c r="F210" s="290" t="n"/>
    </row>
    <row r="211" ht="13" customHeight="1" s="189">
      <c r="A211" s="289" t="n"/>
      <c r="B211" s="290" t="n"/>
      <c r="C211" s="290" t="n"/>
      <c r="D211" s="291" t="n"/>
      <c r="E211" s="290" t="n"/>
      <c r="F211" s="290" t="n"/>
    </row>
    <row r="212" ht="13" customHeight="1" s="189">
      <c r="A212" s="289" t="n"/>
      <c r="B212" s="290" t="n"/>
      <c r="C212" s="290" t="n"/>
      <c r="D212" s="291" t="n"/>
      <c r="E212" s="290" t="n"/>
      <c r="F212" s="290" t="n"/>
    </row>
    <row r="213" ht="13" customHeight="1" s="189">
      <c r="A213" s="289" t="n"/>
      <c r="B213" s="290" t="n"/>
      <c r="C213" s="290" t="n"/>
      <c r="D213" s="291" t="n"/>
      <c r="E213" s="290" t="n"/>
      <c r="F213" s="290" t="n"/>
    </row>
    <row r="214" ht="13" customHeight="1" s="189">
      <c r="A214" s="289" t="n"/>
      <c r="B214" s="290" t="n"/>
      <c r="C214" s="290" t="n"/>
      <c r="D214" s="291" t="n"/>
      <c r="E214" s="290" t="n"/>
      <c r="F214" s="290" t="n"/>
    </row>
    <row r="215" ht="13" customHeight="1" s="189">
      <c r="A215" s="289" t="n"/>
      <c r="B215" s="290" t="n"/>
      <c r="C215" s="290" t="n"/>
      <c r="D215" s="291" t="n"/>
      <c r="E215" s="290" t="n"/>
      <c r="F215" s="290" t="n"/>
    </row>
    <row r="216" ht="13" customHeight="1" s="189">
      <c r="A216" s="289" t="n"/>
      <c r="B216" s="290" t="n"/>
      <c r="C216" s="290" t="n"/>
      <c r="D216" s="291" t="n"/>
      <c r="E216" s="290" t="n"/>
      <c r="F216" s="290" t="n"/>
    </row>
    <row r="217" ht="13" customHeight="1" s="189">
      <c r="A217" s="289" t="n"/>
      <c r="B217" s="290" t="n"/>
      <c r="C217" s="290" t="n"/>
      <c r="D217" s="291" t="n"/>
      <c r="E217" s="290" t="n"/>
      <c r="F217" s="290" t="n"/>
    </row>
    <row r="218" ht="13" customHeight="1" s="189">
      <c r="A218" s="289" t="n"/>
      <c r="B218" s="290" t="n"/>
      <c r="C218" s="290" t="n"/>
      <c r="D218" s="291" t="n"/>
      <c r="E218" s="290" t="n"/>
      <c r="F218" s="290" t="n"/>
    </row>
    <row r="219" ht="13" customHeight="1" s="189">
      <c r="A219" s="289" t="n"/>
      <c r="B219" s="290" t="n"/>
      <c r="C219" s="290" t="n"/>
      <c r="D219" s="291" t="n"/>
      <c r="E219" s="290" t="n"/>
      <c r="F219" s="290" t="n"/>
    </row>
    <row r="220" ht="13" customHeight="1" s="189">
      <c r="A220" s="289" t="n"/>
      <c r="B220" s="290" t="n"/>
      <c r="C220" s="290" t="n"/>
      <c r="D220" s="291" t="n"/>
      <c r="E220" s="290" t="n"/>
      <c r="F220" s="290" t="n"/>
    </row>
    <row r="221" ht="13" customHeight="1" s="189">
      <c r="A221" s="289" t="n"/>
      <c r="B221" s="290" t="n"/>
      <c r="C221" s="290" t="n"/>
      <c r="D221" s="291" t="n"/>
      <c r="E221" s="290" t="n"/>
      <c r="F221" s="290" t="n"/>
    </row>
    <row r="222" ht="13" customHeight="1" s="189">
      <c r="A222" s="289" t="n"/>
      <c r="B222" s="290" t="n"/>
      <c r="C222" s="290" t="n"/>
      <c r="D222" s="291" t="n"/>
      <c r="E222" s="290" t="n"/>
      <c r="F222" s="290" t="n"/>
    </row>
    <row r="223" ht="13" customHeight="1" s="189">
      <c r="A223" s="289" t="n"/>
      <c r="B223" s="290" t="n"/>
      <c r="C223" s="290" t="n"/>
      <c r="D223" s="291" t="n"/>
      <c r="E223" s="290" t="n"/>
      <c r="F223" s="290" t="n"/>
    </row>
    <row r="224" ht="13" customHeight="1" s="189">
      <c r="A224" s="289" t="n"/>
      <c r="B224" s="290" t="n"/>
      <c r="C224" s="290" t="n"/>
      <c r="D224" s="291" t="n"/>
      <c r="E224" s="290" t="n"/>
      <c r="F224" s="290" t="n"/>
    </row>
    <row r="225" ht="13" customHeight="1" s="189">
      <c r="A225" s="289" t="n"/>
      <c r="B225" s="290" t="n"/>
      <c r="C225" s="290" t="n"/>
      <c r="D225" s="291" t="n"/>
      <c r="E225" s="290" t="n"/>
      <c r="F225" s="290" t="n"/>
    </row>
    <row r="226" ht="13" customHeight="1" s="189">
      <c r="A226" s="289" t="n"/>
      <c r="B226" s="290" t="n"/>
      <c r="C226" s="290" t="n"/>
      <c r="D226" s="291" t="n"/>
      <c r="E226" s="290" t="n"/>
      <c r="F226" s="290" t="n"/>
    </row>
    <row r="227" ht="13" customHeight="1" s="189">
      <c r="A227" s="289" t="n"/>
      <c r="B227" s="290" t="n"/>
      <c r="C227" s="290" t="n"/>
      <c r="D227" s="291" t="n"/>
      <c r="E227" s="290" t="n"/>
      <c r="F227" s="290" t="n"/>
    </row>
    <row r="228" ht="13" customHeight="1" s="189">
      <c r="A228" s="289" t="n"/>
      <c r="B228" s="290" t="n"/>
      <c r="C228" s="290" t="n"/>
      <c r="D228" s="291" t="n"/>
      <c r="E228" s="290" t="n"/>
      <c r="F228" s="290" t="n"/>
    </row>
    <row r="229" ht="13" customHeight="1" s="189">
      <c r="A229" s="289" t="n"/>
      <c r="B229" s="290" t="n"/>
      <c r="C229" s="290" t="n"/>
      <c r="D229" s="291" t="n"/>
      <c r="E229" s="290" t="n"/>
      <c r="F229" s="290" t="n"/>
    </row>
    <row r="230" ht="13" customHeight="1" s="189">
      <c r="A230" s="289" t="n"/>
      <c r="B230" s="290" t="n"/>
      <c r="C230" s="290" t="n"/>
      <c r="D230" s="291" t="n"/>
      <c r="E230" s="290" t="n"/>
      <c r="F230" s="290" t="n"/>
    </row>
    <row r="231" ht="13" customHeight="1" s="189">
      <c r="A231" s="289" t="n"/>
      <c r="B231" s="290" t="n"/>
      <c r="C231" s="290" t="n"/>
      <c r="D231" s="291" t="n"/>
      <c r="E231" s="290" t="n"/>
      <c r="F231" s="290" t="n"/>
    </row>
    <row r="232" ht="13" customHeight="1" s="189">
      <c r="A232" s="289" t="n"/>
      <c r="B232" s="290" t="n"/>
      <c r="C232" s="290" t="n"/>
      <c r="D232" s="291" t="n"/>
      <c r="E232" s="290" t="n"/>
      <c r="F232" s="290" t="n"/>
    </row>
    <row r="233" ht="13" customHeight="1" s="189">
      <c r="A233" s="289" t="n"/>
      <c r="B233" s="290" t="n"/>
      <c r="C233" s="290" t="n"/>
      <c r="D233" s="291" t="n"/>
      <c r="E233" s="290" t="n"/>
      <c r="F233" s="290" t="n"/>
    </row>
    <row r="234" ht="13" customHeight="1" s="189">
      <c r="A234" s="289" t="n"/>
      <c r="B234" s="290" t="n"/>
      <c r="C234" s="290" t="n"/>
      <c r="D234" s="291" t="n"/>
      <c r="E234" s="290" t="n"/>
      <c r="F234" s="290" t="n"/>
    </row>
    <row r="235" ht="13" customHeight="1" s="189">
      <c r="A235" s="289" t="n"/>
      <c r="B235" s="290" t="n"/>
      <c r="C235" s="290" t="n"/>
      <c r="D235" s="291" t="n"/>
      <c r="E235" s="290" t="n"/>
      <c r="F235" s="290" t="n"/>
    </row>
    <row r="236" ht="13" customHeight="1" s="189">
      <c r="A236" s="289" t="n"/>
      <c r="B236" s="290" t="n"/>
      <c r="C236" s="290" t="n"/>
      <c r="D236" s="291" t="n"/>
      <c r="E236" s="290" t="n"/>
      <c r="F236" s="290" t="n"/>
    </row>
    <row r="237" ht="13" customHeight="1" s="189">
      <c r="A237" s="289" t="n"/>
      <c r="B237" s="290" t="n"/>
      <c r="C237" s="290" t="n"/>
      <c r="D237" s="291" t="n"/>
      <c r="E237" s="290" t="n"/>
      <c r="F237" s="290" t="n"/>
    </row>
    <row r="238" ht="13" customHeight="1" s="189">
      <c r="A238" s="289" t="n"/>
      <c r="B238" s="290" t="n"/>
      <c r="C238" s="290" t="n"/>
      <c r="D238" s="291" t="n"/>
      <c r="E238" s="290" t="n"/>
      <c r="F238" s="290" t="n"/>
    </row>
    <row r="239" ht="13" customHeight="1" s="189">
      <c r="A239" s="289" t="n"/>
      <c r="B239" s="290" t="n"/>
      <c r="C239" s="290" t="n"/>
      <c r="D239" s="291" t="n"/>
      <c r="E239" s="290" t="n"/>
      <c r="F239" s="290" t="n"/>
    </row>
    <row r="240" ht="13" customHeight="1" s="189">
      <c r="A240" s="289" t="n"/>
      <c r="B240" s="290" t="n"/>
      <c r="C240" s="290" t="n"/>
      <c r="D240" s="291" t="n"/>
      <c r="E240" s="290" t="n"/>
      <c r="F240" s="290" t="n"/>
    </row>
    <row r="241" ht="13" customHeight="1" s="189">
      <c r="A241" s="289" t="n"/>
      <c r="B241" s="290" t="n"/>
      <c r="C241" s="290" t="n"/>
      <c r="D241" s="291" t="n"/>
      <c r="E241" s="290" t="n"/>
      <c r="F241" s="290" t="n"/>
    </row>
    <row r="242" ht="13" customHeight="1" s="189">
      <c r="A242" s="289" t="n"/>
      <c r="B242" s="290" t="n"/>
      <c r="C242" s="290" t="n"/>
      <c r="D242" s="291" t="n"/>
      <c r="E242" s="290" t="n"/>
      <c r="F242" s="290" t="n"/>
    </row>
    <row r="243" ht="13" customHeight="1" s="189">
      <c r="A243" s="289" t="n"/>
      <c r="B243" s="290" t="n"/>
      <c r="C243" s="290" t="n"/>
      <c r="D243" s="291" t="n"/>
      <c r="E243" s="290" t="n"/>
      <c r="F243" s="290" t="n"/>
    </row>
    <row r="244" ht="13" customHeight="1" s="189">
      <c r="A244" s="289" t="n"/>
      <c r="B244" s="290" t="n"/>
      <c r="C244" s="290" t="n"/>
      <c r="D244" s="291" t="n"/>
      <c r="E244" s="290" t="n"/>
      <c r="F244" s="290" t="n"/>
    </row>
    <row r="245" ht="13" customHeight="1" s="189">
      <c r="A245" s="289" t="n"/>
      <c r="B245" s="290" t="n"/>
      <c r="C245" s="290" t="n"/>
      <c r="D245" s="291" t="n"/>
      <c r="E245" s="290" t="n"/>
      <c r="F245" s="290" t="n"/>
    </row>
    <row r="246" ht="13" customHeight="1" s="189">
      <c r="A246" s="289" t="n"/>
      <c r="B246" s="290" t="n"/>
      <c r="C246" s="290" t="n"/>
      <c r="D246" s="291" t="n"/>
      <c r="E246" s="290" t="n"/>
      <c r="F246" s="290" t="n"/>
    </row>
    <row r="247" ht="13" customHeight="1" s="189">
      <c r="A247" s="289" t="n"/>
      <c r="B247" s="290" t="n"/>
      <c r="C247" s="290" t="n"/>
      <c r="D247" s="291" t="n"/>
      <c r="E247" s="290" t="n"/>
      <c r="F247" s="290" t="n"/>
    </row>
    <row r="248" ht="13" customHeight="1" s="189">
      <c r="A248" s="289" t="n"/>
      <c r="B248" s="290" t="n"/>
      <c r="C248" s="290" t="n"/>
      <c r="D248" s="291" t="n"/>
      <c r="E248" s="290" t="n"/>
      <c r="F248" s="290" t="n"/>
    </row>
    <row r="249" ht="13" customHeight="1" s="189">
      <c r="A249" s="289" t="n"/>
      <c r="B249" s="290" t="n"/>
      <c r="C249" s="290" t="n"/>
      <c r="D249" s="291" t="n"/>
      <c r="E249" s="290" t="n"/>
      <c r="F249" s="290" t="n"/>
    </row>
    <row r="250" ht="13" customHeight="1" s="189">
      <c r="A250" s="289" t="n"/>
      <c r="B250" s="290" t="n"/>
      <c r="C250" s="290" t="n"/>
      <c r="D250" s="291" t="n"/>
      <c r="E250" s="290" t="n"/>
      <c r="F250" s="290" t="n"/>
    </row>
    <row r="251" ht="13" customHeight="1" s="189">
      <c r="A251" s="289" t="n"/>
      <c r="B251" s="290" t="n"/>
      <c r="C251" s="290" t="n"/>
      <c r="D251" s="291" t="n"/>
      <c r="E251" s="290" t="n"/>
      <c r="F251" s="290" t="n"/>
    </row>
    <row r="252" ht="13" customHeight="1" s="189">
      <c r="A252" s="289" t="n"/>
      <c r="B252" s="290" t="n"/>
      <c r="C252" s="290" t="n"/>
      <c r="D252" s="291" t="n"/>
      <c r="E252" s="290" t="n"/>
      <c r="F252" s="290" t="n"/>
    </row>
    <row r="253" ht="13" customHeight="1" s="189">
      <c r="A253" s="289" t="n"/>
      <c r="B253" s="290" t="n"/>
      <c r="C253" s="290" t="n"/>
      <c r="D253" s="291" t="n"/>
      <c r="E253" s="290" t="n"/>
      <c r="F253" s="290" t="n"/>
    </row>
    <row r="254" ht="13" customHeight="1" s="189">
      <c r="A254" s="289" t="n"/>
      <c r="B254" s="290" t="n"/>
      <c r="C254" s="290" t="n"/>
      <c r="D254" s="291" t="n"/>
      <c r="E254" s="290" t="n"/>
      <c r="F254" s="290" t="n"/>
    </row>
    <row r="255" ht="13" customHeight="1" s="189">
      <c r="A255" s="289" t="n"/>
      <c r="B255" s="290" t="n"/>
      <c r="C255" s="290" t="n"/>
      <c r="D255" s="291" t="n"/>
      <c r="E255" s="290" t="n"/>
      <c r="F255" s="290" t="n"/>
    </row>
    <row r="256" ht="13" customHeight="1" s="189">
      <c r="A256" s="289" t="n"/>
      <c r="B256" s="290" t="n"/>
      <c r="C256" s="290" t="n"/>
      <c r="D256" s="291" t="n"/>
      <c r="E256" s="290" t="n"/>
      <c r="F256" s="290" t="n"/>
    </row>
    <row r="257" ht="13" customHeight="1" s="189">
      <c r="A257" s="289" t="n"/>
      <c r="B257" s="290" t="n"/>
      <c r="C257" s="290" t="n"/>
      <c r="D257" s="291" t="n"/>
      <c r="E257" s="290" t="n"/>
      <c r="F257" s="290" t="n"/>
    </row>
    <row r="258" ht="13" customHeight="1" s="189">
      <c r="A258" s="289" t="n"/>
      <c r="B258" s="290" t="n"/>
      <c r="C258" s="290" t="n"/>
      <c r="D258" s="291" t="n"/>
      <c r="E258" s="290" t="n"/>
      <c r="F258" s="290" t="n"/>
    </row>
    <row r="259" ht="13" customHeight="1" s="189">
      <c r="A259" s="289" t="n"/>
      <c r="B259" s="290" t="n"/>
      <c r="C259" s="290" t="n"/>
      <c r="D259" s="291" t="n"/>
      <c r="E259" s="290" t="n"/>
      <c r="F259" s="290" t="n"/>
    </row>
    <row r="260" ht="13" customHeight="1" s="189">
      <c r="A260" s="289" t="n"/>
      <c r="B260" s="290" t="n"/>
      <c r="C260" s="290" t="n"/>
      <c r="D260" s="291" t="n"/>
      <c r="E260" s="290" t="n"/>
      <c r="F260" s="290" t="n"/>
    </row>
    <row r="261" ht="13" customHeight="1" s="189">
      <c r="A261" s="289" t="n"/>
      <c r="B261" s="290" t="n"/>
      <c r="C261" s="290" t="n"/>
      <c r="D261" s="291" t="n"/>
      <c r="E261" s="290" t="n"/>
      <c r="F261" s="290" t="n"/>
    </row>
    <row r="262" ht="13" customHeight="1" s="189">
      <c r="A262" s="289" t="n"/>
      <c r="B262" s="290" t="n"/>
      <c r="C262" s="290" t="n"/>
      <c r="D262" s="291" t="n"/>
      <c r="E262" s="290" t="n"/>
      <c r="F262" s="290" t="n"/>
    </row>
    <row r="263" ht="13" customHeight="1" s="189">
      <c r="A263" s="289" t="n"/>
      <c r="B263" s="290" t="n"/>
      <c r="C263" s="290" t="n"/>
      <c r="D263" s="291" t="n"/>
      <c r="E263" s="290" t="n"/>
      <c r="F263" s="290" t="n"/>
    </row>
    <row r="264" ht="13" customHeight="1" s="189">
      <c r="A264" s="289" t="n"/>
      <c r="B264" s="290" t="n"/>
      <c r="C264" s="290" t="n"/>
      <c r="D264" s="291" t="n"/>
      <c r="E264" s="290" t="n"/>
      <c r="F264" s="290" t="n"/>
    </row>
    <row r="265" ht="13" customHeight="1" s="189">
      <c r="A265" s="289" t="n"/>
      <c r="B265" s="290" t="n"/>
      <c r="C265" s="290" t="n"/>
      <c r="D265" s="291" t="n"/>
      <c r="E265" s="290" t="n"/>
      <c r="F265" s="290" t="n"/>
    </row>
    <row r="266" ht="13" customHeight="1" s="189">
      <c r="A266" s="289" t="n"/>
      <c r="B266" s="290" t="n"/>
      <c r="C266" s="290" t="n"/>
      <c r="D266" s="291" t="n"/>
      <c r="E266" s="290" t="n"/>
      <c r="F266" s="290" t="n"/>
    </row>
    <row r="267" ht="13" customHeight="1" s="189">
      <c r="A267" s="289" t="n"/>
      <c r="B267" s="290" t="n"/>
      <c r="C267" s="290" t="n"/>
      <c r="D267" s="291" t="n"/>
      <c r="E267" s="290" t="n"/>
      <c r="F267" s="290" t="n"/>
    </row>
    <row r="268" ht="13" customHeight="1" s="189">
      <c r="A268" s="289" t="n"/>
      <c r="B268" s="290" t="n"/>
      <c r="C268" s="290" t="n"/>
      <c r="D268" s="291" t="n"/>
      <c r="E268" s="290" t="n"/>
      <c r="F268" s="290" t="n"/>
    </row>
    <row r="269" ht="13" customHeight="1" s="189">
      <c r="A269" s="289" t="n"/>
      <c r="B269" s="290" t="n"/>
      <c r="C269" s="290" t="n"/>
      <c r="D269" s="291" t="n"/>
      <c r="E269" s="290" t="n"/>
      <c r="F269" s="290" t="n"/>
    </row>
    <row r="270" ht="13" customHeight="1" s="189">
      <c r="A270" s="289" t="n"/>
      <c r="B270" s="290" t="n"/>
      <c r="C270" s="290" t="n"/>
      <c r="D270" s="291" t="n"/>
      <c r="E270" s="290" t="n"/>
      <c r="F270" s="290" t="n"/>
    </row>
    <row r="271" ht="13" customHeight="1" s="189">
      <c r="A271" s="289" t="n"/>
      <c r="B271" s="290" t="n"/>
      <c r="C271" s="290" t="n"/>
      <c r="D271" s="291" t="n"/>
      <c r="E271" s="290" t="n"/>
      <c r="F271" s="290" t="n"/>
    </row>
    <row r="272" ht="13" customHeight="1" s="189">
      <c r="A272" s="289" t="n"/>
      <c r="B272" s="290" t="n"/>
      <c r="C272" s="290" t="n"/>
      <c r="D272" s="291" t="n"/>
      <c r="E272" s="290" t="n"/>
      <c r="F272" s="290" t="n"/>
    </row>
    <row r="273" ht="13" customHeight="1" s="189">
      <c r="A273" s="289" t="n"/>
      <c r="B273" s="290" t="n"/>
      <c r="C273" s="290" t="n"/>
      <c r="D273" s="291" t="n"/>
      <c r="E273" s="290" t="n"/>
      <c r="F273" s="290" t="n"/>
    </row>
    <row r="274" ht="13" customHeight="1" s="189">
      <c r="A274" s="289" t="n"/>
      <c r="B274" s="290" t="n"/>
      <c r="C274" s="290" t="n"/>
      <c r="D274" s="291" t="n"/>
      <c r="E274" s="290" t="n"/>
      <c r="F274" s="290" t="n"/>
    </row>
    <row r="275" ht="13" customHeight="1" s="189">
      <c r="A275" s="289" t="n"/>
      <c r="B275" s="290" t="n"/>
      <c r="C275" s="290" t="n"/>
      <c r="D275" s="291" t="n"/>
      <c r="E275" s="290" t="n"/>
      <c r="F275" s="290" t="n"/>
    </row>
    <row r="276" ht="13" customHeight="1" s="189">
      <c r="A276" s="289" t="n"/>
      <c r="B276" s="290" t="n"/>
      <c r="C276" s="290" t="n"/>
      <c r="D276" s="291" t="n"/>
      <c r="E276" s="290" t="n"/>
      <c r="F276" s="290" t="n"/>
    </row>
    <row r="277" ht="13" customHeight="1" s="189">
      <c r="A277" s="289" t="n"/>
      <c r="B277" s="290" t="n"/>
      <c r="C277" s="290" t="n"/>
      <c r="D277" s="291" t="n"/>
      <c r="E277" s="290" t="n"/>
      <c r="F277" s="290" t="n"/>
    </row>
    <row r="278" ht="13" customHeight="1" s="189">
      <c r="A278" s="289" t="n"/>
      <c r="B278" s="290" t="n"/>
      <c r="C278" s="290" t="n"/>
      <c r="D278" s="291" t="n"/>
      <c r="E278" s="290" t="n"/>
      <c r="F278" s="290" t="n"/>
    </row>
    <row r="279" ht="13" customHeight="1" s="189">
      <c r="A279" s="289" t="n"/>
      <c r="B279" s="290" t="n"/>
      <c r="C279" s="290" t="n"/>
      <c r="D279" s="291" t="n"/>
      <c r="E279" s="290" t="n"/>
      <c r="F279" s="290" t="n"/>
    </row>
    <row r="280" ht="13" customHeight="1" s="189">
      <c r="A280" s="289" t="n"/>
      <c r="B280" s="290" t="n"/>
      <c r="C280" s="290" t="n"/>
      <c r="D280" s="291" t="n"/>
      <c r="E280" s="290" t="n"/>
      <c r="F280" s="290" t="n"/>
    </row>
    <row r="281" ht="13" customHeight="1" s="189">
      <c r="A281" s="289" t="n"/>
      <c r="B281" s="290" t="n"/>
      <c r="C281" s="290" t="n"/>
      <c r="D281" s="291" t="n"/>
      <c r="E281" s="290" t="n"/>
      <c r="F281" s="290" t="n"/>
    </row>
    <row r="282" ht="13" customHeight="1" s="189">
      <c r="A282" s="289" t="n"/>
      <c r="B282" s="290" t="n"/>
      <c r="C282" s="290" t="n"/>
      <c r="D282" s="291" t="n"/>
      <c r="E282" s="290" t="n"/>
      <c r="F282" s="290" t="n"/>
    </row>
    <row r="283" ht="13" customHeight="1" s="189">
      <c r="A283" s="289" t="n"/>
      <c r="B283" s="290" t="n"/>
      <c r="C283" s="290" t="n"/>
      <c r="D283" s="291" t="n"/>
      <c r="E283" s="290" t="n"/>
      <c r="F283" s="290" t="n"/>
    </row>
    <row r="284" ht="13" customHeight="1" s="189">
      <c r="A284" s="289" t="n"/>
      <c r="B284" s="290" t="n"/>
      <c r="C284" s="290" t="n"/>
      <c r="D284" s="291" t="n"/>
      <c r="E284" s="290" t="n"/>
      <c r="F284" s="290" t="n"/>
    </row>
    <row r="285" ht="13" customHeight="1" s="189">
      <c r="A285" s="289" t="n"/>
      <c r="B285" s="290" t="n"/>
      <c r="C285" s="290" t="n"/>
      <c r="D285" s="291" t="n"/>
      <c r="E285" s="290" t="n"/>
      <c r="F285" s="290" t="n"/>
    </row>
    <row r="286" ht="13" customHeight="1" s="189">
      <c r="A286" s="289" t="n"/>
      <c r="B286" s="290" t="n"/>
      <c r="C286" s="290" t="n"/>
      <c r="D286" s="291" t="n"/>
      <c r="E286" s="290" t="n"/>
      <c r="F286" s="290" t="n"/>
    </row>
    <row r="287" ht="13" customHeight="1" s="189">
      <c r="A287" s="289" t="n"/>
      <c r="B287" s="290" t="n"/>
      <c r="C287" s="290" t="n"/>
      <c r="D287" s="291" t="n"/>
      <c r="E287" s="290" t="n"/>
      <c r="F287" s="290" t="n"/>
    </row>
    <row r="288" ht="13" customHeight="1" s="189">
      <c r="A288" s="289" t="n"/>
      <c r="B288" s="290" t="n"/>
      <c r="C288" s="290" t="n"/>
      <c r="D288" s="291" t="n"/>
      <c r="E288" s="290" t="n"/>
      <c r="F288" s="290" t="n"/>
    </row>
    <row r="289" ht="13" customHeight="1" s="189">
      <c r="A289" s="289" t="n"/>
      <c r="B289" s="290" t="n"/>
      <c r="C289" s="290" t="n"/>
      <c r="D289" s="291" t="n"/>
      <c r="E289" s="290" t="n"/>
      <c r="F289" s="290" t="n"/>
    </row>
    <row r="290" ht="13" customHeight="1" s="189">
      <c r="A290" s="289" t="n"/>
      <c r="B290" s="290" t="n"/>
      <c r="C290" s="290" t="n"/>
      <c r="D290" s="291" t="n"/>
      <c r="E290" s="290" t="n"/>
      <c r="F290" s="290" t="n"/>
    </row>
    <row r="291" ht="13" customHeight="1" s="189">
      <c r="A291" s="289" t="n"/>
      <c r="B291" s="290" t="n"/>
      <c r="C291" s="290" t="n"/>
      <c r="D291" s="291" t="n"/>
      <c r="E291" s="290" t="n"/>
      <c r="F291" s="290" t="n"/>
    </row>
    <row r="292" ht="13" customHeight="1" s="189">
      <c r="A292" s="289" t="n"/>
      <c r="B292" s="290" t="n"/>
      <c r="C292" s="290" t="n"/>
      <c r="D292" s="291" t="n"/>
      <c r="E292" s="290" t="n"/>
      <c r="F292" s="290" t="n"/>
    </row>
    <row r="293" ht="13" customHeight="1" s="189">
      <c r="A293" s="289" t="n"/>
      <c r="B293" s="290" t="n"/>
      <c r="C293" s="290" t="n"/>
      <c r="D293" s="291" t="n"/>
      <c r="E293" s="290" t="n"/>
      <c r="F293" s="290" t="n"/>
    </row>
    <row r="294" ht="13" customHeight="1" s="189">
      <c r="A294" s="289" t="n"/>
      <c r="B294" s="290" t="n"/>
      <c r="C294" s="290" t="n"/>
      <c r="D294" s="291" t="n"/>
      <c r="E294" s="290" t="n"/>
      <c r="F294" s="290" t="n"/>
    </row>
    <row r="295" ht="13" customHeight="1" s="189">
      <c r="A295" s="289" t="n"/>
      <c r="B295" s="290" t="n"/>
      <c r="C295" s="290" t="n"/>
      <c r="D295" s="291" t="n"/>
      <c r="E295" s="290" t="n"/>
      <c r="F295" s="290" t="n"/>
    </row>
    <row r="296" ht="13" customHeight="1" s="189">
      <c r="A296" s="289" t="n"/>
      <c r="B296" s="290" t="n"/>
      <c r="C296" s="290" t="n"/>
      <c r="D296" s="291" t="n"/>
      <c r="E296" s="290" t="n"/>
      <c r="F296" s="290" t="n"/>
    </row>
    <row r="297" ht="13" customHeight="1" s="189">
      <c r="A297" s="289" t="n"/>
      <c r="B297" s="290" t="n"/>
      <c r="C297" s="290" t="n"/>
      <c r="D297" s="291" t="n"/>
      <c r="E297" s="290" t="n"/>
      <c r="F297" s="290" t="n"/>
    </row>
    <row r="298" ht="13" customHeight="1" s="189">
      <c r="A298" s="289" t="n"/>
      <c r="B298" s="290" t="n"/>
      <c r="C298" s="290" t="n"/>
      <c r="D298" s="291" t="n"/>
      <c r="E298" s="290" t="n"/>
      <c r="F298" s="290" t="n"/>
    </row>
    <row r="299" ht="13" customHeight="1" s="189">
      <c r="A299" s="289" t="n"/>
      <c r="B299" s="290" t="n"/>
      <c r="C299" s="290" t="n"/>
      <c r="D299" s="291" t="n"/>
      <c r="E299" s="290" t="n"/>
      <c r="F299" s="290" t="n"/>
    </row>
    <row r="300" ht="13" customHeight="1" s="189">
      <c r="A300" s="289" t="n"/>
      <c r="B300" s="290" t="n"/>
      <c r="C300" s="290" t="n"/>
      <c r="D300" s="291" t="n"/>
      <c r="E300" s="290" t="n"/>
      <c r="F300" s="290" t="n"/>
    </row>
    <row r="301" ht="13" customHeight="1" s="189">
      <c r="A301" s="289" t="n"/>
      <c r="B301" s="290" t="n"/>
      <c r="C301" s="290" t="n"/>
      <c r="D301" s="291" t="n"/>
      <c r="E301" s="290" t="n"/>
      <c r="F301" s="290" t="n"/>
    </row>
    <row r="302" ht="13" customHeight="1" s="189">
      <c r="A302" s="289" t="n"/>
      <c r="B302" s="290" t="n"/>
      <c r="C302" s="290" t="n"/>
      <c r="D302" s="291" t="n"/>
      <c r="E302" s="290" t="n"/>
      <c r="F302" s="290" t="n"/>
    </row>
    <row r="303" ht="13" customHeight="1" s="189">
      <c r="A303" s="289" t="n"/>
      <c r="B303" s="290" t="n"/>
      <c r="C303" s="290" t="n"/>
      <c r="D303" s="291" t="n"/>
      <c r="E303" s="290" t="n"/>
      <c r="F303" s="290" t="n"/>
    </row>
    <row r="304" ht="13" customHeight="1" s="189">
      <c r="A304" s="289" t="n"/>
      <c r="B304" s="290" t="n"/>
      <c r="C304" s="290" t="n"/>
      <c r="D304" s="291" t="n"/>
      <c r="E304" s="290" t="n"/>
      <c r="F304" s="290" t="n"/>
    </row>
    <row r="305" ht="13" customHeight="1" s="189">
      <c r="A305" s="289" t="n"/>
      <c r="B305" s="290" t="n"/>
      <c r="C305" s="290" t="n"/>
      <c r="D305" s="291" t="n"/>
      <c r="E305" s="290" t="n"/>
      <c r="F305" s="290" t="n"/>
    </row>
    <row r="306" ht="13" customHeight="1" s="189">
      <c r="A306" s="289" t="n"/>
      <c r="B306" s="290" t="n"/>
      <c r="C306" s="290" t="n"/>
      <c r="D306" s="291" t="n"/>
      <c r="E306" s="290" t="n"/>
      <c r="F306" s="290" t="n"/>
    </row>
    <row r="307" ht="13" customHeight="1" s="189">
      <c r="A307" s="289" t="n"/>
      <c r="B307" s="290" t="n"/>
      <c r="C307" s="290" t="n"/>
      <c r="D307" s="291" t="n"/>
      <c r="E307" s="290" t="n"/>
      <c r="F307" s="290" t="n"/>
    </row>
    <row r="308" ht="13" customHeight="1" s="189">
      <c r="A308" s="289" t="n"/>
      <c r="B308" s="290" t="n"/>
      <c r="C308" s="290" t="n"/>
      <c r="D308" s="291" t="n"/>
      <c r="E308" s="290" t="n"/>
      <c r="F308" s="290" t="n"/>
    </row>
    <row r="309" ht="13" customHeight="1" s="189">
      <c r="A309" s="289" t="n"/>
      <c r="B309" s="290" t="n"/>
      <c r="C309" s="290" t="n"/>
      <c r="D309" s="291" t="n"/>
      <c r="E309" s="290" t="n"/>
      <c r="F309" s="290" t="n"/>
    </row>
    <row r="310" ht="13" customHeight="1" s="189">
      <c r="A310" s="289" t="n"/>
      <c r="B310" s="290" t="n"/>
      <c r="C310" s="290" t="n"/>
      <c r="D310" s="291" t="n"/>
      <c r="E310" s="290" t="n"/>
      <c r="F310" s="290" t="n"/>
    </row>
    <row r="311" ht="13" customHeight="1" s="189">
      <c r="A311" s="289" t="n"/>
      <c r="B311" s="290" t="n"/>
      <c r="C311" s="290" t="n"/>
      <c r="D311" s="291" t="n"/>
      <c r="E311" s="290" t="n"/>
      <c r="F311" s="290" t="n"/>
    </row>
    <row r="312" ht="13" customHeight="1" s="189">
      <c r="A312" s="289" t="n"/>
      <c r="B312" s="290" t="n"/>
      <c r="C312" s="290" t="n"/>
      <c r="D312" s="291" t="n"/>
      <c r="E312" s="290" t="n"/>
      <c r="F312" s="290" t="n"/>
    </row>
    <row r="313" ht="13" customHeight="1" s="189">
      <c r="A313" s="289" t="n"/>
      <c r="B313" s="290" t="n"/>
      <c r="C313" s="290" t="n"/>
      <c r="D313" s="291" t="n"/>
      <c r="E313" s="290" t="n"/>
      <c r="F313" s="290" t="n"/>
    </row>
    <row r="314" ht="13" customHeight="1" s="189">
      <c r="A314" s="289" t="n"/>
      <c r="B314" s="290" t="n"/>
      <c r="C314" s="290" t="n"/>
      <c r="D314" s="291" t="n"/>
      <c r="E314" s="290" t="n"/>
      <c r="F314" s="290" t="n"/>
    </row>
    <row r="315" ht="13" customHeight="1" s="189">
      <c r="A315" s="289" t="n"/>
      <c r="B315" s="290" t="n"/>
      <c r="C315" s="290" t="n"/>
      <c r="D315" s="291" t="n"/>
      <c r="E315" s="290" t="n"/>
      <c r="F315" s="290" t="n"/>
    </row>
    <row r="316" ht="13" customHeight="1" s="189">
      <c r="A316" s="289" t="n"/>
      <c r="B316" s="290" t="n"/>
      <c r="C316" s="290" t="n"/>
      <c r="D316" s="291" t="n"/>
      <c r="E316" s="290" t="n"/>
      <c r="F316" s="290" t="n"/>
    </row>
    <row r="317" ht="13" customHeight="1" s="189">
      <c r="A317" s="289" t="n"/>
      <c r="B317" s="290" t="n"/>
      <c r="C317" s="290" t="n"/>
      <c r="D317" s="291" t="n"/>
      <c r="E317" s="290" t="n"/>
      <c r="F317" s="290" t="n"/>
    </row>
    <row r="318" ht="13" customHeight="1" s="189">
      <c r="A318" s="289" t="n"/>
      <c r="B318" s="290" t="n"/>
      <c r="C318" s="290" t="n"/>
      <c r="D318" s="291" t="n"/>
      <c r="E318" s="290" t="n"/>
      <c r="F318" s="290" t="n"/>
    </row>
    <row r="319" ht="13" customHeight="1" s="189">
      <c r="A319" s="289" t="n"/>
      <c r="B319" s="290" t="n"/>
      <c r="C319" s="290" t="n"/>
      <c r="D319" s="291" t="n"/>
      <c r="E319" s="290" t="n"/>
      <c r="F319" s="290" t="n"/>
    </row>
    <row r="320" ht="13" customHeight="1" s="189">
      <c r="A320" s="289" t="n"/>
      <c r="B320" s="290" t="n"/>
      <c r="C320" s="290" t="n"/>
      <c r="D320" s="291" t="n"/>
      <c r="E320" s="290" t="n"/>
      <c r="F320" s="290" t="n"/>
    </row>
    <row r="321" ht="13" customHeight="1" s="189">
      <c r="A321" s="289" t="n"/>
      <c r="B321" s="290" t="n"/>
      <c r="C321" s="290" t="n"/>
      <c r="D321" s="291" t="n"/>
      <c r="E321" s="290" t="n"/>
      <c r="F321" s="290" t="n"/>
    </row>
    <row r="322" ht="13" customHeight="1" s="189">
      <c r="A322" s="289" t="n"/>
      <c r="B322" s="290" t="n"/>
      <c r="C322" s="290" t="n"/>
      <c r="D322" s="291" t="n"/>
      <c r="E322" s="290" t="n"/>
      <c r="F322" s="290" t="n"/>
    </row>
    <row r="323" ht="13" customHeight="1" s="189">
      <c r="A323" s="289" t="n"/>
      <c r="B323" s="290" t="n"/>
      <c r="C323" s="290" t="n"/>
      <c r="D323" s="291" t="n"/>
      <c r="E323" s="290" t="n"/>
      <c r="F323" s="290" t="n"/>
    </row>
    <row r="324" ht="13" customHeight="1" s="189">
      <c r="A324" s="289" t="n"/>
      <c r="B324" s="290" t="n"/>
      <c r="C324" s="290" t="n"/>
      <c r="D324" s="291" t="n"/>
      <c r="E324" s="290" t="n"/>
      <c r="F324" s="290" t="n"/>
    </row>
    <row r="325" ht="13" customHeight="1" s="189">
      <c r="A325" s="289" t="n"/>
      <c r="B325" s="290" t="n"/>
      <c r="C325" s="290" t="n"/>
      <c r="D325" s="291" t="n"/>
      <c r="E325" s="290" t="n"/>
      <c r="F325" s="290" t="n"/>
    </row>
    <row r="326" ht="13" customHeight="1" s="189">
      <c r="A326" s="289" t="n"/>
      <c r="B326" s="290" t="n"/>
      <c r="C326" s="290" t="n"/>
      <c r="D326" s="291" t="n"/>
      <c r="E326" s="290" t="n"/>
      <c r="F326" s="290" t="n"/>
    </row>
    <row r="327" ht="13" customHeight="1" s="189">
      <c r="A327" s="289" t="n"/>
      <c r="B327" s="290" t="n"/>
      <c r="C327" s="290" t="n"/>
      <c r="D327" s="291" t="n"/>
      <c r="E327" s="290" t="n"/>
      <c r="F327" s="290" t="n"/>
    </row>
    <row r="328" ht="13" customHeight="1" s="189">
      <c r="A328" s="289" t="n"/>
      <c r="B328" s="290" t="n"/>
      <c r="C328" s="290" t="n"/>
      <c r="D328" s="291" t="n"/>
      <c r="E328" s="290" t="n"/>
      <c r="F328" s="290" t="n"/>
    </row>
    <row r="329" ht="13" customHeight="1" s="189">
      <c r="A329" s="289" t="n"/>
      <c r="B329" s="290" t="n"/>
      <c r="C329" s="290" t="n"/>
      <c r="D329" s="291" t="n"/>
      <c r="E329" s="290" t="n"/>
      <c r="F329" s="290" t="n"/>
    </row>
    <row r="330" ht="13" customHeight="1" s="189">
      <c r="A330" s="289" t="n"/>
      <c r="B330" s="290" t="n"/>
      <c r="C330" s="290" t="n"/>
      <c r="D330" s="291" t="n"/>
      <c r="E330" s="290" t="n"/>
      <c r="F330" s="290" t="n"/>
    </row>
    <row r="331" ht="13" customHeight="1" s="189">
      <c r="A331" s="289" t="n"/>
      <c r="B331" s="290" t="n"/>
      <c r="C331" s="290" t="n"/>
      <c r="D331" s="291" t="n"/>
      <c r="E331" s="290" t="n"/>
      <c r="F331" s="290" t="n"/>
    </row>
    <row r="332" ht="13" customHeight="1" s="189">
      <c r="A332" s="289" t="n"/>
      <c r="B332" s="290" t="n"/>
      <c r="C332" s="290" t="n"/>
      <c r="D332" s="291" t="n"/>
      <c r="E332" s="290" t="n"/>
      <c r="F332" s="290" t="n"/>
    </row>
    <row r="333" ht="13" customHeight="1" s="189">
      <c r="A333" s="289" t="n"/>
      <c r="B333" s="290" t="n"/>
      <c r="C333" s="290" t="n"/>
      <c r="D333" s="291" t="n"/>
      <c r="E333" s="290" t="n"/>
      <c r="F333" s="290" t="n"/>
    </row>
    <row r="334" ht="13" customHeight="1" s="189">
      <c r="A334" s="289" t="n"/>
      <c r="B334" s="290" t="n"/>
      <c r="C334" s="290" t="n"/>
      <c r="D334" s="291" t="n"/>
      <c r="E334" s="290" t="n"/>
      <c r="F334" s="290" t="n"/>
    </row>
    <row r="335" ht="13" customHeight="1" s="189">
      <c r="A335" s="289" t="n"/>
      <c r="B335" s="290" t="n"/>
      <c r="C335" s="290" t="n"/>
      <c r="D335" s="291" t="n"/>
      <c r="E335" s="290" t="n"/>
      <c r="F335" s="290" t="n"/>
    </row>
    <row r="336" ht="13" customHeight="1" s="189">
      <c r="A336" s="289" t="n"/>
      <c r="B336" s="290" t="n"/>
      <c r="C336" s="290" t="n"/>
      <c r="D336" s="291" t="n"/>
      <c r="E336" s="290" t="n"/>
      <c r="F336" s="290" t="n"/>
    </row>
    <row r="337" ht="13" customHeight="1" s="189">
      <c r="A337" s="289" t="n"/>
      <c r="B337" s="290" t="n"/>
      <c r="C337" s="290" t="n"/>
      <c r="D337" s="291" t="n"/>
      <c r="E337" s="290" t="n"/>
      <c r="F337" s="290" t="n"/>
    </row>
    <row r="338" ht="13" customHeight="1" s="189">
      <c r="A338" s="289" t="n"/>
      <c r="B338" s="290" t="n"/>
      <c r="C338" s="290" t="n"/>
      <c r="D338" s="291" t="n"/>
      <c r="E338" s="290" t="n"/>
      <c r="F338" s="290" t="n"/>
    </row>
    <row r="339" ht="13" customHeight="1" s="189">
      <c r="A339" s="289" t="n"/>
      <c r="B339" s="290" t="n"/>
      <c r="C339" s="290" t="n"/>
      <c r="D339" s="291" t="n"/>
      <c r="E339" s="290" t="n"/>
      <c r="F339" s="290" t="n"/>
    </row>
    <row r="340" ht="13" customHeight="1" s="189">
      <c r="A340" s="289" t="n"/>
      <c r="B340" s="290" t="n"/>
      <c r="C340" s="290" t="n"/>
      <c r="D340" s="291" t="n"/>
      <c r="E340" s="290" t="n"/>
      <c r="F340" s="290" t="n"/>
    </row>
    <row r="341" ht="13" customHeight="1" s="189">
      <c r="A341" s="289" t="n"/>
      <c r="B341" s="290" t="n"/>
      <c r="C341" s="290" t="n"/>
      <c r="D341" s="291" t="n"/>
      <c r="E341" s="290" t="n"/>
      <c r="F341" s="290" t="n"/>
    </row>
    <row r="342" ht="13" customHeight="1" s="189">
      <c r="A342" s="289" t="n"/>
      <c r="B342" s="290" t="n"/>
      <c r="C342" s="290" t="n"/>
      <c r="D342" s="291" t="n"/>
      <c r="E342" s="290" t="n"/>
      <c r="F342" s="290" t="n"/>
    </row>
    <row r="343" ht="13" customHeight="1" s="189">
      <c r="A343" s="289" t="n"/>
      <c r="B343" s="290" t="n"/>
      <c r="C343" s="290" t="n"/>
      <c r="D343" s="291" t="n"/>
      <c r="E343" s="290" t="n"/>
      <c r="F343" s="290" t="n"/>
    </row>
    <row r="344" ht="13" customHeight="1" s="189">
      <c r="A344" s="289" t="n"/>
      <c r="B344" s="290" t="n"/>
      <c r="C344" s="290" t="n"/>
      <c r="D344" s="291" t="n"/>
      <c r="E344" s="290" t="n"/>
      <c r="F344" s="290" t="n"/>
    </row>
    <row r="345" ht="13" customHeight="1" s="189">
      <c r="A345" s="289" t="n"/>
      <c r="B345" s="290" t="n"/>
      <c r="C345" s="290" t="n"/>
      <c r="D345" s="291" t="n"/>
      <c r="E345" s="290" t="n"/>
      <c r="F345" s="290" t="n"/>
    </row>
    <row r="346" ht="13" customHeight="1" s="189">
      <c r="A346" s="289" t="n"/>
      <c r="B346" s="290" t="n"/>
      <c r="C346" s="290" t="n"/>
      <c r="D346" s="291" t="n"/>
      <c r="E346" s="290" t="n"/>
      <c r="F346" s="290" t="n"/>
    </row>
    <row r="347" ht="13" customHeight="1" s="189">
      <c r="A347" s="289" t="n"/>
      <c r="B347" s="290" t="n"/>
      <c r="C347" s="290" t="n"/>
      <c r="D347" s="291" t="n"/>
      <c r="E347" s="290" t="n"/>
      <c r="F347" s="290" t="n"/>
    </row>
    <row r="348" ht="13" customHeight="1" s="189">
      <c r="A348" s="289" t="n"/>
      <c r="B348" s="290" t="n"/>
      <c r="C348" s="290" t="n"/>
      <c r="D348" s="291" t="n"/>
      <c r="E348" s="290" t="n"/>
      <c r="F348" s="290" t="n"/>
    </row>
    <row r="349" ht="13" customHeight="1" s="189">
      <c r="A349" s="289" t="n"/>
      <c r="B349" s="290" t="n"/>
      <c r="C349" s="290" t="n"/>
      <c r="D349" s="291" t="n"/>
      <c r="E349" s="290" t="n"/>
      <c r="F349" s="290" t="n"/>
    </row>
    <row r="350" ht="13" customHeight="1" s="189">
      <c r="A350" s="289" t="n"/>
      <c r="B350" s="290" t="n"/>
      <c r="C350" s="290" t="n"/>
      <c r="D350" s="291" t="n"/>
      <c r="E350" s="290" t="n"/>
      <c r="F350" s="290" t="n"/>
    </row>
    <row r="351" ht="13" customHeight="1" s="189">
      <c r="A351" s="289" t="n"/>
      <c r="B351" s="290" t="n"/>
      <c r="C351" s="290" t="n"/>
      <c r="D351" s="291" t="n"/>
      <c r="E351" s="290" t="n"/>
      <c r="F351" s="290" t="n"/>
    </row>
    <row r="352" ht="13" customHeight="1" s="189">
      <c r="A352" s="289" t="n"/>
      <c r="B352" s="290" t="n"/>
      <c r="C352" s="290" t="n"/>
      <c r="D352" s="291" t="n"/>
      <c r="E352" s="290" t="n"/>
      <c r="F352" s="290" t="n"/>
    </row>
    <row r="353" ht="13" customHeight="1" s="189">
      <c r="A353" s="289" t="n"/>
      <c r="B353" s="290" t="n"/>
      <c r="C353" s="290" t="n"/>
      <c r="D353" s="291" t="n"/>
      <c r="E353" s="290" t="n"/>
      <c r="F353" s="290" t="n"/>
    </row>
    <row r="354" ht="13" customHeight="1" s="189">
      <c r="A354" s="289" t="n"/>
      <c r="B354" s="290" t="n"/>
      <c r="C354" s="290" t="n"/>
      <c r="D354" s="291" t="n"/>
      <c r="E354" s="290" t="n"/>
      <c r="F354" s="290" t="n"/>
    </row>
    <row r="355" ht="13" customHeight="1" s="189">
      <c r="A355" s="289" t="n"/>
      <c r="B355" s="290" t="n"/>
      <c r="C355" s="290" t="n"/>
      <c r="D355" s="291" t="n"/>
      <c r="E355" s="290" t="n"/>
      <c r="F355" s="290" t="n"/>
    </row>
    <row r="356" ht="13" customHeight="1" s="189">
      <c r="A356" s="289" t="n"/>
      <c r="B356" s="290" t="n"/>
      <c r="C356" s="290" t="n"/>
      <c r="D356" s="291" t="n"/>
      <c r="E356" s="290" t="n"/>
      <c r="F356" s="290" t="n"/>
    </row>
    <row r="357" ht="13" customHeight="1" s="189">
      <c r="A357" s="289" t="n"/>
      <c r="B357" s="290" t="n"/>
      <c r="C357" s="290" t="n"/>
      <c r="D357" s="291" t="n"/>
      <c r="E357" s="290" t="n"/>
      <c r="F357" s="290" t="n"/>
    </row>
    <row r="358" ht="13" customHeight="1" s="189">
      <c r="A358" s="289" t="n"/>
      <c r="B358" s="290" t="n"/>
      <c r="C358" s="290" t="n"/>
      <c r="D358" s="291" t="n"/>
      <c r="E358" s="290" t="n"/>
      <c r="F358" s="290" t="n"/>
    </row>
    <row r="359" ht="13" customHeight="1" s="189">
      <c r="A359" s="289" t="n"/>
      <c r="B359" s="290" t="n"/>
      <c r="C359" s="290" t="n"/>
      <c r="D359" s="291" t="n"/>
      <c r="E359" s="290" t="n"/>
      <c r="F359" s="290" t="n"/>
    </row>
    <row r="360" ht="13" customHeight="1" s="189">
      <c r="A360" s="289" t="n"/>
      <c r="B360" s="290" t="n"/>
      <c r="C360" s="290" t="n"/>
      <c r="D360" s="291" t="n"/>
      <c r="E360" s="290" t="n"/>
      <c r="F360" s="290" t="n"/>
    </row>
    <row r="361" ht="13" customHeight="1" s="189">
      <c r="A361" s="289" t="n"/>
      <c r="B361" s="290" t="n"/>
      <c r="C361" s="290" t="n"/>
      <c r="D361" s="291" t="n"/>
      <c r="E361" s="290" t="n"/>
      <c r="F361" s="290" t="n"/>
    </row>
    <row r="362" ht="13" customHeight="1" s="189">
      <c r="A362" s="289" t="n"/>
      <c r="B362" s="290" t="n"/>
      <c r="C362" s="290" t="n"/>
      <c r="D362" s="291" t="n"/>
      <c r="E362" s="290" t="n"/>
      <c r="F362" s="290" t="n"/>
    </row>
    <row r="363" ht="13" customHeight="1" s="189">
      <c r="A363" s="289" t="n"/>
      <c r="B363" s="290" t="n"/>
      <c r="C363" s="290" t="n"/>
      <c r="D363" s="291" t="n"/>
      <c r="E363" s="290" t="n"/>
      <c r="F363" s="290" t="n"/>
    </row>
    <row r="364" ht="13" customHeight="1" s="189">
      <c r="A364" s="289" t="n"/>
      <c r="B364" s="290" t="n"/>
      <c r="C364" s="290" t="n"/>
      <c r="D364" s="291" t="n"/>
      <c r="E364" s="290" t="n"/>
      <c r="F364" s="290" t="n"/>
    </row>
    <row r="365" ht="13" customHeight="1" s="189">
      <c r="A365" s="289" t="n"/>
      <c r="B365" s="290" t="n"/>
      <c r="C365" s="290" t="n"/>
      <c r="D365" s="291" t="n"/>
      <c r="E365" s="290" t="n"/>
      <c r="F365" s="290" t="n"/>
    </row>
    <row r="366" ht="13" customHeight="1" s="189">
      <c r="A366" s="289" t="n"/>
      <c r="B366" s="290" t="n"/>
      <c r="C366" s="290" t="n"/>
      <c r="D366" s="291" t="n"/>
      <c r="E366" s="290" t="n"/>
      <c r="F366" s="290" t="n"/>
    </row>
    <row r="367" ht="13" customHeight="1" s="189">
      <c r="A367" s="289" t="n"/>
      <c r="B367" s="290" t="n"/>
      <c r="C367" s="290" t="n"/>
      <c r="D367" s="291" t="n"/>
      <c r="E367" s="290" t="n"/>
      <c r="F367" s="290" t="n"/>
    </row>
    <row r="368" ht="13" customHeight="1" s="189">
      <c r="A368" s="289" t="n"/>
      <c r="B368" s="290" t="n"/>
      <c r="C368" s="290" t="n"/>
      <c r="D368" s="291" t="n"/>
      <c r="E368" s="290" t="n"/>
      <c r="F368" s="290" t="n"/>
    </row>
    <row r="369" ht="13" customHeight="1" s="189">
      <c r="A369" s="289" t="n"/>
      <c r="B369" s="290" t="n"/>
      <c r="C369" s="290" t="n"/>
      <c r="D369" s="291" t="n"/>
      <c r="E369" s="290" t="n"/>
      <c r="F369" s="290" t="n"/>
    </row>
    <row r="370" ht="13" customHeight="1" s="189">
      <c r="A370" s="289" t="n"/>
      <c r="B370" s="290" t="n"/>
      <c r="C370" s="290" t="n"/>
      <c r="D370" s="291" t="n"/>
      <c r="E370" s="290" t="n"/>
      <c r="F370" s="290" t="n"/>
    </row>
    <row r="371" ht="13" customHeight="1" s="189">
      <c r="A371" s="289" t="n"/>
      <c r="B371" s="290" t="n"/>
      <c r="C371" s="290" t="n"/>
      <c r="D371" s="291" t="n"/>
      <c r="E371" s="290" t="n"/>
      <c r="F371" s="290" t="n"/>
    </row>
    <row r="372" ht="13" customHeight="1" s="189">
      <c r="A372" s="289" t="n"/>
      <c r="B372" s="290" t="n"/>
      <c r="C372" s="290" t="n"/>
      <c r="D372" s="291" t="n"/>
      <c r="E372" s="290" t="n"/>
      <c r="F372" s="290" t="n"/>
    </row>
    <row r="373" ht="13" customHeight="1" s="189">
      <c r="A373" s="289" t="n"/>
      <c r="B373" s="290" t="n"/>
      <c r="C373" s="290" t="n"/>
      <c r="D373" s="291" t="n"/>
      <c r="E373" s="290" t="n"/>
      <c r="F373" s="290" t="n"/>
    </row>
    <row r="374" ht="13" customHeight="1" s="189">
      <c r="A374" s="289" t="n"/>
      <c r="B374" s="290" t="n"/>
      <c r="C374" s="290" t="n"/>
      <c r="D374" s="291" t="n"/>
      <c r="E374" s="290" t="n"/>
      <c r="F374" s="290" t="n"/>
    </row>
    <row r="375" ht="13" customHeight="1" s="189">
      <c r="A375" s="289" t="n"/>
      <c r="B375" s="290" t="n"/>
      <c r="C375" s="290" t="n"/>
      <c r="D375" s="291" t="n"/>
      <c r="E375" s="290" t="n"/>
      <c r="F375" s="290" t="n"/>
    </row>
    <row r="376" ht="13" customHeight="1" s="189">
      <c r="A376" s="289" t="n"/>
      <c r="B376" s="290" t="n"/>
      <c r="C376" s="290" t="n"/>
      <c r="D376" s="291" t="n"/>
      <c r="E376" s="290" t="n"/>
      <c r="F376" s="290" t="n"/>
    </row>
    <row r="377" ht="13" customHeight="1" s="189">
      <c r="A377" s="289" t="n"/>
      <c r="B377" s="290" t="n"/>
      <c r="C377" s="290" t="n"/>
      <c r="D377" s="291" t="n"/>
      <c r="E377" s="290" t="n"/>
      <c r="F377" s="290" t="n"/>
    </row>
    <row r="378" ht="13" customHeight="1" s="189">
      <c r="A378" s="289" t="n"/>
      <c r="B378" s="290" t="n"/>
      <c r="C378" s="290" t="n"/>
      <c r="D378" s="291" t="n"/>
      <c r="E378" s="290" t="n"/>
      <c r="F378" s="290" t="n"/>
    </row>
    <row r="379" ht="13" customHeight="1" s="189">
      <c r="A379" s="289" t="n"/>
      <c r="B379" s="290" t="n"/>
      <c r="C379" s="290" t="n"/>
      <c r="D379" s="291" t="n"/>
      <c r="E379" s="290" t="n"/>
      <c r="F379" s="290" t="n"/>
    </row>
    <row r="380" ht="13" customHeight="1" s="189">
      <c r="A380" s="289" t="n"/>
      <c r="B380" s="290" t="n"/>
      <c r="C380" s="290" t="n"/>
      <c r="D380" s="291" t="n"/>
      <c r="E380" s="290" t="n"/>
      <c r="F380" s="290" t="n"/>
    </row>
    <row r="381" ht="13" customHeight="1" s="189">
      <c r="A381" s="289" t="n"/>
      <c r="B381" s="290" t="n"/>
      <c r="C381" s="290" t="n"/>
      <c r="D381" s="291" t="n"/>
      <c r="E381" s="290" t="n"/>
      <c r="F381" s="290" t="n"/>
    </row>
    <row r="382" ht="13" customHeight="1" s="189">
      <c r="A382" s="289" t="n"/>
      <c r="B382" s="290" t="n"/>
      <c r="C382" s="290" t="n"/>
      <c r="D382" s="291" t="n"/>
      <c r="E382" s="290" t="n"/>
      <c r="F382" s="290" t="n"/>
    </row>
    <row r="383" ht="13" customHeight="1" s="189">
      <c r="A383" s="289" t="n"/>
      <c r="B383" s="290" t="n"/>
      <c r="C383" s="290" t="n"/>
      <c r="D383" s="291" t="n"/>
      <c r="E383" s="290" t="n"/>
      <c r="F383" s="290" t="n"/>
    </row>
    <row r="384" ht="13" customHeight="1" s="189">
      <c r="A384" s="289" t="n"/>
      <c r="B384" s="290" t="n"/>
      <c r="C384" s="290" t="n"/>
      <c r="D384" s="291" t="n"/>
      <c r="E384" s="290" t="n"/>
      <c r="F384" s="290" t="n"/>
    </row>
    <row r="385" ht="13" customHeight="1" s="189">
      <c r="A385" s="289" t="n"/>
      <c r="B385" s="290" t="n"/>
      <c r="C385" s="290" t="n"/>
      <c r="D385" s="291" t="n"/>
      <c r="E385" s="290" t="n"/>
      <c r="F385" s="290" t="n"/>
    </row>
    <row r="386" ht="13" customHeight="1" s="189">
      <c r="A386" s="289" t="n"/>
      <c r="B386" s="290" t="n"/>
      <c r="C386" s="290" t="n"/>
      <c r="D386" s="291" t="n"/>
      <c r="E386" s="290" t="n"/>
      <c r="F386" s="290" t="n"/>
    </row>
    <row r="387" ht="13" customHeight="1" s="189">
      <c r="A387" s="289" t="n"/>
      <c r="B387" s="290" t="n"/>
      <c r="C387" s="290" t="n"/>
      <c r="D387" s="291" t="n"/>
      <c r="E387" s="290" t="n"/>
      <c r="F387" s="290" t="n"/>
    </row>
    <row r="388" ht="13" customHeight="1" s="189">
      <c r="A388" s="289" t="n"/>
      <c r="B388" s="290" t="n"/>
      <c r="C388" s="290" t="n"/>
      <c r="D388" s="291" t="n"/>
      <c r="E388" s="290" t="n"/>
      <c r="F388" s="290" t="n"/>
    </row>
    <row r="389" ht="13" customHeight="1" s="189">
      <c r="A389" s="289" t="n"/>
      <c r="B389" s="290" t="n"/>
      <c r="C389" s="290" t="n"/>
      <c r="D389" s="291" t="n"/>
      <c r="E389" s="290" t="n"/>
      <c r="F389" s="290" t="n"/>
    </row>
    <row r="390" ht="13" customHeight="1" s="189">
      <c r="A390" s="289" t="n"/>
      <c r="B390" s="290" t="n"/>
      <c r="C390" s="290" t="n"/>
      <c r="D390" s="291" t="n"/>
      <c r="E390" s="290" t="n"/>
      <c r="F390" s="290" t="n"/>
    </row>
    <row r="391" ht="13" customHeight="1" s="189">
      <c r="A391" s="289" t="n"/>
      <c r="B391" s="290" t="n"/>
      <c r="C391" s="290" t="n"/>
      <c r="D391" s="291" t="n"/>
      <c r="E391" s="290" t="n"/>
      <c r="F391" s="290" t="n"/>
    </row>
    <row r="392" ht="13" customHeight="1" s="189">
      <c r="A392" s="289" t="n"/>
      <c r="B392" s="290" t="n"/>
      <c r="C392" s="290" t="n"/>
      <c r="D392" s="291" t="n"/>
      <c r="E392" s="290" t="n"/>
      <c r="F392" s="290" t="n"/>
    </row>
    <row r="393" ht="13" customHeight="1" s="189">
      <c r="A393" s="289" t="n"/>
      <c r="B393" s="290" t="n"/>
      <c r="C393" s="290" t="n"/>
      <c r="D393" s="291" t="n"/>
      <c r="E393" s="290" t="n"/>
      <c r="F393" s="290" t="n"/>
    </row>
    <row r="394" ht="13" customHeight="1" s="189">
      <c r="A394" s="289" t="n"/>
      <c r="B394" s="290" t="n"/>
      <c r="C394" s="290" t="n"/>
      <c r="D394" s="291" t="n"/>
      <c r="E394" s="290" t="n"/>
      <c r="F394" s="290" t="n"/>
    </row>
    <row r="395" ht="13" customHeight="1" s="189">
      <c r="A395" s="289" t="n"/>
      <c r="B395" s="290" t="n"/>
      <c r="C395" s="290" t="n"/>
      <c r="D395" s="291" t="n"/>
      <c r="E395" s="290" t="n"/>
      <c r="F395" s="290" t="n"/>
    </row>
    <row r="396" ht="13" customHeight="1" s="189">
      <c r="A396" s="289" t="n"/>
      <c r="B396" s="290" t="n"/>
      <c r="C396" s="290" t="n"/>
      <c r="D396" s="291" t="n"/>
      <c r="E396" s="290" t="n"/>
      <c r="F396" s="290" t="n"/>
    </row>
    <row r="397" ht="13" customHeight="1" s="189">
      <c r="A397" s="289" t="n"/>
      <c r="B397" s="290" t="n"/>
      <c r="C397" s="290" t="n"/>
      <c r="D397" s="291" t="n"/>
      <c r="E397" s="290" t="n"/>
      <c r="F397" s="290" t="n"/>
    </row>
    <row r="398" ht="13" customHeight="1" s="189">
      <c r="A398" s="289" t="n"/>
      <c r="B398" s="290" t="n"/>
      <c r="C398" s="290" t="n"/>
      <c r="D398" s="291" t="n"/>
      <c r="E398" s="290" t="n"/>
      <c r="F398" s="290" t="n"/>
    </row>
    <row r="399" ht="13" customHeight="1" s="189">
      <c r="A399" s="289" t="n"/>
      <c r="B399" s="290" t="n"/>
      <c r="C399" s="290" t="n"/>
      <c r="D399" s="291" t="n"/>
      <c r="E399" s="290" t="n"/>
      <c r="F399" s="290" t="n"/>
    </row>
    <row r="400" ht="13" customHeight="1" s="189">
      <c r="A400" s="289" t="n"/>
      <c r="B400" s="290" t="n"/>
      <c r="C400" s="290" t="n"/>
      <c r="D400" s="291" t="n"/>
      <c r="E400" s="290" t="n"/>
      <c r="F400" s="290" t="n"/>
    </row>
    <row r="401" ht="13" customHeight="1" s="189">
      <c r="A401" s="289" t="n"/>
      <c r="B401" s="290" t="n"/>
      <c r="C401" s="290" t="n"/>
      <c r="D401" s="291" t="n"/>
      <c r="E401" s="290" t="n"/>
      <c r="F401" s="290" t="n"/>
    </row>
    <row r="402" ht="13" customHeight="1" s="189">
      <c r="A402" s="289" t="n"/>
      <c r="B402" s="290" t="n"/>
      <c r="C402" s="290" t="n"/>
      <c r="D402" s="291" t="n"/>
      <c r="E402" s="290" t="n"/>
      <c r="F402" s="290" t="n"/>
    </row>
    <row r="403" ht="13" customHeight="1" s="189">
      <c r="A403" s="289" t="n"/>
      <c r="B403" s="290" t="n"/>
      <c r="C403" s="290" t="n"/>
      <c r="D403" s="291" t="n"/>
      <c r="E403" s="290" t="n"/>
      <c r="F403" s="290" t="n"/>
    </row>
    <row r="404" ht="13" customHeight="1" s="189">
      <c r="A404" s="289" t="n"/>
      <c r="B404" s="290" t="n"/>
      <c r="C404" s="290" t="n"/>
      <c r="D404" s="291" t="n"/>
      <c r="E404" s="290" t="n"/>
      <c r="F404" s="290" t="n"/>
    </row>
    <row r="405" ht="13" customHeight="1" s="189">
      <c r="A405" s="289" t="n"/>
      <c r="B405" s="290" t="n"/>
      <c r="C405" s="290" t="n"/>
      <c r="D405" s="291" t="n"/>
      <c r="E405" s="290" t="n"/>
      <c r="F405" s="290" t="n"/>
    </row>
    <row r="406" ht="13" customHeight="1" s="189">
      <c r="A406" s="289" t="n"/>
      <c r="B406" s="290" t="n"/>
      <c r="C406" s="290" t="n"/>
      <c r="D406" s="291" t="n"/>
      <c r="E406" s="290" t="n"/>
      <c r="F406" s="290" t="n"/>
    </row>
    <row r="407" ht="13" customHeight="1" s="189">
      <c r="A407" s="289" t="n"/>
      <c r="B407" s="290" t="n"/>
      <c r="C407" s="290" t="n"/>
      <c r="D407" s="291" t="n"/>
      <c r="E407" s="290" t="n"/>
      <c r="F407" s="290" t="n"/>
    </row>
    <row r="408" ht="13" customHeight="1" s="189">
      <c r="A408" s="289" t="n"/>
      <c r="B408" s="290" t="n"/>
      <c r="C408" s="290" t="n"/>
      <c r="D408" s="291" t="n"/>
      <c r="E408" s="290" t="n"/>
      <c r="F408" s="290" t="n"/>
    </row>
    <row r="409" ht="13" customHeight="1" s="189">
      <c r="A409" s="289" t="n"/>
      <c r="B409" s="290" t="n"/>
      <c r="C409" s="290" t="n"/>
      <c r="D409" s="291" t="n"/>
      <c r="E409" s="290" t="n"/>
      <c r="F409" s="290" t="n"/>
    </row>
    <row r="410" ht="13" customHeight="1" s="189">
      <c r="A410" s="289" t="n"/>
      <c r="B410" s="290" t="n"/>
      <c r="C410" s="290" t="n"/>
      <c r="D410" s="291" t="n"/>
      <c r="E410" s="290" t="n"/>
      <c r="F410" s="290" t="n"/>
    </row>
    <row r="411" ht="13" customHeight="1" s="189">
      <c r="A411" s="289" t="n"/>
      <c r="B411" s="290" t="n"/>
      <c r="C411" s="290" t="n"/>
      <c r="D411" s="291" t="n"/>
      <c r="E411" s="290" t="n"/>
      <c r="F411" s="290" t="n"/>
    </row>
    <row r="412" ht="13" customHeight="1" s="189">
      <c r="A412" s="289" t="n"/>
      <c r="B412" s="290" t="n"/>
      <c r="C412" s="290" t="n"/>
      <c r="D412" s="291" t="n"/>
      <c r="E412" s="290" t="n"/>
      <c r="F412" s="290" t="n"/>
    </row>
    <row r="413" ht="13" customHeight="1" s="189">
      <c r="A413" s="289" t="n"/>
      <c r="B413" s="290" t="n"/>
      <c r="C413" s="290" t="n"/>
      <c r="D413" s="291" t="n"/>
      <c r="E413" s="290" t="n"/>
      <c r="F413" s="290" t="n"/>
    </row>
    <row r="414" ht="13" customHeight="1" s="189">
      <c r="A414" s="289" t="n"/>
      <c r="B414" s="290" t="n"/>
      <c r="C414" s="290" t="n"/>
      <c r="D414" s="291" t="n"/>
      <c r="E414" s="290" t="n"/>
      <c r="F414" s="290" t="n"/>
    </row>
    <row r="415" ht="13" customHeight="1" s="189">
      <c r="A415" s="289" t="n"/>
      <c r="B415" s="290" t="n"/>
      <c r="C415" s="290" t="n"/>
      <c r="D415" s="291" t="n"/>
      <c r="E415" s="290" t="n"/>
      <c r="F415" s="290" t="n"/>
    </row>
    <row r="416" ht="13" customHeight="1" s="189">
      <c r="A416" s="289" t="n"/>
      <c r="B416" s="290" t="n"/>
      <c r="C416" s="290" t="n"/>
      <c r="D416" s="291" t="n"/>
      <c r="E416" s="290" t="n"/>
      <c r="F416" s="290" t="n"/>
    </row>
    <row r="417" ht="13" customHeight="1" s="189">
      <c r="A417" s="289" t="n"/>
      <c r="B417" s="290" t="n"/>
      <c r="C417" s="290" t="n"/>
      <c r="D417" s="291" t="n"/>
      <c r="E417" s="290" t="n"/>
      <c r="F417" s="290" t="n"/>
    </row>
    <row r="418" ht="13" customHeight="1" s="189">
      <c r="A418" s="289" t="n"/>
      <c r="B418" s="290" t="n"/>
      <c r="C418" s="290" t="n"/>
      <c r="D418" s="291" t="n"/>
      <c r="E418" s="290" t="n"/>
      <c r="F418" s="290" t="n"/>
    </row>
    <row r="419" ht="13" customHeight="1" s="189">
      <c r="A419" s="289" t="n"/>
      <c r="B419" s="290" t="n"/>
      <c r="C419" s="290" t="n"/>
      <c r="D419" s="291" t="n"/>
      <c r="E419" s="290" t="n"/>
      <c r="F419" s="290" t="n"/>
    </row>
    <row r="420" ht="13" customHeight="1" s="189">
      <c r="A420" s="289" t="n"/>
      <c r="B420" s="290" t="n"/>
      <c r="C420" s="290" t="n"/>
      <c r="D420" s="291" t="n"/>
      <c r="E420" s="290" t="n"/>
      <c r="F420" s="290" t="n"/>
    </row>
    <row r="421" ht="13" customHeight="1" s="189">
      <c r="A421" s="289" t="n"/>
      <c r="B421" s="290" t="n"/>
      <c r="C421" s="290" t="n"/>
      <c r="D421" s="291" t="n"/>
      <c r="E421" s="290" t="n"/>
      <c r="F421" s="290" t="n"/>
    </row>
    <row r="422" ht="13" customHeight="1" s="189">
      <c r="A422" s="289" t="n"/>
      <c r="B422" s="290" t="n"/>
      <c r="C422" s="290" t="n"/>
      <c r="D422" s="291" t="n"/>
      <c r="E422" s="290" t="n"/>
      <c r="F422" s="290" t="n"/>
    </row>
    <row r="423" ht="13" customHeight="1" s="189">
      <c r="A423" s="289" t="n"/>
      <c r="B423" s="290" t="n"/>
      <c r="C423" s="290" t="n"/>
      <c r="D423" s="291" t="n"/>
      <c r="E423" s="290" t="n"/>
      <c r="F423" s="290" t="n"/>
    </row>
    <row r="424" ht="13" customHeight="1" s="189">
      <c r="A424" s="289" t="n"/>
      <c r="B424" s="290" t="n"/>
      <c r="C424" s="290" t="n"/>
      <c r="D424" s="291" t="n"/>
      <c r="E424" s="290" t="n"/>
      <c r="F424" s="290" t="n"/>
    </row>
    <row r="425" ht="13" customHeight="1" s="189">
      <c r="A425" s="289" t="n"/>
      <c r="B425" s="290" t="n"/>
      <c r="C425" s="290" t="n"/>
      <c r="D425" s="291" t="n"/>
      <c r="E425" s="290" t="n"/>
      <c r="F425" s="290" t="n"/>
    </row>
    <row r="426" ht="13" customHeight="1" s="189">
      <c r="A426" s="289" t="n"/>
      <c r="B426" s="290" t="n"/>
      <c r="C426" s="290" t="n"/>
      <c r="D426" s="291" t="n"/>
      <c r="E426" s="290" t="n"/>
      <c r="F426" s="290" t="n"/>
    </row>
    <row r="427" ht="13" customHeight="1" s="189">
      <c r="A427" s="289" t="n"/>
      <c r="B427" s="290" t="n"/>
      <c r="C427" s="290" t="n"/>
      <c r="D427" s="291" t="n"/>
      <c r="E427" s="290" t="n"/>
      <c r="F427" s="290" t="n"/>
    </row>
    <row r="428" ht="13" customHeight="1" s="189">
      <c r="A428" s="289" t="n"/>
      <c r="B428" s="290" t="n"/>
      <c r="C428" s="290" t="n"/>
      <c r="D428" s="291" t="n"/>
      <c r="E428" s="290" t="n"/>
      <c r="F428" s="290" t="n"/>
    </row>
    <row r="429" ht="13" customHeight="1" s="189">
      <c r="A429" s="289" t="n"/>
      <c r="B429" s="290" t="n"/>
      <c r="C429" s="290" t="n"/>
      <c r="D429" s="291" t="n"/>
      <c r="E429" s="290" t="n"/>
      <c r="F429" s="290" t="n"/>
    </row>
    <row r="430" ht="13" customHeight="1" s="189">
      <c r="A430" s="289" t="n"/>
      <c r="B430" s="290" t="n"/>
      <c r="C430" s="290" t="n"/>
      <c r="D430" s="291" t="n"/>
      <c r="E430" s="290" t="n"/>
      <c r="F430" s="290" t="n"/>
    </row>
    <row r="431" ht="13" customHeight="1" s="189">
      <c r="A431" s="289" t="n"/>
      <c r="B431" s="290" t="n"/>
      <c r="C431" s="290" t="n"/>
      <c r="D431" s="291" t="n"/>
      <c r="E431" s="290" t="n"/>
      <c r="F431" s="290" t="n"/>
    </row>
    <row r="432" ht="13" customHeight="1" s="189">
      <c r="A432" s="289" t="n"/>
      <c r="B432" s="290" t="n"/>
      <c r="C432" s="290" t="n"/>
      <c r="D432" s="291" t="n"/>
      <c r="E432" s="290" t="n"/>
      <c r="F432" s="290" t="n"/>
    </row>
    <row r="433" ht="13" customHeight="1" s="189">
      <c r="A433" s="289" t="n"/>
      <c r="B433" s="290" t="n"/>
      <c r="C433" s="290" t="n"/>
      <c r="D433" s="291" t="n"/>
      <c r="E433" s="290" t="n"/>
      <c r="F433" s="290" t="n"/>
    </row>
    <row r="434" ht="13" customHeight="1" s="189">
      <c r="A434" s="289" t="n"/>
      <c r="B434" s="290" t="n"/>
      <c r="C434" s="290" t="n"/>
      <c r="D434" s="291" t="n"/>
      <c r="E434" s="290" t="n"/>
      <c r="F434" s="290" t="n"/>
    </row>
    <row r="435" ht="13" customHeight="1" s="189">
      <c r="A435" s="289" t="n"/>
      <c r="B435" s="290" t="n"/>
      <c r="C435" s="290" t="n"/>
      <c r="D435" s="291" t="n"/>
      <c r="E435" s="290" t="n"/>
      <c r="F435" s="290" t="n"/>
    </row>
    <row r="436" ht="13" customHeight="1" s="189">
      <c r="A436" s="289" t="n"/>
      <c r="B436" s="290" t="n"/>
      <c r="C436" s="290" t="n"/>
      <c r="D436" s="291" t="n"/>
      <c r="E436" s="290" t="n"/>
      <c r="F436" s="290" t="n"/>
    </row>
    <row r="437" ht="13" customHeight="1" s="189">
      <c r="A437" s="289" t="n"/>
      <c r="B437" s="290" t="n"/>
      <c r="C437" s="290" t="n"/>
      <c r="D437" s="291" t="n"/>
      <c r="E437" s="290" t="n"/>
      <c r="F437" s="290" t="n"/>
    </row>
    <row r="438" ht="13" customHeight="1" s="189">
      <c r="A438" s="289" t="n"/>
      <c r="B438" s="290" t="n"/>
      <c r="C438" s="290" t="n"/>
      <c r="D438" s="291" t="n"/>
      <c r="E438" s="290" t="n"/>
      <c r="F438" s="290" t="n"/>
    </row>
    <row r="439" ht="13" customHeight="1" s="189">
      <c r="A439" s="289" t="n"/>
      <c r="B439" s="290" t="n"/>
      <c r="C439" s="290" t="n"/>
      <c r="D439" s="291" t="n"/>
      <c r="E439" s="290" t="n"/>
      <c r="F439" s="290" t="n"/>
    </row>
    <row r="440" ht="13" customHeight="1" s="189">
      <c r="A440" s="289" t="n"/>
      <c r="B440" s="290" t="n"/>
      <c r="C440" s="290" t="n"/>
      <c r="D440" s="291" t="n"/>
      <c r="E440" s="290" t="n"/>
      <c r="F440" s="290" t="n"/>
    </row>
    <row r="441" ht="13" customHeight="1" s="189">
      <c r="A441" s="289" t="n"/>
      <c r="B441" s="290" t="n"/>
      <c r="C441" s="290" t="n"/>
      <c r="D441" s="291" t="n"/>
      <c r="E441" s="290" t="n"/>
      <c r="F441" s="290" t="n"/>
    </row>
    <row r="442" ht="13" customHeight="1" s="189">
      <c r="A442" s="289" t="n"/>
      <c r="B442" s="290" t="n"/>
      <c r="C442" s="290" t="n"/>
      <c r="D442" s="291" t="n"/>
      <c r="E442" s="290" t="n"/>
      <c r="F442" s="290" t="n"/>
    </row>
    <row r="443" ht="13" customHeight="1" s="189">
      <c r="A443" s="289" t="n"/>
      <c r="B443" s="290" t="n"/>
      <c r="C443" s="290" t="n"/>
      <c r="D443" s="291" t="n"/>
      <c r="E443" s="290" t="n"/>
      <c r="F443" s="290" t="n"/>
    </row>
    <row r="444" ht="13" customHeight="1" s="189">
      <c r="A444" s="289" t="n"/>
      <c r="B444" s="290" t="n"/>
      <c r="C444" s="290" t="n"/>
      <c r="D444" s="291" t="n"/>
      <c r="E444" s="290" t="n"/>
      <c r="F444" s="290" t="n"/>
    </row>
    <row r="445" ht="13" customHeight="1" s="189">
      <c r="A445" s="289" t="n"/>
      <c r="B445" s="290" t="n"/>
      <c r="C445" s="290" t="n"/>
      <c r="D445" s="291" t="n"/>
      <c r="E445" s="290" t="n"/>
      <c r="F445" s="290" t="n"/>
    </row>
    <row r="446" ht="13" customHeight="1" s="189">
      <c r="A446" s="289" t="n"/>
      <c r="B446" s="290" t="n"/>
      <c r="C446" s="290" t="n"/>
      <c r="D446" s="291" t="n"/>
      <c r="E446" s="290" t="n"/>
      <c r="F446" s="290" t="n"/>
    </row>
    <row r="447" ht="13" customHeight="1" s="189">
      <c r="A447" s="289" t="n"/>
      <c r="B447" s="290" t="n"/>
      <c r="C447" s="290" t="n"/>
      <c r="D447" s="291" t="n"/>
      <c r="E447" s="290" t="n"/>
      <c r="F447" s="290" t="n"/>
    </row>
    <row r="448" ht="13" customHeight="1" s="189">
      <c r="A448" s="289" t="n"/>
      <c r="B448" s="290" t="n"/>
      <c r="C448" s="290" t="n"/>
      <c r="D448" s="291" t="n"/>
      <c r="E448" s="290" t="n"/>
      <c r="F448" s="290" t="n"/>
    </row>
    <row r="449" ht="13" customHeight="1" s="189">
      <c r="A449" s="289" t="n"/>
      <c r="B449" s="290" t="n"/>
      <c r="C449" s="290" t="n"/>
      <c r="D449" s="291" t="n"/>
      <c r="E449" s="290" t="n"/>
      <c r="F449" s="290" t="n"/>
    </row>
    <row r="450" ht="13" customHeight="1" s="189">
      <c r="A450" s="289" t="n"/>
      <c r="B450" s="290" t="n"/>
      <c r="C450" s="290" t="n"/>
      <c r="D450" s="291" t="n"/>
      <c r="E450" s="290" t="n"/>
      <c r="F450" s="290" t="n"/>
    </row>
    <row r="451" ht="13" customHeight="1" s="189">
      <c r="A451" s="289" t="n"/>
      <c r="B451" s="290" t="n"/>
      <c r="C451" s="290" t="n"/>
      <c r="D451" s="291" t="n"/>
      <c r="E451" s="290" t="n"/>
      <c r="F451" s="290" t="n"/>
    </row>
    <row r="452" ht="13" customHeight="1" s="189">
      <c r="A452" s="289" t="n"/>
      <c r="B452" s="290" t="n"/>
      <c r="C452" s="290" t="n"/>
      <c r="D452" s="291" t="n"/>
      <c r="E452" s="290" t="n"/>
      <c r="F452" s="290" t="n"/>
    </row>
    <row r="453" ht="13" customHeight="1" s="189">
      <c r="A453" s="289" t="n"/>
      <c r="B453" s="290" t="n"/>
      <c r="C453" s="290" t="n"/>
      <c r="D453" s="291" t="n"/>
      <c r="E453" s="290" t="n"/>
      <c r="F453" s="290" t="n"/>
    </row>
    <row r="454" ht="13" customHeight="1" s="189">
      <c r="A454" s="289" t="n"/>
      <c r="B454" s="290" t="n"/>
      <c r="C454" s="290" t="n"/>
      <c r="D454" s="291" t="n"/>
      <c r="E454" s="290" t="n"/>
      <c r="F454" s="290" t="n"/>
    </row>
    <row r="455" ht="13" customHeight="1" s="189">
      <c r="A455" s="289" t="n"/>
      <c r="B455" s="290" t="n"/>
      <c r="C455" s="290" t="n"/>
      <c r="D455" s="291" t="n"/>
      <c r="E455" s="290" t="n"/>
      <c r="F455" s="290" t="n"/>
    </row>
    <row r="456" ht="13" customHeight="1" s="189">
      <c r="A456" s="289" t="n"/>
      <c r="B456" s="290" t="n"/>
      <c r="C456" s="290" t="n"/>
      <c r="D456" s="291" t="n"/>
      <c r="E456" s="290" t="n"/>
      <c r="F456" s="290" t="n"/>
    </row>
    <row r="457" ht="13" customHeight="1" s="189">
      <c r="A457" s="289" t="n"/>
      <c r="B457" s="290" t="n"/>
      <c r="C457" s="290" t="n"/>
      <c r="D457" s="291" t="n"/>
      <c r="E457" s="290" t="n"/>
      <c r="F457" s="290" t="n"/>
    </row>
    <row r="458" ht="13" customHeight="1" s="189">
      <c r="A458" s="289" t="n"/>
      <c r="B458" s="290" t="n"/>
      <c r="C458" s="290" t="n"/>
      <c r="D458" s="291" t="n"/>
      <c r="E458" s="290" t="n"/>
      <c r="F458" s="290" t="n"/>
    </row>
    <row r="459" ht="13" customHeight="1" s="189">
      <c r="A459" s="289" t="n"/>
      <c r="B459" s="290" t="n"/>
      <c r="C459" s="290" t="n"/>
      <c r="D459" s="291" t="n"/>
      <c r="E459" s="290" t="n"/>
      <c r="F459" s="290" t="n"/>
    </row>
    <row r="460" ht="13" customHeight="1" s="189">
      <c r="A460" s="289" t="n"/>
      <c r="B460" s="290" t="n"/>
      <c r="C460" s="290" t="n"/>
      <c r="D460" s="291" t="n"/>
      <c r="E460" s="290" t="n"/>
      <c r="F460" s="290" t="n"/>
    </row>
    <row r="461" ht="13" customHeight="1" s="189">
      <c r="A461" s="289" t="n"/>
      <c r="B461" s="290" t="n"/>
      <c r="C461" s="290" t="n"/>
      <c r="D461" s="291" t="n"/>
      <c r="E461" s="290" t="n"/>
      <c r="F461" s="290" t="n"/>
    </row>
    <row r="462" ht="13" customHeight="1" s="189">
      <c r="A462" s="289" t="n"/>
      <c r="B462" s="290" t="n"/>
      <c r="C462" s="290" t="n"/>
      <c r="D462" s="291" t="n"/>
      <c r="E462" s="290" t="n"/>
      <c r="F462" s="290" t="n"/>
    </row>
    <row r="463" ht="13" customHeight="1" s="189">
      <c r="A463" s="289" t="n"/>
      <c r="B463" s="290" t="n"/>
      <c r="C463" s="290" t="n"/>
      <c r="D463" s="291" t="n"/>
      <c r="E463" s="290" t="n"/>
      <c r="F463" s="290" t="n"/>
    </row>
    <row r="464" ht="13" customHeight="1" s="189">
      <c r="A464" s="289" t="n"/>
      <c r="B464" s="290" t="n"/>
      <c r="C464" s="290" t="n"/>
      <c r="D464" s="291" t="n"/>
      <c r="E464" s="290" t="n"/>
      <c r="F464" s="290" t="n"/>
    </row>
    <row r="465" ht="13" customHeight="1" s="189">
      <c r="A465" s="289" t="n"/>
      <c r="B465" s="290" t="n"/>
      <c r="C465" s="290" t="n"/>
      <c r="D465" s="291" t="n"/>
      <c r="E465" s="290" t="n"/>
      <c r="F465" s="290" t="n"/>
    </row>
    <row r="466" ht="13" customHeight="1" s="189">
      <c r="A466" s="289" t="n"/>
      <c r="B466" s="290" t="n"/>
      <c r="C466" s="290" t="n"/>
      <c r="D466" s="291" t="n"/>
      <c r="E466" s="290" t="n"/>
      <c r="F466" s="290" t="n"/>
    </row>
    <row r="467" ht="13" customHeight="1" s="189">
      <c r="A467" s="289" t="n"/>
      <c r="B467" s="290" t="n"/>
      <c r="C467" s="290" t="n"/>
      <c r="D467" s="291" t="n"/>
      <c r="E467" s="290" t="n"/>
      <c r="F467" s="290" t="n"/>
    </row>
    <row r="468" ht="13" customHeight="1" s="189">
      <c r="A468" s="289" t="n"/>
      <c r="B468" s="290" t="n"/>
      <c r="C468" s="290" t="n"/>
      <c r="D468" s="291" t="n"/>
      <c r="E468" s="290" t="n"/>
      <c r="F468" s="290" t="n"/>
    </row>
    <row r="469" ht="13" customHeight="1" s="189">
      <c r="A469" s="289" t="n"/>
      <c r="B469" s="290" t="n"/>
      <c r="C469" s="290" t="n"/>
      <c r="D469" s="291" t="n"/>
      <c r="E469" s="290" t="n"/>
      <c r="F469" s="290" t="n"/>
    </row>
    <row r="470" ht="13" customHeight="1" s="189">
      <c r="A470" s="289" t="n"/>
      <c r="B470" s="290" t="n"/>
      <c r="C470" s="290" t="n"/>
      <c r="D470" s="291" t="n"/>
      <c r="E470" s="290" t="n"/>
      <c r="F470" s="290" t="n"/>
    </row>
    <row r="471" ht="13" customHeight="1" s="189">
      <c r="A471" s="289" t="n"/>
      <c r="B471" s="290" t="n"/>
      <c r="C471" s="290" t="n"/>
      <c r="D471" s="291" t="n"/>
      <c r="E471" s="290" t="n"/>
      <c r="F471" s="290" t="n"/>
    </row>
    <row r="472" ht="13" customHeight="1" s="189">
      <c r="A472" s="289" t="n"/>
      <c r="B472" s="290" t="n"/>
      <c r="C472" s="290" t="n"/>
      <c r="D472" s="291" t="n"/>
      <c r="E472" s="290" t="n"/>
      <c r="F472" s="290" t="n"/>
    </row>
    <row r="473" ht="13" customHeight="1" s="189">
      <c r="A473" s="289" t="n"/>
      <c r="B473" s="290" t="n"/>
      <c r="C473" s="290" t="n"/>
      <c r="D473" s="291" t="n"/>
      <c r="E473" s="290" t="n"/>
      <c r="F473" s="290" t="n"/>
    </row>
    <row r="474" ht="13" customHeight="1" s="189">
      <c r="A474" s="289" t="n"/>
      <c r="B474" s="290" t="n"/>
      <c r="C474" s="290" t="n"/>
      <c r="D474" s="291" t="n"/>
      <c r="E474" s="290" t="n"/>
      <c r="F474" s="290" t="n"/>
    </row>
    <row r="475" ht="13" customHeight="1" s="189">
      <c r="A475" s="289" t="n"/>
      <c r="B475" s="290" t="n"/>
      <c r="C475" s="290" t="n"/>
      <c r="D475" s="291" t="n"/>
      <c r="E475" s="290" t="n"/>
      <c r="F475" s="290" t="n"/>
    </row>
    <row r="476" ht="13" customHeight="1" s="189">
      <c r="A476" s="289" t="n"/>
      <c r="B476" s="290" t="n"/>
      <c r="C476" s="290" t="n"/>
      <c r="D476" s="291" t="n"/>
      <c r="E476" s="290" t="n"/>
      <c r="F476" s="290" t="n"/>
    </row>
    <row r="477" ht="13" customHeight="1" s="189">
      <c r="A477" s="289" t="n"/>
      <c r="B477" s="290" t="n"/>
      <c r="C477" s="290" t="n"/>
      <c r="D477" s="291" t="n"/>
      <c r="E477" s="290" t="n"/>
      <c r="F477" s="290" t="n"/>
    </row>
    <row r="478" ht="13" customHeight="1" s="189">
      <c r="A478" s="289" t="n"/>
      <c r="B478" s="290" t="n"/>
      <c r="C478" s="290" t="n"/>
      <c r="D478" s="291" t="n"/>
      <c r="E478" s="290" t="n"/>
      <c r="F478" s="290" t="n"/>
    </row>
    <row r="479" ht="13" customHeight="1" s="189">
      <c r="A479" s="289" t="n"/>
      <c r="B479" s="290" t="n"/>
      <c r="C479" s="290" t="n"/>
      <c r="D479" s="291" t="n"/>
      <c r="E479" s="290" t="n"/>
      <c r="F479" s="290" t="n"/>
    </row>
    <row r="480" ht="13" customHeight="1" s="189">
      <c r="A480" s="289" t="n"/>
      <c r="B480" s="290" t="n"/>
      <c r="C480" s="290" t="n"/>
      <c r="D480" s="291" t="n"/>
      <c r="E480" s="290" t="n"/>
      <c r="F480" s="290" t="n"/>
    </row>
    <row r="481" ht="13" customHeight="1" s="189">
      <c r="A481" s="289" t="n"/>
      <c r="B481" s="290" t="n"/>
      <c r="C481" s="290" t="n"/>
      <c r="D481" s="291" t="n"/>
      <c r="E481" s="290" t="n"/>
      <c r="F481" s="290" t="n"/>
    </row>
    <row r="482" ht="13" customHeight="1" s="189">
      <c r="A482" s="289" t="n"/>
      <c r="B482" s="290" t="n"/>
      <c r="C482" s="290" t="n"/>
      <c r="D482" s="291" t="n"/>
      <c r="E482" s="290" t="n"/>
      <c r="F482" s="290" t="n"/>
    </row>
    <row r="483" ht="13" customHeight="1" s="189">
      <c r="A483" s="289" t="n"/>
      <c r="B483" s="290" t="n"/>
      <c r="C483" s="290" t="n"/>
      <c r="D483" s="291" t="n"/>
      <c r="E483" s="290" t="n"/>
      <c r="F483" s="290" t="n"/>
    </row>
    <row r="484" ht="13" customHeight="1" s="189">
      <c r="A484" s="289" t="n"/>
      <c r="B484" s="290" t="n"/>
      <c r="C484" s="290" t="n"/>
      <c r="D484" s="291" t="n"/>
      <c r="E484" s="290" t="n"/>
      <c r="F484" s="290" t="n"/>
    </row>
    <row r="485" ht="13" customHeight="1" s="189">
      <c r="A485" s="289" t="n"/>
      <c r="B485" s="290" t="n"/>
      <c r="C485" s="290" t="n"/>
      <c r="D485" s="291" t="n"/>
      <c r="E485" s="290" t="n"/>
      <c r="F485" s="290" t="n"/>
    </row>
    <row r="486" ht="13" customHeight="1" s="189">
      <c r="A486" s="289" t="n"/>
      <c r="B486" s="290" t="n"/>
      <c r="C486" s="290" t="n"/>
      <c r="D486" s="291" t="n"/>
      <c r="E486" s="290" t="n"/>
      <c r="F486" s="290" t="n"/>
    </row>
    <row r="487" ht="13" customHeight="1" s="189">
      <c r="A487" s="289" t="n"/>
      <c r="B487" s="290" t="n"/>
      <c r="C487" s="290" t="n"/>
      <c r="D487" s="291" t="n"/>
      <c r="E487" s="290" t="n"/>
      <c r="F487" s="290" t="n"/>
    </row>
    <row r="488" ht="13" customHeight="1" s="189">
      <c r="A488" s="289" t="n"/>
      <c r="B488" s="290" t="n"/>
      <c r="C488" s="290" t="n"/>
      <c r="D488" s="291" t="n"/>
      <c r="E488" s="290" t="n"/>
      <c r="F488" s="290" t="n"/>
    </row>
    <row r="489" ht="13" customHeight="1" s="189">
      <c r="A489" s="289" t="n"/>
      <c r="B489" s="290" t="n"/>
      <c r="C489" s="290" t="n"/>
      <c r="D489" s="291" t="n"/>
      <c r="E489" s="290" t="n"/>
      <c r="F489" s="290" t="n"/>
    </row>
    <row r="490" ht="13" customHeight="1" s="189">
      <c r="A490" s="289" t="n"/>
      <c r="B490" s="290" t="n"/>
      <c r="C490" s="290" t="n"/>
      <c r="D490" s="291" t="n"/>
      <c r="E490" s="290" t="n"/>
      <c r="F490" s="290" t="n"/>
    </row>
    <row r="491" ht="13" customHeight="1" s="189">
      <c r="A491" s="289" t="n"/>
      <c r="B491" s="290" t="n"/>
      <c r="C491" s="290" t="n"/>
      <c r="D491" s="291" t="n"/>
      <c r="E491" s="290" t="n"/>
      <c r="F491" s="290" t="n"/>
    </row>
    <row r="492" ht="13" customHeight="1" s="189">
      <c r="A492" s="289" t="n"/>
      <c r="B492" s="290" t="n"/>
      <c r="C492" s="290" t="n"/>
      <c r="D492" s="291" t="n"/>
      <c r="E492" s="290" t="n"/>
      <c r="F492" s="290" t="n"/>
    </row>
    <row r="493" ht="13" customHeight="1" s="189">
      <c r="A493" s="289" t="n"/>
      <c r="B493" s="290" t="n"/>
      <c r="C493" s="290" t="n"/>
      <c r="D493" s="291" t="n"/>
      <c r="E493" s="290" t="n"/>
      <c r="F493" s="290" t="n"/>
    </row>
    <row r="494" ht="13" customHeight="1" s="189">
      <c r="A494" s="289" t="n"/>
      <c r="B494" s="290" t="n"/>
      <c r="C494" s="290" t="n"/>
      <c r="D494" s="291" t="n"/>
      <c r="E494" s="290" t="n"/>
      <c r="F494" s="290" t="n"/>
    </row>
    <row r="495" ht="13" customHeight="1" s="189">
      <c r="A495" s="289" t="n"/>
      <c r="B495" s="290" t="n"/>
      <c r="C495" s="290" t="n"/>
      <c r="D495" s="291" t="n"/>
      <c r="E495" s="290" t="n"/>
      <c r="F495" s="290" t="n"/>
    </row>
    <row r="496" ht="13" customHeight="1" s="189">
      <c r="A496" s="289" t="n"/>
      <c r="B496" s="290" t="n"/>
      <c r="C496" s="290" t="n"/>
      <c r="D496" s="291" t="n"/>
      <c r="E496" s="290" t="n"/>
      <c r="F496" s="290" t="n"/>
    </row>
    <row r="497" ht="13" customHeight="1" s="189">
      <c r="A497" s="289" t="n"/>
      <c r="B497" s="290" t="n"/>
      <c r="C497" s="290" t="n"/>
      <c r="D497" s="291" t="n"/>
      <c r="E497" s="290" t="n"/>
      <c r="F497" s="290" t="n"/>
    </row>
    <row r="498" ht="13" customHeight="1" s="189">
      <c r="A498" s="289" t="n"/>
      <c r="B498" s="290" t="n"/>
      <c r="C498" s="290" t="n"/>
      <c r="D498" s="291" t="n"/>
      <c r="E498" s="290" t="n"/>
      <c r="F498" s="290" t="n"/>
    </row>
    <row r="499" ht="13" customHeight="1" s="189">
      <c r="A499" s="289" t="n"/>
      <c r="B499" s="290" t="n"/>
      <c r="C499" s="290" t="n"/>
      <c r="D499" s="291" t="n"/>
      <c r="E499" s="290" t="n"/>
      <c r="F499" s="290" t="n"/>
    </row>
    <row r="500" ht="13" customHeight="1" s="189">
      <c r="A500" s="289" t="n"/>
      <c r="B500" s="290" t="n"/>
      <c r="C500" s="290" t="n"/>
      <c r="D500" s="291" t="n"/>
      <c r="E500" s="290" t="n"/>
      <c r="F500" s="290" t="n"/>
    </row>
    <row r="501" ht="13" customHeight="1" s="189">
      <c r="A501" s="289" t="n"/>
      <c r="B501" s="290" t="n"/>
      <c r="C501" s="290" t="n"/>
      <c r="D501" s="291" t="n"/>
      <c r="E501" s="290" t="n"/>
      <c r="F501" s="290" t="n"/>
    </row>
    <row r="502" ht="13" customHeight="1" s="189">
      <c r="A502" s="289" t="n"/>
      <c r="B502" s="290" t="n"/>
      <c r="C502" s="290" t="n"/>
      <c r="D502" s="291" t="n"/>
      <c r="E502" s="290" t="n"/>
      <c r="F502" s="290" t="n"/>
    </row>
    <row r="503" ht="13" customHeight="1" s="189">
      <c r="A503" s="289" t="n"/>
      <c r="B503" s="290" t="n"/>
      <c r="C503" s="290" t="n"/>
      <c r="D503" s="291" t="n"/>
      <c r="E503" s="290" t="n"/>
      <c r="F503" s="290" t="n"/>
    </row>
    <row r="504" ht="13" customHeight="1" s="189">
      <c r="A504" s="289" t="n"/>
      <c r="B504" s="290" t="n"/>
      <c r="C504" s="290" t="n"/>
      <c r="D504" s="291" t="n"/>
      <c r="E504" s="290" t="n"/>
      <c r="F504" s="290" t="n"/>
    </row>
    <row r="505" ht="13" customHeight="1" s="189">
      <c r="A505" s="289" t="n"/>
      <c r="B505" s="290" t="n"/>
      <c r="C505" s="290" t="n"/>
      <c r="D505" s="291" t="n"/>
      <c r="E505" s="290" t="n"/>
      <c r="F505" s="290" t="n"/>
    </row>
    <row r="506" ht="13" customHeight="1" s="189">
      <c r="A506" s="289" t="n"/>
      <c r="B506" s="290" t="n"/>
      <c r="C506" s="290" t="n"/>
      <c r="D506" s="291" t="n"/>
      <c r="E506" s="290" t="n"/>
      <c r="F506" s="290" t="n"/>
    </row>
    <row r="507" ht="13" customHeight="1" s="189">
      <c r="A507" s="289" t="n"/>
      <c r="B507" s="290" t="n"/>
      <c r="C507" s="290" t="n"/>
      <c r="D507" s="291" t="n"/>
      <c r="E507" s="290" t="n"/>
      <c r="F507" s="290" t="n"/>
    </row>
    <row r="508" ht="13" customHeight="1" s="189">
      <c r="A508" s="289" t="n"/>
      <c r="B508" s="290" t="n"/>
      <c r="C508" s="290" t="n"/>
      <c r="D508" s="291" t="n"/>
      <c r="E508" s="290" t="n"/>
      <c r="F508" s="290" t="n"/>
    </row>
    <row r="509" ht="13" customHeight="1" s="189">
      <c r="A509" s="289" t="n"/>
      <c r="B509" s="290" t="n"/>
      <c r="C509" s="290" t="n"/>
      <c r="D509" s="291" t="n"/>
      <c r="E509" s="290" t="n"/>
      <c r="F509" s="290" t="n"/>
    </row>
    <row r="510" ht="13" customHeight="1" s="189">
      <c r="A510" s="289" t="n"/>
      <c r="B510" s="290" t="n"/>
      <c r="C510" s="290" t="n"/>
      <c r="D510" s="291" t="n"/>
      <c r="E510" s="290" t="n"/>
      <c r="F510" s="290" t="n"/>
    </row>
    <row r="511" ht="13" customHeight="1" s="189">
      <c r="A511" s="289" t="n"/>
      <c r="B511" s="290" t="n"/>
      <c r="C511" s="290" t="n"/>
      <c r="D511" s="291" t="n"/>
      <c r="E511" s="290" t="n"/>
      <c r="F511" s="290" t="n"/>
    </row>
    <row r="512" ht="13" customHeight="1" s="189">
      <c r="A512" s="289" t="n"/>
      <c r="B512" s="290" t="n"/>
      <c r="C512" s="290" t="n"/>
      <c r="D512" s="291" t="n"/>
      <c r="E512" s="290" t="n"/>
      <c r="F512" s="290" t="n"/>
    </row>
    <row r="513" ht="13" customHeight="1" s="189">
      <c r="A513" s="289" t="n"/>
      <c r="B513" s="290" t="n"/>
      <c r="C513" s="290" t="n"/>
      <c r="D513" s="291" t="n"/>
      <c r="E513" s="290" t="n"/>
      <c r="F513" s="290" t="n"/>
    </row>
    <row r="514" ht="13" customHeight="1" s="189">
      <c r="A514" s="289" t="n"/>
      <c r="B514" s="290" t="n"/>
      <c r="C514" s="290" t="n"/>
      <c r="D514" s="291" t="n"/>
      <c r="E514" s="290" t="n"/>
      <c r="F514" s="290" t="n"/>
    </row>
    <row r="515" ht="13" customHeight="1" s="189">
      <c r="A515" s="289" t="n"/>
      <c r="B515" s="290" t="n"/>
      <c r="C515" s="290" t="n"/>
      <c r="D515" s="291" t="n"/>
      <c r="E515" s="290" t="n"/>
      <c r="F515" s="290" t="n"/>
    </row>
    <row r="516" ht="13" customHeight="1" s="189">
      <c r="A516" s="289" t="n"/>
      <c r="B516" s="290" t="n"/>
      <c r="C516" s="290" t="n"/>
      <c r="D516" s="291" t="n"/>
      <c r="E516" s="290" t="n"/>
      <c r="F516" s="290" t="n"/>
    </row>
    <row r="517" ht="13" customHeight="1" s="189">
      <c r="A517" s="289" t="n"/>
      <c r="B517" s="290" t="n"/>
      <c r="C517" s="290" t="n"/>
      <c r="D517" s="291" t="n"/>
      <c r="E517" s="290" t="n"/>
      <c r="F517" s="290" t="n"/>
    </row>
    <row r="518" ht="13" customHeight="1" s="189">
      <c r="A518" s="289" t="n"/>
      <c r="B518" s="290" t="n"/>
      <c r="C518" s="290" t="n"/>
      <c r="D518" s="291" t="n"/>
      <c r="E518" s="290" t="n"/>
      <c r="F518" s="290" t="n"/>
    </row>
    <row r="519" ht="13" customHeight="1" s="189">
      <c r="A519" s="289" t="n"/>
      <c r="B519" s="290" t="n"/>
      <c r="C519" s="290" t="n"/>
      <c r="D519" s="291" t="n"/>
      <c r="E519" s="290" t="n"/>
      <c r="F519" s="290" t="n"/>
    </row>
    <row r="520" ht="13" customHeight="1" s="189">
      <c r="A520" s="289" t="n"/>
      <c r="B520" s="290" t="n"/>
      <c r="C520" s="290" t="n"/>
      <c r="D520" s="291" t="n"/>
      <c r="E520" s="290" t="n"/>
      <c r="F520" s="290" t="n"/>
    </row>
    <row r="521" ht="13" customHeight="1" s="189">
      <c r="A521" s="289" t="n"/>
      <c r="B521" s="290" t="n"/>
      <c r="C521" s="290" t="n"/>
      <c r="D521" s="291" t="n"/>
      <c r="E521" s="290" t="n"/>
      <c r="F521" s="290" t="n"/>
    </row>
    <row r="522" ht="13" customHeight="1" s="189">
      <c r="A522" s="289" t="n"/>
      <c r="B522" s="290" t="n"/>
      <c r="C522" s="290" t="n"/>
      <c r="D522" s="291" t="n"/>
      <c r="E522" s="290" t="n"/>
      <c r="F522" s="290" t="n"/>
    </row>
    <row r="523" ht="13" customHeight="1" s="189">
      <c r="A523" s="289" t="n"/>
      <c r="B523" s="290" t="n"/>
      <c r="C523" s="290" t="n"/>
      <c r="D523" s="291" t="n"/>
      <c r="E523" s="290" t="n"/>
      <c r="F523" s="290" t="n"/>
    </row>
    <row r="524" ht="13" customHeight="1" s="189">
      <c r="A524" s="289" t="n"/>
      <c r="B524" s="290" t="n"/>
      <c r="C524" s="290" t="n"/>
      <c r="D524" s="291" t="n"/>
      <c r="E524" s="290" t="n"/>
      <c r="F524" s="290" t="n"/>
    </row>
    <row r="525" ht="13" customHeight="1" s="189">
      <c r="A525" s="289" t="n"/>
      <c r="B525" s="290" t="n"/>
      <c r="C525" s="290" t="n"/>
      <c r="D525" s="291" t="n"/>
      <c r="E525" s="290" t="n"/>
      <c r="F525" s="290" t="n"/>
    </row>
    <row r="526" ht="13" customHeight="1" s="189">
      <c r="A526" s="289" t="n"/>
      <c r="B526" s="290" t="n"/>
      <c r="C526" s="290" t="n"/>
      <c r="D526" s="291" t="n"/>
      <c r="E526" s="290" t="n"/>
      <c r="F526" s="290" t="n"/>
    </row>
    <row r="527" ht="13" customHeight="1" s="189">
      <c r="A527" s="289" t="n"/>
      <c r="B527" s="290" t="n"/>
      <c r="C527" s="290" t="n"/>
      <c r="D527" s="291" t="n"/>
      <c r="E527" s="290" t="n"/>
      <c r="F527" s="290" t="n"/>
    </row>
    <row r="528" ht="13" customHeight="1" s="189">
      <c r="A528" s="289" t="n"/>
      <c r="B528" s="290" t="n"/>
      <c r="C528" s="290" t="n"/>
      <c r="D528" s="291" t="n"/>
      <c r="E528" s="290" t="n"/>
      <c r="F528" s="290" t="n"/>
    </row>
    <row r="529" ht="13" customHeight="1" s="189">
      <c r="A529" s="289" t="n"/>
      <c r="B529" s="290" t="n"/>
      <c r="C529" s="290" t="n"/>
      <c r="D529" s="291" t="n"/>
      <c r="E529" s="290" t="n"/>
      <c r="F529" s="290" t="n"/>
    </row>
    <row r="530" ht="13" customHeight="1" s="189">
      <c r="A530" s="289" t="n"/>
      <c r="B530" s="290" t="n"/>
      <c r="C530" s="290" t="n"/>
      <c r="D530" s="291" t="n"/>
      <c r="E530" s="290" t="n"/>
      <c r="F530" s="290" t="n"/>
    </row>
    <row r="531" ht="13" customHeight="1" s="189">
      <c r="A531" s="289" t="n"/>
      <c r="B531" s="290" t="n"/>
      <c r="C531" s="290" t="n"/>
      <c r="D531" s="291" t="n"/>
      <c r="E531" s="290" t="n"/>
      <c r="F531" s="290" t="n"/>
    </row>
    <row r="532" ht="13" customHeight="1" s="189">
      <c r="A532" s="289" t="n"/>
      <c r="B532" s="290" t="n"/>
      <c r="C532" s="290" t="n"/>
      <c r="D532" s="291" t="n"/>
      <c r="E532" s="290" t="n"/>
      <c r="F532" s="290" t="n"/>
    </row>
    <row r="533" ht="13" customHeight="1" s="189">
      <c r="A533" s="289" t="n"/>
      <c r="B533" s="290" t="n"/>
      <c r="C533" s="290" t="n"/>
      <c r="D533" s="291" t="n"/>
      <c r="E533" s="290" t="n"/>
      <c r="F533" s="290" t="n"/>
    </row>
    <row r="534" ht="13" customHeight="1" s="189">
      <c r="A534" s="289" t="n"/>
      <c r="B534" s="290" t="n"/>
      <c r="C534" s="290" t="n"/>
      <c r="D534" s="291" t="n"/>
      <c r="E534" s="290" t="n"/>
      <c r="F534" s="290" t="n"/>
    </row>
    <row r="535" ht="13" customHeight="1" s="189">
      <c r="A535" s="289" t="n"/>
      <c r="B535" s="290" t="n"/>
      <c r="C535" s="290" t="n"/>
      <c r="D535" s="291" t="n"/>
      <c r="E535" s="290" t="n"/>
      <c r="F535" s="290" t="n"/>
    </row>
    <row r="536" ht="13" customHeight="1" s="189">
      <c r="A536" s="289" t="n"/>
      <c r="B536" s="290" t="n"/>
      <c r="C536" s="290" t="n"/>
      <c r="D536" s="291" t="n"/>
      <c r="E536" s="290" t="n"/>
      <c r="F536" s="290" t="n"/>
    </row>
    <row r="537" ht="13" customHeight="1" s="189">
      <c r="A537" s="289" t="n"/>
      <c r="B537" s="290" t="n"/>
      <c r="C537" s="290" t="n"/>
      <c r="D537" s="291" t="n"/>
      <c r="E537" s="290" t="n"/>
      <c r="F537" s="290" t="n"/>
    </row>
    <row r="538" ht="13" customHeight="1" s="189">
      <c r="A538" s="289" t="n"/>
      <c r="B538" s="290" t="n"/>
      <c r="C538" s="290" t="n"/>
      <c r="D538" s="291" t="n"/>
      <c r="E538" s="290" t="n"/>
      <c r="F538" s="290" t="n"/>
    </row>
    <row r="539" ht="13" customHeight="1" s="189">
      <c r="A539" s="289" t="n"/>
      <c r="B539" s="290" t="n"/>
      <c r="C539" s="290" t="n"/>
      <c r="D539" s="291" t="n"/>
      <c r="E539" s="290" t="n"/>
      <c r="F539" s="290" t="n"/>
    </row>
    <row r="540" ht="13" customHeight="1" s="189">
      <c r="A540" s="289" t="n"/>
      <c r="B540" s="290" t="n"/>
      <c r="C540" s="290" t="n"/>
      <c r="D540" s="291" t="n"/>
      <c r="E540" s="290" t="n"/>
      <c r="F540" s="290" t="n"/>
    </row>
    <row r="541" ht="13" customHeight="1" s="189">
      <c r="A541" s="289" t="n"/>
      <c r="B541" s="290" t="n"/>
      <c r="C541" s="290" t="n"/>
      <c r="D541" s="291" t="n"/>
      <c r="E541" s="290" t="n"/>
      <c r="F541" s="290" t="n"/>
    </row>
    <row r="542" ht="13" customHeight="1" s="189">
      <c r="A542" s="289" t="n"/>
      <c r="B542" s="290" t="n"/>
      <c r="C542" s="290" t="n"/>
      <c r="D542" s="291" t="n"/>
      <c r="E542" s="290" t="n"/>
      <c r="F542" s="290" t="n"/>
    </row>
    <row r="543" ht="13" customHeight="1" s="189">
      <c r="A543" s="289" t="n"/>
      <c r="B543" s="290" t="n"/>
      <c r="C543" s="290" t="n"/>
      <c r="D543" s="291" t="n"/>
      <c r="E543" s="290" t="n"/>
      <c r="F543" s="290" t="n"/>
    </row>
    <row r="544" ht="13" customHeight="1" s="189">
      <c r="A544" s="289" t="n"/>
      <c r="B544" s="290" t="n"/>
      <c r="C544" s="290" t="n"/>
      <c r="D544" s="291" t="n"/>
      <c r="E544" s="290" t="n"/>
      <c r="F544" s="290" t="n"/>
    </row>
    <row r="545" ht="13" customHeight="1" s="189">
      <c r="A545" s="289" t="n"/>
      <c r="B545" s="290" t="n"/>
      <c r="C545" s="290" t="n"/>
      <c r="D545" s="291" t="n"/>
      <c r="E545" s="290" t="n"/>
      <c r="F545" s="290" t="n"/>
    </row>
    <row r="546" ht="13" customHeight="1" s="189">
      <c r="A546" s="289" t="n"/>
      <c r="B546" s="290" t="n"/>
      <c r="C546" s="290" t="n"/>
      <c r="D546" s="291" t="n"/>
      <c r="E546" s="290" t="n"/>
      <c r="F546" s="290" t="n"/>
    </row>
    <row r="547" ht="13" customHeight="1" s="189">
      <c r="A547" s="289" t="n"/>
      <c r="B547" s="290" t="n"/>
      <c r="C547" s="290" t="n"/>
      <c r="D547" s="291" t="n"/>
      <c r="E547" s="290" t="n"/>
      <c r="F547" s="290" t="n"/>
    </row>
    <row r="548" ht="13" customHeight="1" s="189">
      <c r="A548" s="289" t="n"/>
      <c r="B548" s="290" t="n"/>
      <c r="C548" s="290" t="n"/>
      <c r="D548" s="291" t="n"/>
      <c r="E548" s="290" t="n"/>
      <c r="F548" s="290" t="n"/>
    </row>
    <row r="549" ht="13" customHeight="1" s="189">
      <c r="A549" s="289" t="n"/>
      <c r="B549" s="290" t="n"/>
      <c r="C549" s="290" t="n"/>
      <c r="D549" s="291" t="n"/>
      <c r="E549" s="290" t="n"/>
      <c r="F549" s="290" t="n"/>
    </row>
    <row r="550" ht="13" customHeight="1" s="189">
      <c r="A550" s="289" t="n"/>
      <c r="B550" s="290" t="n"/>
      <c r="C550" s="290" t="n"/>
      <c r="D550" s="291" t="n"/>
      <c r="E550" s="290" t="n"/>
      <c r="F550" s="290" t="n"/>
    </row>
    <row r="551" ht="13" customHeight="1" s="189">
      <c r="A551" s="289" t="n"/>
      <c r="B551" s="290" t="n"/>
      <c r="C551" s="290" t="n"/>
      <c r="D551" s="291" t="n"/>
      <c r="E551" s="290" t="n"/>
      <c r="F551" s="290" t="n"/>
    </row>
    <row r="552" ht="13" customHeight="1" s="189">
      <c r="A552" s="289" t="n"/>
      <c r="B552" s="290" t="n"/>
      <c r="C552" s="290" t="n"/>
      <c r="D552" s="291" t="n"/>
      <c r="E552" s="290" t="n"/>
      <c r="F552" s="290" t="n"/>
    </row>
    <row r="553" ht="13" customHeight="1" s="189">
      <c r="A553" s="289" t="n"/>
      <c r="B553" s="290" t="n"/>
      <c r="C553" s="290" t="n"/>
      <c r="D553" s="291" t="n"/>
      <c r="E553" s="290" t="n"/>
      <c r="F553" s="290" t="n"/>
    </row>
    <row r="554" ht="13" customHeight="1" s="189">
      <c r="A554" s="289" t="n"/>
      <c r="B554" s="290" t="n"/>
      <c r="C554" s="290" t="n"/>
      <c r="D554" s="291" t="n"/>
      <c r="E554" s="290" t="n"/>
      <c r="F554" s="290" t="n"/>
    </row>
    <row r="555" ht="13" customHeight="1" s="189">
      <c r="A555" s="289" t="n"/>
      <c r="B555" s="290" t="n"/>
      <c r="C555" s="290" t="n"/>
      <c r="D555" s="291" t="n"/>
      <c r="E555" s="290" t="n"/>
      <c r="F555" s="290" t="n"/>
    </row>
    <row r="556" ht="13" customHeight="1" s="189">
      <c r="A556" s="289" t="n"/>
      <c r="B556" s="290" t="n"/>
      <c r="C556" s="290" t="n"/>
      <c r="D556" s="291" t="n"/>
      <c r="E556" s="290" t="n"/>
      <c r="F556" s="290" t="n"/>
    </row>
    <row r="557" ht="13" customHeight="1" s="189">
      <c r="A557" s="289" t="n"/>
      <c r="B557" s="290" t="n"/>
      <c r="C557" s="290" t="n"/>
      <c r="D557" s="291" t="n"/>
      <c r="E557" s="290" t="n"/>
      <c r="F557" s="290" t="n"/>
    </row>
    <row r="558" ht="13" customHeight="1" s="189">
      <c r="A558" s="289" t="n"/>
      <c r="B558" s="290" t="n"/>
      <c r="C558" s="290" t="n"/>
      <c r="D558" s="291" t="n"/>
      <c r="E558" s="290" t="n"/>
      <c r="F558" s="290" t="n"/>
    </row>
    <row r="559" ht="13" customHeight="1" s="189">
      <c r="A559" s="289" t="n"/>
      <c r="B559" s="290" t="n"/>
      <c r="C559" s="290" t="n"/>
      <c r="D559" s="291" t="n"/>
      <c r="E559" s="290" t="n"/>
      <c r="F559" s="290" t="n"/>
    </row>
    <row r="560" ht="13" customHeight="1" s="189">
      <c r="A560" s="289" t="n"/>
      <c r="B560" s="290" t="n"/>
      <c r="C560" s="290" t="n"/>
      <c r="D560" s="291" t="n"/>
      <c r="E560" s="290" t="n"/>
      <c r="F560" s="290" t="n"/>
    </row>
    <row r="561" ht="13" customHeight="1" s="189">
      <c r="A561" s="289" t="n"/>
      <c r="B561" s="290" t="n"/>
      <c r="C561" s="290" t="n"/>
      <c r="D561" s="291" t="n"/>
      <c r="E561" s="290" t="n"/>
      <c r="F561" s="290" t="n"/>
    </row>
    <row r="562" ht="13" customHeight="1" s="189">
      <c r="A562" s="289" t="n"/>
      <c r="B562" s="290" t="n"/>
      <c r="C562" s="290" t="n"/>
      <c r="D562" s="291" t="n"/>
      <c r="E562" s="290" t="n"/>
      <c r="F562" s="290" t="n"/>
    </row>
    <row r="563" ht="13" customHeight="1" s="189">
      <c r="A563" s="289" t="n"/>
      <c r="B563" s="290" t="n"/>
      <c r="C563" s="290" t="n"/>
      <c r="D563" s="291" t="n"/>
      <c r="E563" s="290" t="n"/>
      <c r="F563" s="290" t="n"/>
    </row>
    <row r="564" ht="13" customHeight="1" s="189">
      <c r="A564" s="289" t="n"/>
      <c r="B564" s="290" t="n"/>
      <c r="C564" s="290" t="n"/>
      <c r="D564" s="291" t="n"/>
      <c r="E564" s="290" t="n"/>
      <c r="F564" s="290" t="n"/>
    </row>
    <row r="565" ht="13" customHeight="1" s="189">
      <c r="A565" s="289" t="n"/>
      <c r="B565" s="290" t="n"/>
      <c r="C565" s="290" t="n"/>
      <c r="D565" s="291" t="n"/>
      <c r="E565" s="290" t="n"/>
      <c r="F565" s="290" t="n"/>
    </row>
    <row r="566" ht="13" customHeight="1" s="189">
      <c r="A566" s="289" t="n"/>
      <c r="B566" s="290" t="n"/>
      <c r="C566" s="290" t="n"/>
      <c r="D566" s="291" t="n"/>
      <c r="E566" s="290" t="n"/>
      <c r="F566" s="290" t="n"/>
    </row>
    <row r="567" ht="13" customHeight="1" s="189">
      <c r="A567" s="289" t="n"/>
      <c r="B567" s="290" t="n"/>
      <c r="C567" s="290" t="n"/>
      <c r="D567" s="291" t="n"/>
      <c r="E567" s="290" t="n"/>
      <c r="F567" s="290" t="n"/>
    </row>
    <row r="568" ht="13" customHeight="1" s="189">
      <c r="A568" s="289" t="n"/>
      <c r="B568" s="290" t="n"/>
      <c r="C568" s="290" t="n"/>
      <c r="D568" s="291" t="n"/>
      <c r="E568" s="290" t="n"/>
      <c r="F568" s="290" t="n"/>
    </row>
    <row r="569" ht="13" customHeight="1" s="189">
      <c r="A569" s="289" t="n"/>
      <c r="B569" s="290" t="n"/>
      <c r="C569" s="290" t="n"/>
      <c r="D569" s="291" t="n"/>
      <c r="E569" s="290" t="n"/>
      <c r="F569" s="290" t="n"/>
    </row>
    <row r="570" ht="13" customHeight="1" s="189">
      <c r="A570" s="289" t="n"/>
      <c r="B570" s="290" t="n"/>
      <c r="C570" s="290" t="n"/>
      <c r="D570" s="291" t="n"/>
      <c r="E570" s="290" t="n"/>
      <c r="F570" s="290" t="n"/>
    </row>
    <row r="571" ht="13" customHeight="1" s="189">
      <c r="A571" s="289" t="n"/>
      <c r="B571" s="290" t="n"/>
      <c r="C571" s="290" t="n"/>
      <c r="D571" s="291" t="n"/>
      <c r="E571" s="290" t="n"/>
      <c r="F571" s="290" t="n"/>
    </row>
    <row r="572" ht="13" customHeight="1" s="189">
      <c r="A572" s="289" t="n"/>
      <c r="B572" s="290" t="n"/>
      <c r="C572" s="290" t="n"/>
      <c r="D572" s="291" t="n"/>
      <c r="E572" s="290" t="n"/>
      <c r="F572" s="290" t="n"/>
    </row>
    <row r="573" ht="13" customHeight="1" s="189">
      <c r="A573" s="289" t="n"/>
      <c r="B573" s="290" t="n"/>
      <c r="C573" s="290" t="n"/>
      <c r="D573" s="291" t="n"/>
      <c r="E573" s="290" t="n"/>
      <c r="F573" s="290" t="n"/>
    </row>
    <row r="574" ht="13" customHeight="1" s="189">
      <c r="A574" s="289" t="n"/>
      <c r="B574" s="290" t="n"/>
      <c r="C574" s="290" t="n"/>
      <c r="D574" s="291" t="n"/>
      <c r="E574" s="290" t="n"/>
      <c r="F574" s="290" t="n"/>
    </row>
    <row r="575" ht="13" customHeight="1" s="189">
      <c r="A575" s="289" t="n"/>
      <c r="B575" s="290" t="n"/>
      <c r="C575" s="290" t="n"/>
      <c r="D575" s="291" t="n"/>
      <c r="E575" s="290" t="n"/>
      <c r="F575" s="290" t="n"/>
    </row>
    <row r="576" ht="13" customHeight="1" s="189">
      <c r="A576" s="289" t="n"/>
      <c r="B576" s="290" t="n"/>
      <c r="C576" s="290" t="n"/>
      <c r="D576" s="291" t="n"/>
      <c r="E576" s="290" t="n"/>
      <c r="F576" s="290" t="n"/>
    </row>
    <row r="577" ht="13" customHeight="1" s="189">
      <c r="A577" s="289" t="n"/>
      <c r="B577" s="290" t="n"/>
      <c r="C577" s="290" t="n"/>
      <c r="D577" s="291" t="n"/>
      <c r="E577" s="290" t="n"/>
      <c r="F577" s="290" t="n"/>
    </row>
    <row r="578" ht="13" customHeight="1" s="189">
      <c r="A578" s="289" t="n"/>
      <c r="B578" s="290" t="n"/>
      <c r="C578" s="290" t="n"/>
      <c r="D578" s="291" t="n"/>
      <c r="E578" s="290" t="n"/>
      <c r="F578" s="290" t="n"/>
    </row>
    <row r="579" ht="13" customHeight="1" s="189">
      <c r="A579" s="289" t="n"/>
      <c r="B579" s="290" t="n"/>
      <c r="C579" s="290" t="n"/>
      <c r="D579" s="291" t="n"/>
      <c r="E579" s="290" t="n"/>
      <c r="F579" s="290" t="n"/>
    </row>
    <row r="580" ht="13" customHeight="1" s="189">
      <c r="A580" s="289" t="n"/>
      <c r="B580" s="290" t="n"/>
      <c r="C580" s="290" t="n"/>
      <c r="D580" s="291" t="n"/>
      <c r="E580" s="290" t="n"/>
      <c r="F580" s="290" t="n"/>
    </row>
    <row r="581" ht="13" customHeight="1" s="189">
      <c r="A581" s="289" t="n"/>
      <c r="B581" s="290" t="n"/>
      <c r="C581" s="290" t="n"/>
      <c r="D581" s="291" t="n"/>
      <c r="E581" s="290" t="n"/>
      <c r="F581" s="290" t="n"/>
    </row>
    <row r="582" ht="13" customHeight="1" s="189">
      <c r="A582" s="289" t="n"/>
      <c r="B582" s="290" t="n"/>
      <c r="C582" s="290" t="n"/>
      <c r="D582" s="291" t="n"/>
      <c r="E582" s="290" t="n"/>
      <c r="F582" s="290" t="n"/>
    </row>
    <row r="583" ht="13" customHeight="1" s="189">
      <c r="A583" s="289" t="n"/>
      <c r="B583" s="290" t="n"/>
      <c r="C583" s="290" t="n"/>
      <c r="D583" s="291" t="n"/>
      <c r="E583" s="290" t="n"/>
      <c r="F583" s="290" t="n"/>
    </row>
    <row r="584" ht="13" customHeight="1" s="189">
      <c r="A584" s="289" t="n"/>
      <c r="B584" s="290" t="n"/>
      <c r="C584" s="290" t="n"/>
      <c r="D584" s="291" t="n"/>
      <c r="E584" s="290" t="n"/>
      <c r="F584" s="290" t="n"/>
    </row>
    <row r="585" ht="13" customHeight="1" s="189">
      <c r="A585" s="289" t="n"/>
      <c r="B585" s="290" t="n"/>
      <c r="C585" s="290" t="n"/>
      <c r="D585" s="291" t="n"/>
      <c r="E585" s="290" t="n"/>
      <c r="F585" s="290" t="n"/>
    </row>
    <row r="586" ht="13" customHeight="1" s="189">
      <c r="A586" s="289" t="n"/>
      <c r="B586" s="290" t="n"/>
      <c r="C586" s="290" t="n"/>
      <c r="D586" s="291" t="n"/>
      <c r="E586" s="290" t="n"/>
      <c r="F586" s="290" t="n"/>
    </row>
    <row r="587" ht="13" customHeight="1" s="189">
      <c r="A587" s="289" t="n"/>
      <c r="B587" s="290" t="n"/>
      <c r="C587" s="290" t="n"/>
      <c r="D587" s="291" t="n"/>
      <c r="E587" s="290" t="n"/>
      <c r="F587" s="290" t="n"/>
    </row>
    <row r="588" ht="13" customHeight="1" s="189">
      <c r="A588" s="289" t="n"/>
      <c r="B588" s="290" t="n"/>
      <c r="C588" s="290" t="n"/>
      <c r="D588" s="291" t="n"/>
      <c r="E588" s="290" t="n"/>
      <c r="F588" s="290" t="n"/>
    </row>
    <row r="589" ht="13" customHeight="1" s="189">
      <c r="A589" s="289" t="n"/>
      <c r="B589" s="290" t="n"/>
      <c r="C589" s="290" t="n"/>
      <c r="D589" s="291" t="n"/>
      <c r="E589" s="290" t="n"/>
      <c r="F589" s="290" t="n"/>
    </row>
    <row r="590" ht="13" customHeight="1" s="189">
      <c r="A590" s="289" t="n"/>
      <c r="B590" s="290" t="n"/>
      <c r="C590" s="290" t="n"/>
      <c r="D590" s="291" t="n"/>
      <c r="E590" s="290" t="n"/>
      <c r="F590" s="290" t="n"/>
    </row>
    <row r="591" ht="13" customHeight="1" s="189">
      <c r="A591" s="289" t="n"/>
      <c r="B591" s="290" t="n"/>
      <c r="C591" s="290" t="n"/>
      <c r="D591" s="291" t="n"/>
      <c r="E591" s="290" t="n"/>
      <c r="F591" s="290" t="n"/>
    </row>
    <row r="592" ht="13" customHeight="1" s="189">
      <c r="A592" s="289" t="n"/>
      <c r="B592" s="290" t="n"/>
      <c r="C592" s="290" t="n"/>
      <c r="D592" s="291" t="n"/>
      <c r="E592" s="290" t="n"/>
      <c r="F592" s="290" t="n"/>
    </row>
    <row r="593" ht="13" customHeight="1" s="189">
      <c r="A593" s="289" t="n"/>
      <c r="B593" s="290" t="n"/>
      <c r="C593" s="290" t="n"/>
      <c r="D593" s="291" t="n"/>
      <c r="E593" s="290" t="n"/>
      <c r="F593" s="290" t="n"/>
    </row>
    <row r="594" ht="13" customHeight="1" s="189">
      <c r="A594" s="289" t="n"/>
      <c r="B594" s="290" t="n"/>
      <c r="C594" s="290" t="n"/>
      <c r="D594" s="291" t="n"/>
      <c r="E594" s="290" t="n"/>
      <c r="F594" s="290" t="n"/>
    </row>
    <row r="595" ht="13" customHeight="1" s="189">
      <c r="A595" s="289" t="n"/>
      <c r="B595" s="290" t="n"/>
      <c r="C595" s="290" t="n"/>
      <c r="D595" s="291" t="n"/>
      <c r="E595" s="290" t="n"/>
      <c r="F595" s="290" t="n"/>
    </row>
    <row r="596" ht="13" customHeight="1" s="189">
      <c r="A596" s="289" t="n"/>
      <c r="B596" s="290" t="n"/>
      <c r="C596" s="290" t="n"/>
      <c r="D596" s="291" t="n"/>
      <c r="E596" s="290" t="n"/>
      <c r="F596" s="290" t="n"/>
    </row>
    <row r="597" ht="13" customHeight="1" s="189">
      <c r="A597" s="289" t="n"/>
      <c r="B597" s="290" t="n"/>
      <c r="C597" s="290" t="n"/>
      <c r="D597" s="291" t="n"/>
      <c r="E597" s="290" t="n"/>
      <c r="F597" s="290" t="n"/>
    </row>
    <row r="598" ht="13" customHeight="1" s="189">
      <c r="A598" s="289" t="n"/>
      <c r="B598" s="290" t="n"/>
      <c r="C598" s="290" t="n"/>
      <c r="D598" s="291" t="n"/>
      <c r="E598" s="290" t="n"/>
      <c r="F598" s="290" t="n"/>
    </row>
    <row r="599" ht="13" customHeight="1" s="189">
      <c r="A599" s="289" t="n"/>
      <c r="B599" s="290" t="n"/>
      <c r="C599" s="290" t="n"/>
      <c r="D599" s="291" t="n"/>
      <c r="E599" s="290" t="n"/>
      <c r="F599" s="290" t="n"/>
    </row>
    <row r="600" ht="13" customHeight="1" s="189">
      <c r="A600" s="289" t="n"/>
      <c r="B600" s="290" t="n"/>
      <c r="C600" s="290" t="n"/>
      <c r="D600" s="291" t="n"/>
      <c r="E600" s="290" t="n"/>
      <c r="F600" s="290" t="n"/>
    </row>
    <row r="601" ht="13" customHeight="1" s="189">
      <c r="A601" s="289" t="n"/>
      <c r="B601" s="290" t="n"/>
      <c r="C601" s="290" t="n"/>
      <c r="D601" s="291" t="n"/>
      <c r="E601" s="290" t="n"/>
      <c r="F601" s="290" t="n"/>
    </row>
    <row r="602" ht="13" customHeight="1" s="189">
      <c r="A602" s="289" t="n"/>
      <c r="B602" s="290" t="n"/>
      <c r="C602" s="290" t="n"/>
      <c r="D602" s="291" t="n"/>
      <c r="E602" s="290" t="n"/>
      <c r="F602" s="290" t="n"/>
    </row>
    <row r="603" ht="13" customHeight="1" s="189">
      <c r="A603" s="289" t="n"/>
      <c r="B603" s="290" t="n"/>
      <c r="C603" s="290" t="n"/>
      <c r="D603" s="291" t="n"/>
      <c r="E603" s="290" t="n"/>
      <c r="F603" s="290" t="n"/>
    </row>
    <row r="604" ht="13" customHeight="1" s="189">
      <c r="A604" s="289" t="n"/>
      <c r="B604" s="290" t="n"/>
      <c r="C604" s="290" t="n"/>
      <c r="D604" s="291" t="n"/>
      <c r="E604" s="290" t="n"/>
      <c r="F604" s="290" t="n"/>
    </row>
    <row r="605" ht="13" customHeight="1" s="189">
      <c r="A605" s="289" t="n"/>
      <c r="B605" s="290" t="n"/>
      <c r="C605" s="290" t="n"/>
      <c r="D605" s="291" t="n"/>
      <c r="E605" s="290" t="n"/>
      <c r="F605" s="290" t="n"/>
    </row>
    <row r="606" ht="13" customHeight="1" s="189">
      <c r="A606" s="289" t="n"/>
      <c r="B606" s="290" t="n"/>
      <c r="C606" s="290" t="n"/>
      <c r="D606" s="291" t="n"/>
      <c r="E606" s="290" t="n"/>
      <c r="F606" s="290" t="n"/>
    </row>
    <row r="607" ht="13" customHeight="1" s="189">
      <c r="A607" s="289" t="n"/>
      <c r="B607" s="290" t="n"/>
      <c r="C607" s="290" t="n"/>
      <c r="D607" s="291" t="n"/>
      <c r="E607" s="290" t="n"/>
      <c r="F607" s="290" t="n"/>
    </row>
    <row r="608" ht="13" customHeight="1" s="189">
      <c r="A608" s="289" t="n"/>
      <c r="B608" s="290" t="n"/>
      <c r="C608" s="290" t="n"/>
      <c r="D608" s="291" t="n"/>
      <c r="E608" s="290" t="n"/>
      <c r="F608" s="290" t="n"/>
    </row>
    <row r="609" ht="13" customHeight="1" s="189">
      <c r="A609" s="289" t="n"/>
      <c r="B609" s="290" t="n"/>
      <c r="C609" s="290" t="n"/>
      <c r="D609" s="291" t="n"/>
      <c r="E609" s="290" t="n"/>
      <c r="F609" s="290" t="n"/>
    </row>
    <row r="610" ht="13" customHeight="1" s="189">
      <c r="A610" s="289" t="n"/>
      <c r="B610" s="290" t="n"/>
      <c r="C610" s="290" t="n"/>
      <c r="D610" s="291" t="n"/>
      <c r="E610" s="290" t="n"/>
      <c r="F610" s="290" t="n"/>
    </row>
    <row r="611" ht="13" customHeight="1" s="189">
      <c r="A611" s="289" t="n"/>
      <c r="B611" s="290" t="n"/>
      <c r="C611" s="290" t="n"/>
      <c r="D611" s="291" t="n"/>
      <c r="E611" s="290" t="n"/>
      <c r="F611" s="290" t="n"/>
    </row>
    <row r="612" ht="13" customHeight="1" s="189">
      <c r="A612" s="289" t="n"/>
      <c r="B612" s="290" t="n"/>
      <c r="C612" s="290" t="n"/>
      <c r="D612" s="291" t="n"/>
      <c r="E612" s="290" t="n"/>
      <c r="F612" s="290" t="n"/>
    </row>
    <row r="613" ht="13" customHeight="1" s="189">
      <c r="A613" s="289" t="n"/>
      <c r="B613" s="290" t="n"/>
      <c r="C613" s="290" t="n"/>
      <c r="D613" s="291" t="n"/>
      <c r="E613" s="290" t="n"/>
      <c r="F613" s="290" t="n"/>
    </row>
    <row r="614" ht="13" customHeight="1" s="189">
      <c r="A614" s="289" t="n"/>
      <c r="B614" s="290" t="n"/>
      <c r="C614" s="290" t="n"/>
      <c r="D614" s="291" t="n"/>
      <c r="E614" s="290" t="n"/>
      <c r="F614" s="290" t="n"/>
    </row>
    <row r="615" ht="13" customHeight="1" s="189">
      <c r="A615" s="289" t="n"/>
      <c r="B615" s="290" t="n"/>
      <c r="C615" s="290" t="n"/>
      <c r="D615" s="291" t="n"/>
      <c r="E615" s="290" t="n"/>
      <c r="F615" s="290" t="n"/>
    </row>
    <row r="616" ht="13" customHeight="1" s="189">
      <c r="A616" s="289" t="n"/>
      <c r="B616" s="290" t="n"/>
      <c r="C616" s="290" t="n"/>
      <c r="D616" s="291" t="n"/>
      <c r="E616" s="290" t="n"/>
      <c r="F616" s="290" t="n"/>
    </row>
    <row r="617" ht="13" customHeight="1" s="189">
      <c r="A617" s="289" t="n"/>
      <c r="B617" s="290" t="n"/>
      <c r="C617" s="290" t="n"/>
      <c r="D617" s="291" t="n"/>
      <c r="E617" s="290" t="n"/>
      <c r="F617" s="290" t="n"/>
    </row>
    <row r="618" ht="13" customHeight="1" s="189">
      <c r="A618" s="289" t="n"/>
      <c r="B618" s="290" t="n"/>
      <c r="C618" s="290" t="n"/>
      <c r="D618" s="291" t="n"/>
      <c r="E618" s="290" t="n"/>
      <c r="F618" s="290" t="n"/>
    </row>
    <row r="619" ht="13" customHeight="1" s="189">
      <c r="A619" s="289" t="n"/>
      <c r="B619" s="290" t="n"/>
      <c r="C619" s="290" t="n"/>
      <c r="D619" s="291" t="n"/>
      <c r="E619" s="290" t="n"/>
      <c r="F619" s="290" t="n"/>
    </row>
    <row r="620" ht="13" customHeight="1" s="189">
      <c r="A620" s="289" t="n"/>
      <c r="B620" s="290" t="n"/>
      <c r="C620" s="290" t="n"/>
      <c r="D620" s="291" t="n"/>
      <c r="E620" s="290" t="n"/>
      <c r="F620" s="290" t="n"/>
    </row>
    <row r="621" ht="13" customHeight="1" s="189">
      <c r="A621" s="289" t="n"/>
      <c r="B621" s="290" t="n"/>
      <c r="C621" s="290" t="n"/>
      <c r="D621" s="291" t="n"/>
      <c r="E621" s="290" t="n"/>
      <c r="F621" s="290" t="n"/>
    </row>
    <row r="622" ht="13" customHeight="1" s="189">
      <c r="A622" s="289" t="n"/>
      <c r="B622" s="290" t="n"/>
      <c r="C622" s="290" t="n"/>
      <c r="D622" s="291" t="n"/>
      <c r="E622" s="290" t="n"/>
      <c r="F622" s="290" t="n"/>
    </row>
    <row r="623" ht="13" customHeight="1" s="189">
      <c r="A623" s="289" t="n"/>
      <c r="B623" s="290" t="n"/>
      <c r="C623" s="290" t="n"/>
      <c r="D623" s="291" t="n"/>
      <c r="E623" s="290" t="n"/>
      <c r="F623" s="290" t="n"/>
    </row>
    <row r="624" ht="13" customHeight="1" s="189">
      <c r="A624" s="289" t="n"/>
      <c r="B624" s="290" t="n"/>
      <c r="C624" s="290" t="n"/>
      <c r="D624" s="291" t="n"/>
      <c r="E624" s="290" t="n"/>
      <c r="F624" s="290" t="n"/>
    </row>
    <row r="625" ht="13" customHeight="1" s="189">
      <c r="A625" s="289" t="n"/>
      <c r="B625" s="290" t="n"/>
      <c r="C625" s="290" t="n"/>
      <c r="D625" s="291" t="n"/>
      <c r="E625" s="290" t="n"/>
      <c r="F625" s="290" t="n"/>
    </row>
    <row r="626" ht="13" customHeight="1" s="189">
      <c r="A626" s="289" t="n"/>
      <c r="B626" s="290" t="n"/>
      <c r="C626" s="290" t="n"/>
      <c r="D626" s="291" t="n"/>
      <c r="E626" s="290" t="n"/>
      <c r="F626" s="290" t="n"/>
    </row>
    <row r="627" ht="13" customHeight="1" s="189">
      <c r="A627" s="289" t="n"/>
      <c r="B627" s="290" t="n"/>
      <c r="C627" s="290" t="n"/>
      <c r="D627" s="291" t="n"/>
      <c r="E627" s="290" t="n"/>
      <c r="F627" s="290" t="n"/>
    </row>
    <row r="628" ht="13" customHeight="1" s="189">
      <c r="A628" s="289" t="n"/>
      <c r="B628" s="290" t="n"/>
      <c r="C628" s="290" t="n"/>
      <c r="D628" s="291" t="n"/>
      <c r="E628" s="290" t="n"/>
      <c r="F628" s="290" t="n"/>
    </row>
    <row r="629" ht="13" customHeight="1" s="189">
      <c r="A629" s="289" t="n"/>
      <c r="B629" s="290" t="n"/>
      <c r="C629" s="290" t="n"/>
      <c r="D629" s="291" t="n"/>
      <c r="E629" s="290" t="n"/>
      <c r="F629" s="290" t="n"/>
    </row>
    <row r="630" ht="13" customHeight="1" s="189">
      <c r="A630" s="289" t="n"/>
      <c r="B630" s="290" t="n"/>
      <c r="C630" s="290" t="n"/>
      <c r="D630" s="291" t="n"/>
      <c r="E630" s="290" t="n"/>
      <c r="F630" s="290" t="n"/>
    </row>
    <row r="631" ht="13" customHeight="1" s="189">
      <c r="A631" s="289" t="n"/>
      <c r="B631" s="290" t="n"/>
      <c r="C631" s="290" t="n"/>
      <c r="D631" s="291" t="n"/>
      <c r="E631" s="290" t="n"/>
      <c r="F631" s="290" t="n"/>
    </row>
    <row r="632" ht="13" customHeight="1" s="189">
      <c r="A632" s="289" t="n"/>
      <c r="B632" s="290" t="n"/>
      <c r="C632" s="290" t="n"/>
      <c r="D632" s="291" t="n"/>
      <c r="E632" s="290" t="n"/>
      <c r="F632" s="290" t="n"/>
    </row>
    <row r="633" ht="13" customHeight="1" s="189">
      <c r="A633" s="289" t="n"/>
      <c r="B633" s="290" t="n"/>
      <c r="C633" s="290" t="n"/>
      <c r="D633" s="291" t="n"/>
      <c r="E633" s="290" t="n"/>
      <c r="F633" s="290" t="n"/>
    </row>
    <row r="634" ht="13" customHeight="1" s="189">
      <c r="A634" s="289" t="n"/>
      <c r="B634" s="290" t="n"/>
      <c r="C634" s="290" t="n"/>
      <c r="D634" s="291" t="n"/>
      <c r="E634" s="290" t="n"/>
      <c r="F634" s="290" t="n"/>
    </row>
    <row r="635" ht="13" customHeight="1" s="189">
      <c r="A635" s="289" t="n"/>
      <c r="B635" s="290" t="n"/>
      <c r="C635" s="290" t="n"/>
      <c r="D635" s="291" t="n"/>
      <c r="E635" s="290" t="n"/>
      <c r="F635" s="290" t="n"/>
    </row>
    <row r="636" ht="13" customHeight="1" s="189">
      <c r="A636" s="289" t="n"/>
      <c r="B636" s="290" t="n"/>
      <c r="C636" s="290" t="n"/>
      <c r="D636" s="291" t="n"/>
      <c r="E636" s="290" t="n"/>
      <c r="F636" s="290" t="n"/>
    </row>
    <row r="637" ht="13" customHeight="1" s="189">
      <c r="A637" s="289" t="n"/>
      <c r="B637" s="290" t="n"/>
      <c r="C637" s="290" t="n"/>
      <c r="D637" s="291" t="n"/>
      <c r="E637" s="290" t="n"/>
      <c r="F637" s="290" t="n"/>
    </row>
    <row r="638" ht="13" customHeight="1" s="189">
      <c r="A638" s="289" t="n"/>
      <c r="B638" s="290" t="n"/>
      <c r="C638" s="290" t="n"/>
      <c r="D638" s="291" t="n"/>
      <c r="E638" s="290" t="n"/>
      <c r="F638" s="290" t="n"/>
    </row>
    <row r="639" ht="13" customHeight="1" s="189">
      <c r="A639" s="289" t="n"/>
      <c r="B639" s="290" t="n"/>
      <c r="C639" s="290" t="n"/>
      <c r="D639" s="291" t="n"/>
      <c r="E639" s="290" t="n"/>
      <c r="F639" s="290" t="n"/>
    </row>
    <row r="640" ht="13" customHeight="1" s="189">
      <c r="A640" s="289" t="n"/>
      <c r="B640" s="290" t="n"/>
      <c r="C640" s="290" t="n"/>
      <c r="D640" s="291" t="n"/>
      <c r="E640" s="290" t="n"/>
      <c r="F640" s="290" t="n"/>
    </row>
    <row r="641" ht="13" customHeight="1" s="189">
      <c r="A641" s="289" t="n"/>
      <c r="B641" s="290" t="n"/>
      <c r="C641" s="290" t="n"/>
      <c r="D641" s="291" t="n"/>
      <c r="E641" s="290" t="n"/>
      <c r="F641" s="290" t="n"/>
    </row>
    <row r="642" ht="13" customHeight="1" s="189">
      <c r="A642" s="289" t="n"/>
      <c r="B642" s="290" t="n"/>
      <c r="C642" s="290" t="n"/>
      <c r="D642" s="291" t="n"/>
      <c r="E642" s="290" t="n"/>
      <c r="F642" s="290" t="n"/>
    </row>
    <row r="643" ht="13" customHeight="1" s="189">
      <c r="A643" s="289" t="n"/>
      <c r="B643" s="290" t="n"/>
      <c r="C643" s="290" t="n"/>
      <c r="D643" s="291" t="n"/>
      <c r="E643" s="290" t="n"/>
      <c r="F643" s="290" t="n"/>
    </row>
    <row r="644" ht="13" customHeight="1" s="189">
      <c r="A644" s="289" t="n"/>
      <c r="B644" s="290" t="n"/>
      <c r="C644" s="290" t="n"/>
      <c r="D644" s="291" t="n"/>
      <c r="E644" s="290" t="n"/>
      <c r="F644" s="290" t="n"/>
    </row>
    <row r="645" ht="13" customHeight="1" s="189">
      <c r="A645" s="289" t="n"/>
      <c r="B645" s="290" t="n"/>
      <c r="C645" s="290" t="n"/>
      <c r="D645" s="291" t="n"/>
      <c r="E645" s="290" t="n"/>
      <c r="F645" s="290" t="n"/>
    </row>
    <row r="646" ht="13" customHeight="1" s="189">
      <c r="A646" s="289" t="n"/>
      <c r="B646" s="290" t="n"/>
      <c r="C646" s="290" t="n"/>
      <c r="D646" s="291" t="n"/>
      <c r="E646" s="290" t="n"/>
      <c r="F646" s="290" t="n"/>
    </row>
    <row r="647" ht="13" customHeight="1" s="189">
      <c r="A647" s="289" t="n"/>
      <c r="B647" s="290" t="n"/>
      <c r="C647" s="290" t="n"/>
      <c r="D647" s="291" t="n"/>
      <c r="E647" s="290" t="n"/>
      <c r="F647" s="290" t="n"/>
    </row>
    <row r="648" ht="13" customHeight="1" s="189">
      <c r="A648" s="289" t="n"/>
      <c r="B648" s="290" t="n"/>
      <c r="C648" s="290" t="n"/>
      <c r="D648" s="291" t="n"/>
      <c r="E648" s="290" t="n"/>
      <c r="F648" s="290" t="n"/>
    </row>
    <row r="649" ht="13" customHeight="1" s="189">
      <c r="A649" s="289" t="n"/>
      <c r="B649" s="290" t="n"/>
      <c r="C649" s="290" t="n"/>
      <c r="D649" s="291" t="n"/>
      <c r="E649" s="290" t="n"/>
      <c r="F649" s="290" t="n"/>
    </row>
    <row r="650" ht="13" customHeight="1" s="189">
      <c r="A650" s="289" t="n"/>
      <c r="B650" s="290" t="n"/>
      <c r="C650" s="290" t="n"/>
      <c r="D650" s="291" t="n"/>
      <c r="E650" s="290" t="n"/>
      <c r="F650" s="290" t="n"/>
    </row>
    <row r="651" ht="13" customHeight="1" s="189">
      <c r="A651" s="289" t="n"/>
      <c r="B651" s="290" t="n"/>
      <c r="C651" s="290" t="n"/>
      <c r="D651" s="291" t="n"/>
      <c r="E651" s="290" t="n"/>
      <c r="F651" s="290" t="n"/>
    </row>
    <row r="652" ht="13" customHeight="1" s="189">
      <c r="A652" s="289" t="n"/>
      <c r="B652" s="290" t="n"/>
      <c r="C652" s="290" t="n"/>
      <c r="D652" s="291" t="n"/>
      <c r="E652" s="290" t="n"/>
      <c r="F652" s="290" t="n"/>
    </row>
    <row r="653" ht="13" customHeight="1" s="189">
      <c r="A653" s="289" t="n"/>
      <c r="B653" s="290" t="n"/>
      <c r="C653" s="290" t="n"/>
      <c r="D653" s="291" t="n"/>
      <c r="E653" s="290" t="n"/>
      <c r="F653" s="290" t="n"/>
    </row>
    <row r="654" ht="13" customHeight="1" s="189">
      <c r="A654" s="289" t="n"/>
      <c r="B654" s="290" t="n"/>
      <c r="C654" s="290" t="n"/>
      <c r="D654" s="291" t="n"/>
      <c r="E654" s="290" t="n"/>
      <c r="F654" s="290" t="n"/>
    </row>
    <row r="655" ht="13" customHeight="1" s="189">
      <c r="A655" s="289" t="n"/>
      <c r="B655" s="290" t="n"/>
      <c r="C655" s="290" t="n"/>
      <c r="D655" s="291" t="n"/>
      <c r="E655" s="290" t="n"/>
      <c r="F655" s="290" t="n"/>
    </row>
    <row r="656" ht="13" customHeight="1" s="189">
      <c r="A656" s="289" t="n"/>
      <c r="B656" s="290" t="n"/>
      <c r="C656" s="290" t="n"/>
      <c r="D656" s="291" t="n"/>
      <c r="E656" s="290" t="n"/>
      <c r="F656" s="290" t="n"/>
    </row>
    <row r="657" ht="13" customHeight="1" s="189">
      <c r="A657" s="289" t="n"/>
      <c r="B657" s="290" t="n"/>
      <c r="C657" s="290" t="n"/>
      <c r="D657" s="291" t="n"/>
      <c r="E657" s="290" t="n"/>
      <c r="F657" s="290" t="n"/>
    </row>
    <row r="658" ht="13" customHeight="1" s="189">
      <c r="A658" s="289" t="n"/>
      <c r="B658" s="290" t="n"/>
      <c r="C658" s="290" t="n"/>
      <c r="D658" s="291" t="n"/>
      <c r="E658" s="290" t="n"/>
      <c r="F658" s="290" t="n"/>
    </row>
    <row r="659" ht="13" customHeight="1" s="189">
      <c r="A659" s="289" t="n"/>
      <c r="B659" s="290" t="n"/>
      <c r="C659" s="290" t="n"/>
      <c r="D659" s="291" t="n"/>
      <c r="E659" s="290" t="n"/>
      <c r="F659" s="290" t="n"/>
    </row>
    <row r="660" ht="13" customHeight="1" s="189">
      <c r="A660" s="289" t="n"/>
      <c r="B660" s="290" t="n"/>
      <c r="C660" s="290" t="n"/>
      <c r="D660" s="291" t="n"/>
      <c r="E660" s="290" t="n"/>
      <c r="F660" s="290" t="n"/>
    </row>
    <row r="661" ht="13" customHeight="1" s="189">
      <c r="A661" s="289" t="n"/>
      <c r="B661" s="290" t="n"/>
      <c r="C661" s="290" t="n"/>
      <c r="D661" s="291" t="n"/>
      <c r="E661" s="290" t="n"/>
      <c r="F661" s="290" t="n"/>
    </row>
    <row r="662" ht="13" customHeight="1" s="189">
      <c r="A662" s="289" t="n"/>
      <c r="B662" s="290" t="n"/>
      <c r="C662" s="290" t="n"/>
      <c r="D662" s="291" t="n"/>
      <c r="E662" s="290" t="n"/>
      <c r="F662" s="290" t="n"/>
    </row>
    <row r="663" ht="13" customHeight="1" s="189">
      <c r="A663" s="289" t="n"/>
      <c r="B663" s="290" t="n"/>
      <c r="C663" s="290" t="n"/>
      <c r="D663" s="291" t="n"/>
      <c r="E663" s="290" t="n"/>
      <c r="F663" s="290" t="n"/>
    </row>
    <row r="664" ht="13" customHeight="1" s="189">
      <c r="A664" s="289" t="n"/>
      <c r="B664" s="290" t="n"/>
      <c r="C664" s="290" t="n"/>
      <c r="D664" s="291" t="n"/>
      <c r="E664" s="290" t="n"/>
      <c r="F664" s="290" t="n"/>
    </row>
    <row r="665" ht="13" customHeight="1" s="189">
      <c r="A665" s="289" t="n"/>
      <c r="B665" s="290" t="n"/>
      <c r="C665" s="290" t="n"/>
      <c r="D665" s="291" t="n"/>
      <c r="E665" s="290" t="n"/>
      <c r="F665" s="290" t="n"/>
    </row>
    <row r="666" ht="13" customHeight="1" s="189">
      <c r="A666" s="289" t="n"/>
      <c r="B666" s="290" t="n"/>
      <c r="C666" s="290" t="n"/>
      <c r="D666" s="291" t="n"/>
      <c r="E666" s="290" t="n"/>
      <c r="F666" s="290" t="n"/>
    </row>
    <row r="667" ht="13" customHeight="1" s="189">
      <c r="A667" s="289" t="n"/>
      <c r="B667" s="290" t="n"/>
      <c r="C667" s="290" t="n"/>
      <c r="D667" s="291" t="n"/>
      <c r="E667" s="290" t="n"/>
      <c r="F667" s="290" t="n"/>
    </row>
    <row r="668" ht="13" customHeight="1" s="189">
      <c r="A668" s="289" t="n"/>
      <c r="B668" s="290" t="n"/>
      <c r="C668" s="290" t="n"/>
      <c r="D668" s="291" t="n"/>
      <c r="E668" s="290" t="n"/>
      <c r="F668" s="290" t="n"/>
    </row>
    <row r="669" ht="13" customHeight="1" s="189">
      <c r="A669" s="289" t="n"/>
      <c r="B669" s="290" t="n"/>
      <c r="C669" s="290" t="n"/>
      <c r="D669" s="291" t="n"/>
      <c r="E669" s="290" t="n"/>
      <c r="F669" s="290" t="n"/>
    </row>
    <row r="670" ht="13" customHeight="1" s="189">
      <c r="A670" s="289" t="n"/>
      <c r="B670" s="290" t="n"/>
      <c r="C670" s="290" t="n"/>
      <c r="D670" s="291" t="n"/>
      <c r="E670" s="290" t="n"/>
      <c r="F670" s="290" t="n"/>
    </row>
    <row r="671" ht="13" customHeight="1" s="189">
      <c r="A671" s="289" t="n"/>
      <c r="B671" s="290" t="n"/>
      <c r="C671" s="290" t="n"/>
      <c r="D671" s="291" t="n"/>
      <c r="E671" s="290" t="n"/>
      <c r="F671" s="290" t="n"/>
    </row>
    <row r="672" ht="13" customHeight="1" s="189">
      <c r="A672" s="289" t="n"/>
      <c r="B672" s="290" t="n"/>
      <c r="C672" s="290" t="n"/>
      <c r="D672" s="291" t="n"/>
      <c r="E672" s="290" t="n"/>
      <c r="F672" s="290" t="n"/>
    </row>
    <row r="673" ht="13" customHeight="1" s="189">
      <c r="A673" s="289" t="n"/>
      <c r="B673" s="290" t="n"/>
      <c r="C673" s="290" t="n"/>
      <c r="D673" s="291" t="n"/>
      <c r="E673" s="290" t="n"/>
      <c r="F673" s="290" t="n"/>
    </row>
    <row r="674" ht="13" customHeight="1" s="189">
      <c r="A674" s="289" t="n"/>
      <c r="B674" s="290" t="n"/>
      <c r="C674" s="290" t="n"/>
      <c r="D674" s="291" t="n"/>
      <c r="E674" s="290" t="n"/>
      <c r="F674" s="290" t="n"/>
    </row>
    <row r="675" ht="13" customHeight="1" s="189">
      <c r="A675" s="289" t="n"/>
      <c r="B675" s="290" t="n"/>
      <c r="C675" s="290" t="n"/>
      <c r="D675" s="291" t="n"/>
      <c r="E675" s="290" t="n"/>
      <c r="F675" s="290" t="n"/>
    </row>
    <row r="676" ht="13" customHeight="1" s="189">
      <c r="A676" s="289" t="n"/>
      <c r="B676" s="290" t="n"/>
      <c r="C676" s="290" t="n"/>
      <c r="D676" s="291" t="n"/>
      <c r="E676" s="290" t="n"/>
      <c r="F676" s="290" t="n"/>
    </row>
    <row r="677" ht="13" customHeight="1" s="189">
      <c r="A677" s="289" t="n"/>
      <c r="B677" s="290" t="n"/>
      <c r="C677" s="290" t="n"/>
      <c r="D677" s="291" t="n"/>
      <c r="E677" s="290" t="n"/>
      <c r="F677" s="290" t="n"/>
    </row>
    <row r="678" ht="13" customHeight="1" s="189">
      <c r="A678" s="289" t="n"/>
      <c r="B678" s="290" t="n"/>
      <c r="C678" s="290" t="n"/>
      <c r="D678" s="291" t="n"/>
      <c r="E678" s="290" t="n"/>
      <c r="F678" s="290" t="n"/>
    </row>
    <row r="679" ht="13" customHeight="1" s="189">
      <c r="A679" s="289" t="n"/>
      <c r="B679" s="290" t="n"/>
      <c r="C679" s="290" t="n"/>
      <c r="D679" s="291" t="n"/>
      <c r="E679" s="290" t="n"/>
      <c r="F679" s="290" t="n"/>
    </row>
    <row r="680" ht="13" customHeight="1" s="189">
      <c r="A680" s="289" t="n"/>
      <c r="B680" s="290" t="n"/>
      <c r="C680" s="290" t="n"/>
      <c r="D680" s="291" t="n"/>
      <c r="E680" s="290" t="n"/>
      <c r="F680" s="290" t="n"/>
    </row>
    <row r="681" ht="13" customHeight="1" s="189">
      <c r="A681" s="289" t="n"/>
      <c r="B681" s="290" t="n"/>
      <c r="C681" s="290" t="n"/>
      <c r="D681" s="291" t="n"/>
      <c r="E681" s="290" t="n"/>
      <c r="F681" s="290" t="n"/>
    </row>
    <row r="682" ht="13" customHeight="1" s="189">
      <c r="A682" s="289" t="n"/>
      <c r="B682" s="290" t="n"/>
      <c r="C682" s="290" t="n"/>
      <c r="D682" s="291" t="n"/>
      <c r="E682" s="290" t="n"/>
      <c r="F682" s="290" t="n"/>
    </row>
    <row r="683" ht="13" customHeight="1" s="189">
      <c r="A683" s="289" t="n"/>
      <c r="B683" s="290" t="n"/>
      <c r="C683" s="290" t="n"/>
      <c r="D683" s="291" t="n"/>
      <c r="E683" s="290" t="n"/>
      <c r="F683" s="290" t="n"/>
    </row>
    <row r="684" ht="13" customHeight="1" s="189">
      <c r="A684" s="289" t="n"/>
      <c r="B684" s="290" t="n"/>
      <c r="C684" s="290" t="n"/>
      <c r="D684" s="291" t="n"/>
      <c r="E684" s="290" t="n"/>
      <c r="F684" s="290" t="n"/>
    </row>
    <row r="685" ht="13" customHeight="1" s="189">
      <c r="A685" s="289" t="n"/>
      <c r="B685" s="290" t="n"/>
      <c r="C685" s="290" t="n"/>
      <c r="D685" s="291" t="n"/>
      <c r="E685" s="290" t="n"/>
      <c r="F685" s="290" t="n"/>
    </row>
    <row r="686" ht="13" customHeight="1" s="189">
      <c r="A686" s="289" t="n"/>
      <c r="B686" s="290" t="n"/>
      <c r="C686" s="290" t="n"/>
      <c r="D686" s="291" t="n"/>
      <c r="E686" s="290" t="n"/>
      <c r="F686" s="290" t="n"/>
    </row>
    <row r="687" ht="13" customHeight="1" s="189">
      <c r="A687" s="289" t="n"/>
      <c r="B687" s="290" t="n"/>
      <c r="C687" s="290" t="n"/>
      <c r="D687" s="291" t="n"/>
      <c r="E687" s="290" t="n"/>
      <c r="F687" s="290" t="n"/>
    </row>
    <row r="688" ht="13" customHeight="1" s="189">
      <c r="A688" s="289" t="n"/>
      <c r="B688" s="290" t="n"/>
      <c r="C688" s="290" t="n"/>
      <c r="D688" s="291" t="n"/>
      <c r="E688" s="290" t="n"/>
      <c r="F688" s="290" t="n"/>
    </row>
    <row r="689" ht="13" customHeight="1" s="189">
      <c r="A689" s="289" t="n"/>
      <c r="B689" s="290" t="n"/>
      <c r="C689" s="290" t="n"/>
      <c r="D689" s="291" t="n"/>
      <c r="E689" s="290" t="n"/>
      <c r="F689" s="290" t="n"/>
    </row>
    <row r="690" ht="13" customHeight="1" s="189">
      <c r="A690" s="289" t="n"/>
      <c r="B690" s="290" t="n"/>
      <c r="C690" s="290" t="n"/>
      <c r="D690" s="291" t="n"/>
      <c r="E690" s="290" t="n"/>
      <c r="F690" s="290" t="n"/>
    </row>
    <row r="691" ht="13" customHeight="1" s="189">
      <c r="A691" s="289" t="n"/>
      <c r="B691" s="290" t="n"/>
      <c r="C691" s="290" t="n"/>
      <c r="D691" s="291" t="n"/>
      <c r="E691" s="290" t="n"/>
      <c r="F691" s="290" t="n"/>
    </row>
    <row r="692" ht="13" customHeight="1" s="189">
      <c r="A692" s="289" t="n"/>
      <c r="B692" s="290" t="n"/>
      <c r="C692" s="290" t="n"/>
      <c r="D692" s="291" t="n"/>
      <c r="E692" s="290" t="n"/>
      <c r="F692" s="290" t="n"/>
    </row>
    <row r="693" ht="13" customHeight="1" s="189">
      <c r="A693" s="289" t="n"/>
      <c r="B693" s="290" t="n"/>
      <c r="C693" s="290" t="n"/>
      <c r="D693" s="291" t="n"/>
      <c r="E693" s="290" t="n"/>
      <c r="F693" s="290" t="n"/>
    </row>
    <row r="694" ht="13" customHeight="1" s="189">
      <c r="A694" s="289" t="n"/>
      <c r="B694" s="290" t="n"/>
      <c r="C694" s="290" t="n"/>
      <c r="D694" s="291" t="n"/>
      <c r="E694" s="290" t="n"/>
      <c r="F694" s="290" t="n"/>
    </row>
    <row r="695" ht="13" customHeight="1" s="189">
      <c r="A695" s="289" t="n"/>
      <c r="B695" s="290" t="n"/>
      <c r="C695" s="290" t="n"/>
      <c r="D695" s="291" t="n"/>
      <c r="E695" s="290" t="n"/>
      <c r="F695" s="290" t="n"/>
    </row>
    <row r="696" ht="13" customHeight="1" s="189">
      <c r="A696" s="289" t="n"/>
      <c r="B696" s="290" t="n"/>
      <c r="C696" s="290" t="n"/>
      <c r="D696" s="291" t="n"/>
      <c r="E696" s="290" t="n"/>
      <c r="F696" s="290" t="n"/>
    </row>
    <row r="697" ht="13" customHeight="1" s="189">
      <c r="A697" s="289" t="n"/>
      <c r="B697" s="290" t="n"/>
      <c r="C697" s="290" t="n"/>
      <c r="D697" s="291" t="n"/>
      <c r="E697" s="290" t="n"/>
      <c r="F697" s="290" t="n"/>
    </row>
    <row r="698" ht="13" customHeight="1" s="189">
      <c r="A698" s="289" t="n"/>
      <c r="B698" s="290" t="n"/>
      <c r="C698" s="290" t="n"/>
      <c r="D698" s="291" t="n"/>
      <c r="E698" s="290" t="n"/>
      <c r="F698" s="290" t="n"/>
    </row>
    <row r="699" ht="13" customHeight="1" s="189">
      <c r="A699" s="289" t="n"/>
      <c r="B699" s="290" t="n"/>
      <c r="C699" s="290" t="n"/>
      <c r="D699" s="291" t="n"/>
      <c r="E699" s="290" t="n"/>
      <c r="F699" s="290" t="n"/>
    </row>
    <row r="700" ht="13" customHeight="1" s="189">
      <c r="A700" s="289" t="n"/>
      <c r="B700" s="290" t="n"/>
      <c r="C700" s="290" t="n"/>
      <c r="D700" s="291" t="n"/>
      <c r="E700" s="290" t="n"/>
      <c r="F700" s="290" t="n"/>
    </row>
    <row r="701" ht="13" customHeight="1" s="189">
      <c r="A701" s="289" t="n"/>
      <c r="B701" s="290" t="n"/>
      <c r="C701" s="290" t="n"/>
      <c r="D701" s="291" t="n"/>
      <c r="E701" s="290" t="n"/>
      <c r="F701" s="290" t="n"/>
    </row>
    <row r="702" ht="13" customHeight="1" s="189">
      <c r="A702" s="289" t="n"/>
      <c r="B702" s="290" t="n"/>
      <c r="C702" s="290" t="n"/>
      <c r="D702" s="291" t="n"/>
      <c r="E702" s="290" t="n"/>
      <c r="F702" s="290" t="n"/>
    </row>
    <row r="703" ht="13" customHeight="1" s="189">
      <c r="A703" s="289" t="n"/>
      <c r="B703" s="290" t="n"/>
      <c r="C703" s="290" t="n"/>
      <c r="D703" s="291" t="n"/>
      <c r="E703" s="290" t="n"/>
      <c r="F703" s="290" t="n"/>
    </row>
    <row r="704" ht="13" customHeight="1" s="189">
      <c r="A704" s="289" t="n"/>
      <c r="B704" s="290" t="n"/>
      <c r="C704" s="290" t="n"/>
      <c r="D704" s="291" t="n"/>
      <c r="E704" s="290" t="n"/>
      <c r="F704" s="290" t="n"/>
    </row>
    <row r="705" ht="13" customHeight="1" s="189">
      <c r="A705" s="289" t="n"/>
      <c r="B705" s="290" t="n"/>
      <c r="C705" s="290" t="n"/>
      <c r="D705" s="291" t="n"/>
      <c r="E705" s="290" t="n"/>
      <c r="F705" s="290" t="n"/>
    </row>
    <row r="706" ht="13" customHeight="1" s="189">
      <c r="A706" s="289" t="n"/>
      <c r="B706" s="290" t="n"/>
      <c r="C706" s="290" t="n"/>
      <c r="D706" s="291" t="n"/>
      <c r="E706" s="290" t="n"/>
      <c r="F706" s="290" t="n"/>
    </row>
    <row r="707" ht="13" customHeight="1" s="189">
      <c r="A707" s="289" t="n"/>
      <c r="B707" s="290" t="n"/>
      <c r="C707" s="290" t="n"/>
      <c r="D707" s="291" t="n"/>
      <c r="E707" s="290" t="n"/>
      <c r="F707" s="290" t="n"/>
    </row>
    <row r="708" ht="13" customHeight="1" s="189">
      <c r="A708" s="289" t="n"/>
      <c r="B708" s="290" t="n"/>
      <c r="C708" s="290" t="n"/>
      <c r="D708" s="291" t="n"/>
      <c r="E708" s="290" t="n"/>
      <c r="F708" s="290" t="n"/>
    </row>
    <row r="709" ht="13" customHeight="1" s="189">
      <c r="A709" s="289" t="n"/>
      <c r="B709" s="290" t="n"/>
      <c r="C709" s="290" t="n"/>
      <c r="D709" s="291" t="n"/>
      <c r="E709" s="290" t="n"/>
      <c r="F709" s="290" t="n"/>
    </row>
    <row r="710" ht="13" customHeight="1" s="189">
      <c r="A710" s="289" t="n"/>
      <c r="B710" s="290" t="n"/>
      <c r="C710" s="290" t="n"/>
      <c r="D710" s="291" t="n"/>
      <c r="E710" s="290" t="n"/>
      <c r="F710" s="290" t="n"/>
    </row>
    <row r="711" ht="13" customHeight="1" s="189">
      <c r="A711" s="289" t="n"/>
      <c r="B711" s="290" t="n"/>
      <c r="C711" s="290" t="n"/>
      <c r="D711" s="291" t="n"/>
      <c r="E711" s="290" t="n"/>
      <c r="F711" s="290" t="n"/>
    </row>
    <row r="712" ht="13" customHeight="1" s="189">
      <c r="A712" s="289" t="n"/>
      <c r="B712" s="290" t="n"/>
      <c r="C712" s="290" t="n"/>
      <c r="D712" s="291" t="n"/>
      <c r="E712" s="290" t="n"/>
      <c r="F712" s="290" t="n"/>
    </row>
    <row r="713" ht="13" customHeight="1" s="189">
      <c r="A713" s="289" t="n"/>
      <c r="B713" s="290" t="n"/>
      <c r="C713" s="290" t="n"/>
      <c r="D713" s="291" t="n"/>
      <c r="E713" s="290" t="n"/>
      <c r="F713" s="290" t="n"/>
    </row>
    <row r="714" ht="13" customHeight="1" s="189">
      <c r="A714" s="289" t="n"/>
      <c r="B714" s="290" t="n"/>
      <c r="C714" s="290" t="n"/>
      <c r="D714" s="291" t="n"/>
      <c r="E714" s="290" t="n"/>
      <c r="F714" s="290" t="n"/>
    </row>
    <row r="715" ht="13" customHeight="1" s="189">
      <c r="A715" s="289" t="n"/>
      <c r="B715" s="290" t="n"/>
      <c r="C715" s="290" t="n"/>
      <c r="D715" s="291" t="n"/>
      <c r="E715" s="290" t="n"/>
      <c r="F715" s="290" t="n"/>
    </row>
    <row r="716" ht="13" customHeight="1" s="189">
      <c r="A716" s="289" t="n"/>
      <c r="B716" s="290" t="n"/>
      <c r="C716" s="290" t="n"/>
      <c r="D716" s="291" t="n"/>
      <c r="E716" s="290" t="n"/>
      <c r="F716" s="290" t="n"/>
    </row>
    <row r="717" ht="13" customHeight="1" s="189">
      <c r="A717" s="289" t="n"/>
      <c r="B717" s="290" t="n"/>
      <c r="C717" s="290" t="n"/>
      <c r="D717" s="291" t="n"/>
      <c r="E717" s="290" t="n"/>
      <c r="F717" s="290" t="n"/>
    </row>
    <row r="718" ht="13" customHeight="1" s="189">
      <c r="A718" s="289" t="n"/>
      <c r="B718" s="290" t="n"/>
      <c r="C718" s="290" t="n"/>
      <c r="D718" s="291" t="n"/>
      <c r="E718" s="290" t="n"/>
      <c r="F718" s="290" t="n"/>
    </row>
    <row r="719" ht="13" customHeight="1" s="189">
      <c r="A719" s="289" t="n"/>
      <c r="B719" s="290" t="n"/>
      <c r="C719" s="290" t="n"/>
      <c r="D719" s="291" t="n"/>
      <c r="E719" s="290" t="n"/>
      <c r="F719" s="290" t="n"/>
    </row>
    <row r="720" ht="13" customHeight="1" s="189">
      <c r="A720" s="289" t="n"/>
      <c r="B720" s="290" t="n"/>
      <c r="C720" s="290" t="n"/>
      <c r="D720" s="291" t="n"/>
      <c r="E720" s="290" t="n"/>
      <c r="F720" s="290" t="n"/>
    </row>
    <row r="721" ht="13" customHeight="1" s="189">
      <c r="A721" s="289" t="n"/>
      <c r="B721" s="290" t="n"/>
      <c r="C721" s="290" t="n"/>
      <c r="D721" s="291" t="n"/>
      <c r="E721" s="290" t="n"/>
      <c r="F721" s="290" t="n"/>
    </row>
    <row r="722" ht="13" customHeight="1" s="189">
      <c r="A722" s="289" t="n"/>
      <c r="B722" s="290" t="n"/>
      <c r="C722" s="290" t="n"/>
      <c r="D722" s="291" t="n"/>
      <c r="E722" s="290" t="n"/>
      <c r="F722" s="290" t="n"/>
    </row>
    <row r="723" ht="13" customHeight="1" s="189">
      <c r="A723" s="289" t="n"/>
      <c r="B723" s="290" t="n"/>
      <c r="C723" s="290" t="n"/>
      <c r="D723" s="291" t="n"/>
      <c r="E723" s="290" t="n"/>
      <c r="F723" s="290" t="n"/>
    </row>
    <row r="724" ht="13" customHeight="1" s="189">
      <c r="A724" s="289" t="n"/>
      <c r="B724" s="290" t="n"/>
      <c r="C724" s="290" t="n"/>
      <c r="D724" s="291" t="n"/>
      <c r="E724" s="290" t="n"/>
      <c r="F724" s="290" t="n"/>
    </row>
    <row r="725" ht="13" customHeight="1" s="189">
      <c r="A725" s="289" t="n"/>
      <c r="B725" s="290" t="n"/>
      <c r="C725" s="290" t="n"/>
      <c r="D725" s="291" t="n"/>
      <c r="E725" s="290" t="n"/>
      <c r="F725" s="290" t="n"/>
    </row>
    <row r="726" ht="13" customHeight="1" s="189">
      <c r="A726" s="289" t="n"/>
      <c r="B726" s="290" t="n"/>
      <c r="C726" s="290" t="n"/>
      <c r="D726" s="291" t="n"/>
      <c r="E726" s="290" t="n"/>
      <c r="F726" s="290" t="n"/>
    </row>
    <row r="727" ht="13" customHeight="1" s="189">
      <c r="A727" s="289" t="n"/>
      <c r="B727" s="290" t="n"/>
      <c r="C727" s="290" t="n"/>
      <c r="D727" s="291" t="n"/>
      <c r="E727" s="290" t="n"/>
      <c r="F727" s="290" t="n"/>
    </row>
    <row r="728" ht="13" customHeight="1" s="189">
      <c r="A728" s="289" t="n"/>
      <c r="B728" s="290" t="n"/>
      <c r="C728" s="290" t="n"/>
      <c r="D728" s="291" t="n"/>
      <c r="E728" s="290" t="n"/>
      <c r="F728" s="290" t="n"/>
    </row>
    <row r="729" ht="13" customHeight="1" s="189">
      <c r="A729" s="289" t="n"/>
      <c r="B729" s="290" t="n"/>
      <c r="C729" s="290" t="n"/>
      <c r="D729" s="291" t="n"/>
      <c r="E729" s="290" t="n"/>
      <c r="F729" s="290" t="n"/>
    </row>
    <row r="730" ht="13" customHeight="1" s="189">
      <c r="A730" s="289" t="n"/>
      <c r="B730" s="290" t="n"/>
      <c r="C730" s="290" t="n"/>
      <c r="D730" s="291" t="n"/>
      <c r="E730" s="290" t="n"/>
      <c r="F730" s="290" t="n"/>
    </row>
    <row r="731" ht="13" customHeight="1" s="189">
      <c r="A731" s="289" t="n"/>
      <c r="B731" s="290" t="n"/>
      <c r="C731" s="290" t="n"/>
      <c r="D731" s="291" t="n"/>
      <c r="E731" s="290" t="n"/>
      <c r="F731" s="290" t="n"/>
    </row>
    <row r="732" ht="13" customHeight="1" s="189">
      <c r="A732" s="289" t="n"/>
      <c r="B732" s="290" t="n"/>
      <c r="C732" s="290" t="n"/>
      <c r="D732" s="291" t="n"/>
      <c r="E732" s="290" t="n"/>
      <c r="F732" s="290" t="n"/>
    </row>
    <row r="733" ht="13" customHeight="1" s="189">
      <c r="A733" s="289" t="n"/>
      <c r="B733" s="290" t="n"/>
      <c r="C733" s="290" t="n"/>
      <c r="D733" s="291" t="n"/>
      <c r="E733" s="290" t="n"/>
      <c r="F733" s="290" t="n"/>
    </row>
    <row r="734" ht="13" customHeight="1" s="189">
      <c r="A734" s="289" t="n"/>
      <c r="B734" s="290" t="n"/>
      <c r="C734" s="290" t="n"/>
      <c r="D734" s="291" t="n"/>
      <c r="E734" s="290" t="n"/>
      <c r="F734" s="290" t="n"/>
    </row>
    <row r="735" ht="13" customHeight="1" s="189">
      <c r="A735" s="289" t="n"/>
      <c r="B735" s="290" t="n"/>
      <c r="C735" s="290" t="n"/>
      <c r="D735" s="291" t="n"/>
      <c r="E735" s="290" t="n"/>
      <c r="F735" s="290" t="n"/>
    </row>
    <row r="736" ht="13" customHeight="1" s="189">
      <c r="A736" s="289" t="n"/>
      <c r="B736" s="290" t="n"/>
      <c r="C736" s="290" t="n"/>
      <c r="D736" s="291" t="n"/>
      <c r="E736" s="290" t="n"/>
      <c r="F736" s="290" t="n"/>
    </row>
    <row r="737" ht="13" customHeight="1" s="189">
      <c r="A737" s="289" t="n"/>
      <c r="B737" s="290" t="n"/>
      <c r="C737" s="290" t="n"/>
      <c r="D737" s="291" t="n"/>
      <c r="E737" s="290" t="n"/>
      <c r="F737" s="290" t="n"/>
    </row>
    <row r="738" ht="13" customHeight="1" s="189">
      <c r="A738" s="289" t="n"/>
      <c r="B738" s="290" t="n"/>
      <c r="C738" s="290" t="n"/>
      <c r="D738" s="291" t="n"/>
      <c r="E738" s="290" t="n"/>
      <c r="F738" s="290" t="n"/>
    </row>
    <row r="739" ht="13" customHeight="1" s="189">
      <c r="A739" s="289" t="n"/>
      <c r="B739" s="290" t="n"/>
      <c r="C739" s="290" t="n"/>
      <c r="D739" s="291" t="n"/>
      <c r="E739" s="290" t="n"/>
      <c r="F739" s="290" t="n"/>
    </row>
    <row r="740" ht="13" customHeight="1" s="189">
      <c r="A740" s="289" t="n"/>
      <c r="B740" s="290" t="n"/>
      <c r="C740" s="290" t="n"/>
      <c r="D740" s="291" t="n"/>
      <c r="E740" s="290" t="n"/>
      <c r="F740" s="290" t="n"/>
    </row>
    <row r="741" ht="13" customHeight="1" s="189">
      <c r="A741" s="289" t="n"/>
      <c r="B741" s="290" t="n"/>
      <c r="C741" s="290" t="n"/>
      <c r="D741" s="291" t="n"/>
      <c r="E741" s="290" t="n"/>
      <c r="F741" s="290" t="n"/>
    </row>
    <row r="742" ht="13" customHeight="1" s="189">
      <c r="A742" s="289" t="n"/>
      <c r="B742" s="290" t="n"/>
      <c r="C742" s="290" t="n"/>
      <c r="D742" s="291" t="n"/>
      <c r="E742" s="290" t="n"/>
      <c r="F742" s="290" t="n"/>
    </row>
    <row r="743" ht="13" customHeight="1" s="189">
      <c r="A743" s="289" t="n"/>
      <c r="B743" s="290" t="n"/>
      <c r="C743" s="290" t="n"/>
      <c r="D743" s="291" t="n"/>
      <c r="E743" s="290" t="n"/>
      <c r="F743" s="290" t="n"/>
    </row>
    <row r="744" ht="13" customHeight="1" s="189">
      <c r="A744" s="289" t="n"/>
      <c r="B744" s="290" t="n"/>
      <c r="C744" s="290" t="n"/>
      <c r="D744" s="291" t="n"/>
      <c r="E744" s="290" t="n"/>
      <c r="F744" s="290" t="n"/>
    </row>
    <row r="745" ht="13" customHeight="1" s="189">
      <c r="A745" s="289" t="n"/>
      <c r="B745" s="290" t="n"/>
      <c r="C745" s="290" t="n"/>
      <c r="D745" s="291" t="n"/>
      <c r="E745" s="290" t="n"/>
      <c r="F745" s="290" t="n"/>
    </row>
    <row r="746" ht="13" customHeight="1" s="189">
      <c r="A746" s="289" t="n"/>
      <c r="B746" s="290" t="n"/>
      <c r="C746" s="290" t="n"/>
      <c r="D746" s="291" t="n"/>
      <c r="E746" s="290" t="n"/>
      <c r="F746" s="290" t="n"/>
    </row>
    <row r="747" ht="13" customHeight="1" s="189">
      <c r="A747" s="289" t="n"/>
      <c r="B747" s="290" t="n"/>
      <c r="C747" s="290" t="n"/>
      <c r="D747" s="291" t="n"/>
      <c r="E747" s="290" t="n"/>
      <c r="F747" s="290" t="n"/>
    </row>
    <row r="748" ht="13" customHeight="1" s="189">
      <c r="A748" s="289" t="n"/>
      <c r="B748" s="290" t="n"/>
      <c r="C748" s="290" t="n"/>
      <c r="D748" s="291" t="n"/>
      <c r="E748" s="290" t="n"/>
      <c r="F748" s="290" t="n"/>
    </row>
    <row r="749" ht="13" customHeight="1" s="189">
      <c r="A749" s="289" t="n"/>
      <c r="B749" s="290" t="n"/>
      <c r="C749" s="290" t="n"/>
      <c r="D749" s="291" t="n"/>
      <c r="E749" s="290" t="n"/>
      <c r="F749" s="290" t="n"/>
    </row>
    <row r="750" ht="13" customHeight="1" s="189">
      <c r="A750" s="289" t="n"/>
      <c r="B750" s="290" t="n"/>
      <c r="C750" s="290" t="n"/>
      <c r="D750" s="291" t="n"/>
      <c r="E750" s="290" t="n"/>
      <c r="F750" s="290" t="n"/>
    </row>
    <row r="751" ht="13" customHeight="1" s="189">
      <c r="A751" s="289" t="n"/>
      <c r="B751" s="290" t="n"/>
      <c r="C751" s="290" t="n"/>
      <c r="D751" s="291" t="n"/>
      <c r="E751" s="290" t="n"/>
      <c r="F751" s="290" t="n"/>
    </row>
    <row r="752" ht="13" customHeight="1" s="189">
      <c r="A752" s="289" t="n"/>
      <c r="B752" s="290" t="n"/>
      <c r="C752" s="290" t="n"/>
      <c r="D752" s="291" t="n"/>
      <c r="E752" s="290" t="n"/>
      <c r="F752" s="290" t="n"/>
    </row>
    <row r="753" ht="13" customHeight="1" s="189">
      <c r="A753" s="289" t="n"/>
      <c r="B753" s="290" t="n"/>
      <c r="C753" s="290" t="n"/>
      <c r="D753" s="291" t="n"/>
      <c r="E753" s="290" t="n"/>
      <c r="F753" s="290" t="n"/>
    </row>
    <row r="754" ht="13" customHeight="1" s="189">
      <c r="A754" s="289" t="n"/>
      <c r="B754" s="290" t="n"/>
      <c r="C754" s="290" t="n"/>
      <c r="D754" s="291" t="n"/>
      <c r="E754" s="290" t="n"/>
      <c r="F754" s="290" t="n"/>
    </row>
    <row r="755" ht="13" customHeight="1" s="189">
      <c r="A755" s="289" t="n"/>
      <c r="B755" s="290" t="n"/>
      <c r="C755" s="290" t="n"/>
      <c r="D755" s="291" t="n"/>
      <c r="E755" s="290" t="n"/>
      <c r="F755" s="290" t="n"/>
    </row>
    <row r="756" ht="13" customHeight="1" s="189">
      <c r="A756" s="289" t="n"/>
      <c r="B756" s="290" t="n"/>
      <c r="C756" s="290" t="n"/>
      <c r="D756" s="291" t="n"/>
      <c r="E756" s="290" t="n"/>
      <c r="F756" s="290" t="n"/>
    </row>
    <row r="757" ht="13" customHeight="1" s="189">
      <c r="A757" s="289" t="n"/>
      <c r="B757" s="290" t="n"/>
      <c r="C757" s="290" t="n"/>
      <c r="D757" s="291" t="n"/>
      <c r="E757" s="290" t="n"/>
      <c r="F757" s="290" t="n"/>
    </row>
    <row r="758" ht="13" customHeight="1" s="189">
      <c r="A758" s="289" t="n"/>
      <c r="B758" s="290" t="n"/>
      <c r="C758" s="290" t="n"/>
      <c r="D758" s="291" t="n"/>
      <c r="E758" s="290" t="n"/>
      <c r="F758" s="290" t="n"/>
    </row>
    <row r="759" ht="13" customHeight="1" s="189">
      <c r="A759" s="289" t="n"/>
      <c r="B759" s="290" t="n"/>
      <c r="C759" s="290" t="n"/>
      <c r="D759" s="291" t="n"/>
      <c r="E759" s="290" t="n"/>
      <c r="F759" s="290" t="n"/>
    </row>
    <row r="760" ht="13" customHeight="1" s="189">
      <c r="A760" s="289" t="n"/>
      <c r="B760" s="290" t="n"/>
      <c r="C760" s="290" t="n"/>
      <c r="D760" s="291" t="n"/>
      <c r="E760" s="290" t="n"/>
      <c r="F760" s="290" t="n"/>
    </row>
    <row r="761" ht="13" customHeight="1" s="189">
      <c r="A761" s="289" t="n"/>
      <c r="B761" s="290" t="n"/>
      <c r="C761" s="290" t="n"/>
      <c r="D761" s="291" t="n"/>
      <c r="E761" s="290" t="n"/>
      <c r="F761" s="290" t="n"/>
    </row>
    <row r="762" ht="13" customHeight="1" s="189">
      <c r="A762" s="289" t="n"/>
      <c r="B762" s="290" t="n"/>
      <c r="C762" s="290" t="n"/>
      <c r="D762" s="291" t="n"/>
      <c r="E762" s="290" t="n"/>
      <c r="F762" s="290" t="n"/>
    </row>
    <row r="763" ht="13" customHeight="1" s="189">
      <c r="A763" s="289" t="n"/>
      <c r="B763" s="290" t="n"/>
      <c r="C763" s="290" t="n"/>
      <c r="D763" s="291" t="n"/>
      <c r="E763" s="290" t="n"/>
      <c r="F763" s="290" t="n"/>
    </row>
    <row r="764" ht="13" customHeight="1" s="189">
      <c r="A764" s="289" t="n"/>
      <c r="B764" s="290" t="n"/>
      <c r="C764" s="290" t="n"/>
      <c r="D764" s="291" t="n"/>
      <c r="E764" s="290" t="n"/>
      <c r="F764" s="290" t="n"/>
    </row>
    <row r="765" ht="13" customHeight="1" s="189">
      <c r="A765" s="289" t="n"/>
      <c r="B765" s="290" t="n"/>
      <c r="C765" s="290" t="n"/>
      <c r="D765" s="291" t="n"/>
      <c r="E765" s="290" t="n"/>
      <c r="F765" s="290" t="n"/>
    </row>
    <row r="766" ht="13" customHeight="1" s="189">
      <c r="A766" s="289" t="n"/>
      <c r="B766" s="290" t="n"/>
      <c r="C766" s="290" t="n"/>
      <c r="D766" s="291" t="n"/>
      <c r="E766" s="290" t="n"/>
      <c r="F766" s="290" t="n"/>
    </row>
    <row r="767" ht="13" customHeight="1" s="189">
      <c r="A767" s="289" t="n"/>
      <c r="B767" s="290" t="n"/>
      <c r="C767" s="290" t="n"/>
      <c r="D767" s="291" t="n"/>
      <c r="E767" s="290" t="n"/>
      <c r="F767" s="290" t="n"/>
    </row>
    <row r="768" ht="13" customHeight="1" s="189">
      <c r="A768" s="289" t="n"/>
      <c r="B768" s="290" t="n"/>
      <c r="C768" s="290" t="n"/>
      <c r="D768" s="291" t="n"/>
      <c r="E768" s="290" t="n"/>
      <c r="F768" s="290" t="n"/>
    </row>
    <row r="769" ht="13" customHeight="1" s="189">
      <c r="A769" s="289" t="n"/>
      <c r="B769" s="290" t="n"/>
      <c r="C769" s="290" t="n"/>
      <c r="D769" s="291" t="n"/>
      <c r="E769" s="290" t="n"/>
      <c r="F769" s="290" t="n"/>
    </row>
    <row r="770" ht="13" customHeight="1" s="189">
      <c r="A770" s="289" t="n"/>
      <c r="B770" s="290" t="n"/>
      <c r="C770" s="290" t="n"/>
      <c r="D770" s="291" t="n"/>
      <c r="E770" s="290" t="n"/>
      <c r="F770" s="290" t="n"/>
    </row>
    <row r="771" ht="13" customHeight="1" s="189">
      <c r="A771" s="289" t="n"/>
      <c r="B771" s="290" t="n"/>
      <c r="C771" s="290" t="n"/>
      <c r="D771" s="291" t="n"/>
      <c r="E771" s="290" t="n"/>
      <c r="F771" s="290" t="n"/>
    </row>
    <row r="772" ht="13" customHeight="1" s="189">
      <c r="A772" s="289" t="n"/>
      <c r="B772" s="290" t="n"/>
      <c r="C772" s="290" t="n"/>
      <c r="D772" s="291" t="n"/>
      <c r="E772" s="290" t="n"/>
      <c r="F772" s="290" t="n"/>
    </row>
    <row r="773" ht="13" customHeight="1" s="189">
      <c r="A773" s="289" t="n"/>
      <c r="B773" s="290" t="n"/>
      <c r="C773" s="290" t="n"/>
      <c r="D773" s="291" t="n"/>
      <c r="E773" s="290" t="n"/>
      <c r="F773" s="290" t="n"/>
    </row>
    <row r="774" ht="13" customHeight="1" s="189">
      <c r="A774" s="289" t="n"/>
      <c r="B774" s="290" t="n"/>
      <c r="C774" s="290" t="n"/>
      <c r="D774" s="291" t="n"/>
      <c r="E774" s="290" t="n"/>
      <c r="F774" s="290" t="n"/>
    </row>
    <row r="775" ht="13" customHeight="1" s="189">
      <c r="A775" s="289" t="n"/>
      <c r="B775" s="290" t="n"/>
      <c r="C775" s="290" t="n"/>
      <c r="D775" s="291" t="n"/>
      <c r="E775" s="290" t="n"/>
      <c r="F775" s="290" t="n"/>
    </row>
    <row r="776" ht="13" customHeight="1" s="189">
      <c r="A776" s="289" t="n"/>
      <c r="B776" s="290" t="n"/>
      <c r="C776" s="290" t="n"/>
      <c r="D776" s="291" t="n"/>
      <c r="E776" s="290" t="n"/>
      <c r="F776" s="290" t="n"/>
    </row>
    <row r="777" ht="13" customHeight="1" s="189">
      <c r="A777" s="289" t="n"/>
      <c r="B777" s="290" t="n"/>
      <c r="C777" s="290" t="n"/>
      <c r="D777" s="291" t="n"/>
      <c r="E777" s="290" t="n"/>
      <c r="F777" s="290" t="n"/>
    </row>
    <row r="778" ht="13" customHeight="1" s="189">
      <c r="A778" s="289" t="n"/>
      <c r="B778" s="290" t="n"/>
      <c r="C778" s="290" t="n"/>
      <c r="D778" s="291" t="n"/>
      <c r="E778" s="290" t="n"/>
      <c r="F778" s="290" t="n"/>
    </row>
    <row r="779" ht="13" customHeight="1" s="189">
      <c r="A779" s="289" t="n"/>
      <c r="B779" s="290" t="n"/>
      <c r="C779" s="290" t="n"/>
      <c r="D779" s="291" t="n"/>
      <c r="E779" s="290" t="n"/>
      <c r="F779" s="290" t="n"/>
    </row>
    <row r="780" ht="13" customHeight="1" s="189">
      <c r="A780" s="289" t="n"/>
      <c r="B780" s="290" t="n"/>
      <c r="C780" s="290" t="n"/>
      <c r="D780" s="291" t="n"/>
      <c r="E780" s="290" t="n"/>
      <c r="F780" s="290" t="n"/>
    </row>
    <row r="781" ht="13" customHeight="1" s="189">
      <c r="A781" s="289" t="n"/>
      <c r="B781" s="290" t="n"/>
      <c r="C781" s="290" t="n"/>
      <c r="D781" s="291" t="n"/>
      <c r="E781" s="290" t="n"/>
      <c r="F781" s="290" t="n"/>
    </row>
    <row r="782" ht="13" customHeight="1" s="189">
      <c r="A782" s="289" t="n"/>
      <c r="B782" s="290" t="n"/>
      <c r="C782" s="290" t="n"/>
      <c r="D782" s="291" t="n"/>
      <c r="E782" s="290" t="n"/>
      <c r="F782" s="290" t="n"/>
    </row>
    <row r="783" ht="13" customHeight="1" s="189">
      <c r="A783" s="289" t="n"/>
      <c r="B783" s="290" t="n"/>
      <c r="C783" s="290" t="n"/>
      <c r="D783" s="291" t="n"/>
      <c r="E783" s="290" t="n"/>
      <c r="F783" s="290" t="n"/>
    </row>
    <row r="784" ht="13" customHeight="1" s="189">
      <c r="A784" s="289" t="n"/>
      <c r="B784" s="290" t="n"/>
      <c r="C784" s="290" t="n"/>
      <c r="D784" s="291" t="n"/>
      <c r="E784" s="290" t="n"/>
      <c r="F784" s="290" t="n"/>
    </row>
    <row r="785" ht="13" customHeight="1" s="189">
      <c r="A785" s="289" t="n"/>
      <c r="B785" s="290" t="n"/>
      <c r="C785" s="290" t="n"/>
      <c r="D785" s="291" t="n"/>
      <c r="E785" s="290" t="n"/>
      <c r="F785" s="290" t="n"/>
    </row>
    <row r="786" ht="13" customHeight="1" s="189">
      <c r="A786" s="289" t="n"/>
      <c r="B786" s="290" t="n"/>
      <c r="C786" s="290" t="n"/>
      <c r="D786" s="291" t="n"/>
      <c r="E786" s="290" t="n"/>
      <c r="F786" s="290" t="n"/>
    </row>
    <row r="787" ht="13" customHeight="1" s="189">
      <c r="A787" s="289" t="n"/>
      <c r="B787" s="290" t="n"/>
      <c r="C787" s="290" t="n"/>
      <c r="D787" s="291" t="n"/>
      <c r="E787" s="290" t="n"/>
      <c r="F787" s="290" t="n"/>
    </row>
    <row r="788" ht="13" customHeight="1" s="189">
      <c r="A788" s="289" t="n"/>
      <c r="B788" s="290" t="n"/>
      <c r="C788" s="290" t="n"/>
      <c r="D788" s="291" t="n"/>
      <c r="E788" s="290" t="n"/>
      <c r="F788" s="290" t="n"/>
    </row>
    <row r="789" ht="13" customHeight="1" s="189">
      <c r="A789" s="289" t="n"/>
      <c r="B789" s="290" t="n"/>
      <c r="C789" s="290" t="n"/>
      <c r="D789" s="291" t="n"/>
      <c r="E789" s="290" t="n"/>
      <c r="F789" s="290" t="n"/>
    </row>
    <row r="790" ht="13" customHeight="1" s="189">
      <c r="A790" s="289" t="n"/>
      <c r="B790" s="290" t="n"/>
      <c r="C790" s="290" t="n"/>
      <c r="D790" s="291" t="n"/>
      <c r="E790" s="290" t="n"/>
      <c r="F790" s="290" t="n"/>
    </row>
    <row r="791" ht="13" customHeight="1" s="189">
      <c r="A791" s="289" t="n"/>
      <c r="B791" s="290" t="n"/>
      <c r="C791" s="290" t="n"/>
      <c r="D791" s="291" t="n"/>
      <c r="E791" s="290" t="n"/>
      <c r="F791" s="290" t="n"/>
    </row>
    <row r="792" ht="13" customHeight="1" s="189">
      <c r="A792" s="289" t="n"/>
      <c r="B792" s="290" t="n"/>
      <c r="C792" s="290" t="n"/>
      <c r="D792" s="291" t="n"/>
      <c r="E792" s="290" t="n"/>
      <c r="F792" s="290" t="n"/>
    </row>
    <row r="793" ht="13" customHeight="1" s="189">
      <c r="A793" s="289" t="n"/>
      <c r="B793" s="290" t="n"/>
      <c r="C793" s="290" t="n"/>
      <c r="D793" s="291" t="n"/>
      <c r="E793" s="290" t="n"/>
      <c r="F793" s="290" t="n"/>
    </row>
    <row r="794" ht="13" customHeight="1" s="189">
      <c r="A794" s="289" t="n"/>
      <c r="B794" s="290" t="n"/>
      <c r="C794" s="290" t="n"/>
      <c r="D794" s="291" t="n"/>
      <c r="E794" s="290" t="n"/>
      <c r="F794" s="290" t="n"/>
    </row>
    <row r="795" ht="13" customHeight="1" s="189">
      <c r="A795" s="289" t="n"/>
      <c r="B795" s="290" t="n"/>
      <c r="C795" s="290" t="n"/>
      <c r="D795" s="291" t="n"/>
      <c r="E795" s="290" t="n"/>
      <c r="F795" s="290" t="n"/>
    </row>
    <row r="796" ht="13" customHeight="1" s="189">
      <c r="A796" s="289" t="n"/>
      <c r="B796" s="290" t="n"/>
      <c r="C796" s="290" t="n"/>
      <c r="D796" s="291" t="n"/>
      <c r="E796" s="290" t="n"/>
      <c r="F796" s="290" t="n"/>
    </row>
    <row r="797" ht="13" customHeight="1" s="189">
      <c r="A797" s="289" t="n"/>
      <c r="B797" s="290" t="n"/>
      <c r="C797" s="290" t="n"/>
      <c r="D797" s="291" t="n"/>
      <c r="E797" s="290" t="n"/>
      <c r="F797" s="290" t="n"/>
    </row>
    <row r="798" ht="13" customHeight="1" s="189">
      <c r="A798" s="289" t="n"/>
      <c r="B798" s="290" t="n"/>
      <c r="C798" s="290" t="n"/>
      <c r="D798" s="291" t="n"/>
      <c r="E798" s="290" t="n"/>
      <c r="F798" s="290" t="n"/>
    </row>
    <row r="799" ht="13" customHeight="1" s="189">
      <c r="A799" s="289" t="n"/>
      <c r="B799" s="290" t="n"/>
      <c r="C799" s="290" t="n"/>
      <c r="D799" s="291" t="n"/>
      <c r="E799" s="290" t="n"/>
      <c r="F799" s="290" t="n"/>
    </row>
    <row r="800" ht="13" customHeight="1" s="189">
      <c r="A800" s="289" t="n"/>
      <c r="B800" s="290" t="n"/>
      <c r="C800" s="290" t="n"/>
      <c r="D800" s="291" t="n"/>
      <c r="E800" s="290" t="n"/>
      <c r="F800" s="290" t="n"/>
    </row>
    <row r="801" ht="13" customHeight="1" s="189">
      <c r="A801" s="289" t="n"/>
      <c r="B801" s="290" t="n"/>
      <c r="C801" s="290" t="n"/>
      <c r="D801" s="291" t="n"/>
      <c r="E801" s="290" t="n"/>
      <c r="F801" s="290" t="n"/>
    </row>
    <row r="802" ht="13" customHeight="1" s="189">
      <c r="A802" s="289" t="n"/>
      <c r="B802" s="290" t="n"/>
      <c r="C802" s="290" t="n"/>
      <c r="D802" s="291" t="n"/>
      <c r="E802" s="290" t="n"/>
      <c r="F802" s="290" t="n"/>
    </row>
    <row r="803" ht="13" customHeight="1" s="189">
      <c r="A803" s="289" t="n"/>
      <c r="B803" s="290" t="n"/>
      <c r="C803" s="290" t="n"/>
      <c r="D803" s="291" t="n"/>
      <c r="E803" s="290" t="n"/>
      <c r="F803" s="290" t="n"/>
    </row>
    <row r="804" ht="13" customHeight="1" s="189">
      <c r="A804" s="289" t="n"/>
      <c r="B804" s="290" t="n"/>
      <c r="C804" s="290" t="n"/>
      <c r="D804" s="291" t="n"/>
      <c r="E804" s="290" t="n"/>
      <c r="F804" s="290" t="n"/>
    </row>
    <row r="805" ht="13" customHeight="1" s="189">
      <c r="A805" s="289" t="n"/>
      <c r="B805" s="290" t="n"/>
      <c r="C805" s="290" t="n"/>
      <c r="D805" s="291" t="n"/>
      <c r="E805" s="290" t="n"/>
      <c r="F805" s="290" t="n"/>
    </row>
    <row r="806" ht="13" customHeight="1" s="189">
      <c r="A806" s="289" t="n"/>
      <c r="B806" s="290" t="n"/>
      <c r="C806" s="290" t="n"/>
      <c r="D806" s="291" t="n"/>
      <c r="E806" s="290" t="n"/>
      <c r="F806" s="290" t="n"/>
    </row>
    <row r="807" ht="13" customHeight="1" s="189">
      <c r="A807" s="289" t="n"/>
      <c r="B807" s="290" t="n"/>
      <c r="C807" s="290" t="n"/>
      <c r="D807" s="291" t="n"/>
      <c r="E807" s="290" t="n"/>
      <c r="F807" s="290" t="n"/>
    </row>
    <row r="808" ht="13" customHeight="1" s="189">
      <c r="A808" s="289" t="n"/>
      <c r="B808" s="290" t="n"/>
      <c r="C808" s="290" t="n"/>
      <c r="D808" s="291" t="n"/>
      <c r="E808" s="290" t="n"/>
      <c r="F808" s="290" t="n"/>
    </row>
    <row r="809" ht="13" customHeight="1" s="189">
      <c r="A809" s="289" t="n"/>
      <c r="B809" s="290" t="n"/>
      <c r="C809" s="290" t="n"/>
      <c r="D809" s="291" t="n"/>
      <c r="E809" s="290" t="n"/>
      <c r="F809" s="290" t="n"/>
    </row>
    <row r="810" ht="13" customHeight="1" s="189">
      <c r="A810" s="289" t="n"/>
      <c r="B810" s="290" t="n"/>
      <c r="C810" s="290" t="n"/>
      <c r="D810" s="291" t="n"/>
      <c r="E810" s="290" t="n"/>
      <c r="F810" s="290" t="n"/>
    </row>
    <row r="811" ht="13" customHeight="1" s="189">
      <c r="A811" s="289" t="n"/>
      <c r="B811" s="290" t="n"/>
      <c r="C811" s="290" t="n"/>
      <c r="D811" s="291" t="n"/>
      <c r="E811" s="290" t="n"/>
      <c r="F811" s="290" t="n"/>
    </row>
    <row r="812" ht="13" customHeight="1" s="189">
      <c r="A812" s="289" t="n"/>
      <c r="B812" s="290" t="n"/>
      <c r="C812" s="290" t="n"/>
      <c r="D812" s="291" t="n"/>
      <c r="E812" s="290" t="n"/>
      <c r="F812" s="290" t="n"/>
    </row>
    <row r="813" ht="13" customHeight="1" s="189">
      <c r="A813" s="289" t="n"/>
      <c r="B813" s="290" t="n"/>
      <c r="C813" s="290" t="n"/>
      <c r="D813" s="291" t="n"/>
      <c r="E813" s="290" t="n"/>
      <c r="F813" s="290" t="n"/>
    </row>
    <row r="814" ht="13" customHeight="1" s="189">
      <c r="A814" s="289" t="n"/>
      <c r="B814" s="290" t="n"/>
      <c r="C814" s="290" t="n"/>
      <c r="D814" s="291" t="n"/>
      <c r="E814" s="290" t="n"/>
      <c r="F814" s="290" t="n"/>
    </row>
    <row r="815" ht="13" customHeight="1" s="189">
      <c r="A815" s="289" t="n"/>
      <c r="B815" s="290" t="n"/>
      <c r="C815" s="290" t="n"/>
      <c r="D815" s="291" t="n"/>
      <c r="E815" s="290" t="n"/>
      <c r="F815" s="290" t="n"/>
    </row>
    <row r="816" ht="13" customHeight="1" s="189">
      <c r="A816" s="289" t="n"/>
      <c r="B816" s="290" t="n"/>
      <c r="C816" s="290" t="n"/>
      <c r="D816" s="291" t="n"/>
      <c r="E816" s="290" t="n"/>
      <c r="F816" s="290" t="n"/>
    </row>
    <row r="817" ht="13" customHeight="1" s="189">
      <c r="A817" s="289" t="n"/>
      <c r="B817" s="290" t="n"/>
      <c r="C817" s="290" t="n"/>
      <c r="D817" s="291" t="n"/>
      <c r="E817" s="290" t="n"/>
      <c r="F817" s="290" t="n"/>
    </row>
    <row r="818" ht="13" customHeight="1" s="189">
      <c r="A818" s="289" t="n"/>
      <c r="B818" s="290" t="n"/>
      <c r="C818" s="290" t="n"/>
      <c r="D818" s="291" t="n"/>
      <c r="E818" s="290" t="n"/>
      <c r="F818" s="290" t="n"/>
    </row>
    <row r="819" ht="13" customHeight="1" s="189">
      <c r="A819" s="289" t="n"/>
      <c r="B819" s="290" t="n"/>
      <c r="C819" s="290" t="n"/>
      <c r="D819" s="291" t="n"/>
      <c r="E819" s="290" t="n"/>
      <c r="F819" s="290" t="n"/>
    </row>
    <row r="820" ht="13" customHeight="1" s="189">
      <c r="A820" s="289" t="n"/>
      <c r="B820" s="290" t="n"/>
      <c r="C820" s="290" t="n"/>
      <c r="D820" s="291" t="n"/>
      <c r="E820" s="290" t="n"/>
      <c r="F820" s="290" t="n"/>
    </row>
    <row r="821" ht="13" customHeight="1" s="189">
      <c r="A821" s="289" t="n"/>
      <c r="B821" s="290" t="n"/>
      <c r="C821" s="290" t="n"/>
      <c r="D821" s="291" t="n"/>
      <c r="E821" s="290" t="n"/>
      <c r="F821" s="290" t="n"/>
    </row>
    <row r="822" ht="13" customHeight="1" s="189">
      <c r="A822" s="289" t="n"/>
      <c r="B822" s="290" t="n"/>
      <c r="C822" s="290" t="n"/>
      <c r="D822" s="291" t="n"/>
      <c r="E822" s="290" t="n"/>
      <c r="F822" s="290" t="n"/>
    </row>
    <row r="823" ht="13" customHeight="1" s="189">
      <c r="A823" s="289" t="n"/>
      <c r="B823" s="290" t="n"/>
      <c r="C823" s="290" t="n"/>
      <c r="D823" s="291" t="n"/>
      <c r="E823" s="290" t="n"/>
      <c r="F823" s="290" t="n"/>
    </row>
    <row r="824" ht="13" customHeight="1" s="189">
      <c r="A824" s="289" t="n"/>
      <c r="B824" s="290" t="n"/>
      <c r="C824" s="290" t="n"/>
      <c r="D824" s="291" t="n"/>
      <c r="E824" s="290" t="n"/>
      <c r="F824" s="290" t="n"/>
    </row>
    <row r="825" ht="13" customHeight="1" s="189">
      <c r="A825" s="289" t="n"/>
      <c r="B825" s="290" t="n"/>
      <c r="C825" s="290" t="n"/>
      <c r="D825" s="291" t="n"/>
      <c r="E825" s="290" t="n"/>
      <c r="F825" s="290" t="n"/>
    </row>
    <row r="826" ht="13" customHeight="1" s="189">
      <c r="A826" s="289" t="n"/>
      <c r="B826" s="290" t="n"/>
      <c r="C826" s="290" t="n"/>
      <c r="D826" s="291" t="n"/>
      <c r="E826" s="290" t="n"/>
      <c r="F826" s="290" t="n"/>
    </row>
    <row r="827" ht="13" customHeight="1" s="189">
      <c r="A827" s="289" t="n"/>
      <c r="B827" s="290" t="n"/>
      <c r="C827" s="290" t="n"/>
      <c r="D827" s="291" t="n"/>
      <c r="E827" s="290" t="n"/>
      <c r="F827" s="290" t="n"/>
    </row>
    <row r="828" ht="13" customHeight="1" s="189">
      <c r="A828" s="289" t="n"/>
      <c r="B828" s="290" t="n"/>
      <c r="C828" s="290" t="n"/>
      <c r="D828" s="291" t="n"/>
      <c r="E828" s="290" t="n"/>
      <c r="F828" s="290" t="n"/>
    </row>
    <row r="829" ht="13" customHeight="1" s="189">
      <c r="A829" s="289" t="n"/>
      <c r="B829" s="290" t="n"/>
      <c r="C829" s="290" t="n"/>
      <c r="D829" s="291" t="n"/>
      <c r="E829" s="290" t="n"/>
      <c r="F829" s="290" t="n"/>
    </row>
    <row r="830" ht="13" customHeight="1" s="189">
      <c r="A830" s="289" t="n"/>
      <c r="B830" s="290" t="n"/>
      <c r="C830" s="290" t="n"/>
      <c r="D830" s="291" t="n"/>
      <c r="E830" s="290" t="n"/>
      <c r="F830" s="290" t="n"/>
    </row>
    <row r="831" ht="13" customHeight="1" s="189">
      <c r="A831" s="289" t="n"/>
      <c r="B831" s="290" t="n"/>
      <c r="C831" s="290" t="n"/>
      <c r="D831" s="291" t="n"/>
      <c r="E831" s="290" t="n"/>
      <c r="F831" s="290" t="n"/>
    </row>
    <row r="832" ht="13" customHeight="1" s="189">
      <c r="A832" s="289" t="n"/>
      <c r="B832" s="290" t="n"/>
      <c r="C832" s="290" t="n"/>
      <c r="D832" s="291" t="n"/>
      <c r="E832" s="290" t="n"/>
      <c r="F832" s="290" t="n"/>
    </row>
    <row r="833" ht="13" customHeight="1" s="189">
      <c r="A833" s="289" t="n"/>
      <c r="B833" s="290" t="n"/>
      <c r="C833" s="290" t="n"/>
      <c r="D833" s="291" t="n"/>
      <c r="E833" s="290" t="n"/>
      <c r="F833" s="290" t="n"/>
    </row>
    <row r="834" ht="13" customHeight="1" s="189">
      <c r="A834" s="289" t="n"/>
      <c r="B834" s="290" t="n"/>
      <c r="C834" s="290" t="n"/>
      <c r="D834" s="291" t="n"/>
      <c r="E834" s="290" t="n"/>
      <c r="F834" s="290" t="n"/>
    </row>
    <row r="835" ht="13" customHeight="1" s="189">
      <c r="A835" s="289" t="n"/>
      <c r="B835" s="290" t="n"/>
      <c r="C835" s="290" t="n"/>
      <c r="D835" s="291" t="n"/>
      <c r="E835" s="290" t="n"/>
      <c r="F835" s="290" t="n"/>
    </row>
    <row r="836" ht="13" customHeight="1" s="189">
      <c r="A836" s="289" t="n"/>
      <c r="B836" s="290" t="n"/>
      <c r="C836" s="290" t="n"/>
      <c r="D836" s="291" t="n"/>
      <c r="E836" s="290" t="n"/>
      <c r="F836" s="290" t="n"/>
    </row>
    <row r="837" ht="13" customHeight="1" s="189">
      <c r="A837" s="289" t="n"/>
      <c r="B837" s="290" t="n"/>
      <c r="C837" s="290" t="n"/>
      <c r="D837" s="291" t="n"/>
      <c r="E837" s="290" t="n"/>
      <c r="F837" s="290" t="n"/>
    </row>
    <row r="838" ht="13" customHeight="1" s="189">
      <c r="A838" s="289" t="n"/>
      <c r="B838" s="290" t="n"/>
      <c r="C838" s="290" t="n"/>
      <c r="D838" s="291" t="n"/>
      <c r="E838" s="290" t="n"/>
      <c r="F838" s="290" t="n"/>
    </row>
    <row r="839" ht="13" customHeight="1" s="189">
      <c r="A839" s="289" t="n"/>
      <c r="B839" s="290" t="n"/>
      <c r="C839" s="290" t="n"/>
      <c r="D839" s="291" t="n"/>
      <c r="E839" s="290" t="n"/>
      <c r="F839" s="290" t="n"/>
    </row>
    <row r="840" ht="13" customHeight="1" s="189">
      <c r="A840" s="289" t="n"/>
      <c r="B840" s="290" t="n"/>
      <c r="C840" s="290" t="n"/>
      <c r="D840" s="291" t="n"/>
      <c r="E840" s="290" t="n"/>
      <c r="F840" s="290" t="n"/>
    </row>
    <row r="841" ht="13" customHeight="1" s="189">
      <c r="A841" s="289" t="n"/>
      <c r="B841" s="290" t="n"/>
      <c r="C841" s="290" t="n"/>
      <c r="D841" s="291" t="n"/>
      <c r="E841" s="290" t="n"/>
      <c r="F841" s="290" t="n"/>
    </row>
    <row r="842" ht="13" customHeight="1" s="189">
      <c r="A842" s="289" t="n"/>
      <c r="B842" s="290" t="n"/>
      <c r="C842" s="290" t="n"/>
      <c r="D842" s="291" t="n"/>
      <c r="E842" s="290" t="n"/>
      <c r="F842" s="290" t="n"/>
    </row>
    <row r="843" ht="13" customHeight="1" s="189">
      <c r="A843" s="289" t="n"/>
      <c r="B843" s="290" t="n"/>
      <c r="C843" s="290" t="n"/>
      <c r="D843" s="291" t="n"/>
      <c r="E843" s="290" t="n"/>
      <c r="F843" s="290" t="n"/>
    </row>
    <row r="844" ht="13" customHeight="1" s="189">
      <c r="A844" s="289" t="n"/>
      <c r="B844" s="290" t="n"/>
      <c r="C844" s="290" t="n"/>
      <c r="D844" s="291" t="n"/>
      <c r="E844" s="290" t="n"/>
      <c r="F844" s="290" t="n"/>
    </row>
    <row r="845" ht="13" customHeight="1" s="189">
      <c r="A845" s="289" t="n"/>
      <c r="B845" s="290" t="n"/>
      <c r="C845" s="290" t="n"/>
      <c r="D845" s="291" t="n"/>
      <c r="E845" s="290" t="n"/>
      <c r="F845" s="290" t="n"/>
    </row>
    <row r="846" ht="13" customHeight="1" s="189">
      <c r="A846" s="289" t="n"/>
      <c r="B846" s="290" t="n"/>
      <c r="C846" s="290" t="n"/>
      <c r="D846" s="291" t="n"/>
      <c r="E846" s="290" t="n"/>
      <c r="F846" s="290" t="n"/>
    </row>
    <row r="847" ht="13" customHeight="1" s="189">
      <c r="A847" s="289" t="n"/>
      <c r="B847" s="290" t="n"/>
      <c r="C847" s="290" t="n"/>
      <c r="D847" s="291" t="n"/>
      <c r="E847" s="290" t="n"/>
      <c r="F847" s="290" t="n"/>
    </row>
    <row r="848" ht="13" customHeight="1" s="189">
      <c r="A848" s="289" t="n"/>
      <c r="B848" s="290" t="n"/>
      <c r="C848" s="290" t="n"/>
      <c r="D848" s="291" t="n"/>
      <c r="E848" s="290" t="n"/>
      <c r="F848" s="290" t="n"/>
    </row>
    <row r="849" ht="13" customHeight="1" s="189">
      <c r="A849" s="289" t="n"/>
      <c r="B849" s="290" t="n"/>
      <c r="C849" s="290" t="n"/>
      <c r="D849" s="291" t="n"/>
      <c r="E849" s="290" t="n"/>
      <c r="F849" s="290" t="n"/>
    </row>
    <row r="850" ht="13" customHeight="1" s="189">
      <c r="A850" s="289" t="n"/>
      <c r="B850" s="290" t="n"/>
      <c r="C850" s="290" t="n"/>
      <c r="D850" s="291" t="n"/>
      <c r="E850" s="290" t="n"/>
      <c r="F850" s="290" t="n"/>
    </row>
    <row r="851" ht="13" customHeight="1" s="189">
      <c r="A851" s="289" t="n"/>
      <c r="B851" s="290" t="n"/>
      <c r="C851" s="290" t="n"/>
      <c r="D851" s="291" t="n"/>
      <c r="E851" s="290" t="n"/>
      <c r="F851" s="290" t="n"/>
    </row>
    <row r="852" ht="13" customHeight="1" s="189">
      <c r="A852" s="289" t="n"/>
      <c r="B852" s="290" t="n"/>
      <c r="C852" s="290" t="n"/>
      <c r="D852" s="291" t="n"/>
      <c r="E852" s="290" t="n"/>
      <c r="F852" s="290" t="n"/>
    </row>
    <row r="853" ht="13" customHeight="1" s="189">
      <c r="A853" s="289" t="n"/>
      <c r="B853" s="290" t="n"/>
      <c r="C853" s="290" t="n"/>
      <c r="D853" s="291" t="n"/>
      <c r="E853" s="290" t="n"/>
      <c r="F853" s="290" t="n"/>
    </row>
    <row r="854" ht="13" customHeight="1" s="189">
      <c r="A854" s="289" t="n"/>
      <c r="B854" s="290" t="n"/>
      <c r="C854" s="290" t="n"/>
      <c r="D854" s="291" t="n"/>
      <c r="E854" s="290" t="n"/>
      <c r="F854" s="290" t="n"/>
    </row>
    <row r="855" ht="13" customHeight="1" s="189">
      <c r="A855" s="289" t="n"/>
      <c r="B855" s="290" t="n"/>
      <c r="C855" s="290" t="n"/>
      <c r="D855" s="291" t="n"/>
      <c r="E855" s="290" t="n"/>
      <c r="F855" s="290" t="n"/>
    </row>
    <row r="856" ht="13" customHeight="1" s="189">
      <c r="A856" s="289" t="n"/>
      <c r="B856" s="290" t="n"/>
      <c r="C856" s="290" t="n"/>
      <c r="D856" s="291" t="n"/>
      <c r="E856" s="290" t="n"/>
      <c r="F856" s="290" t="n"/>
    </row>
    <row r="857" ht="13" customHeight="1" s="189">
      <c r="A857" s="289" t="n"/>
      <c r="B857" s="290" t="n"/>
      <c r="C857" s="290" t="n"/>
      <c r="D857" s="291" t="n"/>
      <c r="E857" s="290" t="n"/>
      <c r="F857" s="290" t="n"/>
    </row>
    <row r="858" ht="13" customHeight="1" s="189">
      <c r="A858" s="289" t="n"/>
      <c r="B858" s="290" t="n"/>
      <c r="C858" s="290" t="n"/>
      <c r="D858" s="291" t="n"/>
      <c r="E858" s="290" t="n"/>
      <c r="F858" s="290" t="n"/>
    </row>
    <row r="859" ht="13" customHeight="1" s="189">
      <c r="A859" s="289" t="n"/>
      <c r="B859" s="290" t="n"/>
      <c r="C859" s="290" t="n"/>
      <c r="D859" s="291" t="n"/>
      <c r="E859" s="290" t="n"/>
      <c r="F859" s="290" t="n"/>
    </row>
    <row r="860" ht="13" customHeight="1" s="189">
      <c r="A860" s="289" t="n"/>
      <c r="B860" s="290" t="n"/>
      <c r="C860" s="290" t="n"/>
      <c r="D860" s="291" t="n"/>
      <c r="E860" s="290" t="n"/>
      <c r="F860" s="290" t="n"/>
    </row>
    <row r="861" ht="13" customHeight="1" s="189">
      <c r="A861" s="289" t="n"/>
      <c r="B861" s="290" t="n"/>
      <c r="C861" s="290" t="n"/>
      <c r="D861" s="291" t="n"/>
      <c r="E861" s="290" t="n"/>
      <c r="F861" s="290" t="n"/>
    </row>
    <row r="862" ht="13" customHeight="1" s="189">
      <c r="A862" s="289" t="n"/>
      <c r="B862" s="290" t="n"/>
      <c r="C862" s="290" t="n"/>
      <c r="D862" s="291" t="n"/>
      <c r="E862" s="290" t="n"/>
      <c r="F862" s="290" t="n"/>
    </row>
    <row r="863" ht="13" customHeight="1" s="189">
      <c r="A863" s="289" t="n"/>
      <c r="B863" s="290" t="n"/>
      <c r="C863" s="290" t="n"/>
      <c r="D863" s="291" t="n"/>
      <c r="E863" s="290" t="n"/>
      <c r="F863" s="290" t="n"/>
    </row>
    <row r="864" ht="13" customHeight="1" s="189">
      <c r="A864" s="289" t="n"/>
      <c r="B864" s="290" t="n"/>
      <c r="C864" s="290" t="n"/>
      <c r="D864" s="291" t="n"/>
      <c r="E864" s="290" t="n"/>
      <c r="F864" s="290" t="n"/>
    </row>
    <row r="865" ht="13" customHeight="1" s="189">
      <c r="A865" s="289" t="n"/>
      <c r="B865" s="290" t="n"/>
      <c r="C865" s="290" t="n"/>
      <c r="D865" s="291" t="n"/>
      <c r="E865" s="290" t="n"/>
      <c r="F865" s="290" t="n"/>
    </row>
    <row r="866" ht="13" customHeight="1" s="189">
      <c r="A866" s="289" t="n"/>
      <c r="B866" s="290" t="n"/>
      <c r="C866" s="290" t="n"/>
      <c r="D866" s="291" t="n"/>
      <c r="E866" s="290" t="n"/>
      <c r="F866" s="290" t="n"/>
    </row>
    <row r="867" ht="13" customHeight="1" s="189">
      <c r="A867" s="289" t="n"/>
      <c r="B867" s="290" t="n"/>
      <c r="C867" s="290" t="n"/>
      <c r="D867" s="291" t="n"/>
      <c r="E867" s="290" t="n"/>
      <c r="F867" s="290" t="n"/>
    </row>
    <row r="868" ht="13" customHeight="1" s="189">
      <c r="A868" s="289" t="n"/>
      <c r="B868" s="290" t="n"/>
      <c r="C868" s="290" t="n"/>
      <c r="D868" s="291" t="n"/>
      <c r="E868" s="290" t="n"/>
      <c r="F868" s="290" t="n"/>
    </row>
    <row r="869" ht="13" customHeight="1" s="189">
      <c r="A869" s="289" t="n"/>
      <c r="B869" s="290" t="n"/>
      <c r="C869" s="290" t="n"/>
      <c r="D869" s="291" t="n"/>
      <c r="E869" s="290" t="n"/>
      <c r="F869" s="290" t="n"/>
    </row>
    <row r="870" ht="13" customHeight="1" s="189">
      <c r="A870" s="289" t="n"/>
      <c r="B870" s="290" t="n"/>
      <c r="C870" s="290" t="n"/>
      <c r="D870" s="291" t="n"/>
      <c r="E870" s="290" t="n"/>
      <c r="F870" s="290" t="n"/>
    </row>
    <row r="871" ht="13" customHeight="1" s="189">
      <c r="A871" s="289" t="n"/>
      <c r="B871" s="290" t="n"/>
      <c r="C871" s="290" t="n"/>
      <c r="D871" s="291" t="n"/>
      <c r="E871" s="290" t="n"/>
      <c r="F871" s="290" t="n"/>
    </row>
    <row r="872" ht="13" customHeight="1" s="189">
      <c r="A872" s="289" t="n"/>
      <c r="B872" s="290" t="n"/>
      <c r="C872" s="290" t="n"/>
      <c r="D872" s="291" t="n"/>
      <c r="E872" s="290" t="n"/>
      <c r="F872" s="290" t="n"/>
    </row>
    <row r="873" ht="13" customHeight="1" s="189">
      <c r="A873" s="289" t="n"/>
      <c r="B873" s="290" t="n"/>
      <c r="C873" s="290" t="n"/>
      <c r="D873" s="291" t="n"/>
      <c r="E873" s="290" t="n"/>
      <c r="F873" s="290" t="n"/>
    </row>
    <row r="874" ht="13" customHeight="1" s="189">
      <c r="A874" s="289" t="n"/>
      <c r="B874" s="290" t="n"/>
      <c r="C874" s="290" t="n"/>
      <c r="D874" s="291" t="n"/>
      <c r="E874" s="290" t="n"/>
      <c r="F874" s="290" t="n"/>
    </row>
    <row r="875" ht="13" customHeight="1" s="189">
      <c r="A875" s="289" t="n"/>
      <c r="B875" s="290" t="n"/>
      <c r="C875" s="290" t="n"/>
      <c r="D875" s="291" t="n"/>
      <c r="E875" s="290" t="n"/>
      <c r="F875" s="290" t="n"/>
    </row>
    <row r="876" ht="13" customHeight="1" s="189">
      <c r="A876" s="289" t="n"/>
      <c r="B876" s="290" t="n"/>
      <c r="C876" s="290" t="n"/>
      <c r="D876" s="291" t="n"/>
      <c r="E876" s="290" t="n"/>
      <c r="F876" s="290" t="n"/>
    </row>
    <row r="877" ht="13" customHeight="1" s="189">
      <c r="A877" s="289" t="n"/>
      <c r="B877" s="290" t="n"/>
      <c r="C877" s="290" t="n"/>
      <c r="D877" s="291" t="n"/>
      <c r="E877" s="290" t="n"/>
      <c r="F877" s="290" t="n"/>
    </row>
    <row r="878" ht="13" customHeight="1" s="189">
      <c r="A878" s="289" t="n"/>
      <c r="B878" s="290" t="n"/>
      <c r="C878" s="290" t="n"/>
      <c r="D878" s="291" t="n"/>
      <c r="E878" s="290" t="n"/>
      <c r="F878" s="290" t="n"/>
    </row>
    <row r="879" ht="13" customHeight="1" s="189">
      <c r="A879" s="289" t="n"/>
      <c r="B879" s="290" t="n"/>
      <c r="C879" s="290" t="n"/>
      <c r="D879" s="291" t="n"/>
      <c r="E879" s="290" t="n"/>
      <c r="F879" s="290" t="n"/>
    </row>
    <row r="880" ht="13" customHeight="1" s="189">
      <c r="A880" s="289" t="n"/>
      <c r="B880" s="290" t="n"/>
      <c r="C880" s="290" t="n"/>
      <c r="D880" s="291" t="n"/>
      <c r="E880" s="290" t="n"/>
      <c r="F880" s="290" t="n"/>
    </row>
    <row r="881" ht="13" customHeight="1" s="189">
      <c r="A881" s="289" t="n"/>
      <c r="B881" s="290" t="n"/>
      <c r="C881" s="290" t="n"/>
      <c r="D881" s="291" t="n"/>
      <c r="E881" s="290" t="n"/>
      <c r="F881" s="290" t="n"/>
    </row>
    <row r="882" ht="13" customHeight="1" s="189">
      <c r="A882" s="289" t="n"/>
      <c r="B882" s="290" t="n"/>
      <c r="C882" s="290" t="n"/>
      <c r="D882" s="291" t="n"/>
      <c r="E882" s="290" t="n"/>
      <c r="F882" s="290" t="n"/>
    </row>
    <row r="883" ht="13" customHeight="1" s="189">
      <c r="A883" s="289" t="n"/>
      <c r="B883" s="290" t="n"/>
      <c r="C883" s="290" t="n"/>
      <c r="D883" s="291" t="n"/>
      <c r="E883" s="290" t="n"/>
      <c r="F883" s="290" t="n"/>
    </row>
    <row r="884" ht="13" customHeight="1" s="189">
      <c r="A884" s="289" t="n"/>
      <c r="B884" s="290" t="n"/>
      <c r="C884" s="290" t="n"/>
      <c r="D884" s="291" t="n"/>
      <c r="E884" s="290" t="n"/>
      <c r="F884" s="290" t="n"/>
    </row>
    <row r="885" ht="13" customHeight="1" s="189">
      <c r="A885" s="289" t="n"/>
      <c r="B885" s="290" t="n"/>
      <c r="C885" s="290" t="n"/>
      <c r="D885" s="291" t="n"/>
      <c r="E885" s="290" t="n"/>
      <c r="F885" s="290" t="n"/>
    </row>
    <row r="886" ht="13" customHeight="1" s="189">
      <c r="A886" s="289" t="n"/>
      <c r="B886" s="290" t="n"/>
      <c r="C886" s="290" t="n"/>
      <c r="D886" s="291" t="n"/>
      <c r="E886" s="290" t="n"/>
      <c r="F886" s="290" t="n"/>
    </row>
    <row r="887" ht="13" customHeight="1" s="189">
      <c r="A887" s="289" t="n"/>
      <c r="B887" s="290" t="n"/>
      <c r="C887" s="290" t="n"/>
      <c r="D887" s="291" t="n"/>
      <c r="E887" s="290" t="n"/>
      <c r="F887" s="290" t="n"/>
    </row>
    <row r="888" ht="13" customHeight="1" s="189">
      <c r="A888" s="289" t="n"/>
      <c r="B888" s="290" t="n"/>
      <c r="C888" s="290" t="n"/>
      <c r="D888" s="291" t="n"/>
      <c r="E888" s="290" t="n"/>
      <c r="F888" s="290" t="n"/>
    </row>
    <row r="889" ht="13" customHeight="1" s="189">
      <c r="A889" s="289" t="n"/>
      <c r="B889" s="290" t="n"/>
      <c r="C889" s="290" t="n"/>
      <c r="D889" s="291" t="n"/>
      <c r="E889" s="290" t="n"/>
      <c r="F889" s="290" t="n"/>
    </row>
    <row r="890" ht="13" customHeight="1" s="189">
      <c r="A890" s="289" t="n"/>
      <c r="B890" s="290" t="n"/>
      <c r="C890" s="290" t="n"/>
      <c r="D890" s="291" t="n"/>
      <c r="E890" s="290" t="n"/>
      <c r="F890" s="290" t="n"/>
    </row>
    <row r="891" ht="13" customHeight="1" s="189">
      <c r="A891" s="289" t="n"/>
      <c r="B891" s="290" t="n"/>
      <c r="C891" s="290" t="n"/>
      <c r="D891" s="291" t="n"/>
      <c r="E891" s="290" t="n"/>
      <c r="F891" s="290" t="n"/>
    </row>
    <row r="892" ht="13" customHeight="1" s="189">
      <c r="A892" s="289" t="n"/>
      <c r="B892" s="290" t="n"/>
      <c r="C892" s="290" t="n"/>
      <c r="D892" s="291" t="n"/>
      <c r="E892" s="290" t="n"/>
      <c r="F892" s="290" t="n"/>
    </row>
    <row r="893" ht="13" customHeight="1" s="189">
      <c r="A893" s="289" t="n"/>
      <c r="B893" s="290" t="n"/>
      <c r="C893" s="290" t="n"/>
      <c r="D893" s="291" t="n"/>
      <c r="E893" s="290" t="n"/>
      <c r="F893" s="290" t="n"/>
    </row>
    <row r="894" ht="13" customHeight="1" s="189">
      <c r="A894" s="289" t="n"/>
      <c r="B894" s="290" t="n"/>
      <c r="C894" s="290" t="n"/>
      <c r="D894" s="291" t="n"/>
      <c r="E894" s="290" t="n"/>
      <c r="F894" s="290" t="n"/>
    </row>
    <row r="895" ht="13" customHeight="1" s="189">
      <c r="A895" s="289" t="n"/>
      <c r="B895" s="290" t="n"/>
      <c r="C895" s="290" t="n"/>
      <c r="D895" s="291" t="n"/>
      <c r="E895" s="290" t="n"/>
      <c r="F895" s="290" t="n"/>
    </row>
    <row r="896" ht="13" customHeight="1" s="189">
      <c r="A896" s="289" t="n"/>
      <c r="B896" s="290" t="n"/>
      <c r="C896" s="290" t="n"/>
      <c r="D896" s="291" t="n"/>
      <c r="E896" s="290" t="n"/>
      <c r="F896" s="290" t="n"/>
    </row>
    <row r="897" ht="13" customHeight="1" s="189">
      <c r="A897" s="289" t="n"/>
      <c r="B897" s="290" t="n"/>
      <c r="C897" s="290" t="n"/>
      <c r="D897" s="291" t="n"/>
      <c r="E897" s="290" t="n"/>
      <c r="F897" s="290" t="n"/>
    </row>
    <row r="898" ht="13" customHeight="1" s="189">
      <c r="A898" s="289" t="n"/>
      <c r="B898" s="290" t="n"/>
      <c r="C898" s="290" t="n"/>
      <c r="D898" s="291" t="n"/>
      <c r="E898" s="290" t="n"/>
      <c r="F898" s="290" t="n"/>
    </row>
    <row r="899" ht="13" customHeight="1" s="189">
      <c r="A899" s="289" t="n"/>
      <c r="B899" s="290" t="n"/>
      <c r="C899" s="290" t="n"/>
      <c r="D899" s="291" t="n"/>
      <c r="E899" s="290" t="n"/>
      <c r="F899" s="290" t="n"/>
    </row>
    <row r="900" ht="13" customHeight="1" s="189">
      <c r="A900" s="289" t="n"/>
      <c r="B900" s="290" t="n"/>
      <c r="C900" s="290" t="n"/>
      <c r="D900" s="291" t="n"/>
      <c r="E900" s="290" t="n"/>
      <c r="F900" s="290" t="n"/>
    </row>
    <row r="901" ht="13" customHeight="1" s="189">
      <c r="A901" s="289" t="n"/>
      <c r="B901" s="290" t="n"/>
      <c r="C901" s="290" t="n"/>
      <c r="D901" s="291" t="n"/>
      <c r="E901" s="290" t="n"/>
      <c r="F901" s="290" t="n"/>
    </row>
    <row r="902" ht="13" customHeight="1" s="189">
      <c r="A902" s="289" t="n"/>
      <c r="B902" s="290" t="n"/>
      <c r="C902" s="290" t="n"/>
      <c r="D902" s="291" t="n"/>
      <c r="E902" s="290" t="n"/>
      <c r="F902" s="290" t="n"/>
    </row>
    <row r="903" ht="13" customHeight="1" s="189">
      <c r="A903" s="289" t="n"/>
      <c r="B903" s="290" t="n"/>
      <c r="C903" s="290" t="n"/>
      <c r="D903" s="291" t="n"/>
      <c r="E903" s="290" t="n"/>
      <c r="F903" s="290" t="n"/>
    </row>
    <row r="904" ht="13" customHeight="1" s="189">
      <c r="A904" s="289" t="n"/>
      <c r="B904" s="290" t="n"/>
      <c r="C904" s="290" t="n"/>
      <c r="D904" s="291" t="n"/>
      <c r="E904" s="290" t="n"/>
      <c r="F904" s="290" t="n"/>
    </row>
    <row r="905" ht="13" customHeight="1" s="189">
      <c r="A905" s="289" t="n"/>
      <c r="B905" s="290" t="n"/>
      <c r="C905" s="290" t="n"/>
      <c r="D905" s="291" t="n"/>
      <c r="E905" s="290" t="n"/>
      <c r="F905" s="290" t="n"/>
    </row>
    <row r="906" ht="13" customHeight="1" s="189">
      <c r="A906" s="289" t="n"/>
      <c r="B906" s="290" t="n"/>
      <c r="C906" s="290" t="n"/>
      <c r="D906" s="291" t="n"/>
      <c r="E906" s="290" t="n"/>
      <c r="F906" s="290" t="n"/>
    </row>
    <row r="907" ht="13" customHeight="1" s="189">
      <c r="A907" s="289" t="n"/>
      <c r="B907" s="290" t="n"/>
      <c r="C907" s="290" t="n"/>
      <c r="D907" s="291" t="n"/>
      <c r="E907" s="290" t="n"/>
      <c r="F907" s="290" t="n"/>
    </row>
    <row r="908" ht="13" customHeight="1" s="189">
      <c r="A908" s="289" t="n"/>
      <c r="B908" s="290" t="n"/>
      <c r="C908" s="290" t="n"/>
      <c r="D908" s="291" t="n"/>
      <c r="E908" s="290" t="n"/>
      <c r="F908" s="290" t="n"/>
    </row>
    <row r="909" ht="13" customHeight="1" s="189">
      <c r="A909" s="289" t="n"/>
      <c r="B909" s="290" t="n"/>
      <c r="C909" s="290" t="n"/>
      <c r="D909" s="291" t="n"/>
      <c r="E909" s="290" t="n"/>
      <c r="F909" s="290" t="n"/>
    </row>
    <row r="910" ht="13" customHeight="1" s="189">
      <c r="A910" s="289" t="n"/>
      <c r="B910" s="290" t="n"/>
      <c r="C910" s="290" t="n"/>
      <c r="D910" s="291" t="n"/>
      <c r="E910" s="290" t="n"/>
      <c r="F910" s="290" t="n"/>
    </row>
    <row r="911" ht="13" customHeight="1" s="189">
      <c r="A911" s="289" t="n"/>
      <c r="B911" s="290" t="n"/>
      <c r="C911" s="290" t="n"/>
      <c r="D911" s="291" t="n"/>
      <c r="E911" s="290" t="n"/>
      <c r="F911" s="290" t="n"/>
    </row>
    <row r="912" ht="13" customHeight="1" s="189">
      <c r="A912" s="289" t="n"/>
      <c r="B912" s="290" t="n"/>
      <c r="C912" s="290" t="n"/>
      <c r="D912" s="291" t="n"/>
      <c r="E912" s="290" t="n"/>
      <c r="F912" s="290" t="n"/>
    </row>
    <row r="913" ht="13" customHeight="1" s="189">
      <c r="A913" s="289" t="n"/>
      <c r="B913" s="290" t="n"/>
      <c r="C913" s="290" t="n"/>
      <c r="D913" s="291" t="n"/>
      <c r="E913" s="290" t="n"/>
      <c r="F913" s="290" t="n"/>
    </row>
    <row r="914" ht="13" customHeight="1" s="189">
      <c r="A914" s="289" t="n"/>
      <c r="B914" s="290" t="n"/>
      <c r="C914" s="290" t="n"/>
      <c r="D914" s="291" t="n"/>
      <c r="E914" s="290" t="n"/>
      <c r="F914" s="290" t="n"/>
    </row>
    <row r="915" ht="13" customHeight="1" s="189">
      <c r="A915" s="289" t="n"/>
      <c r="B915" s="290" t="n"/>
      <c r="C915" s="290" t="n"/>
      <c r="D915" s="291" t="n"/>
      <c r="E915" s="290" t="n"/>
      <c r="F915" s="290" t="n"/>
    </row>
    <row r="916" ht="13" customHeight="1" s="189">
      <c r="A916" s="289" t="n"/>
      <c r="B916" s="290" t="n"/>
      <c r="C916" s="290" t="n"/>
      <c r="D916" s="291" t="n"/>
      <c r="E916" s="290" t="n"/>
      <c r="F916" s="290" t="n"/>
    </row>
    <row r="917" ht="13" customHeight="1" s="189">
      <c r="A917" s="289" t="n"/>
      <c r="B917" s="290" t="n"/>
      <c r="C917" s="290" t="n"/>
      <c r="D917" s="291" t="n"/>
      <c r="E917" s="290" t="n"/>
      <c r="F917" s="290" t="n"/>
    </row>
    <row r="918" ht="13" customHeight="1" s="189">
      <c r="A918" s="289" t="n"/>
      <c r="B918" s="290" t="n"/>
      <c r="C918" s="290" t="n"/>
      <c r="D918" s="291" t="n"/>
      <c r="E918" s="290" t="n"/>
      <c r="F918" s="290" t="n"/>
    </row>
    <row r="919" ht="13" customHeight="1" s="189">
      <c r="A919" s="289" t="n"/>
      <c r="B919" s="290" t="n"/>
      <c r="C919" s="290" t="n"/>
      <c r="D919" s="291" t="n"/>
      <c r="E919" s="290" t="n"/>
      <c r="F919" s="290" t="n"/>
    </row>
    <row r="920" ht="13" customHeight="1" s="189">
      <c r="A920" s="289" t="n"/>
      <c r="B920" s="290" t="n"/>
      <c r="C920" s="290" t="n"/>
      <c r="D920" s="291" t="n"/>
      <c r="E920" s="290" t="n"/>
      <c r="F920" s="290" t="n"/>
    </row>
    <row r="921" ht="13" customHeight="1" s="189">
      <c r="A921" s="289" t="n"/>
      <c r="B921" s="290" t="n"/>
      <c r="C921" s="290" t="n"/>
      <c r="D921" s="291" t="n"/>
      <c r="E921" s="290" t="n"/>
      <c r="F921" s="290" t="n"/>
    </row>
    <row r="922" ht="13" customHeight="1" s="189">
      <c r="A922" s="289" t="n"/>
      <c r="B922" s="290" t="n"/>
      <c r="C922" s="290" t="n"/>
      <c r="D922" s="291" t="n"/>
      <c r="E922" s="290" t="n"/>
      <c r="F922" s="290" t="n"/>
    </row>
    <row r="923" ht="13" customHeight="1" s="189">
      <c r="A923" s="289" t="n"/>
      <c r="B923" s="290" t="n"/>
      <c r="C923" s="290" t="n"/>
      <c r="D923" s="291" t="n"/>
      <c r="E923" s="290" t="n"/>
      <c r="F923" s="290" t="n"/>
    </row>
    <row r="924" ht="13" customHeight="1" s="189">
      <c r="A924" s="289" t="n"/>
      <c r="B924" s="290" t="n"/>
      <c r="C924" s="290" t="n"/>
      <c r="D924" s="291" t="n"/>
      <c r="E924" s="290" t="n"/>
      <c r="F924" s="290" t="n"/>
    </row>
    <row r="925" ht="13" customHeight="1" s="189">
      <c r="A925" s="289" t="n"/>
      <c r="B925" s="290" t="n"/>
      <c r="C925" s="290" t="n"/>
      <c r="D925" s="291" t="n"/>
      <c r="E925" s="290" t="n"/>
      <c r="F925" s="290" t="n"/>
    </row>
    <row r="926" ht="13" customHeight="1" s="189">
      <c r="A926" s="289" t="n"/>
      <c r="B926" s="290" t="n"/>
      <c r="C926" s="290" t="n"/>
      <c r="D926" s="291" t="n"/>
      <c r="E926" s="290" t="n"/>
      <c r="F926" s="290" t="n"/>
    </row>
    <row r="927" ht="13" customHeight="1" s="189">
      <c r="A927" s="289" t="n"/>
      <c r="B927" s="290" t="n"/>
      <c r="C927" s="290" t="n"/>
      <c r="D927" s="291" t="n"/>
      <c r="E927" s="290" t="n"/>
      <c r="F927" s="290" t="n"/>
    </row>
    <row r="928" ht="13" customHeight="1" s="189">
      <c r="A928" s="289" t="n"/>
      <c r="B928" s="290" t="n"/>
      <c r="C928" s="290" t="n"/>
      <c r="D928" s="291" t="n"/>
      <c r="E928" s="290" t="n"/>
      <c r="F928" s="290" t="n"/>
    </row>
    <row r="929" ht="13" customHeight="1" s="189">
      <c r="A929" s="289" t="n"/>
      <c r="B929" s="290" t="n"/>
      <c r="C929" s="290" t="n"/>
      <c r="D929" s="291" t="n"/>
      <c r="E929" s="290" t="n"/>
      <c r="F929" s="290" t="n"/>
    </row>
    <row r="930" ht="13" customHeight="1" s="189">
      <c r="A930" s="289" t="n"/>
      <c r="B930" s="290" t="n"/>
      <c r="C930" s="290" t="n"/>
      <c r="D930" s="291" t="n"/>
      <c r="E930" s="290" t="n"/>
      <c r="F930" s="290" t="n"/>
    </row>
    <row r="931" ht="13" customHeight="1" s="189">
      <c r="A931" s="289" t="n"/>
      <c r="B931" s="290" t="n"/>
      <c r="C931" s="290" t="n"/>
      <c r="D931" s="291" t="n"/>
      <c r="E931" s="290" t="n"/>
      <c r="F931" s="290" t="n"/>
    </row>
    <row r="932" ht="13" customHeight="1" s="189">
      <c r="A932" s="289" t="n"/>
      <c r="B932" s="290" t="n"/>
      <c r="C932" s="290" t="n"/>
      <c r="D932" s="291" t="n"/>
      <c r="E932" s="290" t="n"/>
      <c r="F932" s="290" t="n"/>
    </row>
    <row r="933" ht="13" customHeight="1" s="189">
      <c r="A933" s="289" t="n"/>
      <c r="B933" s="290" t="n"/>
      <c r="C933" s="290" t="n"/>
      <c r="D933" s="291" t="n"/>
      <c r="E933" s="290" t="n"/>
      <c r="F933" s="290" t="n"/>
    </row>
    <row r="934" ht="13" customHeight="1" s="189">
      <c r="A934" s="289" t="n"/>
      <c r="B934" s="290" t="n"/>
      <c r="C934" s="290" t="n"/>
      <c r="D934" s="291" t="n"/>
      <c r="E934" s="290" t="n"/>
      <c r="F934" s="290" t="n"/>
    </row>
    <row r="935" ht="13" customHeight="1" s="189">
      <c r="A935" s="289" t="n"/>
      <c r="B935" s="290" t="n"/>
      <c r="C935" s="290" t="n"/>
      <c r="D935" s="291" t="n"/>
      <c r="E935" s="290" t="n"/>
      <c r="F935" s="290" t="n"/>
    </row>
    <row r="936" ht="13" customHeight="1" s="189">
      <c r="A936" s="289" t="n"/>
      <c r="B936" s="290" t="n"/>
      <c r="C936" s="290" t="n"/>
      <c r="D936" s="291" t="n"/>
      <c r="E936" s="290" t="n"/>
      <c r="F936" s="290" t="n"/>
    </row>
    <row r="937" ht="13" customHeight="1" s="189">
      <c r="A937" s="289" t="n"/>
      <c r="B937" s="290" t="n"/>
      <c r="C937" s="290" t="n"/>
      <c r="D937" s="291" t="n"/>
      <c r="E937" s="290" t="n"/>
      <c r="F937" s="290" t="n"/>
    </row>
    <row r="938" ht="13" customHeight="1" s="189">
      <c r="A938" s="289" t="n"/>
      <c r="B938" s="290" t="n"/>
      <c r="C938" s="290" t="n"/>
      <c r="D938" s="291" t="n"/>
      <c r="E938" s="290" t="n"/>
      <c r="F938" s="290" t="n"/>
    </row>
    <row r="939" ht="13" customHeight="1" s="189">
      <c r="A939" s="289" t="n"/>
      <c r="B939" s="290" t="n"/>
      <c r="C939" s="290" t="n"/>
      <c r="D939" s="291" t="n"/>
      <c r="E939" s="290" t="n"/>
      <c r="F939" s="290" t="n"/>
    </row>
    <row r="940" ht="13" customHeight="1" s="189">
      <c r="A940" s="289" t="n"/>
      <c r="B940" s="290" t="n"/>
      <c r="C940" s="290" t="n"/>
      <c r="D940" s="291" t="n"/>
      <c r="E940" s="290" t="n"/>
      <c r="F940" s="290" t="n"/>
    </row>
    <row r="941" ht="13" customHeight="1" s="189">
      <c r="A941" s="289" t="n"/>
      <c r="B941" s="290" t="n"/>
      <c r="C941" s="290" t="n"/>
      <c r="D941" s="291" t="n"/>
      <c r="E941" s="290" t="n"/>
      <c r="F941" s="290" t="n"/>
    </row>
    <row r="942" ht="13" customHeight="1" s="189">
      <c r="A942" s="289" t="n"/>
      <c r="B942" s="290" t="n"/>
      <c r="C942" s="290" t="n"/>
      <c r="D942" s="291" t="n"/>
      <c r="E942" s="290" t="n"/>
      <c r="F942" s="290" t="n"/>
    </row>
    <row r="943" ht="13" customHeight="1" s="189">
      <c r="A943" s="289" t="n"/>
      <c r="B943" s="290" t="n"/>
      <c r="C943" s="290" t="n"/>
      <c r="D943" s="291" t="n"/>
      <c r="E943" s="290" t="n"/>
      <c r="F943" s="290" t="n"/>
    </row>
    <row r="944" ht="13" customHeight="1" s="189">
      <c r="A944" s="289" t="n"/>
      <c r="B944" s="290" t="n"/>
      <c r="C944" s="290" t="n"/>
      <c r="D944" s="291" t="n"/>
      <c r="E944" s="290" t="n"/>
      <c r="F944" s="290" t="n"/>
    </row>
    <row r="945" ht="13" customHeight="1" s="189">
      <c r="A945" s="289" t="n"/>
      <c r="B945" s="290" t="n"/>
      <c r="C945" s="290" t="n"/>
      <c r="D945" s="291" t="n"/>
      <c r="E945" s="290" t="n"/>
      <c r="F945" s="290" t="n"/>
    </row>
    <row r="946" ht="13" customHeight="1" s="189">
      <c r="A946" s="289" t="n"/>
      <c r="B946" s="290" t="n"/>
      <c r="C946" s="290" t="n"/>
      <c r="D946" s="291" t="n"/>
      <c r="E946" s="290" t="n"/>
      <c r="F946" s="290" t="n"/>
    </row>
    <row r="947" ht="13" customHeight="1" s="189">
      <c r="A947" s="289" t="n"/>
      <c r="B947" s="290" t="n"/>
      <c r="C947" s="290" t="n"/>
      <c r="D947" s="291" t="n"/>
      <c r="E947" s="290" t="n"/>
      <c r="F947" s="290" t="n"/>
    </row>
    <row r="948" ht="13" customHeight="1" s="189">
      <c r="A948" s="289" t="n"/>
      <c r="B948" s="290" t="n"/>
      <c r="C948" s="290" t="n"/>
      <c r="D948" s="291" t="n"/>
      <c r="E948" s="290" t="n"/>
      <c r="F948" s="290" t="n"/>
    </row>
    <row r="949" ht="13" customHeight="1" s="189">
      <c r="A949" s="289" t="n"/>
      <c r="B949" s="290" t="n"/>
      <c r="C949" s="290" t="n"/>
      <c r="D949" s="291" t="n"/>
      <c r="E949" s="290" t="n"/>
      <c r="F949" s="290" t="n"/>
    </row>
    <row r="950" ht="13" customHeight="1" s="189">
      <c r="A950" s="289" t="n"/>
      <c r="B950" s="290" t="n"/>
      <c r="C950" s="290" t="n"/>
      <c r="D950" s="291" t="n"/>
      <c r="E950" s="290" t="n"/>
      <c r="F950" s="290" t="n"/>
    </row>
    <row r="951" ht="13" customHeight="1" s="189">
      <c r="A951" s="289" t="n"/>
      <c r="B951" s="290" t="n"/>
      <c r="C951" s="290" t="n"/>
      <c r="D951" s="291" t="n"/>
      <c r="E951" s="290" t="n"/>
      <c r="F951" s="290" t="n"/>
    </row>
    <row r="952" ht="13" customHeight="1" s="189">
      <c r="A952" s="289" t="n"/>
      <c r="B952" s="290" t="n"/>
      <c r="C952" s="290" t="n"/>
      <c r="D952" s="291" t="n"/>
      <c r="E952" s="290" t="n"/>
      <c r="F952" s="290" t="n"/>
    </row>
    <row r="953" ht="13" customHeight="1" s="189">
      <c r="A953" s="289" t="n"/>
      <c r="B953" s="290" t="n"/>
      <c r="C953" s="290" t="n"/>
      <c r="D953" s="291" t="n"/>
      <c r="E953" s="290" t="n"/>
      <c r="F953" s="290" t="n"/>
    </row>
    <row r="954" ht="13" customHeight="1" s="189">
      <c r="A954" s="289" t="n"/>
      <c r="B954" s="290" t="n"/>
      <c r="C954" s="290" t="n"/>
      <c r="D954" s="291" t="n"/>
      <c r="E954" s="290" t="n"/>
      <c r="F954" s="290" t="n"/>
    </row>
    <row r="955" ht="13" customHeight="1" s="189">
      <c r="A955" s="289" t="n"/>
      <c r="B955" s="290" t="n"/>
      <c r="C955" s="290" t="n"/>
      <c r="D955" s="291" t="n"/>
      <c r="E955" s="290" t="n"/>
      <c r="F955" s="290" t="n"/>
    </row>
    <row r="956" ht="13" customHeight="1" s="189">
      <c r="A956" s="289" t="n"/>
      <c r="B956" s="290" t="n"/>
      <c r="C956" s="290" t="n"/>
      <c r="D956" s="291" t="n"/>
      <c r="E956" s="290" t="n"/>
      <c r="F956" s="290" t="n"/>
    </row>
    <row r="957" ht="13" customHeight="1" s="189">
      <c r="A957" s="289" t="n"/>
      <c r="B957" s="290" t="n"/>
      <c r="C957" s="290" t="n"/>
      <c r="D957" s="291" t="n"/>
      <c r="E957" s="290" t="n"/>
      <c r="F957" s="290" t="n"/>
    </row>
    <row r="958" ht="13" customHeight="1" s="189">
      <c r="A958" s="289" t="n"/>
      <c r="B958" s="290" t="n"/>
      <c r="C958" s="290" t="n"/>
      <c r="D958" s="291" t="n"/>
      <c r="E958" s="290" t="n"/>
      <c r="F958" s="290" t="n"/>
    </row>
    <row r="959" ht="13" customHeight="1" s="189">
      <c r="A959" s="289" t="n"/>
      <c r="B959" s="290" t="n"/>
      <c r="C959" s="290" t="n"/>
      <c r="D959" s="291" t="n"/>
      <c r="E959" s="290" t="n"/>
      <c r="F959" s="290" t="n"/>
    </row>
    <row r="960" ht="13" customHeight="1" s="189">
      <c r="A960" s="289" t="n"/>
      <c r="B960" s="290" t="n"/>
      <c r="C960" s="290" t="n"/>
      <c r="D960" s="291" t="n"/>
      <c r="E960" s="290" t="n"/>
      <c r="F960" s="290" t="n"/>
    </row>
    <row r="961" ht="13" customHeight="1" s="189">
      <c r="A961" s="289" t="n"/>
      <c r="B961" s="290" t="n"/>
      <c r="C961" s="290" t="n"/>
      <c r="D961" s="291" t="n"/>
      <c r="E961" s="290" t="n"/>
      <c r="F961" s="290" t="n"/>
    </row>
    <row r="962" ht="13" customHeight="1" s="189">
      <c r="A962" s="289" t="n"/>
      <c r="B962" s="290" t="n"/>
      <c r="C962" s="290" t="n"/>
      <c r="D962" s="291" t="n"/>
      <c r="E962" s="290" t="n"/>
      <c r="F962" s="290" t="n"/>
    </row>
    <row r="963" ht="13" customHeight="1" s="189">
      <c r="A963" s="289" t="n"/>
      <c r="B963" s="290" t="n"/>
      <c r="C963" s="290" t="n"/>
      <c r="D963" s="291" t="n"/>
      <c r="E963" s="290" t="n"/>
      <c r="F963" s="290" t="n"/>
    </row>
    <row r="964" ht="13" customHeight="1" s="189">
      <c r="A964" s="289" t="n"/>
      <c r="B964" s="290" t="n"/>
      <c r="C964" s="290" t="n"/>
      <c r="D964" s="291" t="n"/>
      <c r="E964" s="290" t="n"/>
      <c r="F964" s="290" t="n"/>
    </row>
    <row r="965" ht="13" customHeight="1" s="189">
      <c r="A965" s="289" t="n"/>
      <c r="B965" s="290" t="n"/>
      <c r="C965" s="290" t="n"/>
      <c r="D965" s="291" t="n"/>
      <c r="E965" s="290" t="n"/>
      <c r="F965" s="290" t="n"/>
    </row>
    <row r="966" ht="13" customHeight="1" s="189">
      <c r="A966" s="289" t="n"/>
      <c r="B966" s="290" t="n"/>
      <c r="C966" s="290" t="n"/>
      <c r="D966" s="291" t="n"/>
      <c r="E966" s="290" t="n"/>
      <c r="F966" s="290" t="n"/>
    </row>
    <row r="967" ht="13" customHeight="1" s="189">
      <c r="A967" s="289" t="n"/>
      <c r="B967" s="290" t="n"/>
      <c r="C967" s="290" t="n"/>
      <c r="D967" s="291" t="n"/>
      <c r="E967" s="290" t="n"/>
      <c r="F967" s="290" t="n"/>
    </row>
    <row r="968" ht="13" customHeight="1" s="189">
      <c r="A968" s="289" t="n"/>
      <c r="B968" s="290" t="n"/>
      <c r="C968" s="290" t="n"/>
      <c r="D968" s="291" t="n"/>
      <c r="E968" s="290" t="n"/>
      <c r="F968" s="290" t="n"/>
    </row>
    <row r="969" ht="13" customHeight="1" s="189">
      <c r="A969" s="289" t="n"/>
      <c r="B969" s="290" t="n"/>
      <c r="C969" s="290" t="n"/>
      <c r="D969" s="291" t="n"/>
      <c r="E969" s="290" t="n"/>
      <c r="F969" s="290" t="n"/>
    </row>
    <row r="970" ht="13" customHeight="1" s="189">
      <c r="A970" s="289" t="n"/>
      <c r="B970" s="290" t="n"/>
      <c r="C970" s="290" t="n"/>
      <c r="D970" s="291" t="n"/>
      <c r="E970" s="290" t="n"/>
      <c r="F970" s="290" t="n"/>
    </row>
    <row r="971" ht="13" customHeight="1" s="189">
      <c r="A971" s="289" t="n"/>
      <c r="B971" s="290" t="n"/>
      <c r="C971" s="290" t="n"/>
      <c r="D971" s="291" t="n"/>
      <c r="E971" s="290" t="n"/>
      <c r="F971" s="290" t="n"/>
    </row>
    <row r="972" ht="13" customHeight="1" s="189">
      <c r="A972" s="289" t="n"/>
      <c r="B972" s="290" t="n"/>
      <c r="C972" s="290" t="n"/>
      <c r="D972" s="291" t="n"/>
      <c r="E972" s="290" t="n"/>
      <c r="F972" s="290" t="n"/>
    </row>
    <row r="973" ht="13" customHeight="1" s="189">
      <c r="A973" s="289" t="n"/>
      <c r="B973" s="290" t="n"/>
      <c r="C973" s="290" t="n"/>
      <c r="D973" s="291" t="n"/>
      <c r="E973" s="290" t="n"/>
      <c r="F973" s="290" t="n"/>
    </row>
    <row r="974" ht="13" customHeight="1" s="189">
      <c r="A974" s="289" t="n"/>
      <c r="B974" s="290" t="n"/>
      <c r="C974" s="290" t="n"/>
      <c r="D974" s="291" t="n"/>
      <c r="E974" s="290" t="n"/>
      <c r="F974" s="290" t="n"/>
    </row>
    <row r="975" ht="13" customHeight="1" s="189">
      <c r="A975" s="289" t="n"/>
      <c r="B975" s="290" t="n"/>
      <c r="C975" s="290" t="n"/>
      <c r="D975" s="291" t="n"/>
      <c r="E975" s="290" t="n"/>
      <c r="F975" s="290" t="n"/>
    </row>
    <row r="976" ht="13" customHeight="1" s="189">
      <c r="A976" s="289" t="n"/>
      <c r="B976" s="290" t="n"/>
      <c r="C976" s="290" t="n"/>
      <c r="D976" s="291" t="n"/>
      <c r="E976" s="290" t="n"/>
      <c r="F976" s="290" t="n"/>
    </row>
    <row r="977" ht="13" customHeight="1" s="189">
      <c r="A977" s="289" t="n"/>
      <c r="B977" s="290" t="n"/>
      <c r="C977" s="290" t="n"/>
      <c r="D977" s="291" t="n"/>
      <c r="E977" s="290" t="n"/>
      <c r="F977" s="290" t="n"/>
    </row>
    <row r="978" ht="13" customHeight="1" s="189">
      <c r="A978" s="289" t="n"/>
      <c r="B978" s="290" t="n"/>
      <c r="C978" s="290" t="n"/>
      <c r="D978" s="291" t="n"/>
      <c r="E978" s="290" t="n"/>
      <c r="F978" s="290" t="n"/>
    </row>
    <row r="979" ht="13" customHeight="1" s="189">
      <c r="A979" s="289" t="n"/>
      <c r="B979" s="290" t="n"/>
      <c r="C979" s="290" t="n"/>
      <c r="D979" s="291" t="n"/>
      <c r="E979" s="290" t="n"/>
      <c r="F979" s="290" t="n"/>
    </row>
    <row r="980" ht="13" customHeight="1" s="189">
      <c r="A980" s="289" t="n"/>
      <c r="B980" s="290" t="n"/>
      <c r="C980" s="290" t="n"/>
      <c r="D980" s="291" t="n"/>
      <c r="E980" s="290" t="n"/>
      <c r="F980" s="290" t="n"/>
    </row>
    <row r="981" ht="13" customHeight="1" s="189">
      <c r="A981" s="289" t="n"/>
      <c r="B981" s="290" t="n"/>
      <c r="C981" s="290" t="n"/>
      <c r="D981" s="291" t="n"/>
      <c r="E981" s="290" t="n"/>
      <c r="F981" s="290" t="n"/>
    </row>
    <row r="982" ht="13" customHeight="1" s="189">
      <c r="A982" s="289" t="n"/>
      <c r="B982" s="290" t="n"/>
      <c r="C982" s="290" t="n"/>
      <c r="D982" s="291" t="n"/>
      <c r="E982" s="290" t="n"/>
      <c r="F982" s="290" t="n"/>
    </row>
    <row r="983" ht="13" customHeight="1" s="189">
      <c r="A983" s="289" t="n"/>
      <c r="B983" s="290" t="n"/>
      <c r="C983" s="290" t="n"/>
      <c r="D983" s="291" t="n"/>
      <c r="E983" s="290" t="n"/>
      <c r="F983" s="290" t="n"/>
    </row>
    <row r="984" ht="13" customHeight="1" s="189">
      <c r="A984" s="289" t="n"/>
      <c r="B984" s="290" t="n"/>
      <c r="C984" s="290" t="n"/>
      <c r="D984" s="291" t="n"/>
      <c r="E984" s="290" t="n"/>
      <c r="F984" s="290" t="n"/>
    </row>
    <row r="985" ht="13" customHeight="1" s="189">
      <c r="A985" s="289" t="n"/>
      <c r="B985" s="290" t="n"/>
      <c r="C985" s="290" t="n"/>
      <c r="D985" s="291" t="n"/>
      <c r="E985" s="290" t="n"/>
      <c r="F985" s="290" t="n"/>
    </row>
    <row r="986" ht="13" customHeight="1" s="189">
      <c r="A986" s="289" t="n"/>
      <c r="B986" s="290" t="n"/>
      <c r="C986" s="290" t="n"/>
      <c r="D986" s="291" t="n"/>
      <c r="E986" s="290" t="n"/>
      <c r="F986" s="290" t="n"/>
    </row>
    <row r="987" ht="13" customHeight="1" s="189">
      <c r="A987" s="289" t="n"/>
      <c r="B987" s="290" t="n"/>
      <c r="C987" s="290" t="n"/>
      <c r="D987" s="291" t="n"/>
      <c r="E987" s="290" t="n"/>
      <c r="F987" s="290" t="n"/>
    </row>
    <row r="988" ht="13" customHeight="1" s="189">
      <c r="A988" s="289" t="n"/>
      <c r="B988" s="290" t="n"/>
      <c r="C988" s="290" t="n"/>
      <c r="D988" s="291" t="n"/>
      <c r="E988" s="290" t="n"/>
      <c r="F988" s="290" t="n"/>
    </row>
    <row r="989" ht="13" customHeight="1" s="189">
      <c r="A989" s="289" t="n"/>
      <c r="B989" s="290" t="n"/>
      <c r="C989" s="290" t="n"/>
      <c r="D989" s="291" t="n"/>
      <c r="E989" s="290" t="n"/>
      <c r="F989" s="290" t="n"/>
    </row>
    <row r="990" ht="13" customHeight="1" s="189">
      <c r="A990" s="289" t="n"/>
      <c r="B990" s="290" t="n"/>
      <c r="C990" s="290" t="n"/>
      <c r="D990" s="291" t="n"/>
      <c r="E990" s="290" t="n"/>
      <c r="F990" s="290" t="n"/>
    </row>
    <row r="991" ht="13" customHeight="1" s="189">
      <c r="A991" s="289" t="n"/>
      <c r="B991" s="290" t="n"/>
      <c r="C991" s="290" t="n"/>
      <c r="D991" s="291" t="n"/>
      <c r="E991" s="290" t="n"/>
      <c r="F991" s="290" t="n"/>
    </row>
    <row r="992" ht="13" customHeight="1" s="189">
      <c r="A992" s="289" t="n"/>
      <c r="B992" s="290" t="n"/>
      <c r="C992" s="290" t="n"/>
      <c r="D992" s="291" t="n"/>
      <c r="E992" s="290" t="n"/>
      <c r="F992" s="290" t="n"/>
    </row>
    <row r="993" ht="13" customHeight="1" s="189">
      <c r="A993" s="289" t="n"/>
      <c r="B993" s="290" t="n"/>
      <c r="C993" s="290" t="n"/>
      <c r="D993" s="291" t="n"/>
      <c r="E993" s="290" t="n"/>
      <c r="F993" s="290" t="n"/>
    </row>
    <row r="994" ht="13" customHeight="1" s="189">
      <c r="A994" s="289" t="n"/>
      <c r="B994" s="290" t="n"/>
      <c r="C994" s="290" t="n"/>
      <c r="D994" s="291" t="n"/>
      <c r="E994" s="290" t="n"/>
      <c r="F994" s="290" t="n"/>
    </row>
    <row r="995" ht="13" customHeight="1" s="189">
      <c r="A995" s="289" t="n"/>
      <c r="B995" s="290" t="n"/>
      <c r="C995" s="290" t="n"/>
      <c r="D995" s="291" t="n"/>
      <c r="E995" s="290" t="n"/>
      <c r="F995" s="290" t="n"/>
    </row>
    <row r="996" ht="13" customHeight="1" s="189">
      <c r="A996" s="289" t="n"/>
      <c r="B996" s="290" t="n"/>
      <c r="C996" s="290" t="n"/>
      <c r="D996" s="291" t="n"/>
      <c r="E996" s="290" t="n"/>
      <c r="F996" s="290" t="n"/>
    </row>
    <row r="997" ht="13" customHeight="1" s="189">
      <c r="A997" s="289" t="n"/>
      <c r="B997" s="290" t="n"/>
      <c r="C997" s="290" t="n"/>
      <c r="D997" s="291" t="n"/>
      <c r="E997" s="290" t="n"/>
      <c r="F997" s="290" t="n"/>
    </row>
    <row r="998" ht="13" customHeight="1" s="189">
      <c r="A998" s="289" t="n"/>
      <c r="B998" s="290" t="n"/>
      <c r="C998" s="290" t="n"/>
      <c r="D998" s="291" t="n"/>
      <c r="E998" s="290" t="n"/>
      <c r="F998" s="290" t="n"/>
    </row>
    <row r="999" ht="13" customHeight="1" s="189">
      <c r="A999" s="289" t="n"/>
      <c r="B999" s="290" t="n"/>
      <c r="C999" s="290" t="n"/>
      <c r="D999" s="291" t="n"/>
      <c r="E999" s="290" t="n"/>
      <c r="F999" s="290" t="n"/>
    </row>
    <row r="1000" ht="13" customHeight="1" s="189">
      <c r="A1000" s="289" t="n"/>
      <c r="B1000" s="290" t="n"/>
      <c r="C1000" s="290" t="n"/>
      <c r="D1000" s="291" t="n"/>
      <c r="E1000" s="290" t="n"/>
      <c r="F1000" s="290" t="n"/>
    </row>
    <row r="1001" ht="13" customHeight="1" s="189">
      <c r="A1001" s="289" t="n"/>
      <c r="B1001" s="290" t="n"/>
      <c r="C1001" s="290" t="n"/>
      <c r="D1001" s="291" t="n"/>
      <c r="E1001" s="290" t="n"/>
      <c r="F1001" s="290" t="n"/>
    </row>
    <row r="1002" ht="13" customHeight="1" s="189">
      <c r="A1002" s="289" t="n"/>
      <c r="B1002" s="290" t="n"/>
      <c r="C1002" s="290" t="n"/>
      <c r="D1002" s="291" t="n"/>
      <c r="E1002" s="290" t="n"/>
      <c r="F1002" s="290" t="n"/>
    </row>
    <row r="1003" ht="13" customHeight="1" s="189">
      <c r="A1003" s="289" t="n"/>
      <c r="B1003" s="290" t="n"/>
      <c r="C1003" s="290" t="n"/>
      <c r="D1003" s="291" t="n"/>
      <c r="E1003" s="290" t="n"/>
      <c r="F1003" s="290" t="n"/>
    </row>
    <row r="1004" ht="13" customHeight="1" s="189">
      <c r="A1004" s="289" t="n"/>
      <c r="B1004" s="290" t="n"/>
      <c r="C1004" s="290" t="n"/>
      <c r="D1004" s="291" t="n"/>
      <c r="E1004" s="290" t="n"/>
      <c r="F1004" s="290" t="n"/>
    </row>
    <row r="1005" ht="13" customHeight="1" s="189">
      <c r="A1005" s="289" t="n"/>
      <c r="B1005" s="290" t="n"/>
      <c r="C1005" s="290" t="n"/>
      <c r="D1005" s="291" t="n"/>
      <c r="E1005" s="290" t="n"/>
      <c r="F1005" s="290" t="n"/>
    </row>
    <row r="1006" ht="13" customHeight="1" s="189">
      <c r="A1006" s="289" t="n"/>
      <c r="B1006" s="290" t="n"/>
      <c r="C1006" s="290" t="n"/>
      <c r="D1006" s="291" t="n"/>
      <c r="E1006" s="290" t="n"/>
      <c r="F1006" s="290" t="n"/>
    </row>
    <row r="1007" ht="13" customHeight="1" s="189">
      <c r="A1007" s="289" t="n"/>
      <c r="B1007" s="290" t="n"/>
      <c r="C1007" s="290" t="n"/>
      <c r="D1007" s="291" t="n"/>
      <c r="E1007" s="290" t="n"/>
      <c r="F1007" s="290" t="n"/>
    </row>
    <row r="1008" ht="13" customHeight="1" s="189">
      <c r="A1008" s="289" t="n"/>
      <c r="B1008" s="290" t="n"/>
      <c r="C1008" s="290" t="n"/>
      <c r="D1008" s="291" t="n"/>
      <c r="E1008" s="290" t="n"/>
      <c r="F1008" s="290" t="n"/>
    </row>
    <row r="1009" ht="13" customHeight="1" s="189">
      <c r="A1009" s="289" t="n"/>
      <c r="B1009" s="290" t="n"/>
      <c r="C1009" s="290" t="n"/>
      <c r="D1009" s="291" t="n"/>
      <c r="E1009" s="290" t="n"/>
      <c r="F1009" s="290" t="n"/>
    </row>
    <row r="1010" ht="13" customHeight="1" s="189">
      <c r="A1010" s="289" t="n"/>
      <c r="B1010" s="290" t="n"/>
      <c r="C1010" s="290" t="n"/>
      <c r="D1010" s="291" t="n"/>
      <c r="E1010" s="290" t="n"/>
      <c r="F1010" s="290" t="n"/>
    </row>
    <row r="1011" ht="13" customHeight="1" s="189">
      <c r="A1011" s="289" t="n"/>
      <c r="B1011" s="290" t="n"/>
      <c r="C1011" s="290" t="n"/>
      <c r="D1011" s="291" t="n"/>
      <c r="E1011" s="290" t="n"/>
      <c r="F1011" s="290" t="n"/>
    </row>
    <row r="1012" ht="13" customHeight="1" s="189">
      <c r="A1012" s="289" t="n"/>
      <c r="B1012" s="290" t="n"/>
      <c r="C1012" s="290" t="n"/>
      <c r="D1012" s="291" t="n"/>
      <c r="E1012" s="290" t="n"/>
      <c r="F1012" s="290" t="n"/>
    </row>
    <row r="1013" ht="13" customHeight="1" s="189">
      <c r="A1013" s="289" t="n"/>
      <c r="B1013" s="290" t="n"/>
      <c r="C1013" s="290" t="n"/>
      <c r="D1013" s="291" t="n"/>
      <c r="E1013" s="290" t="n"/>
      <c r="F1013" s="290" t="n"/>
    </row>
    <row r="1014" ht="13" customHeight="1" s="189">
      <c r="A1014" s="289" t="n"/>
      <c r="B1014" s="290" t="n"/>
      <c r="C1014" s="290" t="n"/>
      <c r="D1014" s="291" t="n"/>
      <c r="E1014" s="290" t="n"/>
      <c r="F1014" s="290" t="n"/>
    </row>
    <row r="1015" ht="13" customHeight="1" s="189">
      <c r="A1015" s="289" t="n"/>
      <c r="B1015" s="290" t="n"/>
      <c r="C1015" s="290" t="n"/>
      <c r="D1015" s="291" t="n"/>
      <c r="E1015" s="290" t="n"/>
      <c r="F1015" s="290" t="n"/>
    </row>
    <row r="1016" ht="13" customHeight="1" s="189">
      <c r="A1016" s="289" t="n"/>
      <c r="B1016" s="290" t="n"/>
      <c r="C1016" s="290" t="n"/>
      <c r="D1016" s="291" t="n"/>
      <c r="E1016" s="290" t="n"/>
      <c r="F1016" s="290" t="n"/>
    </row>
    <row r="1017" ht="13" customHeight="1" s="189">
      <c r="A1017" s="289" t="n"/>
      <c r="B1017" s="290" t="n"/>
      <c r="C1017" s="290" t="n"/>
      <c r="D1017" s="291" t="n"/>
      <c r="E1017" s="290" t="n"/>
      <c r="F1017" s="290" t="n"/>
    </row>
    <row r="1018" ht="13" customHeight="1" s="189">
      <c r="A1018" s="289" t="n"/>
      <c r="B1018" s="290" t="n"/>
      <c r="C1018" s="290" t="n"/>
      <c r="D1018" s="291" t="n"/>
      <c r="E1018" s="290" t="n"/>
      <c r="F1018" s="290" t="n"/>
    </row>
    <row r="1019" ht="13" customHeight="1" s="189">
      <c r="A1019" s="289" t="n"/>
      <c r="B1019" s="290" t="n"/>
      <c r="C1019" s="290" t="n"/>
      <c r="D1019" s="291" t="n"/>
      <c r="E1019" s="290" t="n"/>
      <c r="F1019" s="290" t="n"/>
    </row>
    <row r="1020" ht="13" customHeight="1" s="189">
      <c r="A1020" s="289" t="n"/>
      <c r="B1020" s="290" t="n"/>
      <c r="C1020" s="290" t="n"/>
      <c r="D1020" s="291" t="n"/>
      <c r="E1020" s="290" t="n"/>
      <c r="F1020" s="290" t="n"/>
    </row>
    <row r="1021" ht="13" customHeight="1" s="189">
      <c r="A1021" s="289" t="n"/>
      <c r="B1021" s="290" t="n"/>
      <c r="C1021" s="290" t="n"/>
      <c r="D1021" s="291" t="n"/>
      <c r="E1021" s="290" t="n"/>
      <c r="F1021" s="290" t="n"/>
    </row>
    <row r="1022" ht="13" customHeight="1" s="189">
      <c r="A1022" s="289" t="n"/>
      <c r="B1022" s="290" t="n"/>
      <c r="C1022" s="290" t="n"/>
      <c r="D1022" s="291" t="n"/>
      <c r="E1022" s="290" t="n"/>
      <c r="F1022" s="290" t="n"/>
    </row>
    <row r="1023" ht="13" customHeight="1" s="189">
      <c r="A1023" s="289" t="n"/>
      <c r="B1023" s="290" t="n"/>
      <c r="C1023" s="290" t="n"/>
      <c r="D1023" s="291" t="n"/>
      <c r="E1023" s="290" t="n"/>
      <c r="F1023" s="290" t="n"/>
    </row>
    <row r="1024" ht="13" customHeight="1" s="189">
      <c r="A1024" s="289" t="n"/>
      <c r="B1024" s="290" t="n"/>
      <c r="C1024" s="290" t="n"/>
      <c r="D1024" s="291" t="n"/>
      <c r="E1024" s="290" t="n"/>
      <c r="F1024" s="290" t="n"/>
    </row>
    <row r="1025" ht="13" customHeight="1" s="189">
      <c r="A1025" s="289" t="n"/>
      <c r="B1025" s="290" t="n"/>
      <c r="C1025" s="290" t="n"/>
      <c r="D1025" s="291" t="n"/>
      <c r="E1025" s="290" t="n"/>
      <c r="F1025" s="290" t="n"/>
    </row>
    <row r="1026" ht="13" customHeight="1" s="189"/>
    <row r="1027" ht="13" customHeight="1" s="189"/>
    <row r="1028" ht="13" customHeight="1" s="189"/>
    <row r="1029" ht="13" customHeight="1" s="189"/>
    <row r="1030" ht="13" customHeight="1" s="189"/>
    <row r="1031" ht="13" customHeight="1" s="189"/>
    <row r="1032" ht="13" customHeight="1" s="189"/>
    <row r="1033" ht="13" customHeight="1" s="189"/>
    <row r="1034" ht="13" customHeight="1" s="189"/>
    <row r="1035" ht="13" customHeight="1" s="189"/>
    <row r="1036" ht="13" customHeight="1" s="189"/>
    <row r="1037" ht="13" customHeight="1" s="189"/>
    <row r="1038" ht="13" customHeight="1" s="189"/>
    <row r="1039" ht="13" customHeight="1" s="189"/>
    <row r="1040" ht="13" customHeight="1" s="189"/>
    <row r="1041" ht="13" customHeight="1" s="189"/>
    <row r="1042" ht="13" customHeight="1" s="189"/>
    <row r="1043" ht="13" customHeight="1" s="189"/>
    <row r="1044" ht="13" customHeight="1" s="189"/>
    <row r="1045" ht="13" customHeight="1" s="189"/>
    <row r="1046" ht="13" customHeight="1" s="189"/>
    <row r="1047" ht="13" customHeight="1" s="189"/>
    <row r="1048" ht="13" customHeight="1" s="189"/>
    <row r="1049" ht="13" customHeight="1" s="189"/>
    <row r="1050" ht="13" customHeight="1" s="189"/>
    <row r="1051" ht="13" customHeight="1" s="189"/>
    <row r="1052" ht="13" customHeight="1" s="189"/>
    <row r="1053" ht="13" customHeight="1" s="189"/>
    <row r="1054" ht="13" customHeight="1" s="189"/>
    <row r="1055" ht="13" customHeight="1" s="189"/>
    <row r="1056" ht="13" customHeight="1" s="189"/>
    <row r="1057" ht="13" customHeight="1" s="189"/>
    <row r="1058" ht="13" customHeight="1" s="189"/>
    <row r="1059" ht="13" customHeight="1" s="189"/>
    <row r="1060" ht="13" customHeight="1" s="189"/>
    <row r="1061" ht="13" customHeight="1" s="189"/>
    <row r="1062" ht="13" customHeight="1" s="189"/>
    <row r="1063" ht="13" customHeight="1" s="189"/>
    <row r="1064" ht="13" customHeight="1" s="189"/>
    <row r="1065" ht="13" customHeight="1" s="189"/>
    <row r="1066" ht="13" customHeight="1" s="189"/>
    <row r="1067" ht="13" customHeight="1" s="189"/>
    <row r="1068" ht="13" customHeight="1" s="189"/>
    <row r="1069" ht="13" customHeight="1" s="189"/>
    <row r="1070" ht="13" customHeight="1" s="189"/>
    <row r="1071" ht="13" customHeight="1" s="189"/>
    <row r="1072" ht="13" customHeight="1" s="189"/>
    <row r="1073" ht="13" customHeight="1" s="189"/>
    <row r="1074" ht="13" customHeight="1" s="189"/>
    <row r="1075" ht="13" customHeight="1" s="189"/>
    <row r="1076" ht="13" customHeight="1" s="189"/>
    <row r="1077" ht="13" customHeight="1" s="189"/>
    <row r="1078" ht="13" customHeight="1" s="189"/>
    <row r="1079" ht="13" customHeight="1" s="189"/>
    <row r="1080" ht="13" customHeight="1" s="189"/>
    <row r="1081" ht="13" customHeight="1" s="189"/>
    <row r="1082" ht="13" customHeight="1" s="189"/>
    <row r="1083" ht="13" customHeight="1" s="189"/>
    <row r="1084" ht="13" customHeight="1" s="189"/>
    <row r="1085" ht="13" customHeight="1" s="189"/>
    <row r="1086" ht="13" customHeight="1" s="189"/>
    <row r="1087" ht="13" customHeight="1" s="189"/>
    <row r="1088" ht="13" customHeight="1" s="189"/>
    <row r="1089" ht="13" customHeight="1" s="189"/>
    <row r="1090" ht="13" customHeight="1" s="189"/>
    <row r="1091" ht="13" customHeight="1" s="189"/>
    <row r="1092" ht="13" customHeight="1" s="189"/>
    <row r="1093" ht="13" customHeight="1" s="189"/>
    <row r="1094" ht="13" customHeight="1" s="189"/>
    <row r="1095" ht="13" customHeight="1" s="189"/>
    <row r="1096" ht="13" customHeight="1" s="189"/>
    <row r="1097" ht="13" customHeight="1" s="189"/>
    <row r="1098" ht="13" customHeight="1" s="189"/>
    <row r="1099" ht="13" customHeight="1" s="189"/>
    <row r="1100" ht="13" customHeight="1" s="189"/>
    <row r="1101" ht="13" customHeight="1" s="189"/>
    <row r="1102" ht="13" customHeight="1" s="189"/>
    <row r="1103" ht="13" customHeight="1" s="189"/>
    <row r="1104" ht="13" customHeight="1" s="189"/>
    <row r="1105" ht="13" customHeight="1" s="189"/>
    <row r="1106" ht="13" customHeight="1" s="189"/>
    <row r="1107" ht="13" customHeight="1" s="189"/>
    <row r="1108" ht="13" customHeight="1" s="189"/>
    <row r="1109" ht="13" customHeight="1" s="189"/>
    <row r="1110" ht="13" customHeight="1" s="189"/>
    <row r="1111" ht="13" customHeight="1" s="189"/>
    <row r="1112" ht="13" customHeight="1" s="189"/>
    <row r="1113" ht="13" customHeight="1" s="189"/>
    <row r="1114" ht="13" customHeight="1" s="189"/>
    <row r="1115" ht="13" customHeight="1" s="189"/>
    <row r="1116" ht="13" customHeight="1" s="189"/>
    <row r="1117" ht="13" customHeight="1" s="189"/>
    <row r="1118" ht="13" customHeight="1" s="189"/>
    <row r="1119" ht="13" customHeight="1" s="189"/>
    <row r="1120" ht="13" customHeight="1" s="189"/>
    <row r="1121" ht="13" customHeight="1" s="189"/>
    <row r="1122" ht="13" customHeight="1" s="189"/>
    <row r="1123" ht="13" customHeight="1" s="189"/>
    <row r="1124" ht="13" customHeight="1" s="189"/>
    <row r="1125" ht="13" customHeight="1" s="189"/>
    <row r="1126" ht="13" customHeight="1" s="189"/>
    <row r="1127" ht="13" customHeight="1" s="189"/>
    <row r="1128" ht="13" customHeight="1" s="189"/>
    <row r="1129" ht="13" customHeight="1" s="189"/>
    <row r="1130" ht="13" customHeight="1" s="189"/>
    <row r="1131" ht="13" customHeight="1" s="189"/>
    <row r="1132" ht="13" customHeight="1" s="189"/>
    <row r="1133" ht="13" customHeight="1" s="189"/>
    <row r="1134" ht="13" customHeight="1" s="189"/>
    <row r="1135" ht="13" customHeight="1" s="189"/>
    <row r="1136" ht="13" customHeight="1" s="189"/>
    <row r="1137" ht="13" customHeight="1" s="189"/>
    <row r="1138" ht="13" customHeight="1" s="189"/>
    <row r="1139" ht="13" customHeight="1" s="189"/>
    <row r="1140" ht="13" customHeight="1" s="189"/>
    <row r="1141" ht="13" customHeight="1" s="189"/>
    <row r="1142" ht="13" customHeight="1" s="189"/>
    <row r="1143" ht="13" customHeight="1" s="189"/>
    <row r="1144" ht="13" customHeight="1" s="189"/>
    <row r="1145" ht="13" customHeight="1" s="189"/>
    <row r="1146" ht="13" customHeight="1" s="189"/>
    <row r="1147" ht="13" customHeight="1" s="189"/>
    <row r="1148" ht="13" customHeight="1" s="189"/>
    <row r="1149" ht="13" customHeight="1" s="189"/>
    <row r="1150" ht="13" customHeight="1" s="189"/>
    <row r="1151" ht="13" customHeight="1" s="189"/>
    <row r="1152" ht="13" customHeight="1" s="189"/>
    <row r="1153" ht="13" customHeight="1" s="189"/>
    <row r="1154" ht="13" customHeight="1" s="189"/>
    <row r="1155" ht="13" customHeight="1" s="189"/>
    <row r="1156" ht="13" customHeight="1" s="189"/>
    <row r="1157" ht="13" customHeight="1" s="189"/>
    <row r="1158" ht="13" customHeight="1" s="189"/>
    <row r="1159" ht="13" customHeight="1" s="189"/>
    <row r="1160" ht="13" customHeight="1" s="189"/>
    <row r="1161" ht="13" customHeight="1" s="189"/>
    <row r="1162" ht="13" customHeight="1" s="189"/>
    <row r="1163" ht="13" customHeight="1" s="189"/>
    <row r="1164" ht="13" customHeight="1" s="189"/>
    <row r="1165" ht="13" customHeight="1" s="189"/>
    <row r="1166" ht="13" customHeight="1" s="189"/>
    <row r="1167" ht="13" customHeight="1" s="189"/>
    <row r="1168" ht="13" customHeight="1" s="189"/>
    <row r="1169" ht="13" customHeight="1" s="189"/>
    <row r="1170" ht="13" customHeight="1" s="189"/>
    <row r="1171" ht="13" customHeight="1" s="189"/>
    <row r="1172" ht="13" customHeight="1" s="189"/>
    <row r="1173" ht="13" customHeight="1" s="189"/>
    <row r="1174" ht="13" customHeight="1" s="189"/>
    <row r="1175" ht="13" customHeight="1" s="189"/>
    <row r="1176" ht="13" customHeight="1" s="189"/>
    <row r="1177" ht="13" customHeight="1" s="189"/>
    <row r="1178" ht="13" customHeight="1" s="189"/>
    <row r="1179" ht="13" customHeight="1" s="189"/>
    <row r="1180" ht="13" customHeight="1" s="189"/>
    <row r="1181" ht="13" customHeight="1" s="189"/>
    <row r="1182" ht="13" customHeight="1" s="189"/>
    <row r="1183" ht="13" customHeight="1" s="189"/>
    <row r="1184" ht="13" customHeight="1" s="189"/>
    <row r="1185" ht="13" customHeight="1" s="189"/>
    <row r="1186" ht="13" customHeight="1" s="189"/>
    <row r="1187" ht="13" customHeight="1" s="189"/>
    <row r="1188" ht="13" customHeight="1" s="189"/>
    <row r="1189" ht="13" customHeight="1" s="189"/>
    <row r="1190" ht="13" customHeight="1" s="189"/>
    <row r="1191" ht="13" customHeight="1" s="189"/>
    <row r="1192" ht="13" customHeight="1" s="189"/>
    <row r="1193" ht="13" customHeight="1" s="189"/>
    <row r="1194" ht="13" customHeight="1" s="189"/>
    <row r="1195" ht="13" customHeight="1" s="189"/>
    <row r="1196" ht="13" customHeight="1" s="189"/>
    <row r="1197" ht="13" customHeight="1" s="189"/>
    <row r="1198" ht="13" customHeight="1" s="189"/>
    <row r="1199" ht="13" customHeight="1" s="189"/>
    <row r="1200" ht="13" customHeight="1" s="189"/>
    <row r="1201" ht="13" customHeight="1" s="189"/>
    <row r="1202" ht="13" customHeight="1" s="189"/>
    <row r="1203" ht="13" customHeight="1" s="189"/>
    <row r="1204" ht="13" customHeight="1" s="189"/>
    <row r="1205" ht="13" customHeight="1" s="189"/>
    <row r="1206" ht="13" customHeight="1" s="189"/>
    <row r="1207" ht="13" customHeight="1" s="189"/>
    <row r="1208" ht="13" customHeight="1" s="189"/>
    <row r="1209" ht="13" customHeight="1" s="189"/>
    <row r="1210" ht="13" customHeight="1" s="189"/>
    <row r="1211" ht="13" customHeight="1" s="189"/>
    <row r="1212" ht="13" customHeight="1" s="189"/>
    <row r="1213" ht="13" customHeight="1" s="189"/>
    <row r="1214" ht="13" customHeight="1" s="189"/>
    <row r="1215" ht="13" customHeight="1" s="189"/>
    <row r="1216" ht="13" customHeight="1" s="189"/>
    <row r="1217" ht="13" customHeight="1" s="189"/>
    <row r="1218" ht="13" customHeight="1" s="189"/>
    <row r="1219" ht="13" customHeight="1" s="189"/>
    <row r="1220" ht="13" customHeight="1" s="189"/>
    <row r="1221" ht="13" customHeight="1" s="189"/>
    <row r="1222" ht="13" customHeight="1" s="189"/>
    <row r="1223" ht="13" customHeight="1" s="189"/>
    <row r="1224" ht="13" customHeight="1" s="189"/>
    <row r="1225" ht="13" customHeight="1" s="189"/>
    <row r="1226" ht="13" customHeight="1" s="189"/>
    <row r="1227" ht="13" customHeight="1" s="189"/>
    <row r="1228" ht="13" customHeight="1" s="189"/>
    <row r="1229" ht="13" customHeight="1" s="189"/>
    <row r="1230" ht="13" customHeight="1" s="189"/>
    <row r="1231" ht="13" customHeight="1" s="189"/>
    <row r="1232" ht="13" customHeight="1" s="189"/>
    <row r="1233" ht="13" customHeight="1" s="189"/>
    <row r="1234" ht="13" customHeight="1" s="189"/>
    <row r="1235" ht="13" customHeight="1" s="189"/>
    <row r="1236" ht="13" customHeight="1" s="189"/>
    <row r="1237" ht="13" customHeight="1" s="189"/>
    <row r="1238" ht="13" customHeight="1" s="189"/>
    <row r="1239" ht="13" customHeight="1" s="189"/>
    <row r="1240" ht="13" customHeight="1" s="189"/>
    <row r="1241" ht="13" customHeight="1" s="189"/>
    <row r="1242" ht="13" customHeight="1" s="189"/>
    <row r="1243" ht="13" customHeight="1" s="189"/>
    <row r="1244" ht="13" customHeight="1" s="189"/>
    <row r="1245" ht="13" customHeight="1" s="189"/>
    <row r="1246" ht="13" customHeight="1" s="189"/>
    <row r="1247" ht="13" customHeight="1" s="189"/>
    <row r="1248" ht="13" customHeight="1" s="189"/>
    <row r="1249" ht="13" customHeight="1" s="189"/>
    <row r="1250" ht="13" customHeight="1" s="189"/>
    <row r="1251" ht="13" customHeight="1" s="189"/>
    <row r="1252" ht="13" customHeight="1" s="189"/>
    <row r="1253" ht="13" customHeight="1" s="189"/>
    <row r="1254" ht="13" customHeight="1" s="189"/>
    <row r="1255" ht="13" customHeight="1" s="189"/>
    <row r="1256" ht="13" customHeight="1" s="189"/>
    <row r="1257" ht="13" customHeight="1" s="189"/>
    <row r="1258" ht="13" customHeight="1" s="189"/>
    <row r="1259" ht="13" customHeight="1" s="189"/>
    <row r="1260" ht="13" customHeight="1" s="189"/>
    <row r="1261" ht="13" customHeight="1" s="189"/>
    <row r="1262" ht="13" customHeight="1" s="189"/>
    <row r="1263" ht="13" customHeight="1" s="189"/>
    <row r="1264" ht="13" customHeight="1" s="189"/>
    <row r="1265" ht="13" customHeight="1" s="189"/>
    <row r="1266" ht="13" customHeight="1" s="189"/>
    <row r="1267" ht="13" customHeight="1" s="189"/>
    <row r="1268" ht="13" customHeight="1" s="189"/>
    <row r="1269" ht="13" customHeight="1" s="189"/>
    <row r="1270" ht="13" customHeight="1" s="189"/>
    <row r="1271" ht="13" customHeight="1" s="189"/>
    <row r="1272" ht="13" customHeight="1" s="189"/>
    <row r="1273" ht="13" customHeight="1" s="189"/>
    <row r="1274" ht="13" customHeight="1" s="189"/>
    <row r="1275" ht="13" customHeight="1" s="189"/>
    <row r="1276" ht="13" customHeight="1" s="189"/>
    <row r="1277" ht="13" customHeight="1" s="189"/>
    <row r="1278" ht="13" customHeight="1" s="189"/>
    <row r="1279" ht="13" customHeight="1" s="189"/>
    <row r="1280" ht="13" customHeight="1" s="189"/>
    <row r="1281" ht="13" customHeight="1" s="189"/>
    <row r="1282" ht="13" customHeight="1" s="189"/>
    <row r="1283" ht="13" customHeight="1" s="189"/>
    <row r="1284" ht="13" customHeight="1" s="189"/>
    <row r="1285" ht="13" customHeight="1" s="189"/>
    <row r="1286" ht="13" customHeight="1" s="189"/>
    <row r="1287" ht="13" customHeight="1" s="189"/>
    <row r="1288" ht="13" customHeight="1" s="189"/>
    <row r="1289" ht="13" customHeight="1" s="189"/>
    <row r="1290" ht="13" customHeight="1" s="189"/>
    <row r="1291" ht="13" customHeight="1" s="189"/>
    <row r="1292" ht="13" customHeight="1" s="189"/>
    <row r="1293" ht="13" customHeight="1" s="189"/>
    <row r="1294" ht="13" customHeight="1" s="189"/>
    <row r="1295" ht="13" customHeight="1" s="189"/>
    <row r="1296" ht="13" customHeight="1" s="189"/>
    <row r="1297" ht="13" customHeight="1" s="189"/>
    <row r="1298" ht="13" customHeight="1" s="189"/>
    <row r="1299" ht="13" customHeight="1" s="189"/>
    <row r="1300" ht="13" customHeight="1" s="189"/>
    <row r="1301" ht="13" customHeight="1" s="189"/>
    <row r="1302" ht="13" customHeight="1" s="189"/>
    <row r="1303" ht="13" customHeight="1" s="189"/>
    <row r="1304" ht="13" customHeight="1" s="189"/>
    <row r="1305" ht="13" customHeight="1" s="189"/>
    <row r="1306" ht="13" customHeight="1" s="189"/>
    <row r="1307" ht="13" customHeight="1" s="189"/>
    <row r="1308" ht="13" customHeight="1" s="189"/>
    <row r="1309" ht="13" customHeight="1" s="189"/>
    <row r="1310" ht="13" customHeight="1" s="189"/>
    <row r="1311" ht="13" customHeight="1" s="189"/>
    <row r="1312" ht="13" customHeight="1" s="189"/>
    <row r="1313" ht="13" customHeight="1" s="189"/>
    <row r="1314" ht="13" customHeight="1" s="189"/>
    <row r="1315" ht="13" customHeight="1" s="189"/>
    <row r="1316" ht="13" customHeight="1" s="189"/>
    <row r="1317" ht="13" customHeight="1" s="189"/>
    <row r="1318" ht="13" customHeight="1" s="189"/>
    <row r="1319" ht="13" customHeight="1" s="189"/>
    <row r="1320" ht="13" customHeight="1" s="189"/>
    <row r="1321" ht="13" customHeight="1" s="189"/>
    <row r="1322" ht="13" customHeight="1" s="189"/>
    <row r="1323" ht="13" customHeight="1" s="189"/>
    <row r="1324" ht="13" customHeight="1" s="189"/>
    <row r="1325" ht="13" customHeight="1" s="189"/>
    <row r="1326" ht="13" customHeight="1" s="189"/>
    <row r="1327" ht="13" customHeight="1" s="189"/>
    <row r="1328" ht="13" customHeight="1" s="189"/>
    <row r="1329" ht="13" customHeight="1" s="189"/>
    <row r="1330" ht="13" customHeight="1" s="189"/>
    <row r="1331" ht="13" customHeight="1" s="189"/>
    <row r="1332" ht="13" customHeight="1" s="189"/>
    <row r="1333" ht="13" customHeight="1" s="189"/>
    <row r="1334" ht="13" customHeight="1" s="189"/>
    <row r="1335" ht="13" customHeight="1" s="189"/>
    <row r="1336" ht="13" customHeight="1" s="189"/>
    <row r="1337" ht="13" customHeight="1" s="189"/>
    <row r="1338" ht="13" customHeight="1" s="189"/>
    <row r="1339" ht="13" customHeight="1" s="189"/>
    <row r="1340" ht="13" customHeight="1" s="189"/>
    <row r="1341" ht="13" customHeight="1" s="189"/>
    <row r="1342" ht="13" customHeight="1" s="189"/>
    <row r="1343" ht="13" customHeight="1" s="189"/>
    <row r="1344" ht="13" customHeight="1" s="189"/>
    <row r="1345" ht="13" customHeight="1" s="189"/>
    <row r="1346" ht="13" customHeight="1" s="189"/>
    <row r="1347" ht="13" customHeight="1" s="189"/>
    <row r="1348" ht="13" customHeight="1" s="189"/>
    <row r="1349" ht="13" customHeight="1" s="189"/>
    <row r="1350" ht="13" customHeight="1" s="189"/>
    <row r="1351" ht="13" customHeight="1" s="189"/>
    <row r="1352" ht="13" customHeight="1" s="189"/>
    <row r="1353" ht="13" customHeight="1" s="189"/>
    <row r="1354" ht="13" customHeight="1" s="189"/>
    <row r="1355" ht="13" customHeight="1" s="189"/>
    <row r="1356" ht="13" customHeight="1" s="189"/>
    <row r="1357" ht="13" customHeight="1" s="189"/>
    <row r="1358" ht="13" customHeight="1" s="189"/>
    <row r="1359" ht="13" customHeight="1" s="189"/>
    <row r="1360" ht="13" customHeight="1" s="189"/>
    <row r="1361" ht="13" customHeight="1" s="189"/>
    <row r="1362" ht="13" customHeight="1" s="189"/>
    <row r="1363" ht="13" customHeight="1" s="189"/>
    <row r="1364" ht="13" customHeight="1" s="189"/>
    <row r="1365" ht="13" customHeight="1" s="189"/>
    <row r="1366" ht="13" customHeight="1" s="189"/>
    <row r="1367" ht="13" customHeight="1" s="189"/>
    <row r="1368" ht="13" customHeight="1" s="189"/>
    <row r="1369" ht="13" customHeight="1" s="189"/>
    <row r="1370" ht="13" customHeight="1" s="189"/>
    <row r="1371" ht="13" customHeight="1" s="189"/>
    <row r="1372" ht="13" customHeight="1" s="189"/>
    <row r="1373" ht="13" customHeight="1" s="189"/>
    <row r="1374" ht="13" customHeight="1" s="189"/>
    <row r="1375" ht="13" customHeight="1" s="189"/>
    <row r="1376" ht="13" customHeight="1" s="189"/>
    <row r="1377" ht="13" customHeight="1" s="189"/>
    <row r="1378" ht="13" customHeight="1" s="189"/>
    <row r="1379" ht="13" customHeight="1" s="189"/>
    <row r="1380" ht="13" customHeight="1" s="189"/>
    <row r="1381" ht="13" customHeight="1" s="189"/>
    <row r="1382" ht="13" customHeight="1" s="189"/>
    <row r="1383" ht="13" customHeight="1" s="189"/>
    <row r="1384" ht="13" customHeight="1" s="189"/>
    <row r="1385" ht="13" customHeight="1" s="189"/>
    <row r="1386" ht="13" customHeight="1" s="189"/>
    <row r="1387" ht="13" customHeight="1" s="189"/>
    <row r="1388" ht="13" customHeight="1" s="189"/>
    <row r="1389" ht="13" customHeight="1" s="189"/>
    <row r="1390" ht="13" customHeight="1" s="189"/>
    <row r="1391" ht="13" customHeight="1" s="189"/>
    <row r="1392" ht="13" customHeight="1" s="189"/>
    <row r="1393" ht="13" customHeight="1" s="189"/>
    <row r="1394" ht="13" customHeight="1" s="189"/>
    <row r="1395" ht="13" customHeight="1" s="189"/>
    <row r="1396" ht="13" customHeight="1" s="189"/>
    <row r="1397" ht="13" customHeight="1" s="189"/>
    <row r="1398" ht="13" customHeight="1" s="189"/>
    <row r="1399" ht="13" customHeight="1" s="189"/>
    <row r="1400" ht="13" customHeight="1" s="189"/>
    <row r="1401" ht="13" customHeight="1" s="189"/>
    <row r="1402" ht="13" customHeight="1" s="189"/>
    <row r="1403" ht="13" customHeight="1" s="189"/>
    <row r="1404" ht="13" customHeight="1" s="189"/>
    <row r="1405" ht="13" customHeight="1" s="189"/>
    <row r="1406" ht="13" customHeight="1" s="189"/>
    <row r="1407" ht="13" customHeight="1" s="189"/>
    <row r="1408" ht="13" customHeight="1" s="189"/>
    <row r="1409" ht="13" customHeight="1" s="189"/>
    <row r="1410" ht="13" customHeight="1" s="189"/>
    <row r="1411" ht="13" customHeight="1" s="189"/>
    <row r="1412" ht="13" customHeight="1" s="189"/>
    <row r="1413" ht="13" customHeight="1" s="189"/>
    <row r="1414" ht="13" customHeight="1" s="189"/>
    <row r="1415" ht="13" customHeight="1" s="189"/>
    <row r="1416" ht="13" customHeight="1" s="189"/>
    <row r="1417" ht="13" customHeight="1" s="189"/>
    <row r="1418" ht="13" customHeight="1" s="189"/>
    <row r="1419" ht="13" customHeight="1" s="189"/>
    <row r="1420" ht="13" customHeight="1" s="189"/>
    <row r="1421" ht="13" customHeight="1" s="189"/>
    <row r="1422" ht="13" customHeight="1" s="189"/>
    <row r="1423" ht="13" customHeight="1" s="189"/>
    <row r="1424" ht="13" customHeight="1" s="189"/>
    <row r="1425" ht="13" customHeight="1" s="189"/>
    <row r="1426" ht="13" customHeight="1" s="189"/>
    <row r="1427" ht="13" customHeight="1" s="189"/>
    <row r="1428" ht="13" customHeight="1" s="189"/>
    <row r="1429" ht="13" customHeight="1" s="189"/>
    <row r="1430" ht="13" customHeight="1" s="189"/>
    <row r="1431" ht="13" customHeight="1" s="189"/>
    <row r="1432" ht="13" customHeight="1" s="189"/>
    <row r="1433" ht="13" customHeight="1" s="189"/>
    <row r="1434" ht="13" customHeight="1" s="189"/>
    <row r="1435" ht="13" customHeight="1" s="189"/>
    <row r="1436" ht="13" customHeight="1" s="189"/>
    <row r="1437" ht="13" customHeight="1" s="189"/>
    <row r="1438" ht="13" customHeight="1" s="189"/>
    <row r="1439" ht="13" customHeight="1" s="189"/>
    <row r="1440" ht="13" customHeight="1" s="189"/>
    <row r="1441" ht="13" customHeight="1" s="189"/>
    <row r="1442" ht="13" customHeight="1" s="189"/>
    <row r="1443" ht="13" customHeight="1" s="189"/>
    <row r="1444" ht="13" customHeight="1" s="189"/>
    <row r="1445" ht="13" customHeight="1" s="189"/>
    <row r="1446" ht="13" customHeight="1" s="189"/>
    <row r="1447" ht="13" customHeight="1" s="189"/>
    <row r="1448" ht="13" customHeight="1" s="189"/>
    <row r="1449" ht="13" customHeight="1" s="189"/>
    <row r="1450" ht="13" customHeight="1" s="189"/>
    <row r="1451" ht="13" customHeight="1" s="189"/>
    <row r="1452" ht="13" customHeight="1" s="189"/>
    <row r="1453" ht="13" customHeight="1" s="189"/>
    <row r="1454" ht="13" customHeight="1" s="189"/>
    <row r="1455" ht="13" customHeight="1" s="189"/>
    <row r="1456" ht="13" customHeight="1" s="189"/>
    <row r="1457" ht="13" customHeight="1" s="189"/>
    <row r="1458" ht="13" customHeight="1" s="189"/>
    <row r="1459" ht="13" customHeight="1" s="189"/>
    <row r="1460" ht="13" customHeight="1" s="189"/>
    <row r="1461" ht="13" customHeight="1" s="189"/>
    <row r="1462" ht="13" customHeight="1" s="189"/>
    <row r="1463" ht="13" customHeight="1" s="189"/>
    <row r="1464" ht="13" customHeight="1" s="189"/>
  </sheetData>
  <mergeCells count="8">
    <mergeCell ref="A4:B4"/>
    <mergeCell ref="E2:G2"/>
    <mergeCell ref="A2:B2"/>
    <mergeCell ref="A1:G1"/>
    <mergeCell ref="A5:F5"/>
    <mergeCell ref="E4:G4"/>
    <mergeCell ref="E3:G3"/>
    <mergeCell ref="A3:B3"/>
  </mergeCells>
  <printOptions horizontalCentered="0" verticalCentered="0" headings="0" gridLines="1" gridLinesSet="1"/>
  <pageMargins left="0.75" right="0.75" top="1" bottom="1"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19.xml><?xml version="1.0" encoding="utf-8"?>
<worksheet xmlns="http://schemas.openxmlformats.org/spreadsheetml/2006/main">
  <sheetPr filterMode="0">
    <outlinePr summaryBelow="1" summaryRight="1"/>
    <pageSetUpPr fitToPage="0"/>
  </sheetPr>
  <dimension ref="A1:H102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J23" activeCellId="0" sqref="J23"/>
    </sheetView>
  </sheetViews>
  <sheetFormatPr baseColWidth="8" defaultColWidth="9.0546875" defaultRowHeight="12.5" zeroHeight="0" outlineLevelRow="0"/>
  <cols>
    <col width="3.17" customWidth="1" style="287" min="1" max="1"/>
    <col width="19.81" customWidth="1" style="188" min="2" max="2"/>
    <col width="27.53" customWidth="1" style="188" min="3" max="3"/>
    <col width="7.81" customWidth="1" style="293" min="4" max="4"/>
    <col width="8.99" customWidth="1" style="188" min="5" max="5"/>
    <col width="9.44" customWidth="1" style="188" min="6" max="6"/>
    <col width="23.26" customWidth="1" style="188" min="7" max="7"/>
    <col width="23.53" customWidth="1" style="188" min="8" max="8"/>
  </cols>
  <sheetData>
    <row r="1" ht="15.5" customHeight="1" s="189">
      <c r="A1" s="243" t="inlineStr">
        <is>
          <t>Stakeholder Analysis</t>
        </is>
      </c>
      <c r="B1" s="213" t="n"/>
      <c r="C1" s="213" t="n"/>
      <c r="D1" s="213" t="n"/>
      <c r="E1" s="213" t="n"/>
      <c r="F1" s="213" t="n"/>
      <c r="G1" s="213" t="n"/>
      <c r="H1" s="214" t="n"/>
    </row>
    <row r="2" ht="13" customHeight="1" s="189">
      <c r="A2" s="266" t="inlineStr">
        <is>
          <t>Project</t>
        </is>
      </c>
      <c r="B2" s="214" t="n"/>
      <c r="C2" s="208">
        <f>Data!B1</f>
        <v/>
      </c>
      <c r="D2" s="266" t="inlineStr">
        <is>
          <t>Project #</t>
        </is>
      </c>
      <c r="E2" s="208">
        <f>Data!B2</f>
        <v/>
      </c>
      <c r="F2" s="213" t="n"/>
      <c r="G2" s="213" t="n"/>
      <c r="H2" s="214" t="n"/>
    </row>
    <row r="3" ht="13" customHeight="1" s="189">
      <c r="A3" s="266" t="inlineStr">
        <is>
          <t>Project Manager</t>
        </is>
      </c>
      <c r="B3" s="214" t="n"/>
      <c r="C3" s="208">
        <f>Data!B3</f>
        <v/>
      </c>
      <c r="D3" s="266" t="inlineStr">
        <is>
          <t>Sponsor</t>
        </is>
      </c>
      <c r="E3" s="208">
        <f>Data!B4</f>
        <v/>
      </c>
      <c r="F3" s="213" t="n"/>
      <c r="G3" s="213" t="n"/>
      <c r="H3" s="214" t="n"/>
    </row>
    <row r="4" ht="13" customHeight="1" s="189">
      <c r="A4" s="266" t="inlineStr">
        <is>
          <t>Project Artifacts</t>
        </is>
      </c>
      <c r="B4" s="214" t="n"/>
      <c r="C4" s="208">
        <f>Data!B5</f>
        <v/>
      </c>
      <c r="D4" s="266" t="inlineStr">
        <is>
          <t>Updated</t>
        </is>
      </c>
      <c r="E4" s="208">
        <f>Data!B6</f>
        <v/>
      </c>
      <c r="F4" s="213" t="n"/>
      <c r="G4" s="213" t="n"/>
      <c r="H4" s="214" t="n"/>
    </row>
    <row r="5" ht="12.5" customHeight="1" s="189">
      <c r="A5" s="288" t="n"/>
      <c r="B5" s="213" t="n"/>
      <c r="C5" s="213" t="n"/>
      <c r="D5" s="213" t="n"/>
      <c r="E5" s="213" t="n"/>
      <c r="F5" s="213" t="n"/>
      <c r="G5" s="214" t="n"/>
      <c r="H5" s="222" t="n"/>
    </row>
    <row r="6" ht="61.5" customHeight="1" s="189">
      <c r="A6" s="281" t="inlineStr">
        <is>
          <t>ID</t>
        </is>
      </c>
      <c r="B6" s="281" t="inlineStr">
        <is>
          <t>Stakeholder</t>
        </is>
      </c>
      <c r="C6" s="281" t="inlineStr">
        <is>
          <t>Role</t>
        </is>
      </c>
      <c r="D6" s="281" t="inlineStr">
        <is>
          <t>Impact</t>
        </is>
      </c>
      <c r="E6" s="281" t="inlineStr">
        <is>
          <t>Influence</t>
        </is>
      </c>
      <c r="F6" s="281" t="inlineStr">
        <is>
          <t>Risk Tolerance</t>
        </is>
      </c>
      <c r="G6" s="281" t="inlineStr">
        <is>
          <t>Needs</t>
        </is>
      </c>
      <c r="H6" s="281" t="inlineStr">
        <is>
          <t>Responsibility</t>
        </is>
      </c>
    </row>
    <row r="7" ht="21.75" customHeight="1" s="189">
      <c r="A7" s="272" t="n">
        <v>1</v>
      </c>
      <c r="B7" s="199" t="inlineStr">
        <is>
          <t>Mohamed AAZI</t>
        </is>
      </c>
      <c r="C7" s="199" t="inlineStr">
        <is>
          <t>Project Sponsor</t>
        </is>
      </c>
      <c r="D7" s="285" t="inlineStr">
        <is>
          <t>High</t>
        </is>
      </c>
      <c r="E7" s="285" t="inlineStr">
        <is>
          <t>High</t>
        </is>
      </c>
      <c r="F7" s="285" t="inlineStr">
        <is>
          <t>Low</t>
        </is>
      </c>
      <c r="G7" s="284" t="inlineStr">
        <is>
          <t>On-time delivery, budget compliance</t>
        </is>
      </c>
      <c r="H7" s="223" t="inlineStr">
        <is>
          <t>Approve budget and scope changes</t>
        </is>
      </c>
    </row>
    <row r="8" ht="21.75" customHeight="1" s="189">
      <c r="A8" s="272" t="n">
        <v>2</v>
      </c>
      <c r="B8" s="199" t="inlineStr">
        <is>
          <t>Mohammedreda El aroui</t>
        </is>
      </c>
      <c r="C8" s="199" t="inlineStr">
        <is>
          <t>Project Manager</t>
        </is>
      </c>
      <c r="D8" s="285" t="inlineStr">
        <is>
          <t>High</t>
        </is>
      </c>
      <c r="E8" s="285" t="inlineStr">
        <is>
          <t>High</t>
        </is>
      </c>
      <c r="F8" s="285" t="inlineStr">
        <is>
          <t>Medium</t>
        </is>
      </c>
      <c r="G8" s="284" t="inlineStr">
        <is>
          <t>Clear requirements and team support</t>
        </is>
      </c>
      <c r="H8" s="223" t="inlineStr">
        <is>
          <t>Plan, execute, monitor project</t>
        </is>
      </c>
    </row>
    <row r="9" ht="21.75" customHeight="1" s="189">
      <c r="A9" s="272" t="n">
        <v>3</v>
      </c>
      <c r="B9" s="199" t="inlineStr">
        <is>
          <t>Development Team</t>
        </is>
      </c>
      <c r="C9" s="199" t="inlineStr">
        <is>
          <t>Technical Developers</t>
        </is>
      </c>
      <c r="D9" s="285" t="inlineStr">
        <is>
          <t>High</t>
        </is>
      </c>
      <c r="E9" s="285" t="inlineStr">
        <is>
          <t>Medium</t>
        </is>
      </c>
      <c r="F9" s="285" t="inlineStr">
        <is>
          <t>Medium</t>
        </is>
      </c>
      <c r="G9" s="284" t="inlineStr">
        <is>
          <t>Clear specs, tools, and environment</t>
        </is>
      </c>
      <c r="H9" s="223" t="inlineStr">
        <is>
          <t>Build and test the scanner</t>
        </is>
      </c>
    </row>
    <row r="10" ht="21.75" customHeight="1" s="189">
      <c r="A10" s="272" t="n">
        <v>4</v>
      </c>
      <c r="B10" s="199" t="inlineStr">
        <is>
          <t>End Users (Individuals/SMEs)</t>
        </is>
      </c>
      <c r="C10" s="199" t="inlineStr">
        <is>
          <t>Primary Users</t>
        </is>
      </c>
      <c r="D10" s="285" t="inlineStr">
        <is>
          <t>High</t>
        </is>
      </c>
      <c r="E10" s="285" t="inlineStr">
        <is>
          <t>Low</t>
        </is>
      </c>
      <c r="F10" s="285" t="inlineStr">
        <is>
          <t>Medium</t>
        </is>
      </c>
      <c r="G10" s="284" t="inlineStr">
        <is>
          <t>Simple, accurate, actionable tool</t>
        </is>
      </c>
      <c r="H10" s="223" t="inlineStr">
        <is>
          <t>Use tool and provide feedback</t>
        </is>
      </c>
    </row>
    <row r="11" ht="21.75" customHeight="1" s="189">
      <c r="A11" s="272" t="n">
        <v>5</v>
      </c>
      <c r="B11" s="199" t="inlineStr">
        <is>
          <t>Data Privacy Officer</t>
        </is>
      </c>
      <c r="C11" s="199" t="inlineStr">
        <is>
          <t>Compliance Advisor</t>
        </is>
      </c>
      <c r="D11" s="285" t="inlineStr">
        <is>
          <t>Medium</t>
        </is>
      </c>
      <c r="E11" s="285" t="inlineStr">
        <is>
          <t>High</t>
        </is>
      </c>
      <c r="F11" s="285" t="inlineStr">
        <is>
          <t>Low</t>
        </is>
      </c>
      <c r="G11" s="284" t="inlineStr">
        <is>
          <t>GDPR compliance, data minimization</t>
        </is>
      </c>
      <c r="H11" s="223" t="inlineStr">
        <is>
          <t>Review data handling procedures</t>
        </is>
      </c>
    </row>
    <row r="12" ht="21.75" customHeight="1" s="189">
      <c r="A12" s="272" t="n">
        <v>6</v>
      </c>
      <c r="B12" s="199" t="inlineStr">
        <is>
          <t>QA/Testing Team</t>
        </is>
      </c>
      <c r="C12" s="199" t="inlineStr">
        <is>
          <t>Quality Assurance</t>
        </is>
      </c>
      <c r="D12" s="285" t="inlineStr">
        <is>
          <t>Medium</t>
        </is>
      </c>
      <c r="E12" s="285" t="inlineStr">
        <is>
          <t>Medium</t>
        </is>
      </c>
      <c r="F12" s="285" t="inlineStr">
        <is>
          <t>Medium</t>
        </is>
      </c>
      <c r="G12" s="284" t="inlineStr">
        <is>
          <t>Test cases and requirements docs</t>
        </is>
      </c>
      <c r="H12" s="223" t="inlineStr">
        <is>
          <t>Test and validate scanner output</t>
        </is>
      </c>
    </row>
    <row r="13" ht="21.75" customHeight="1" s="189">
      <c r="A13" s="272" t="n">
        <v>7</v>
      </c>
      <c r="B13" s="199" t="n"/>
      <c r="C13" s="199" t="n"/>
      <c r="D13" s="285" t="n"/>
      <c r="E13" s="285" t="n"/>
      <c r="F13" s="285" t="n"/>
      <c r="G13" s="284" t="n"/>
      <c r="H13" s="223" t="n"/>
    </row>
    <row r="14" ht="21.75" customHeight="1" s="189">
      <c r="A14" s="272" t="n">
        <v>8</v>
      </c>
      <c r="B14" s="199" t="n"/>
      <c r="C14" s="199" t="n"/>
      <c r="D14" s="285" t="n"/>
      <c r="E14" s="285" t="n"/>
      <c r="F14" s="285" t="n"/>
      <c r="G14" s="284" t="n"/>
      <c r="H14" s="223" t="n"/>
    </row>
    <row r="15" ht="21.75" customHeight="1" s="189">
      <c r="A15" s="272" t="n">
        <v>9</v>
      </c>
      <c r="B15" s="199" t="n"/>
      <c r="C15" s="199" t="n"/>
      <c r="D15" s="285" t="n"/>
      <c r="E15" s="285" t="n"/>
      <c r="F15" s="285" t="n"/>
      <c r="G15" s="284" t="n"/>
      <c r="H15" s="223" t="n"/>
    </row>
    <row r="16" ht="21.75" customHeight="1" s="189">
      <c r="A16" s="272" t="n">
        <v>10</v>
      </c>
      <c r="B16" s="199" t="n"/>
      <c r="C16" s="199" t="n"/>
      <c r="D16" s="285" t="n"/>
      <c r="E16" s="285" t="n"/>
      <c r="F16" s="285" t="n"/>
      <c r="G16" s="284" t="n"/>
      <c r="H16" s="223" t="n"/>
    </row>
    <row r="17" ht="21.75" customHeight="1" s="189">
      <c r="A17" s="272" t="n">
        <v>11</v>
      </c>
      <c r="B17" s="199" t="n"/>
      <c r="C17" s="199" t="n"/>
      <c r="D17" s="285" t="n"/>
      <c r="E17" s="285" t="n"/>
      <c r="F17" s="285" t="n"/>
      <c r="G17" s="284" t="n"/>
      <c r="H17" s="223" t="n"/>
    </row>
    <row r="18" ht="21.75" customHeight="1" s="189">
      <c r="A18" s="272" t="n">
        <v>12</v>
      </c>
      <c r="B18" s="199" t="n"/>
      <c r="C18" s="199" t="n"/>
      <c r="D18" s="285" t="n"/>
      <c r="E18" s="285" t="n"/>
      <c r="F18" s="285" t="n"/>
      <c r="G18" s="284" t="n"/>
      <c r="H18" s="223" t="n"/>
    </row>
    <row r="19" ht="21.75" customHeight="1" s="189">
      <c r="A19" s="272" t="n">
        <v>13</v>
      </c>
      <c r="B19" s="199" t="n"/>
      <c r="C19" s="199" t="n"/>
      <c r="D19" s="285" t="n"/>
      <c r="E19" s="285" t="n"/>
      <c r="F19" s="285" t="n"/>
      <c r="G19" s="284" t="n"/>
      <c r="H19" s="223" t="n"/>
    </row>
    <row r="20" ht="21.75" customHeight="1" s="189">
      <c r="A20" s="272" t="n">
        <v>14</v>
      </c>
      <c r="B20" s="199" t="n"/>
      <c r="C20" s="199" t="n"/>
      <c r="D20" s="285" t="n"/>
      <c r="E20" s="285" t="n"/>
      <c r="F20" s="285" t="n"/>
      <c r="G20" s="284" t="n"/>
      <c r="H20" s="223" t="n"/>
    </row>
    <row r="21" ht="21.75" customHeight="1" s="189">
      <c r="A21" s="272" t="n">
        <v>15</v>
      </c>
      <c r="B21" s="199" t="n"/>
      <c r="C21" s="199" t="n"/>
      <c r="D21" s="285" t="n"/>
      <c r="E21" s="285" t="n"/>
      <c r="F21" s="285" t="n"/>
      <c r="G21" s="284" t="n"/>
      <c r="H21" s="223" t="n"/>
    </row>
    <row r="22" ht="21.75" customHeight="1" s="189">
      <c r="A22" s="272" t="n"/>
      <c r="B22" s="199" t="n"/>
      <c r="C22" s="199" t="n"/>
      <c r="D22" s="285" t="n"/>
      <c r="E22" s="285" t="n"/>
      <c r="F22" s="285" t="n"/>
      <c r="G22" s="284" t="n"/>
      <c r="H22" s="223" t="n"/>
    </row>
    <row r="23" ht="21.75" customHeight="1" s="189">
      <c r="A23" s="289" t="n"/>
      <c r="B23" s="290" t="n"/>
      <c r="C23" s="290" t="n"/>
      <c r="D23" s="291" t="n"/>
      <c r="E23" s="291" t="n"/>
      <c r="F23" s="291" t="n"/>
      <c r="G23" s="297" t="n"/>
      <c r="H23" s="298" t="n"/>
    </row>
    <row r="24" ht="13" customHeight="1" s="189">
      <c r="A24" s="289" t="n"/>
      <c r="B24" s="290" t="n"/>
      <c r="C24" s="290" t="n"/>
      <c r="D24" s="291" t="n"/>
      <c r="E24" s="291" t="n"/>
      <c r="F24" s="291" t="n"/>
      <c r="G24" s="297" t="n"/>
      <c r="H24" s="201" t="inlineStr">
        <is>
          <t>© Global Knowledge Training LLC</t>
        </is>
      </c>
    </row>
    <row r="25" ht="21.75" customHeight="1" s="189">
      <c r="A25" s="289" t="n"/>
      <c r="B25" s="290" t="n"/>
      <c r="C25" s="290" t="n"/>
      <c r="D25" s="291" t="n"/>
      <c r="E25" s="291" t="n"/>
      <c r="F25" s="291" t="n"/>
      <c r="G25" s="297" t="n"/>
      <c r="H25" s="298" t="n"/>
    </row>
    <row r="26" ht="21.75" customHeight="1" s="189">
      <c r="A26" s="289" t="n"/>
      <c r="B26" s="290" t="n"/>
      <c r="C26" s="290" t="n"/>
      <c r="D26" s="291" t="n"/>
      <c r="E26" s="291" t="n"/>
      <c r="F26" s="291" t="n"/>
      <c r="G26" s="297" t="n"/>
      <c r="H26" s="298" t="n"/>
    </row>
    <row r="27" ht="13" customHeight="1" s="189">
      <c r="A27" s="289" t="n"/>
      <c r="B27" s="290" t="n"/>
      <c r="C27" s="290" t="n"/>
      <c r="D27" s="291" t="n"/>
      <c r="E27" s="291" t="n"/>
      <c r="F27" s="291" t="n"/>
      <c r="G27" s="297" t="n"/>
      <c r="H27" s="298" t="n"/>
    </row>
    <row r="28" ht="13" customHeight="1" s="189">
      <c r="A28" s="289" t="n"/>
      <c r="B28" s="290" t="n"/>
      <c r="C28" s="290" t="n"/>
      <c r="D28" s="291" t="n"/>
      <c r="E28" s="291" t="n"/>
      <c r="F28" s="291" t="n"/>
      <c r="G28" s="297" t="n"/>
      <c r="H28" s="298" t="n"/>
    </row>
    <row r="29" ht="13" customHeight="1" s="189">
      <c r="A29" s="289" t="n"/>
      <c r="B29" s="290" t="n"/>
      <c r="C29" s="290" t="n"/>
      <c r="D29" s="291" t="n"/>
      <c r="E29" s="291" t="n"/>
      <c r="F29" s="291" t="n"/>
      <c r="G29" s="297" t="n"/>
      <c r="H29" s="298" t="n"/>
    </row>
    <row r="30" ht="13" customHeight="1" s="189">
      <c r="A30" s="289" t="n"/>
      <c r="B30" s="290" t="n"/>
      <c r="C30" s="290" t="n"/>
      <c r="D30" s="291" t="n"/>
      <c r="E30" s="291" t="n"/>
      <c r="F30" s="291" t="n"/>
      <c r="G30" s="297" t="n"/>
      <c r="H30" s="298" t="n"/>
    </row>
    <row r="31" ht="13" customHeight="1" s="189">
      <c r="A31" s="289" t="n"/>
      <c r="B31" s="290" t="n"/>
      <c r="C31" s="290" t="n"/>
      <c r="D31" s="291" t="n"/>
      <c r="E31" s="291" t="n"/>
      <c r="F31" s="291" t="n"/>
      <c r="G31" s="297" t="n"/>
      <c r="H31" s="298" t="n"/>
    </row>
    <row r="32" ht="13" customHeight="1" s="189">
      <c r="A32" s="289" t="n"/>
      <c r="B32" s="290" t="n"/>
      <c r="C32" s="290" t="n"/>
      <c r="D32" s="291" t="n"/>
      <c r="E32" s="291" t="n"/>
      <c r="F32" s="291" t="n"/>
      <c r="G32" s="297" t="n"/>
      <c r="H32" s="298" t="n"/>
    </row>
    <row r="33" ht="13" customHeight="1" s="189">
      <c r="A33" s="289" t="n"/>
      <c r="B33" s="290" t="n"/>
      <c r="C33" s="290" t="n"/>
      <c r="D33" s="291" t="n"/>
      <c r="E33" s="291" t="n"/>
      <c r="F33" s="291" t="n"/>
      <c r="G33" s="297" t="n"/>
      <c r="H33" s="298" t="n"/>
    </row>
    <row r="34" ht="13" customHeight="1" s="189">
      <c r="A34" s="289" t="n"/>
      <c r="B34" s="290" t="n"/>
      <c r="C34" s="290" t="n"/>
      <c r="D34" s="291" t="n"/>
      <c r="E34" s="291" t="n"/>
      <c r="F34" s="291" t="n"/>
      <c r="G34" s="297" t="n"/>
      <c r="H34" s="298" t="n"/>
    </row>
    <row r="35" ht="13" customHeight="1" s="189">
      <c r="A35" s="289" t="n"/>
      <c r="B35" s="290" t="n"/>
      <c r="C35" s="290" t="n"/>
      <c r="D35" s="291" t="n"/>
      <c r="E35" s="291" t="n"/>
      <c r="F35" s="291" t="n"/>
      <c r="G35" s="297" t="n"/>
      <c r="H35" s="298" t="n"/>
    </row>
    <row r="36" ht="13" customHeight="1" s="189">
      <c r="A36" s="289" t="n"/>
      <c r="B36" s="290" t="n"/>
      <c r="C36" s="290" t="n"/>
      <c r="D36" s="291" t="n"/>
      <c r="E36" s="291" t="n"/>
      <c r="F36" s="291" t="n"/>
      <c r="G36" s="297" t="n"/>
      <c r="H36" s="298" t="n"/>
    </row>
    <row r="37" ht="13" customHeight="1" s="189">
      <c r="A37" s="289" t="n"/>
      <c r="B37" s="290" t="n"/>
      <c r="C37" s="290" t="n"/>
      <c r="D37" s="291" t="n"/>
      <c r="E37" s="291" t="n"/>
      <c r="F37" s="291" t="n"/>
      <c r="G37" s="297" t="n"/>
      <c r="H37" s="298" t="n"/>
    </row>
    <row r="38" ht="13" customHeight="1" s="189">
      <c r="A38" s="289" t="n"/>
      <c r="B38" s="290" t="n"/>
      <c r="C38" s="290" t="n"/>
      <c r="D38" s="291" t="n"/>
      <c r="E38" s="291" t="n"/>
      <c r="F38" s="291" t="n"/>
      <c r="G38" s="297" t="n"/>
      <c r="H38" s="298" t="n"/>
    </row>
    <row r="39" ht="13" customHeight="1" s="189">
      <c r="A39" s="289" t="n"/>
      <c r="B39" s="290" t="n"/>
      <c r="C39" s="290" t="n"/>
      <c r="D39" s="291" t="n"/>
      <c r="E39" s="291" t="n"/>
      <c r="F39" s="291" t="n"/>
      <c r="G39" s="297" t="n"/>
      <c r="H39" s="298" t="n"/>
    </row>
    <row r="40" ht="13" customHeight="1" s="189">
      <c r="A40" s="289" t="n"/>
      <c r="B40" s="290" t="n"/>
      <c r="C40" s="290" t="n"/>
      <c r="D40" s="291" t="n"/>
      <c r="E40" s="291" t="n"/>
      <c r="F40" s="291" t="n"/>
      <c r="G40" s="297" t="n"/>
      <c r="H40" s="298" t="n"/>
    </row>
    <row r="41" ht="13" customHeight="1" s="189">
      <c r="A41" s="289" t="n"/>
      <c r="B41" s="290" t="n"/>
      <c r="C41" s="290" t="n"/>
      <c r="D41" s="291" t="n"/>
      <c r="E41" s="291" t="n"/>
      <c r="F41" s="291" t="n"/>
      <c r="G41" s="297" t="n"/>
      <c r="H41" s="298" t="n"/>
    </row>
    <row r="42" ht="13" customHeight="1" s="189">
      <c r="A42" s="289" t="n"/>
      <c r="B42" s="290" t="n"/>
      <c r="C42" s="290" t="n"/>
      <c r="D42" s="291" t="n"/>
      <c r="E42" s="291" t="n"/>
      <c r="F42" s="291" t="n"/>
      <c r="G42" s="297" t="n"/>
      <c r="H42" s="298" t="n"/>
    </row>
    <row r="43" ht="13" customHeight="1" s="189">
      <c r="A43" s="289" t="n"/>
      <c r="B43" s="290" t="n"/>
      <c r="C43" s="290" t="n"/>
      <c r="D43" s="291" t="n"/>
      <c r="E43" s="291" t="n"/>
      <c r="F43" s="291" t="n"/>
      <c r="G43" s="297" t="n"/>
      <c r="H43" s="298" t="n"/>
    </row>
    <row r="44" ht="13" customHeight="1" s="189">
      <c r="A44" s="289" t="n"/>
      <c r="B44" s="290" t="n"/>
      <c r="C44" s="290" t="n"/>
      <c r="D44" s="291" t="n"/>
      <c r="E44" s="291" t="n"/>
      <c r="F44" s="291" t="n"/>
      <c r="G44" s="297" t="n"/>
      <c r="H44" s="298" t="n"/>
    </row>
    <row r="45" ht="13" customHeight="1" s="189">
      <c r="A45" s="289" t="n"/>
      <c r="B45" s="290" t="n"/>
      <c r="C45" s="290" t="n"/>
      <c r="D45" s="291" t="n"/>
      <c r="E45" s="291" t="n"/>
      <c r="F45" s="291" t="n"/>
      <c r="G45" s="297" t="n"/>
      <c r="H45" s="298" t="n"/>
    </row>
    <row r="46" ht="13" customHeight="1" s="189">
      <c r="A46" s="289" t="n"/>
      <c r="B46" s="290" t="n"/>
      <c r="C46" s="290" t="n"/>
      <c r="D46" s="291" t="n"/>
      <c r="E46" s="291" t="n"/>
      <c r="F46" s="291" t="n"/>
      <c r="G46" s="297" t="n"/>
      <c r="H46" s="298" t="n"/>
    </row>
    <row r="47" ht="13" customHeight="1" s="189">
      <c r="A47" s="289" t="n"/>
      <c r="B47" s="290" t="n"/>
      <c r="C47" s="290" t="n"/>
      <c r="D47" s="291" t="n"/>
      <c r="E47" s="291" t="n"/>
      <c r="F47" s="291" t="n"/>
      <c r="G47" s="297" t="n"/>
      <c r="H47" s="298" t="n"/>
    </row>
    <row r="48" ht="13" customHeight="1" s="189">
      <c r="A48" s="289" t="n"/>
      <c r="B48" s="290" t="n"/>
      <c r="C48" s="290" t="n"/>
      <c r="D48" s="291" t="n"/>
      <c r="E48" s="291" t="n"/>
      <c r="F48" s="291" t="n"/>
      <c r="G48" s="297" t="n"/>
      <c r="H48" s="298" t="n"/>
    </row>
    <row r="49" ht="13" customHeight="1" s="189">
      <c r="A49" s="289" t="n"/>
      <c r="B49" s="290" t="n"/>
      <c r="C49" s="290" t="n"/>
      <c r="D49" s="291" t="n"/>
      <c r="E49" s="291" t="n"/>
      <c r="F49" s="291" t="n"/>
      <c r="G49" s="297" t="n"/>
      <c r="H49" s="298" t="n"/>
    </row>
    <row r="50" ht="13" customHeight="1" s="189">
      <c r="A50" s="289" t="n"/>
      <c r="B50" s="290" t="n"/>
      <c r="C50" s="290" t="n"/>
      <c r="D50" s="291" t="n"/>
      <c r="E50" s="291" t="n"/>
      <c r="F50" s="291" t="n"/>
      <c r="G50" s="297" t="n"/>
      <c r="H50" s="298" t="n"/>
    </row>
    <row r="51" ht="13" customHeight="1" s="189">
      <c r="A51" s="289" t="n"/>
      <c r="B51" s="290" t="n"/>
      <c r="C51" s="290" t="n"/>
      <c r="D51" s="291" t="n"/>
      <c r="E51" s="291" t="n"/>
      <c r="F51" s="291" t="n"/>
      <c r="G51" s="297" t="n"/>
      <c r="H51" s="298" t="n"/>
    </row>
    <row r="52" ht="13" customHeight="1" s="189">
      <c r="A52" s="289" t="n"/>
      <c r="B52" s="290" t="n"/>
      <c r="C52" s="290" t="n"/>
      <c r="D52" s="291" t="n"/>
      <c r="E52" s="291" t="n"/>
      <c r="F52" s="291" t="n"/>
      <c r="G52" s="297" t="n"/>
      <c r="H52" s="298" t="n"/>
    </row>
    <row r="53" ht="13" customHeight="1" s="189">
      <c r="A53" s="289" t="n"/>
      <c r="B53" s="290" t="n"/>
      <c r="C53" s="290" t="n"/>
      <c r="D53" s="291" t="n"/>
      <c r="E53" s="291" t="n"/>
      <c r="F53" s="291" t="n"/>
      <c r="G53" s="297" t="n"/>
      <c r="H53" s="298" t="n"/>
    </row>
    <row r="54" ht="13" customHeight="1" s="189">
      <c r="A54" s="289" t="n"/>
      <c r="B54" s="290" t="n"/>
      <c r="C54" s="290" t="n"/>
      <c r="D54" s="291" t="n"/>
      <c r="E54" s="291" t="n"/>
      <c r="F54" s="291" t="n"/>
      <c r="G54" s="297" t="n"/>
      <c r="H54" s="298" t="n"/>
    </row>
    <row r="55" ht="13" customHeight="1" s="189">
      <c r="A55" s="289" t="n"/>
      <c r="B55" s="290" t="n"/>
      <c r="C55" s="290" t="n"/>
      <c r="D55" s="291" t="n"/>
      <c r="E55" s="291" t="n"/>
      <c r="F55" s="291" t="n"/>
      <c r="G55" s="297" t="n"/>
      <c r="H55" s="298" t="n"/>
    </row>
    <row r="56" ht="13" customHeight="1" s="189">
      <c r="A56" s="289" t="n"/>
      <c r="B56" s="290" t="n"/>
      <c r="C56" s="290" t="n"/>
      <c r="D56" s="291" t="n"/>
      <c r="E56" s="291" t="n"/>
      <c r="F56" s="291" t="n"/>
      <c r="G56" s="297" t="n"/>
      <c r="H56" s="298" t="n"/>
    </row>
    <row r="57" ht="13" customHeight="1" s="189">
      <c r="A57" s="289" t="n"/>
      <c r="B57" s="290" t="n"/>
      <c r="C57" s="290" t="n"/>
      <c r="D57" s="291" t="n"/>
      <c r="E57" s="291" t="n"/>
      <c r="F57" s="291" t="n"/>
      <c r="G57" s="297" t="n"/>
      <c r="H57" s="298" t="n"/>
    </row>
    <row r="58" ht="13" customHeight="1" s="189">
      <c r="A58" s="289" t="n"/>
      <c r="B58" s="290" t="n"/>
      <c r="C58" s="290" t="n"/>
      <c r="D58" s="291" t="n"/>
      <c r="E58" s="291" t="n"/>
      <c r="F58" s="291" t="n"/>
      <c r="G58" s="297" t="n"/>
      <c r="H58" s="298" t="n"/>
    </row>
    <row r="59" ht="13" customHeight="1" s="189">
      <c r="A59" s="289" t="n"/>
      <c r="B59" s="290" t="n"/>
      <c r="C59" s="290" t="n"/>
      <c r="D59" s="291" t="n"/>
      <c r="E59" s="291" t="n"/>
      <c r="F59" s="291" t="n"/>
      <c r="G59" s="297" t="n"/>
      <c r="H59" s="298" t="n"/>
    </row>
    <row r="60" ht="13" customHeight="1" s="189">
      <c r="A60" s="289" t="n"/>
      <c r="B60" s="290" t="n"/>
      <c r="C60" s="290" t="n"/>
      <c r="D60" s="291" t="n"/>
      <c r="E60" s="291" t="n"/>
      <c r="F60" s="291" t="n"/>
      <c r="G60" s="297" t="n"/>
      <c r="H60" s="298" t="n"/>
    </row>
    <row r="61" ht="13" customHeight="1" s="189">
      <c r="A61" s="289" t="n"/>
      <c r="B61" s="290" t="n"/>
      <c r="C61" s="290" t="n"/>
      <c r="D61" s="291" t="n"/>
      <c r="E61" s="291" t="n"/>
      <c r="F61" s="291" t="n"/>
      <c r="G61" s="297" t="n"/>
      <c r="H61" s="298" t="n"/>
    </row>
    <row r="62" ht="13" customHeight="1" s="189">
      <c r="A62" s="289" t="n"/>
      <c r="B62" s="290" t="n"/>
      <c r="C62" s="290" t="n"/>
      <c r="D62" s="291" t="n"/>
      <c r="E62" s="291" t="n"/>
      <c r="F62" s="291" t="n"/>
      <c r="G62" s="297" t="n"/>
      <c r="H62" s="298" t="n"/>
    </row>
    <row r="63" ht="13" customHeight="1" s="189">
      <c r="A63" s="289" t="n"/>
      <c r="B63" s="290" t="n"/>
      <c r="C63" s="290" t="n"/>
      <c r="D63" s="291" t="n"/>
      <c r="E63" s="291" t="n"/>
      <c r="F63" s="291" t="n"/>
      <c r="G63" s="297" t="n"/>
      <c r="H63" s="298" t="n"/>
    </row>
    <row r="64" ht="13" customHeight="1" s="189">
      <c r="A64" s="289" t="n"/>
      <c r="B64" s="290" t="n"/>
      <c r="C64" s="290" t="n"/>
      <c r="D64" s="291" t="n"/>
      <c r="E64" s="291" t="n"/>
      <c r="F64" s="291" t="n"/>
      <c r="G64" s="297" t="n"/>
      <c r="H64" s="298" t="n"/>
    </row>
    <row r="65" ht="13" customHeight="1" s="189">
      <c r="A65" s="289" t="n"/>
      <c r="B65" s="290" t="n"/>
      <c r="C65" s="290" t="n"/>
      <c r="D65" s="291" t="n"/>
      <c r="E65" s="291" t="n"/>
      <c r="F65" s="291" t="n"/>
      <c r="G65" s="297" t="n"/>
      <c r="H65" s="298" t="n"/>
    </row>
    <row r="66" ht="13" customHeight="1" s="189">
      <c r="A66" s="289" t="n"/>
      <c r="B66" s="290" t="n"/>
      <c r="C66" s="290" t="n"/>
      <c r="D66" s="291" t="n"/>
      <c r="E66" s="291" t="n"/>
      <c r="F66" s="291" t="n"/>
      <c r="G66" s="297" t="n"/>
      <c r="H66" s="298" t="n"/>
    </row>
    <row r="67" ht="13" customHeight="1" s="189">
      <c r="A67" s="289" t="n"/>
      <c r="B67" s="290" t="n"/>
      <c r="C67" s="290" t="n"/>
      <c r="D67" s="291" t="n"/>
      <c r="E67" s="291" t="n"/>
      <c r="F67" s="291" t="n"/>
      <c r="G67" s="297" t="n"/>
      <c r="H67" s="298" t="n"/>
    </row>
    <row r="68" ht="13" customHeight="1" s="189">
      <c r="A68" s="289" t="n"/>
      <c r="B68" s="290" t="n"/>
      <c r="C68" s="290" t="n"/>
      <c r="D68" s="291" t="n"/>
      <c r="E68" s="291" t="n"/>
      <c r="F68" s="291" t="n"/>
      <c r="G68" s="297" t="n"/>
      <c r="H68" s="298" t="n"/>
    </row>
    <row r="69" ht="13" customHeight="1" s="189">
      <c r="A69" s="289" t="n"/>
      <c r="B69" s="290" t="n"/>
      <c r="C69" s="290" t="n"/>
      <c r="D69" s="291" t="n"/>
      <c r="E69" s="291" t="n"/>
      <c r="F69" s="291" t="n"/>
      <c r="G69" s="297" t="n"/>
      <c r="H69" s="298" t="n"/>
    </row>
    <row r="70" ht="13" customHeight="1" s="189">
      <c r="A70" s="289" t="n"/>
      <c r="B70" s="290" t="n"/>
      <c r="C70" s="290" t="n"/>
      <c r="D70" s="291" t="n"/>
      <c r="E70" s="291" t="n"/>
      <c r="F70" s="291" t="n"/>
      <c r="G70" s="297" t="n"/>
      <c r="H70" s="298" t="n"/>
    </row>
    <row r="71" ht="13" customHeight="1" s="189">
      <c r="A71" s="289" t="n"/>
      <c r="B71" s="290" t="n"/>
      <c r="C71" s="290" t="n"/>
      <c r="D71" s="291" t="n"/>
      <c r="E71" s="291" t="n"/>
      <c r="F71" s="291" t="n"/>
      <c r="G71" s="297" t="n"/>
      <c r="H71" s="298" t="n"/>
    </row>
    <row r="72" ht="13" customHeight="1" s="189">
      <c r="A72" s="289" t="n"/>
      <c r="B72" s="290" t="n"/>
      <c r="C72" s="290" t="n"/>
      <c r="D72" s="291" t="n"/>
      <c r="E72" s="291" t="n"/>
      <c r="F72" s="291" t="n"/>
      <c r="G72" s="297" t="n"/>
      <c r="H72" s="298" t="n"/>
    </row>
    <row r="73" ht="13" customHeight="1" s="189">
      <c r="A73" s="289" t="n"/>
      <c r="B73" s="290" t="n"/>
      <c r="C73" s="290" t="n"/>
      <c r="D73" s="291" t="n"/>
      <c r="E73" s="291" t="n"/>
      <c r="F73" s="291" t="n"/>
      <c r="G73" s="297" t="n"/>
      <c r="H73" s="298" t="n"/>
    </row>
    <row r="74" ht="13" customHeight="1" s="189">
      <c r="A74" s="289" t="n"/>
      <c r="B74" s="290" t="n"/>
      <c r="C74" s="290" t="n"/>
      <c r="D74" s="291" t="n"/>
      <c r="E74" s="291" t="n"/>
      <c r="F74" s="291" t="n"/>
      <c r="G74" s="297" t="n"/>
      <c r="H74" s="298" t="n"/>
    </row>
    <row r="75" ht="13" customHeight="1" s="189">
      <c r="A75" s="289" t="n"/>
      <c r="B75" s="290" t="n"/>
      <c r="C75" s="290" t="n"/>
      <c r="D75" s="291" t="n"/>
      <c r="E75" s="291" t="n"/>
      <c r="F75" s="291" t="n"/>
      <c r="G75" s="297" t="n"/>
      <c r="H75" s="298" t="n"/>
    </row>
    <row r="76" ht="13" customHeight="1" s="189">
      <c r="A76" s="289" t="n"/>
      <c r="B76" s="290" t="n"/>
      <c r="C76" s="290" t="n"/>
      <c r="D76" s="291" t="n"/>
      <c r="E76" s="291" t="n"/>
      <c r="F76" s="291" t="n"/>
      <c r="G76" s="297" t="n"/>
      <c r="H76" s="298" t="n"/>
    </row>
    <row r="77" ht="13" customHeight="1" s="189">
      <c r="A77" s="289" t="n"/>
      <c r="B77" s="290" t="n"/>
      <c r="C77" s="290" t="n"/>
      <c r="D77" s="291" t="n"/>
      <c r="E77" s="291" t="n"/>
      <c r="F77" s="291" t="n"/>
      <c r="G77" s="297" t="n"/>
      <c r="H77" s="298" t="n"/>
    </row>
    <row r="78" ht="13" customHeight="1" s="189">
      <c r="A78" s="289" t="n"/>
      <c r="B78" s="290" t="n"/>
      <c r="C78" s="290" t="n"/>
      <c r="D78" s="291" t="n"/>
      <c r="E78" s="291" t="n"/>
      <c r="F78" s="291" t="n"/>
      <c r="G78" s="297" t="n"/>
      <c r="H78" s="298" t="n"/>
    </row>
    <row r="79" ht="13" customHeight="1" s="189">
      <c r="A79" s="289" t="n"/>
      <c r="B79" s="290" t="n"/>
      <c r="C79" s="290" t="n"/>
      <c r="D79" s="291" t="n"/>
      <c r="E79" s="291" t="n"/>
      <c r="F79" s="291" t="n"/>
      <c r="G79" s="297" t="n"/>
      <c r="H79" s="298" t="n"/>
    </row>
    <row r="80" ht="13" customHeight="1" s="189">
      <c r="A80" s="289" t="n"/>
      <c r="B80" s="290" t="n"/>
      <c r="C80" s="290" t="n"/>
      <c r="D80" s="291" t="n"/>
      <c r="E80" s="291" t="n"/>
      <c r="F80" s="291" t="n"/>
      <c r="G80" s="297" t="n"/>
      <c r="H80" s="298" t="n"/>
    </row>
    <row r="81" ht="13" customHeight="1" s="189">
      <c r="A81" s="289" t="n"/>
      <c r="B81" s="290" t="n"/>
      <c r="C81" s="290" t="n"/>
      <c r="D81" s="291" t="n"/>
      <c r="E81" s="291" t="n"/>
      <c r="F81" s="291" t="n"/>
      <c r="G81" s="297" t="n"/>
      <c r="H81" s="298" t="n"/>
    </row>
    <row r="82" ht="13" customHeight="1" s="189">
      <c r="A82" s="289" t="n"/>
      <c r="B82" s="290" t="n"/>
      <c r="C82" s="290" t="n"/>
      <c r="D82" s="291" t="n"/>
      <c r="E82" s="291" t="n"/>
      <c r="F82" s="291" t="n"/>
      <c r="G82" s="297" t="n"/>
      <c r="H82" s="298" t="n"/>
    </row>
    <row r="83" ht="13" customHeight="1" s="189">
      <c r="A83" s="289" t="n"/>
      <c r="B83" s="290" t="n"/>
      <c r="C83" s="290" t="n"/>
      <c r="D83" s="291" t="n"/>
      <c r="E83" s="291" t="n"/>
      <c r="F83" s="291" t="n"/>
      <c r="G83" s="297" t="n"/>
      <c r="H83" s="298" t="n"/>
    </row>
    <row r="84" ht="13" customHeight="1" s="189">
      <c r="A84" s="289" t="n"/>
      <c r="B84" s="290" t="n"/>
      <c r="C84" s="290" t="n"/>
      <c r="D84" s="291" t="n"/>
      <c r="E84" s="291" t="n"/>
      <c r="F84" s="291" t="n"/>
      <c r="G84" s="297" t="n"/>
      <c r="H84" s="298" t="n"/>
    </row>
    <row r="85" ht="13" customHeight="1" s="189">
      <c r="A85" s="289" t="n"/>
      <c r="B85" s="290" t="n"/>
      <c r="C85" s="290" t="n"/>
      <c r="D85" s="291" t="n"/>
      <c r="E85" s="291" t="n"/>
      <c r="F85" s="291" t="n"/>
      <c r="G85" s="297" t="n"/>
      <c r="H85" s="298" t="n"/>
    </row>
    <row r="86" ht="13" customHeight="1" s="189">
      <c r="A86" s="289" t="n"/>
      <c r="B86" s="290" t="n"/>
      <c r="C86" s="290" t="n"/>
      <c r="D86" s="291" t="n"/>
      <c r="E86" s="291" t="n"/>
      <c r="F86" s="291" t="n"/>
      <c r="G86" s="297" t="n"/>
      <c r="H86" s="298" t="n"/>
    </row>
    <row r="87" ht="13" customHeight="1" s="189">
      <c r="A87" s="289" t="n"/>
      <c r="B87" s="290" t="n"/>
      <c r="C87" s="290" t="n"/>
      <c r="D87" s="291" t="n"/>
      <c r="E87" s="291" t="n"/>
      <c r="F87" s="291" t="n"/>
      <c r="G87" s="297" t="n"/>
      <c r="H87" s="298" t="n"/>
    </row>
    <row r="88" ht="13" customHeight="1" s="189">
      <c r="A88" s="289" t="n"/>
      <c r="B88" s="290" t="n"/>
      <c r="C88" s="290" t="n"/>
      <c r="D88" s="291" t="n"/>
      <c r="E88" s="291" t="n"/>
      <c r="F88" s="291" t="n"/>
      <c r="G88" s="297" t="n"/>
      <c r="H88" s="298" t="n"/>
    </row>
    <row r="89" ht="13" customHeight="1" s="189">
      <c r="A89" s="289" t="n"/>
      <c r="B89" s="290" t="n"/>
      <c r="C89" s="290" t="n"/>
      <c r="D89" s="291" t="n"/>
      <c r="E89" s="291" t="n"/>
      <c r="F89" s="291" t="n"/>
      <c r="G89" s="297" t="n"/>
      <c r="H89" s="298" t="n"/>
    </row>
    <row r="90" ht="13" customHeight="1" s="189">
      <c r="A90" s="289" t="n"/>
      <c r="B90" s="290" t="n"/>
      <c r="C90" s="290" t="n"/>
      <c r="D90" s="291" t="n"/>
      <c r="E90" s="291" t="n"/>
      <c r="F90" s="291" t="n"/>
      <c r="G90" s="297" t="n"/>
      <c r="H90" s="298" t="n"/>
    </row>
    <row r="91" ht="13" customHeight="1" s="189">
      <c r="A91" s="289" t="n"/>
      <c r="B91" s="290" t="n"/>
      <c r="C91" s="290" t="n"/>
      <c r="D91" s="291" t="n"/>
      <c r="E91" s="291" t="n"/>
      <c r="F91" s="291" t="n"/>
      <c r="G91" s="297" t="n"/>
      <c r="H91" s="298" t="n"/>
    </row>
    <row r="92" ht="13" customHeight="1" s="189">
      <c r="A92" s="289" t="n"/>
      <c r="B92" s="290" t="n"/>
      <c r="C92" s="290" t="n"/>
      <c r="D92" s="291" t="n"/>
      <c r="E92" s="291" t="n"/>
      <c r="F92" s="291" t="n"/>
      <c r="G92" s="297" t="n"/>
      <c r="H92" s="298" t="n"/>
    </row>
    <row r="93" ht="13" customHeight="1" s="189">
      <c r="A93" s="289" t="n"/>
      <c r="B93" s="290" t="n"/>
      <c r="C93" s="290" t="n"/>
      <c r="D93" s="291" t="n"/>
      <c r="E93" s="291" t="n"/>
      <c r="F93" s="291" t="n"/>
      <c r="G93" s="297" t="n"/>
      <c r="H93" s="298" t="n"/>
    </row>
    <row r="94" ht="13" customHeight="1" s="189">
      <c r="A94" s="289" t="n"/>
      <c r="B94" s="290" t="n"/>
      <c r="C94" s="290" t="n"/>
      <c r="D94" s="291" t="n"/>
      <c r="E94" s="291" t="n"/>
      <c r="F94" s="291" t="n"/>
      <c r="G94" s="297" t="n"/>
      <c r="H94" s="298" t="n"/>
    </row>
    <row r="95" ht="13" customHeight="1" s="189">
      <c r="A95" s="289" t="n"/>
      <c r="B95" s="290" t="n"/>
      <c r="C95" s="290" t="n"/>
      <c r="D95" s="291" t="n"/>
      <c r="E95" s="291" t="n"/>
      <c r="F95" s="291" t="n"/>
      <c r="G95" s="297" t="n"/>
      <c r="H95" s="298" t="n"/>
    </row>
    <row r="96" ht="13" customHeight="1" s="189">
      <c r="A96" s="289" t="n"/>
      <c r="B96" s="290" t="n"/>
      <c r="C96" s="290" t="n"/>
      <c r="D96" s="291" t="n"/>
      <c r="E96" s="291" t="n"/>
      <c r="F96" s="291" t="n"/>
      <c r="G96" s="297" t="n"/>
      <c r="H96" s="298" t="n"/>
    </row>
    <row r="97" ht="13" customHeight="1" s="189">
      <c r="A97" s="289" t="n"/>
      <c r="B97" s="290" t="n"/>
      <c r="C97" s="290" t="n"/>
      <c r="D97" s="291" t="n"/>
      <c r="E97" s="291" t="n"/>
      <c r="F97" s="291" t="n"/>
      <c r="G97" s="297" t="n"/>
      <c r="H97" s="298" t="n"/>
    </row>
    <row r="98" ht="13" customHeight="1" s="189">
      <c r="A98" s="289" t="n"/>
      <c r="B98" s="290" t="n"/>
      <c r="C98" s="290" t="n"/>
      <c r="D98" s="291" t="n"/>
      <c r="E98" s="291" t="n"/>
      <c r="F98" s="291" t="n"/>
      <c r="G98" s="297" t="n"/>
      <c r="H98" s="298" t="n"/>
    </row>
    <row r="99" ht="13" customHeight="1" s="189">
      <c r="A99" s="289" t="n"/>
      <c r="B99" s="290" t="n"/>
      <c r="C99" s="290" t="n"/>
      <c r="D99" s="291" t="n"/>
      <c r="E99" s="291" t="n"/>
      <c r="F99" s="291" t="n"/>
      <c r="G99" s="297" t="n"/>
      <c r="H99" s="298" t="n"/>
    </row>
    <row r="100" ht="13" customHeight="1" s="189">
      <c r="A100" s="289" t="n"/>
      <c r="B100" s="290" t="n"/>
      <c r="C100" s="290" t="n"/>
      <c r="D100" s="291" t="n"/>
      <c r="E100" s="291" t="n"/>
      <c r="F100" s="291" t="n"/>
      <c r="G100" s="297" t="n"/>
      <c r="H100" s="298" t="n"/>
    </row>
    <row r="101" ht="13" customHeight="1" s="189">
      <c r="A101" s="289" t="n"/>
      <c r="B101" s="290" t="n"/>
      <c r="C101" s="290" t="n"/>
      <c r="D101" s="291" t="n"/>
      <c r="E101" s="291" t="n"/>
      <c r="F101" s="291" t="n"/>
      <c r="G101" s="297" t="n"/>
      <c r="H101" s="298" t="n"/>
    </row>
    <row r="102" ht="13" customHeight="1" s="189">
      <c r="A102" s="289" t="n"/>
      <c r="B102" s="290" t="n"/>
      <c r="C102" s="290" t="n"/>
      <c r="D102" s="291" t="n"/>
      <c r="E102" s="291" t="n"/>
      <c r="F102" s="291" t="n"/>
      <c r="G102" s="297" t="n"/>
      <c r="H102" s="298" t="n"/>
    </row>
    <row r="103" ht="13" customHeight="1" s="189">
      <c r="A103" s="289" t="n"/>
      <c r="B103" s="290" t="n"/>
      <c r="C103" s="290" t="n"/>
      <c r="D103" s="291" t="n"/>
      <c r="E103" s="291" t="n"/>
      <c r="F103" s="291" t="n"/>
      <c r="G103" s="297" t="n"/>
      <c r="H103" s="298" t="n"/>
    </row>
    <row r="104" ht="13" customHeight="1" s="189">
      <c r="A104" s="289" t="n"/>
      <c r="B104" s="290" t="n"/>
      <c r="C104" s="290" t="n"/>
      <c r="D104" s="291" t="n"/>
      <c r="E104" s="291" t="n"/>
      <c r="F104" s="291" t="n"/>
      <c r="G104" s="297" t="n"/>
      <c r="H104" s="298" t="n"/>
    </row>
    <row r="105" ht="13" customHeight="1" s="189">
      <c r="A105" s="289" t="n"/>
      <c r="B105" s="290" t="n"/>
      <c r="C105" s="290" t="n"/>
      <c r="D105" s="291" t="n"/>
      <c r="E105" s="291" t="n"/>
      <c r="F105" s="291" t="n"/>
      <c r="G105" s="297" t="n"/>
      <c r="H105" s="298" t="n"/>
    </row>
    <row r="106" ht="13" customHeight="1" s="189">
      <c r="A106" s="289" t="n"/>
      <c r="B106" s="290" t="n"/>
      <c r="C106" s="290" t="n"/>
      <c r="D106" s="291" t="n"/>
      <c r="E106" s="291" t="n"/>
      <c r="F106" s="291" t="n"/>
      <c r="G106" s="297" t="n"/>
      <c r="H106" s="298" t="n"/>
    </row>
    <row r="107" ht="13" customHeight="1" s="189">
      <c r="A107" s="289" t="n"/>
      <c r="B107" s="290" t="n"/>
      <c r="C107" s="290" t="n"/>
      <c r="D107" s="291" t="n"/>
      <c r="E107" s="291" t="n"/>
      <c r="F107" s="291" t="n"/>
      <c r="G107" s="297" t="n"/>
      <c r="H107" s="298" t="n"/>
    </row>
    <row r="108" ht="13" customHeight="1" s="189">
      <c r="A108" s="289" t="n"/>
      <c r="B108" s="290" t="n"/>
      <c r="C108" s="290" t="n"/>
      <c r="D108" s="291" t="n"/>
      <c r="E108" s="291" t="n"/>
      <c r="F108" s="291" t="n"/>
      <c r="G108" s="297" t="n"/>
      <c r="H108" s="298" t="n"/>
    </row>
    <row r="109" ht="13" customHeight="1" s="189">
      <c r="A109" s="289" t="n"/>
      <c r="B109" s="290" t="n"/>
      <c r="C109" s="290" t="n"/>
      <c r="D109" s="291" t="n"/>
      <c r="E109" s="291" t="n"/>
      <c r="F109" s="291" t="n"/>
      <c r="G109" s="297" t="n"/>
      <c r="H109" s="298" t="n"/>
    </row>
    <row r="110" ht="13" customHeight="1" s="189">
      <c r="A110" s="289" t="n"/>
      <c r="B110" s="290" t="n"/>
      <c r="C110" s="290" t="n"/>
      <c r="D110" s="291" t="n"/>
      <c r="E110" s="291" t="n"/>
      <c r="F110" s="291" t="n"/>
      <c r="G110" s="297" t="n"/>
      <c r="H110" s="298" t="n"/>
    </row>
    <row r="111" ht="13" customHeight="1" s="189">
      <c r="A111" s="289" t="n"/>
      <c r="B111" s="290" t="n"/>
      <c r="C111" s="290" t="n"/>
      <c r="D111" s="291" t="n"/>
      <c r="E111" s="291" t="n"/>
      <c r="F111" s="291" t="n"/>
      <c r="G111" s="297" t="n"/>
      <c r="H111" s="298" t="n"/>
    </row>
    <row r="112" ht="13" customHeight="1" s="189">
      <c r="A112" s="289" t="n"/>
      <c r="B112" s="290" t="n"/>
      <c r="C112" s="290" t="n"/>
      <c r="D112" s="291" t="n"/>
      <c r="E112" s="291" t="n"/>
      <c r="F112" s="291" t="n"/>
      <c r="G112" s="297" t="n"/>
      <c r="H112" s="298" t="n"/>
    </row>
    <row r="113" ht="13" customHeight="1" s="189">
      <c r="A113" s="289" t="n"/>
      <c r="B113" s="290" t="n"/>
      <c r="C113" s="290" t="n"/>
      <c r="D113" s="291" t="n"/>
      <c r="E113" s="291" t="n"/>
      <c r="F113" s="291" t="n"/>
      <c r="G113" s="297" t="n"/>
      <c r="H113" s="298" t="n"/>
    </row>
    <row r="114" ht="13" customHeight="1" s="189">
      <c r="A114" s="289" t="n"/>
      <c r="B114" s="290" t="n"/>
      <c r="C114" s="290" t="n"/>
      <c r="D114" s="291" t="n"/>
      <c r="E114" s="291" t="n"/>
      <c r="F114" s="291" t="n"/>
      <c r="G114" s="297" t="n"/>
      <c r="H114" s="298" t="n"/>
    </row>
    <row r="115" ht="13" customHeight="1" s="189">
      <c r="A115" s="289" t="n"/>
      <c r="B115" s="290" t="n"/>
      <c r="C115" s="290" t="n"/>
      <c r="D115" s="291" t="n"/>
      <c r="E115" s="291" t="n"/>
      <c r="F115" s="291" t="n"/>
      <c r="G115" s="297" t="n"/>
      <c r="H115" s="298" t="n"/>
    </row>
    <row r="116" ht="13" customHeight="1" s="189">
      <c r="A116" s="289" t="n"/>
      <c r="B116" s="290" t="n"/>
      <c r="C116" s="290" t="n"/>
      <c r="D116" s="291" t="n"/>
      <c r="E116" s="291" t="n"/>
      <c r="F116" s="291" t="n"/>
      <c r="G116" s="297" t="n"/>
      <c r="H116" s="298" t="n"/>
    </row>
    <row r="117" ht="13" customHeight="1" s="189">
      <c r="A117" s="289" t="n"/>
      <c r="B117" s="290" t="n"/>
      <c r="C117" s="290" t="n"/>
      <c r="D117" s="291" t="n"/>
      <c r="E117" s="291" t="n"/>
      <c r="F117" s="291" t="n"/>
      <c r="G117" s="297" t="n"/>
      <c r="H117" s="298" t="n"/>
    </row>
    <row r="118" ht="13" customHeight="1" s="189">
      <c r="A118" s="289" t="n"/>
      <c r="B118" s="290" t="n"/>
      <c r="C118" s="290" t="n"/>
      <c r="D118" s="291" t="n"/>
      <c r="E118" s="291" t="n"/>
      <c r="F118" s="291" t="n"/>
      <c r="G118" s="297" t="n"/>
      <c r="H118" s="298" t="n"/>
    </row>
    <row r="119" ht="13" customHeight="1" s="189">
      <c r="A119" s="289" t="n"/>
      <c r="B119" s="290" t="n"/>
      <c r="C119" s="290" t="n"/>
      <c r="D119" s="291" t="n"/>
      <c r="E119" s="291" t="n"/>
      <c r="F119" s="291" t="n"/>
      <c r="G119" s="297" t="n"/>
      <c r="H119" s="298" t="n"/>
    </row>
    <row r="120" ht="13" customHeight="1" s="189">
      <c r="A120" s="289" t="n"/>
      <c r="B120" s="290" t="n"/>
      <c r="C120" s="290" t="n"/>
      <c r="D120" s="291" t="n"/>
      <c r="E120" s="291" t="n"/>
      <c r="F120" s="291" t="n"/>
      <c r="G120" s="297" t="n"/>
      <c r="H120" s="298" t="n"/>
    </row>
    <row r="121" ht="13" customHeight="1" s="189">
      <c r="A121" s="289" t="n"/>
      <c r="B121" s="290" t="n"/>
      <c r="C121" s="290" t="n"/>
      <c r="D121" s="291" t="n"/>
      <c r="E121" s="291" t="n"/>
      <c r="F121" s="291" t="n"/>
      <c r="G121" s="297" t="n"/>
      <c r="H121" s="298" t="n"/>
    </row>
    <row r="122" ht="13" customHeight="1" s="189">
      <c r="A122" s="289" t="n"/>
      <c r="B122" s="290" t="n"/>
      <c r="C122" s="290" t="n"/>
      <c r="D122" s="291" t="n"/>
      <c r="E122" s="291" t="n"/>
      <c r="F122" s="291" t="n"/>
      <c r="G122" s="297" t="n"/>
      <c r="H122" s="298" t="n"/>
    </row>
    <row r="123" ht="13" customHeight="1" s="189">
      <c r="A123" s="289" t="n"/>
      <c r="B123" s="290" t="n"/>
      <c r="C123" s="290" t="n"/>
      <c r="D123" s="291" t="n"/>
      <c r="E123" s="291" t="n"/>
      <c r="F123" s="291" t="n"/>
      <c r="G123" s="297" t="n"/>
      <c r="H123" s="298" t="n"/>
    </row>
    <row r="124" ht="13" customHeight="1" s="189">
      <c r="A124" s="289" t="n"/>
      <c r="B124" s="290" t="n"/>
      <c r="C124" s="290" t="n"/>
      <c r="D124" s="291" t="n"/>
      <c r="E124" s="291" t="n"/>
      <c r="F124" s="291" t="n"/>
      <c r="G124" s="297" t="n"/>
      <c r="H124" s="298" t="n"/>
    </row>
    <row r="125" ht="13" customHeight="1" s="189">
      <c r="A125" s="289" t="n"/>
      <c r="B125" s="290" t="n"/>
      <c r="C125" s="290" t="n"/>
      <c r="D125" s="291" t="n"/>
      <c r="E125" s="291" t="n"/>
      <c r="F125" s="291" t="n"/>
      <c r="G125" s="297" t="n"/>
      <c r="H125" s="298" t="n"/>
    </row>
    <row r="126" ht="13" customHeight="1" s="189">
      <c r="A126" s="289" t="n"/>
      <c r="B126" s="290" t="n"/>
      <c r="C126" s="290" t="n"/>
      <c r="D126" s="291" t="n"/>
      <c r="E126" s="291" t="n"/>
      <c r="F126" s="291" t="n"/>
      <c r="G126" s="297" t="n"/>
      <c r="H126" s="298" t="n"/>
    </row>
    <row r="127" ht="13" customHeight="1" s="189">
      <c r="A127" s="289" t="n"/>
      <c r="B127" s="290" t="n"/>
      <c r="C127" s="290" t="n"/>
      <c r="D127" s="291" t="n"/>
      <c r="E127" s="291" t="n"/>
      <c r="F127" s="291" t="n"/>
      <c r="G127" s="297" t="n"/>
      <c r="H127" s="298" t="n"/>
    </row>
    <row r="128" ht="13" customHeight="1" s="189">
      <c r="A128" s="289" t="n"/>
      <c r="B128" s="290" t="n"/>
      <c r="C128" s="290" t="n"/>
      <c r="D128" s="291" t="n"/>
      <c r="E128" s="291" t="n"/>
      <c r="F128" s="291" t="n"/>
      <c r="G128" s="297" t="n"/>
      <c r="H128" s="298" t="n"/>
    </row>
    <row r="129" ht="13" customHeight="1" s="189">
      <c r="A129" s="289" t="n"/>
      <c r="B129" s="290" t="n"/>
      <c r="C129" s="290" t="n"/>
      <c r="D129" s="291" t="n"/>
      <c r="E129" s="291" t="n"/>
      <c r="F129" s="291" t="n"/>
      <c r="G129" s="297" t="n"/>
      <c r="H129" s="298" t="n"/>
    </row>
    <row r="130" ht="13" customHeight="1" s="189">
      <c r="A130" s="289" t="n"/>
      <c r="B130" s="290" t="n"/>
      <c r="C130" s="290" t="n"/>
      <c r="D130" s="291" t="n"/>
      <c r="E130" s="291" t="n"/>
      <c r="F130" s="291" t="n"/>
      <c r="G130" s="297" t="n"/>
      <c r="H130" s="298" t="n"/>
    </row>
    <row r="131" ht="13" customHeight="1" s="189">
      <c r="A131" s="289" t="n"/>
      <c r="B131" s="290" t="n"/>
      <c r="C131" s="290" t="n"/>
      <c r="D131" s="291" t="n"/>
      <c r="E131" s="291" t="n"/>
      <c r="F131" s="291" t="n"/>
      <c r="G131" s="297" t="n"/>
      <c r="H131" s="298" t="n"/>
    </row>
    <row r="132" ht="13" customHeight="1" s="189">
      <c r="A132" s="289" t="n"/>
      <c r="B132" s="290" t="n"/>
      <c r="C132" s="290" t="n"/>
      <c r="D132" s="291" t="n"/>
      <c r="E132" s="291" t="n"/>
      <c r="F132" s="291" t="n"/>
      <c r="G132" s="297" t="n"/>
      <c r="H132" s="298" t="n"/>
    </row>
    <row r="133" ht="13" customHeight="1" s="189">
      <c r="A133" s="289" t="n"/>
      <c r="B133" s="290" t="n"/>
      <c r="C133" s="290" t="n"/>
      <c r="D133" s="291" t="n"/>
      <c r="E133" s="291" t="n"/>
      <c r="F133" s="291" t="n"/>
      <c r="G133" s="297" t="n"/>
      <c r="H133" s="298" t="n"/>
    </row>
    <row r="134" ht="13" customHeight="1" s="189">
      <c r="A134" s="289" t="n"/>
      <c r="B134" s="290" t="n"/>
      <c r="C134" s="290" t="n"/>
      <c r="D134" s="291" t="n"/>
      <c r="E134" s="291" t="n"/>
      <c r="F134" s="291" t="n"/>
      <c r="G134" s="297" t="n"/>
      <c r="H134" s="298" t="n"/>
    </row>
    <row r="135" ht="13" customHeight="1" s="189">
      <c r="A135" s="289" t="n"/>
      <c r="B135" s="290" t="n"/>
      <c r="C135" s="290" t="n"/>
      <c r="D135" s="291" t="n"/>
      <c r="E135" s="291" t="n"/>
      <c r="F135" s="291" t="n"/>
      <c r="G135" s="297" t="n"/>
      <c r="H135" s="298" t="n"/>
    </row>
    <row r="136" ht="13" customHeight="1" s="189">
      <c r="A136" s="289" t="n"/>
      <c r="B136" s="290" t="n"/>
      <c r="C136" s="290" t="n"/>
      <c r="D136" s="291" t="n"/>
      <c r="E136" s="291" t="n"/>
      <c r="F136" s="291" t="n"/>
      <c r="G136" s="297" t="n"/>
      <c r="H136" s="298" t="n"/>
    </row>
    <row r="137" ht="13" customHeight="1" s="189">
      <c r="A137" s="289" t="n"/>
      <c r="B137" s="290" t="n"/>
      <c r="C137" s="290" t="n"/>
      <c r="D137" s="291" t="n"/>
      <c r="E137" s="291" t="n"/>
      <c r="F137" s="291" t="n"/>
      <c r="G137" s="297" t="n"/>
      <c r="H137" s="298" t="n"/>
    </row>
    <row r="138" ht="13" customHeight="1" s="189">
      <c r="A138" s="289" t="n"/>
      <c r="B138" s="290" t="n"/>
      <c r="C138" s="290" t="n"/>
      <c r="D138" s="291" t="n"/>
      <c r="E138" s="291" t="n"/>
      <c r="F138" s="291" t="n"/>
      <c r="G138" s="297" t="n"/>
      <c r="H138" s="298" t="n"/>
    </row>
    <row r="139" ht="13" customHeight="1" s="189">
      <c r="A139" s="289" t="n"/>
      <c r="B139" s="290" t="n"/>
      <c r="C139" s="290" t="n"/>
      <c r="D139" s="291" t="n"/>
      <c r="E139" s="291" t="n"/>
      <c r="F139" s="291" t="n"/>
      <c r="G139" s="297" t="n"/>
      <c r="H139" s="298" t="n"/>
    </row>
    <row r="140" ht="13" customHeight="1" s="189">
      <c r="A140" s="289" t="n"/>
      <c r="B140" s="290" t="n"/>
      <c r="C140" s="290" t="n"/>
      <c r="D140" s="291" t="n"/>
      <c r="E140" s="291" t="n"/>
      <c r="F140" s="291" t="n"/>
      <c r="G140" s="297" t="n"/>
      <c r="H140" s="298" t="n"/>
    </row>
    <row r="141" ht="13" customHeight="1" s="189">
      <c r="A141" s="289" t="n"/>
      <c r="B141" s="290" t="n"/>
      <c r="C141" s="290" t="n"/>
      <c r="D141" s="291" t="n"/>
      <c r="E141" s="291" t="n"/>
      <c r="F141" s="291" t="n"/>
      <c r="G141" s="297" t="n"/>
      <c r="H141" s="298" t="n"/>
    </row>
    <row r="142" ht="13" customHeight="1" s="189">
      <c r="A142" s="289" t="n"/>
      <c r="B142" s="290" t="n"/>
      <c r="C142" s="290" t="n"/>
      <c r="D142" s="291" t="n"/>
      <c r="E142" s="291" t="n"/>
      <c r="F142" s="291" t="n"/>
      <c r="G142" s="297" t="n"/>
      <c r="H142" s="298" t="n"/>
    </row>
    <row r="143" ht="13" customHeight="1" s="189">
      <c r="A143" s="289" t="n"/>
      <c r="B143" s="290" t="n"/>
      <c r="C143" s="290" t="n"/>
      <c r="D143" s="291" t="n"/>
      <c r="E143" s="291" t="n"/>
      <c r="F143" s="291" t="n"/>
      <c r="G143" s="297" t="n"/>
      <c r="H143" s="298" t="n"/>
    </row>
    <row r="144" ht="13" customHeight="1" s="189">
      <c r="A144" s="289" t="n"/>
      <c r="B144" s="290" t="n"/>
      <c r="C144" s="290" t="n"/>
      <c r="D144" s="291" t="n"/>
      <c r="E144" s="291" t="n"/>
      <c r="F144" s="291" t="n"/>
      <c r="G144" s="297" t="n"/>
      <c r="H144" s="298" t="n"/>
    </row>
    <row r="145" ht="13" customHeight="1" s="189">
      <c r="A145" s="289" t="n"/>
      <c r="B145" s="290" t="n"/>
      <c r="C145" s="290" t="n"/>
      <c r="D145" s="291" t="n"/>
      <c r="E145" s="291" t="n"/>
      <c r="F145" s="291" t="n"/>
      <c r="G145" s="297" t="n"/>
      <c r="H145" s="298" t="n"/>
    </row>
    <row r="146" ht="13" customHeight="1" s="189">
      <c r="A146" s="289" t="n"/>
      <c r="B146" s="290" t="n"/>
      <c r="C146" s="290" t="n"/>
      <c r="D146" s="291" t="n"/>
      <c r="E146" s="291" t="n"/>
      <c r="F146" s="291" t="n"/>
      <c r="G146" s="297" t="n"/>
      <c r="H146" s="298" t="n"/>
    </row>
    <row r="147" ht="13" customHeight="1" s="189">
      <c r="A147" s="289" t="n"/>
      <c r="B147" s="290" t="n"/>
      <c r="C147" s="290" t="n"/>
      <c r="D147" s="291" t="n"/>
      <c r="E147" s="291" t="n"/>
      <c r="F147" s="291" t="n"/>
      <c r="G147" s="297" t="n"/>
      <c r="H147" s="298" t="n"/>
    </row>
    <row r="148" ht="13" customHeight="1" s="189">
      <c r="A148" s="289" t="n"/>
      <c r="B148" s="290" t="n"/>
      <c r="C148" s="290" t="n"/>
      <c r="D148" s="291" t="n"/>
      <c r="E148" s="291" t="n"/>
      <c r="F148" s="291" t="n"/>
      <c r="G148" s="297" t="n"/>
      <c r="H148" s="298" t="n"/>
    </row>
    <row r="149" ht="13" customHeight="1" s="189">
      <c r="A149" s="289" t="n"/>
      <c r="B149" s="290" t="n"/>
      <c r="C149" s="290" t="n"/>
      <c r="D149" s="291" t="n"/>
      <c r="E149" s="291" t="n"/>
      <c r="F149" s="291" t="n"/>
      <c r="G149" s="297" t="n"/>
      <c r="H149" s="298" t="n"/>
    </row>
    <row r="150" ht="13" customHeight="1" s="189">
      <c r="A150" s="289" t="n"/>
      <c r="B150" s="290" t="n"/>
      <c r="C150" s="290" t="n"/>
      <c r="D150" s="291" t="n"/>
      <c r="E150" s="291" t="n"/>
      <c r="F150" s="291" t="n"/>
      <c r="G150" s="297" t="n"/>
      <c r="H150" s="298" t="n"/>
    </row>
    <row r="151" ht="13" customHeight="1" s="189">
      <c r="A151" s="289" t="n"/>
      <c r="B151" s="290" t="n"/>
      <c r="C151" s="290" t="n"/>
      <c r="D151" s="291" t="n"/>
      <c r="E151" s="291" t="n"/>
      <c r="F151" s="291" t="n"/>
      <c r="G151" s="297" t="n"/>
      <c r="H151" s="298" t="n"/>
    </row>
    <row r="152" ht="13" customHeight="1" s="189">
      <c r="A152" s="289" t="n"/>
      <c r="B152" s="290" t="n"/>
      <c r="C152" s="290" t="n"/>
      <c r="D152" s="291" t="n"/>
      <c r="E152" s="291" t="n"/>
      <c r="F152" s="291" t="n"/>
      <c r="G152" s="297" t="n"/>
      <c r="H152" s="298" t="n"/>
    </row>
    <row r="153" ht="13" customHeight="1" s="189">
      <c r="A153" s="289" t="n"/>
      <c r="B153" s="290" t="n"/>
      <c r="C153" s="290" t="n"/>
      <c r="D153" s="291" t="n"/>
      <c r="E153" s="291" t="n"/>
      <c r="F153" s="291" t="n"/>
      <c r="G153" s="297" t="n"/>
      <c r="H153" s="298" t="n"/>
    </row>
    <row r="154" ht="13" customHeight="1" s="189">
      <c r="A154" s="289" t="n"/>
      <c r="B154" s="290" t="n"/>
      <c r="C154" s="290" t="n"/>
      <c r="D154" s="291" t="n"/>
      <c r="E154" s="291" t="n"/>
      <c r="F154" s="291" t="n"/>
      <c r="G154" s="297" t="n"/>
      <c r="H154" s="298" t="n"/>
    </row>
    <row r="155" ht="13" customHeight="1" s="189">
      <c r="A155" s="289" t="n"/>
      <c r="B155" s="290" t="n"/>
      <c r="C155" s="290" t="n"/>
      <c r="D155" s="291" t="n"/>
      <c r="E155" s="291" t="n"/>
      <c r="F155" s="291" t="n"/>
      <c r="G155" s="297" t="n"/>
      <c r="H155" s="298" t="n"/>
    </row>
    <row r="156" ht="13" customHeight="1" s="189">
      <c r="A156" s="289" t="n"/>
      <c r="B156" s="290" t="n"/>
      <c r="C156" s="290" t="n"/>
      <c r="D156" s="291" t="n"/>
      <c r="E156" s="291" t="n"/>
      <c r="F156" s="291" t="n"/>
      <c r="G156" s="297" t="n"/>
      <c r="H156" s="298" t="n"/>
    </row>
    <row r="157" ht="13" customHeight="1" s="189">
      <c r="A157" s="289" t="n"/>
      <c r="B157" s="290" t="n"/>
      <c r="C157" s="290" t="n"/>
      <c r="D157" s="291" t="n"/>
      <c r="E157" s="291" t="n"/>
      <c r="F157" s="291" t="n"/>
      <c r="G157" s="297" t="n"/>
      <c r="H157" s="298" t="n"/>
    </row>
    <row r="158" ht="13" customHeight="1" s="189">
      <c r="A158" s="289" t="n"/>
      <c r="B158" s="290" t="n"/>
      <c r="C158" s="290" t="n"/>
      <c r="D158" s="291" t="n"/>
      <c r="E158" s="291" t="n"/>
      <c r="F158" s="291" t="n"/>
      <c r="G158" s="297" t="n"/>
      <c r="H158" s="298" t="n"/>
    </row>
    <row r="159" ht="13" customHeight="1" s="189">
      <c r="A159" s="289" t="n"/>
      <c r="B159" s="290" t="n"/>
      <c r="C159" s="290" t="n"/>
      <c r="D159" s="291" t="n"/>
      <c r="E159" s="291" t="n"/>
      <c r="F159" s="291" t="n"/>
      <c r="G159" s="297" t="n"/>
      <c r="H159" s="298" t="n"/>
    </row>
    <row r="160" ht="13" customHeight="1" s="189">
      <c r="A160" s="289" t="n"/>
      <c r="B160" s="290" t="n"/>
      <c r="C160" s="290" t="n"/>
      <c r="D160" s="291" t="n"/>
      <c r="E160" s="291" t="n"/>
      <c r="F160" s="291" t="n"/>
      <c r="G160" s="297" t="n"/>
      <c r="H160" s="298" t="n"/>
    </row>
    <row r="161" ht="13" customHeight="1" s="189">
      <c r="A161" s="289" t="n"/>
      <c r="B161" s="290" t="n"/>
      <c r="C161" s="290" t="n"/>
      <c r="D161" s="291" t="n"/>
      <c r="E161" s="291" t="n"/>
      <c r="F161" s="291" t="n"/>
      <c r="G161" s="297" t="n"/>
      <c r="H161" s="298" t="n"/>
    </row>
    <row r="162" ht="13" customHeight="1" s="189">
      <c r="A162" s="289" t="n"/>
      <c r="B162" s="290" t="n"/>
      <c r="C162" s="290" t="n"/>
      <c r="D162" s="291" t="n"/>
      <c r="E162" s="291" t="n"/>
      <c r="F162" s="291" t="n"/>
      <c r="G162" s="297" t="n"/>
      <c r="H162" s="298" t="n"/>
    </row>
    <row r="163" ht="13" customHeight="1" s="189">
      <c r="A163" s="289" t="n"/>
      <c r="B163" s="290" t="n"/>
      <c r="C163" s="290" t="n"/>
      <c r="D163" s="291" t="n"/>
      <c r="E163" s="291" t="n"/>
      <c r="F163" s="291" t="n"/>
      <c r="G163" s="297" t="n"/>
      <c r="H163" s="298" t="n"/>
    </row>
    <row r="164" ht="13" customHeight="1" s="189">
      <c r="A164" s="289" t="n"/>
      <c r="B164" s="290" t="n"/>
      <c r="C164" s="290" t="n"/>
      <c r="D164" s="291" t="n"/>
      <c r="E164" s="291" t="n"/>
      <c r="F164" s="291" t="n"/>
      <c r="G164" s="297" t="n"/>
      <c r="H164" s="298" t="n"/>
    </row>
    <row r="165" ht="13" customHeight="1" s="189">
      <c r="A165" s="289" t="n"/>
      <c r="B165" s="290" t="n"/>
      <c r="C165" s="290" t="n"/>
      <c r="D165" s="291" t="n"/>
      <c r="E165" s="291" t="n"/>
      <c r="F165" s="291" t="n"/>
      <c r="G165" s="297" t="n"/>
      <c r="H165" s="298" t="n"/>
    </row>
    <row r="166" ht="13" customHeight="1" s="189">
      <c r="A166" s="289" t="n"/>
      <c r="B166" s="290" t="n"/>
      <c r="C166" s="290" t="n"/>
      <c r="D166" s="291" t="n"/>
      <c r="E166" s="291" t="n"/>
      <c r="F166" s="291" t="n"/>
      <c r="G166" s="297" t="n"/>
      <c r="H166" s="298" t="n"/>
    </row>
    <row r="167" ht="13" customHeight="1" s="189">
      <c r="A167" s="289" t="n"/>
      <c r="B167" s="290" t="n"/>
      <c r="C167" s="290" t="n"/>
      <c r="D167" s="291" t="n"/>
      <c r="E167" s="291" t="n"/>
      <c r="F167" s="291" t="n"/>
      <c r="G167" s="297" t="n"/>
      <c r="H167" s="298" t="n"/>
    </row>
    <row r="168" ht="13" customHeight="1" s="189">
      <c r="A168" s="289" t="n"/>
      <c r="B168" s="290" t="n"/>
      <c r="C168" s="290" t="n"/>
      <c r="D168" s="291" t="n"/>
      <c r="E168" s="291" t="n"/>
      <c r="F168" s="291" t="n"/>
      <c r="G168" s="297" t="n"/>
      <c r="H168" s="298" t="n"/>
    </row>
    <row r="169" ht="13" customHeight="1" s="189">
      <c r="A169" s="289" t="n"/>
      <c r="B169" s="290" t="n"/>
      <c r="C169" s="290" t="n"/>
      <c r="D169" s="291" t="n"/>
      <c r="E169" s="291" t="n"/>
      <c r="F169" s="291" t="n"/>
      <c r="G169" s="297" t="n"/>
      <c r="H169" s="298" t="n"/>
    </row>
    <row r="170" ht="13" customHeight="1" s="189">
      <c r="A170" s="289" t="n"/>
      <c r="B170" s="290" t="n"/>
      <c r="C170" s="290" t="n"/>
      <c r="D170" s="291" t="n"/>
      <c r="E170" s="291" t="n"/>
      <c r="F170" s="291" t="n"/>
      <c r="G170" s="297" t="n"/>
      <c r="H170" s="298" t="n"/>
    </row>
    <row r="171" ht="13" customHeight="1" s="189">
      <c r="A171" s="289" t="n"/>
      <c r="B171" s="290" t="n"/>
      <c r="C171" s="290" t="n"/>
      <c r="D171" s="291" t="n"/>
      <c r="E171" s="291" t="n"/>
      <c r="F171" s="291" t="n"/>
      <c r="G171" s="297" t="n"/>
      <c r="H171" s="298" t="n"/>
    </row>
    <row r="172" ht="13" customHeight="1" s="189">
      <c r="A172" s="289" t="n"/>
      <c r="B172" s="290" t="n"/>
      <c r="C172" s="290" t="n"/>
      <c r="D172" s="291" t="n"/>
      <c r="E172" s="291" t="n"/>
      <c r="F172" s="291" t="n"/>
      <c r="G172" s="297" t="n"/>
      <c r="H172" s="298" t="n"/>
    </row>
    <row r="173" ht="13" customHeight="1" s="189">
      <c r="A173" s="289" t="n"/>
      <c r="B173" s="290" t="n"/>
      <c r="C173" s="290" t="n"/>
      <c r="D173" s="291" t="n"/>
      <c r="E173" s="291" t="n"/>
      <c r="F173" s="291" t="n"/>
      <c r="G173" s="297" t="n"/>
      <c r="H173" s="298" t="n"/>
    </row>
    <row r="174" ht="13" customHeight="1" s="189">
      <c r="A174" s="289" t="n"/>
      <c r="B174" s="290" t="n"/>
      <c r="C174" s="290" t="n"/>
      <c r="D174" s="291" t="n"/>
      <c r="E174" s="291" t="n"/>
      <c r="F174" s="291" t="n"/>
      <c r="G174" s="297" t="n"/>
      <c r="H174" s="298" t="n"/>
    </row>
    <row r="175" ht="13" customHeight="1" s="189">
      <c r="A175" s="289" t="n"/>
      <c r="B175" s="290" t="n"/>
      <c r="C175" s="290" t="n"/>
      <c r="D175" s="291" t="n"/>
      <c r="E175" s="291" t="n"/>
      <c r="F175" s="291" t="n"/>
      <c r="G175" s="297" t="n"/>
      <c r="H175" s="298" t="n"/>
    </row>
    <row r="176" ht="13" customHeight="1" s="189">
      <c r="A176" s="289" t="n"/>
      <c r="B176" s="290" t="n"/>
      <c r="C176" s="290" t="n"/>
      <c r="D176" s="291" t="n"/>
      <c r="E176" s="291" t="n"/>
      <c r="F176" s="291" t="n"/>
      <c r="G176" s="297" t="n"/>
      <c r="H176" s="298" t="n"/>
    </row>
    <row r="177" ht="13" customHeight="1" s="189">
      <c r="A177" s="289" t="n"/>
      <c r="B177" s="290" t="n"/>
      <c r="C177" s="290" t="n"/>
      <c r="D177" s="291" t="n"/>
      <c r="E177" s="291" t="n"/>
      <c r="F177" s="291" t="n"/>
      <c r="G177" s="297" t="n"/>
      <c r="H177" s="298" t="n"/>
    </row>
    <row r="178" ht="13" customHeight="1" s="189">
      <c r="A178" s="289" t="n"/>
      <c r="B178" s="290" t="n"/>
      <c r="C178" s="290" t="n"/>
      <c r="D178" s="291" t="n"/>
      <c r="E178" s="291" t="n"/>
      <c r="F178" s="291" t="n"/>
      <c r="G178" s="297" t="n"/>
      <c r="H178" s="298" t="n"/>
    </row>
    <row r="179" ht="13" customHeight="1" s="189">
      <c r="A179" s="289" t="n"/>
      <c r="B179" s="290" t="n"/>
      <c r="C179" s="290" t="n"/>
      <c r="D179" s="291" t="n"/>
      <c r="E179" s="291" t="n"/>
      <c r="F179" s="291" t="n"/>
      <c r="G179" s="297" t="n"/>
      <c r="H179" s="298" t="n"/>
    </row>
    <row r="180" ht="13" customHeight="1" s="189">
      <c r="A180" s="289" t="n"/>
      <c r="B180" s="290" t="n"/>
      <c r="C180" s="290" t="n"/>
      <c r="D180" s="291" t="n"/>
      <c r="E180" s="291" t="n"/>
      <c r="F180" s="291" t="n"/>
      <c r="G180" s="297" t="n"/>
      <c r="H180" s="298" t="n"/>
    </row>
    <row r="181" ht="13" customHeight="1" s="189">
      <c r="A181" s="289" t="n"/>
      <c r="B181" s="290" t="n"/>
      <c r="C181" s="290" t="n"/>
      <c r="D181" s="291" t="n"/>
      <c r="E181" s="291" t="n"/>
      <c r="F181" s="291" t="n"/>
      <c r="G181" s="297" t="n"/>
      <c r="H181" s="298" t="n"/>
    </row>
    <row r="182" ht="13" customHeight="1" s="189">
      <c r="A182" s="289" t="n"/>
      <c r="B182" s="290" t="n"/>
      <c r="C182" s="290" t="n"/>
      <c r="D182" s="291" t="n"/>
      <c r="E182" s="291" t="n"/>
      <c r="F182" s="291" t="n"/>
      <c r="G182" s="297" t="n"/>
      <c r="H182" s="298" t="n"/>
    </row>
    <row r="183" ht="13" customHeight="1" s="189">
      <c r="A183" s="289" t="n"/>
      <c r="B183" s="290" t="n"/>
      <c r="C183" s="290" t="n"/>
      <c r="D183" s="291" t="n"/>
      <c r="E183" s="291" t="n"/>
      <c r="F183" s="291" t="n"/>
      <c r="G183" s="297" t="n"/>
      <c r="H183" s="298" t="n"/>
    </row>
    <row r="184" ht="13" customHeight="1" s="189">
      <c r="A184" s="289" t="n"/>
      <c r="B184" s="290" t="n"/>
      <c r="C184" s="290" t="n"/>
      <c r="D184" s="291" t="n"/>
      <c r="E184" s="291" t="n"/>
      <c r="F184" s="291" t="n"/>
      <c r="G184" s="297" t="n"/>
      <c r="H184" s="298" t="n"/>
    </row>
    <row r="185" ht="13" customHeight="1" s="189">
      <c r="A185" s="289" t="n"/>
      <c r="B185" s="290" t="n"/>
      <c r="C185" s="290" t="n"/>
      <c r="D185" s="291" t="n"/>
      <c r="E185" s="291" t="n"/>
      <c r="F185" s="291" t="n"/>
      <c r="G185" s="297" t="n"/>
      <c r="H185" s="298" t="n"/>
    </row>
    <row r="186" ht="13" customHeight="1" s="189">
      <c r="A186" s="289" t="n"/>
      <c r="B186" s="290" t="n"/>
      <c r="C186" s="290" t="n"/>
      <c r="D186" s="291" t="n"/>
      <c r="E186" s="291" t="n"/>
      <c r="F186" s="291" t="n"/>
      <c r="G186" s="297" t="n"/>
      <c r="H186" s="298" t="n"/>
    </row>
    <row r="187" ht="13" customHeight="1" s="189">
      <c r="A187" s="289" t="n"/>
      <c r="B187" s="290" t="n"/>
      <c r="C187" s="290" t="n"/>
      <c r="D187" s="291" t="n"/>
      <c r="E187" s="291" t="n"/>
      <c r="F187" s="291" t="n"/>
      <c r="G187" s="297" t="n"/>
      <c r="H187" s="298" t="n"/>
    </row>
    <row r="188" ht="13" customHeight="1" s="189">
      <c r="A188" s="289" t="n"/>
      <c r="B188" s="290" t="n"/>
      <c r="C188" s="290" t="n"/>
      <c r="D188" s="291" t="n"/>
      <c r="E188" s="291" t="n"/>
      <c r="F188" s="291" t="n"/>
      <c r="G188" s="297" t="n"/>
      <c r="H188" s="298" t="n"/>
    </row>
    <row r="189" ht="13" customHeight="1" s="189">
      <c r="A189" s="289" t="n"/>
      <c r="B189" s="290" t="n"/>
      <c r="C189" s="290" t="n"/>
      <c r="D189" s="291" t="n"/>
      <c r="E189" s="291" t="n"/>
      <c r="F189" s="291" t="n"/>
      <c r="G189" s="297" t="n"/>
      <c r="H189" s="298" t="n"/>
    </row>
    <row r="190" ht="13" customHeight="1" s="189">
      <c r="A190" s="289" t="n"/>
      <c r="B190" s="290" t="n"/>
      <c r="C190" s="290" t="n"/>
      <c r="D190" s="291" t="n"/>
      <c r="E190" s="291" t="n"/>
      <c r="F190" s="291" t="n"/>
      <c r="G190" s="297" t="n"/>
      <c r="H190" s="298" t="n"/>
    </row>
    <row r="191" ht="13" customHeight="1" s="189">
      <c r="A191" s="289" t="n"/>
      <c r="B191" s="290" t="n"/>
      <c r="C191" s="290" t="n"/>
      <c r="D191" s="291" t="n"/>
      <c r="E191" s="291" t="n"/>
      <c r="F191" s="291" t="n"/>
      <c r="G191" s="297" t="n"/>
      <c r="H191" s="298" t="n"/>
    </row>
    <row r="192" ht="13" customHeight="1" s="189">
      <c r="A192" s="289" t="n"/>
      <c r="B192" s="290" t="n"/>
      <c r="C192" s="290" t="n"/>
      <c r="D192" s="291" t="n"/>
      <c r="E192" s="291" t="n"/>
      <c r="F192" s="291" t="n"/>
      <c r="G192" s="297" t="n"/>
      <c r="H192" s="298" t="n"/>
    </row>
    <row r="193" ht="13" customHeight="1" s="189">
      <c r="A193" s="289" t="n"/>
      <c r="B193" s="290" t="n"/>
      <c r="C193" s="290" t="n"/>
      <c r="D193" s="291" t="n"/>
      <c r="E193" s="291" t="n"/>
      <c r="F193" s="291" t="n"/>
      <c r="G193" s="297" t="n"/>
      <c r="H193" s="298" t="n"/>
    </row>
    <row r="194" ht="13" customHeight="1" s="189">
      <c r="A194" s="289" t="n"/>
      <c r="B194" s="290" t="n"/>
      <c r="C194" s="290" t="n"/>
      <c r="D194" s="291" t="n"/>
      <c r="E194" s="291" t="n"/>
      <c r="F194" s="291" t="n"/>
      <c r="G194" s="297" t="n"/>
      <c r="H194" s="298" t="n"/>
    </row>
    <row r="195" ht="13" customHeight="1" s="189">
      <c r="A195" s="289" t="n"/>
      <c r="B195" s="290" t="n"/>
      <c r="C195" s="290" t="n"/>
      <c r="D195" s="291" t="n"/>
      <c r="E195" s="291" t="n"/>
      <c r="F195" s="291" t="n"/>
      <c r="G195" s="297" t="n"/>
      <c r="H195" s="298" t="n"/>
    </row>
    <row r="196" ht="13" customHeight="1" s="189">
      <c r="A196" s="289" t="n"/>
      <c r="B196" s="290" t="n"/>
      <c r="C196" s="290" t="n"/>
      <c r="D196" s="291" t="n"/>
      <c r="E196" s="291" t="n"/>
      <c r="F196" s="291" t="n"/>
      <c r="G196" s="297" t="n"/>
      <c r="H196" s="298" t="n"/>
    </row>
    <row r="197" ht="13" customHeight="1" s="189">
      <c r="A197" s="289" t="n"/>
      <c r="B197" s="290" t="n"/>
      <c r="C197" s="290" t="n"/>
      <c r="D197" s="291" t="n"/>
      <c r="E197" s="291" t="n"/>
      <c r="F197" s="291" t="n"/>
      <c r="G197" s="297" t="n"/>
      <c r="H197" s="298" t="n"/>
    </row>
    <row r="198" ht="13" customHeight="1" s="189">
      <c r="A198" s="289" t="n"/>
      <c r="B198" s="290" t="n"/>
      <c r="C198" s="290" t="n"/>
      <c r="D198" s="291" t="n"/>
      <c r="E198" s="291" t="n"/>
      <c r="F198" s="291" t="n"/>
      <c r="G198" s="297" t="n"/>
      <c r="H198" s="298" t="n"/>
    </row>
    <row r="199" ht="13" customHeight="1" s="189">
      <c r="A199" s="289" t="n"/>
      <c r="B199" s="290" t="n"/>
      <c r="C199" s="290" t="n"/>
      <c r="D199" s="291" t="n"/>
      <c r="E199" s="291" t="n"/>
      <c r="F199" s="291" t="n"/>
      <c r="G199" s="297" t="n"/>
      <c r="H199" s="298" t="n"/>
    </row>
    <row r="200" ht="13" customHeight="1" s="189">
      <c r="A200" s="289" t="n"/>
      <c r="B200" s="290" t="n"/>
      <c r="C200" s="290" t="n"/>
      <c r="D200" s="291" t="n"/>
      <c r="E200" s="291" t="n"/>
      <c r="F200" s="291" t="n"/>
      <c r="G200" s="297" t="n"/>
      <c r="H200" s="298" t="n"/>
    </row>
    <row r="201" ht="13" customHeight="1" s="189">
      <c r="A201" s="289" t="n"/>
      <c r="B201" s="290" t="n"/>
      <c r="C201" s="290" t="n"/>
      <c r="D201" s="291" t="n"/>
      <c r="E201" s="291" t="n"/>
      <c r="F201" s="291" t="n"/>
      <c r="G201" s="297" t="n"/>
      <c r="H201" s="298" t="n"/>
    </row>
    <row r="202" ht="13" customHeight="1" s="189">
      <c r="A202" s="289" t="n"/>
      <c r="B202" s="290" t="n"/>
      <c r="C202" s="290" t="n"/>
      <c r="D202" s="291" t="n"/>
      <c r="E202" s="291" t="n"/>
      <c r="F202" s="291" t="n"/>
      <c r="G202" s="297" t="n"/>
      <c r="H202" s="298" t="n"/>
    </row>
    <row r="203" ht="13" customHeight="1" s="189">
      <c r="A203" s="289" t="n"/>
      <c r="B203" s="290" t="n"/>
      <c r="C203" s="290" t="n"/>
      <c r="D203" s="291" t="n"/>
      <c r="E203" s="291" t="n"/>
      <c r="F203" s="291" t="n"/>
      <c r="G203" s="297" t="n"/>
      <c r="H203" s="298" t="n"/>
    </row>
    <row r="204" ht="13" customHeight="1" s="189">
      <c r="A204" s="289" t="n"/>
      <c r="B204" s="290" t="n"/>
      <c r="C204" s="290" t="n"/>
      <c r="D204" s="291" t="n"/>
      <c r="E204" s="291" t="n"/>
      <c r="F204" s="291" t="n"/>
      <c r="G204" s="297" t="n"/>
      <c r="H204" s="298" t="n"/>
    </row>
    <row r="205" ht="13" customHeight="1" s="189">
      <c r="A205" s="289" t="n"/>
      <c r="B205" s="290" t="n"/>
      <c r="C205" s="290" t="n"/>
      <c r="D205" s="291" t="n"/>
      <c r="E205" s="291" t="n"/>
      <c r="F205" s="291" t="n"/>
      <c r="G205" s="297" t="n"/>
      <c r="H205" s="298" t="n"/>
    </row>
    <row r="206" ht="13" customHeight="1" s="189">
      <c r="A206" s="289" t="n"/>
      <c r="B206" s="290" t="n"/>
      <c r="C206" s="290" t="n"/>
      <c r="D206" s="291" t="n"/>
      <c r="E206" s="291" t="n"/>
      <c r="F206" s="291" t="n"/>
      <c r="G206" s="297" t="n"/>
      <c r="H206" s="298" t="n"/>
    </row>
    <row r="207" ht="13" customHeight="1" s="189">
      <c r="A207" s="289" t="n"/>
      <c r="B207" s="290" t="n"/>
      <c r="C207" s="290" t="n"/>
      <c r="D207" s="291" t="n"/>
      <c r="E207" s="291" t="n"/>
      <c r="F207" s="291" t="n"/>
      <c r="G207" s="297" t="n"/>
      <c r="H207" s="298" t="n"/>
    </row>
    <row r="208" ht="13" customHeight="1" s="189">
      <c r="A208" s="289" t="n"/>
      <c r="B208" s="290" t="n"/>
      <c r="C208" s="290" t="n"/>
      <c r="D208" s="291" t="n"/>
      <c r="E208" s="291" t="n"/>
      <c r="F208" s="291" t="n"/>
      <c r="G208" s="297" t="n"/>
      <c r="H208" s="298" t="n"/>
    </row>
    <row r="209" ht="13" customHeight="1" s="189">
      <c r="A209" s="289" t="n"/>
      <c r="B209" s="290" t="n"/>
      <c r="C209" s="290" t="n"/>
      <c r="D209" s="291" t="n"/>
      <c r="E209" s="291" t="n"/>
      <c r="F209" s="291" t="n"/>
      <c r="G209" s="297" t="n"/>
      <c r="H209" s="298" t="n"/>
    </row>
    <row r="210" ht="13" customHeight="1" s="189">
      <c r="A210" s="289" t="n"/>
      <c r="B210" s="290" t="n"/>
      <c r="C210" s="290" t="n"/>
      <c r="D210" s="291" t="n"/>
      <c r="E210" s="291" t="n"/>
      <c r="F210" s="291" t="n"/>
      <c r="G210" s="297" t="n"/>
      <c r="H210" s="298" t="n"/>
    </row>
    <row r="211" ht="13" customHeight="1" s="189">
      <c r="A211" s="289" t="n"/>
      <c r="B211" s="290" t="n"/>
      <c r="C211" s="290" t="n"/>
      <c r="D211" s="291" t="n"/>
      <c r="E211" s="291" t="n"/>
      <c r="F211" s="291" t="n"/>
      <c r="G211" s="297" t="n"/>
      <c r="H211" s="298" t="n"/>
    </row>
    <row r="212" ht="13" customHeight="1" s="189">
      <c r="A212" s="289" t="n"/>
      <c r="B212" s="290" t="n"/>
      <c r="C212" s="290" t="n"/>
      <c r="D212" s="291" t="n"/>
      <c r="E212" s="291" t="n"/>
      <c r="F212" s="291" t="n"/>
      <c r="G212" s="297" t="n"/>
      <c r="H212" s="298" t="n"/>
    </row>
    <row r="213" ht="13" customHeight="1" s="189">
      <c r="A213" s="289" t="n"/>
      <c r="B213" s="290" t="n"/>
      <c r="C213" s="290" t="n"/>
      <c r="D213" s="291" t="n"/>
      <c r="E213" s="291" t="n"/>
      <c r="F213" s="291" t="n"/>
      <c r="G213" s="297" t="n"/>
      <c r="H213" s="298" t="n"/>
    </row>
    <row r="214" ht="13" customHeight="1" s="189">
      <c r="A214" s="289" t="n"/>
      <c r="B214" s="290" t="n"/>
      <c r="C214" s="290" t="n"/>
      <c r="D214" s="291" t="n"/>
      <c r="E214" s="291" t="n"/>
      <c r="F214" s="291" t="n"/>
      <c r="G214" s="297" t="n"/>
      <c r="H214" s="298" t="n"/>
    </row>
    <row r="215" ht="13" customHeight="1" s="189">
      <c r="A215" s="289" t="n"/>
      <c r="B215" s="290" t="n"/>
      <c r="C215" s="290" t="n"/>
      <c r="D215" s="291" t="n"/>
      <c r="E215" s="291" t="n"/>
      <c r="F215" s="291" t="n"/>
      <c r="G215" s="297" t="n"/>
      <c r="H215" s="298" t="n"/>
    </row>
    <row r="216" ht="13" customHeight="1" s="189">
      <c r="A216" s="289" t="n"/>
      <c r="B216" s="290" t="n"/>
      <c r="C216" s="290" t="n"/>
      <c r="D216" s="291" t="n"/>
      <c r="E216" s="291" t="n"/>
      <c r="F216" s="291" t="n"/>
      <c r="G216" s="297" t="n"/>
      <c r="H216" s="298" t="n"/>
    </row>
    <row r="217" ht="13" customHeight="1" s="189">
      <c r="A217" s="289" t="n"/>
      <c r="B217" s="290" t="n"/>
      <c r="C217" s="290" t="n"/>
      <c r="D217" s="291" t="n"/>
      <c r="E217" s="291" t="n"/>
      <c r="F217" s="291" t="n"/>
      <c r="G217" s="297" t="n"/>
      <c r="H217" s="298" t="n"/>
    </row>
    <row r="218" ht="13" customHeight="1" s="189">
      <c r="A218" s="289" t="n"/>
      <c r="B218" s="290" t="n"/>
      <c r="C218" s="290" t="n"/>
      <c r="D218" s="291" t="n"/>
      <c r="E218" s="291" t="n"/>
      <c r="F218" s="291" t="n"/>
      <c r="G218" s="297" t="n"/>
      <c r="H218" s="298" t="n"/>
    </row>
    <row r="219" ht="13" customHeight="1" s="189">
      <c r="A219" s="289" t="n"/>
      <c r="B219" s="290" t="n"/>
      <c r="C219" s="290" t="n"/>
      <c r="D219" s="291" t="n"/>
      <c r="E219" s="291" t="n"/>
      <c r="F219" s="291" t="n"/>
      <c r="G219" s="297" t="n"/>
      <c r="H219" s="298" t="n"/>
    </row>
    <row r="220" ht="13" customHeight="1" s="189">
      <c r="A220" s="289" t="n"/>
      <c r="B220" s="290" t="n"/>
      <c r="C220" s="290" t="n"/>
      <c r="D220" s="291" t="n"/>
      <c r="E220" s="291" t="n"/>
      <c r="F220" s="291" t="n"/>
      <c r="G220" s="297" t="n"/>
      <c r="H220" s="298" t="n"/>
    </row>
    <row r="221" ht="13" customHeight="1" s="189">
      <c r="A221" s="289" t="n"/>
      <c r="B221" s="290" t="n"/>
      <c r="C221" s="290" t="n"/>
      <c r="D221" s="291" t="n"/>
      <c r="E221" s="291" t="n"/>
      <c r="F221" s="291" t="n"/>
      <c r="G221" s="297" t="n"/>
      <c r="H221" s="298" t="n"/>
    </row>
    <row r="222" ht="13" customHeight="1" s="189">
      <c r="A222" s="289" t="n"/>
      <c r="B222" s="290" t="n"/>
      <c r="C222" s="290" t="n"/>
      <c r="D222" s="291" t="n"/>
      <c r="E222" s="291" t="n"/>
      <c r="F222" s="291" t="n"/>
      <c r="G222" s="297" t="n"/>
      <c r="H222" s="298" t="n"/>
    </row>
    <row r="223" ht="13" customHeight="1" s="189">
      <c r="A223" s="289" t="n"/>
      <c r="B223" s="290" t="n"/>
      <c r="C223" s="290" t="n"/>
      <c r="D223" s="291" t="n"/>
      <c r="E223" s="291" t="n"/>
      <c r="F223" s="291" t="n"/>
      <c r="G223" s="297" t="n"/>
      <c r="H223" s="298" t="n"/>
    </row>
    <row r="224" ht="13" customHeight="1" s="189">
      <c r="A224" s="289" t="n"/>
      <c r="B224" s="290" t="n"/>
      <c r="C224" s="290" t="n"/>
      <c r="D224" s="291" t="n"/>
      <c r="E224" s="291" t="n"/>
      <c r="F224" s="291" t="n"/>
      <c r="G224" s="297" t="n"/>
      <c r="H224" s="298" t="n"/>
    </row>
    <row r="225" ht="13" customHeight="1" s="189">
      <c r="A225" s="289" t="n"/>
      <c r="B225" s="290" t="n"/>
      <c r="C225" s="290" t="n"/>
      <c r="D225" s="291" t="n"/>
      <c r="E225" s="291" t="n"/>
      <c r="F225" s="291" t="n"/>
      <c r="G225" s="297" t="n"/>
      <c r="H225" s="298" t="n"/>
    </row>
    <row r="226" ht="13" customHeight="1" s="189">
      <c r="A226" s="289" t="n"/>
      <c r="B226" s="290" t="n"/>
      <c r="C226" s="290" t="n"/>
      <c r="D226" s="291" t="n"/>
      <c r="E226" s="291" t="n"/>
      <c r="F226" s="291" t="n"/>
      <c r="G226" s="297" t="n"/>
      <c r="H226" s="298" t="n"/>
    </row>
    <row r="227" ht="13" customHeight="1" s="189">
      <c r="A227" s="289" t="n"/>
      <c r="B227" s="290" t="n"/>
      <c r="C227" s="290" t="n"/>
      <c r="D227" s="291" t="n"/>
      <c r="E227" s="291" t="n"/>
      <c r="F227" s="291" t="n"/>
      <c r="G227" s="297" t="n"/>
      <c r="H227" s="298" t="n"/>
    </row>
    <row r="228" ht="13" customHeight="1" s="189">
      <c r="A228" s="289" t="n"/>
      <c r="B228" s="290" t="n"/>
      <c r="C228" s="290" t="n"/>
      <c r="D228" s="291" t="n"/>
      <c r="E228" s="291" t="n"/>
      <c r="F228" s="291" t="n"/>
      <c r="G228" s="297" t="n"/>
      <c r="H228" s="298" t="n"/>
    </row>
    <row r="229" ht="13" customHeight="1" s="189">
      <c r="A229" s="289" t="n"/>
      <c r="B229" s="290" t="n"/>
      <c r="C229" s="290" t="n"/>
      <c r="D229" s="291" t="n"/>
      <c r="E229" s="291" t="n"/>
      <c r="F229" s="291" t="n"/>
      <c r="G229" s="297" t="n"/>
      <c r="H229" s="298" t="n"/>
    </row>
    <row r="230" ht="13" customHeight="1" s="189">
      <c r="A230" s="289" t="n"/>
      <c r="B230" s="290" t="n"/>
      <c r="C230" s="290" t="n"/>
      <c r="D230" s="291" t="n"/>
      <c r="E230" s="291" t="n"/>
      <c r="F230" s="291" t="n"/>
      <c r="G230" s="297" t="n"/>
      <c r="H230" s="298" t="n"/>
    </row>
    <row r="231" ht="13" customHeight="1" s="189">
      <c r="A231" s="289" t="n"/>
      <c r="B231" s="290" t="n"/>
      <c r="C231" s="290" t="n"/>
      <c r="D231" s="291" t="n"/>
      <c r="E231" s="291" t="n"/>
      <c r="F231" s="291" t="n"/>
      <c r="G231" s="297" t="n"/>
      <c r="H231" s="298" t="n"/>
    </row>
    <row r="232" ht="13" customHeight="1" s="189">
      <c r="A232" s="289" t="n"/>
      <c r="B232" s="290" t="n"/>
      <c r="C232" s="290" t="n"/>
      <c r="D232" s="291" t="n"/>
      <c r="E232" s="291" t="n"/>
      <c r="F232" s="291" t="n"/>
      <c r="G232" s="297" t="n"/>
      <c r="H232" s="298" t="n"/>
    </row>
    <row r="233" ht="13" customHeight="1" s="189">
      <c r="A233" s="289" t="n"/>
      <c r="B233" s="290" t="n"/>
      <c r="C233" s="290" t="n"/>
      <c r="D233" s="291" t="n"/>
      <c r="E233" s="291" t="n"/>
      <c r="F233" s="291" t="n"/>
      <c r="G233" s="297" t="n"/>
      <c r="H233" s="298" t="n"/>
    </row>
    <row r="234" ht="13" customHeight="1" s="189">
      <c r="A234" s="289" t="n"/>
      <c r="B234" s="290" t="n"/>
      <c r="C234" s="290" t="n"/>
      <c r="D234" s="291" t="n"/>
      <c r="E234" s="291" t="n"/>
      <c r="F234" s="291" t="n"/>
      <c r="G234" s="297" t="n"/>
      <c r="H234" s="298" t="n"/>
    </row>
    <row r="235" ht="13" customHeight="1" s="189">
      <c r="A235" s="289" t="n"/>
      <c r="B235" s="290" t="n"/>
      <c r="C235" s="290" t="n"/>
      <c r="D235" s="291" t="n"/>
      <c r="E235" s="291" t="n"/>
      <c r="F235" s="291" t="n"/>
      <c r="G235" s="297" t="n"/>
      <c r="H235" s="298" t="n"/>
    </row>
    <row r="236" ht="13" customHeight="1" s="189">
      <c r="A236" s="289" t="n"/>
      <c r="B236" s="290" t="n"/>
      <c r="C236" s="290" t="n"/>
      <c r="D236" s="291" t="n"/>
      <c r="E236" s="291" t="n"/>
      <c r="F236" s="291" t="n"/>
      <c r="G236" s="297" t="n"/>
      <c r="H236" s="298" t="n"/>
    </row>
    <row r="237" ht="13" customHeight="1" s="189">
      <c r="A237" s="289" t="n"/>
      <c r="B237" s="290" t="n"/>
      <c r="C237" s="290" t="n"/>
      <c r="D237" s="291" t="n"/>
      <c r="E237" s="291" t="n"/>
      <c r="F237" s="291" t="n"/>
      <c r="G237" s="297" t="n"/>
      <c r="H237" s="298" t="n"/>
    </row>
    <row r="238" ht="13" customHeight="1" s="189">
      <c r="A238" s="289" t="n"/>
      <c r="B238" s="290" t="n"/>
      <c r="C238" s="290" t="n"/>
      <c r="D238" s="291" t="n"/>
      <c r="E238" s="291" t="n"/>
      <c r="F238" s="291" t="n"/>
      <c r="G238" s="297" t="n"/>
      <c r="H238" s="298" t="n"/>
    </row>
    <row r="239" ht="13" customHeight="1" s="189">
      <c r="A239" s="289" t="n"/>
      <c r="B239" s="290" t="n"/>
      <c r="C239" s="290" t="n"/>
      <c r="D239" s="291" t="n"/>
      <c r="E239" s="291" t="n"/>
      <c r="F239" s="291" t="n"/>
      <c r="G239" s="297" t="n"/>
      <c r="H239" s="298" t="n"/>
    </row>
    <row r="240" ht="13" customHeight="1" s="189">
      <c r="A240" s="289" t="n"/>
      <c r="B240" s="290" t="n"/>
      <c r="C240" s="290" t="n"/>
      <c r="D240" s="291" t="n"/>
      <c r="E240" s="291" t="n"/>
      <c r="F240" s="291" t="n"/>
      <c r="G240" s="297" t="n"/>
      <c r="H240" s="298" t="n"/>
    </row>
    <row r="241" ht="13" customHeight="1" s="189">
      <c r="A241" s="289" t="n"/>
      <c r="B241" s="290" t="n"/>
      <c r="C241" s="290" t="n"/>
      <c r="D241" s="291" t="n"/>
      <c r="E241" s="291" t="n"/>
      <c r="F241" s="291" t="n"/>
      <c r="G241" s="297" t="n"/>
      <c r="H241" s="298" t="n"/>
    </row>
    <row r="242" ht="13" customHeight="1" s="189">
      <c r="A242" s="289" t="n"/>
      <c r="B242" s="290" t="n"/>
      <c r="C242" s="290" t="n"/>
      <c r="D242" s="291" t="n"/>
      <c r="E242" s="291" t="n"/>
      <c r="F242" s="291" t="n"/>
      <c r="G242" s="297" t="n"/>
      <c r="H242" s="298" t="n"/>
    </row>
    <row r="243" ht="13" customHeight="1" s="189">
      <c r="A243" s="289" t="n"/>
      <c r="B243" s="290" t="n"/>
      <c r="C243" s="290" t="n"/>
      <c r="D243" s="291" t="n"/>
      <c r="E243" s="291" t="n"/>
      <c r="F243" s="291" t="n"/>
      <c r="G243" s="297" t="n"/>
      <c r="H243" s="298" t="n"/>
    </row>
    <row r="244" ht="13" customHeight="1" s="189">
      <c r="A244" s="289" t="n"/>
      <c r="B244" s="290" t="n"/>
      <c r="C244" s="290" t="n"/>
      <c r="D244" s="291" t="n"/>
      <c r="E244" s="291" t="n"/>
      <c r="F244" s="291" t="n"/>
      <c r="G244" s="297" t="n"/>
      <c r="H244" s="298" t="n"/>
    </row>
    <row r="245" ht="13" customHeight="1" s="189">
      <c r="A245" s="289" t="n"/>
      <c r="B245" s="290" t="n"/>
      <c r="C245" s="290" t="n"/>
      <c r="D245" s="291" t="n"/>
      <c r="E245" s="291" t="n"/>
      <c r="F245" s="291" t="n"/>
      <c r="G245" s="297" t="n"/>
      <c r="H245" s="298" t="n"/>
    </row>
    <row r="246" ht="13" customHeight="1" s="189">
      <c r="A246" s="289" t="n"/>
      <c r="B246" s="290" t="n"/>
      <c r="C246" s="290" t="n"/>
      <c r="D246" s="291" t="n"/>
      <c r="E246" s="291" t="n"/>
      <c r="F246" s="291" t="n"/>
      <c r="G246" s="297" t="n"/>
      <c r="H246" s="298" t="n"/>
    </row>
    <row r="247" ht="13" customHeight="1" s="189">
      <c r="A247" s="289" t="n"/>
      <c r="B247" s="290" t="n"/>
      <c r="C247" s="290" t="n"/>
      <c r="D247" s="291" t="n"/>
      <c r="E247" s="291" t="n"/>
      <c r="F247" s="291" t="n"/>
      <c r="G247" s="297" t="n"/>
      <c r="H247" s="298" t="n"/>
    </row>
    <row r="248" ht="13" customHeight="1" s="189">
      <c r="A248" s="289" t="n"/>
      <c r="B248" s="290" t="n"/>
      <c r="C248" s="290" t="n"/>
      <c r="D248" s="291" t="n"/>
      <c r="E248" s="291" t="n"/>
      <c r="F248" s="291" t="n"/>
      <c r="G248" s="297" t="n"/>
      <c r="H248" s="298" t="n"/>
    </row>
    <row r="249" ht="13" customHeight="1" s="189">
      <c r="A249" s="289" t="n"/>
      <c r="B249" s="290" t="n"/>
      <c r="C249" s="290" t="n"/>
      <c r="D249" s="291" t="n"/>
      <c r="E249" s="291" t="n"/>
      <c r="F249" s="291" t="n"/>
      <c r="G249" s="297" t="n"/>
      <c r="H249" s="298" t="n"/>
    </row>
    <row r="250" ht="13" customHeight="1" s="189">
      <c r="A250" s="289" t="n"/>
      <c r="B250" s="290" t="n"/>
      <c r="C250" s="290" t="n"/>
      <c r="D250" s="291" t="n"/>
      <c r="E250" s="291" t="n"/>
      <c r="F250" s="291" t="n"/>
      <c r="G250" s="297" t="n"/>
      <c r="H250" s="298" t="n"/>
    </row>
    <row r="251" ht="13" customHeight="1" s="189">
      <c r="A251" s="289" t="n"/>
      <c r="B251" s="290" t="n"/>
      <c r="C251" s="290" t="n"/>
      <c r="D251" s="291" t="n"/>
      <c r="E251" s="291" t="n"/>
      <c r="F251" s="291" t="n"/>
      <c r="G251" s="297" t="n"/>
      <c r="H251" s="298" t="n"/>
    </row>
    <row r="252" ht="13" customHeight="1" s="189">
      <c r="A252" s="289" t="n"/>
      <c r="B252" s="290" t="n"/>
      <c r="C252" s="290" t="n"/>
      <c r="D252" s="291" t="n"/>
      <c r="E252" s="291" t="n"/>
      <c r="F252" s="291" t="n"/>
      <c r="G252" s="297" t="n"/>
      <c r="H252" s="298" t="n"/>
    </row>
    <row r="253" ht="13" customHeight="1" s="189">
      <c r="A253" s="289" t="n"/>
      <c r="B253" s="290" t="n"/>
      <c r="C253" s="290" t="n"/>
      <c r="D253" s="291" t="n"/>
      <c r="E253" s="291" t="n"/>
      <c r="F253" s="291" t="n"/>
      <c r="G253" s="297" t="n"/>
      <c r="H253" s="298" t="n"/>
    </row>
    <row r="254" ht="13" customHeight="1" s="189">
      <c r="A254" s="289" t="n"/>
      <c r="B254" s="290" t="n"/>
      <c r="C254" s="290" t="n"/>
      <c r="D254" s="291" t="n"/>
      <c r="E254" s="291" t="n"/>
      <c r="F254" s="291" t="n"/>
      <c r="G254" s="297" t="n"/>
      <c r="H254" s="298" t="n"/>
    </row>
    <row r="255" ht="13" customHeight="1" s="189">
      <c r="A255" s="289" t="n"/>
      <c r="B255" s="290" t="n"/>
      <c r="C255" s="290" t="n"/>
      <c r="D255" s="291" t="n"/>
      <c r="E255" s="291" t="n"/>
      <c r="F255" s="291" t="n"/>
      <c r="G255" s="297" t="n"/>
      <c r="H255" s="298" t="n"/>
    </row>
    <row r="256" ht="13" customHeight="1" s="189">
      <c r="A256" s="289" t="n"/>
      <c r="B256" s="290" t="n"/>
      <c r="C256" s="290" t="n"/>
      <c r="D256" s="291" t="n"/>
      <c r="E256" s="291" t="n"/>
      <c r="F256" s="291" t="n"/>
      <c r="G256" s="297" t="n"/>
      <c r="H256" s="298" t="n"/>
    </row>
    <row r="257" ht="13" customHeight="1" s="189">
      <c r="A257" s="289" t="n"/>
      <c r="B257" s="290" t="n"/>
      <c r="C257" s="290" t="n"/>
      <c r="D257" s="291" t="n"/>
      <c r="E257" s="291" t="n"/>
      <c r="F257" s="291" t="n"/>
      <c r="G257" s="297" t="n"/>
      <c r="H257" s="298" t="n"/>
    </row>
    <row r="258" ht="13" customHeight="1" s="189">
      <c r="A258" s="289" t="n"/>
      <c r="B258" s="290" t="n"/>
      <c r="C258" s="290" t="n"/>
      <c r="D258" s="291" t="n"/>
      <c r="E258" s="291" t="n"/>
      <c r="F258" s="291" t="n"/>
      <c r="G258" s="297" t="n"/>
      <c r="H258" s="298" t="n"/>
    </row>
    <row r="259" ht="13" customHeight="1" s="189">
      <c r="A259" s="289" t="n"/>
      <c r="B259" s="290" t="n"/>
      <c r="C259" s="290" t="n"/>
      <c r="D259" s="291" t="n"/>
      <c r="E259" s="291" t="n"/>
      <c r="F259" s="291" t="n"/>
      <c r="G259" s="297" t="n"/>
      <c r="H259" s="298" t="n"/>
    </row>
    <row r="260" ht="13" customHeight="1" s="189">
      <c r="A260" s="289" t="n"/>
      <c r="B260" s="290" t="n"/>
      <c r="C260" s="290" t="n"/>
      <c r="D260" s="291" t="n"/>
      <c r="E260" s="291" t="n"/>
      <c r="F260" s="291" t="n"/>
      <c r="G260" s="297" t="n"/>
      <c r="H260" s="298" t="n"/>
    </row>
    <row r="261" ht="13" customHeight="1" s="189">
      <c r="A261" s="289" t="n"/>
      <c r="B261" s="290" t="n"/>
      <c r="C261" s="290" t="n"/>
      <c r="D261" s="291" t="n"/>
      <c r="E261" s="291" t="n"/>
      <c r="F261" s="291" t="n"/>
      <c r="G261" s="297" t="n"/>
      <c r="H261" s="298" t="n"/>
    </row>
    <row r="262" ht="13" customHeight="1" s="189">
      <c r="A262" s="289" t="n"/>
      <c r="B262" s="290" t="n"/>
      <c r="C262" s="290" t="n"/>
      <c r="D262" s="291" t="n"/>
      <c r="E262" s="291" t="n"/>
      <c r="F262" s="291" t="n"/>
      <c r="G262" s="297" t="n"/>
      <c r="H262" s="298" t="n"/>
    </row>
    <row r="263" ht="13" customHeight="1" s="189">
      <c r="A263" s="289" t="n"/>
      <c r="B263" s="290" t="n"/>
      <c r="C263" s="290" t="n"/>
      <c r="D263" s="291" t="n"/>
      <c r="E263" s="291" t="n"/>
      <c r="F263" s="291" t="n"/>
      <c r="G263" s="297" t="n"/>
      <c r="H263" s="298" t="n"/>
    </row>
    <row r="264" ht="13" customHeight="1" s="189">
      <c r="A264" s="289" t="n"/>
      <c r="B264" s="290" t="n"/>
      <c r="C264" s="290" t="n"/>
      <c r="D264" s="291" t="n"/>
      <c r="E264" s="291" t="n"/>
      <c r="F264" s="291" t="n"/>
      <c r="G264" s="297" t="n"/>
      <c r="H264" s="298" t="n"/>
    </row>
    <row r="265" ht="13" customHeight="1" s="189">
      <c r="A265" s="289" t="n"/>
      <c r="B265" s="290" t="n"/>
      <c r="C265" s="290" t="n"/>
      <c r="D265" s="291" t="n"/>
      <c r="E265" s="291" t="n"/>
      <c r="F265" s="291" t="n"/>
      <c r="G265" s="297" t="n"/>
      <c r="H265" s="298" t="n"/>
    </row>
    <row r="266" ht="13" customHeight="1" s="189">
      <c r="A266" s="289" t="n"/>
      <c r="B266" s="290" t="n"/>
      <c r="C266" s="290" t="n"/>
      <c r="D266" s="291" t="n"/>
      <c r="E266" s="291" t="n"/>
      <c r="F266" s="291" t="n"/>
      <c r="G266" s="297" t="n"/>
      <c r="H266" s="298" t="n"/>
    </row>
    <row r="267" ht="13" customHeight="1" s="189">
      <c r="A267" s="289" t="n"/>
      <c r="B267" s="290" t="n"/>
      <c r="C267" s="290" t="n"/>
      <c r="D267" s="291" t="n"/>
      <c r="E267" s="291" t="n"/>
      <c r="F267" s="291" t="n"/>
      <c r="G267" s="297" t="n"/>
      <c r="H267" s="298" t="n"/>
    </row>
    <row r="268" ht="13" customHeight="1" s="189">
      <c r="A268" s="289" t="n"/>
      <c r="B268" s="290" t="n"/>
      <c r="C268" s="290" t="n"/>
      <c r="D268" s="291" t="n"/>
      <c r="E268" s="291" t="n"/>
      <c r="F268" s="291" t="n"/>
      <c r="G268" s="297" t="n"/>
      <c r="H268" s="298" t="n"/>
    </row>
    <row r="269" ht="13" customHeight="1" s="189">
      <c r="A269" s="289" t="n"/>
      <c r="B269" s="290" t="n"/>
      <c r="C269" s="290" t="n"/>
      <c r="D269" s="291" t="n"/>
      <c r="E269" s="291" t="n"/>
      <c r="F269" s="291" t="n"/>
      <c r="G269" s="297" t="n"/>
      <c r="H269" s="298" t="n"/>
    </row>
    <row r="270" ht="13" customHeight="1" s="189">
      <c r="A270" s="289" t="n"/>
      <c r="B270" s="290" t="n"/>
      <c r="C270" s="290" t="n"/>
      <c r="D270" s="291" t="n"/>
      <c r="E270" s="291" t="n"/>
      <c r="F270" s="291" t="n"/>
      <c r="G270" s="297" t="n"/>
      <c r="H270" s="298" t="n"/>
    </row>
    <row r="271" ht="13" customHeight="1" s="189">
      <c r="A271" s="289" t="n"/>
      <c r="B271" s="290" t="n"/>
      <c r="C271" s="290" t="n"/>
      <c r="D271" s="291" t="n"/>
      <c r="E271" s="291" t="n"/>
      <c r="F271" s="291" t="n"/>
      <c r="G271" s="297" t="n"/>
      <c r="H271" s="298" t="n"/>
    </row>
    <row r="272" ht="13" customHeight="1" s="189">
      <c r="A272" s="289" t="n"/>
      <c r="B272" s="290" t="n"/>
      <c r="C272" s="290" t="n"/>
      <c r="D272" s="291" t="n"/>
      <c r="E272" s="291" t="n"/>
      <c r="F272" s="291" t="n"/>
      <c r="G272" s="297" t="n"/>
      <c r="H272" s="298" t="n"/>
    </row>
    <row r="273" ht="13" customHeight="1" s="189">
      <c r="A273" s="289" t="n"/>
      <c r="B273" s="290" t="n"/>
      <c r="C273" s="290" t="n"/>
      <c r="D273" s="291" t="n"/>
      <c r="E273" s="291" t="n"/>
      <c r="F273" s="291" t="n"/>
      <c r="G273" s="297" t="n"/>
      <c r="H273" s="298" t="n"/>
    </row>
    <row r="274" ht="13" customHeight="1" s="189">
      <c r="A274" s="289" t="n"/>
      <c r="B274" s="290" t="n"/>
      <c r="C274" s="290" t="n"/>
      <c r="D274" s="291" t="n"/>
      <c r="E274" s="291" t="n"/>
      <c r="F274" s="291" t="n"/>
      <c r="G274" s="297" t="n"/>
      <c r="H274" s="298" t="n"/>
    </row>
    <row r="275" ht="13" customHeight="1" s="189">
      <c r="A275" s="289" t="n"/>
      <c r="B275" s="290" t="n"/>
      <c r="C275" s="290" t="n"/>
      <c r="D275" s="291" t="n"/>
      <c r="E275" s="291" t="n"/>
      <c r="F275" s="291" t="n"/>
      <c r="G275" s="297" t="n"/>
      <c r="H275" s="298" t="n"/>
    </row>
    <row r="276" ht="13" customHeight="1" s="189">
      <c r="A276" s="289" t="n"/>
      <c r="B276" s="290" t="n"/>
      <c r="C276" s="290" t="n"/>
      <c r="D276" s="291" t="n"/>
      <c r="E276" s="291" t="n"/>
      <c r="F276" s="291" t="n"/>
      <c r="G276" s="297" t="n"/>
      <c r="H276" s="298" t="n"/>
    </row>
    <row r="277" ht="13" customHeight="1" s="189">
      <c r="A277" s="289" t="n"/>
      <c r="B277" s="290" t="n"/>
      <c r="C277" s="290" t="n"/>
      <c r="D277" s="291" t="n"/>
      <c r="E277" s="291" t="n"/>
      <c r="F277" s="291" t="n"/>
      <c r="G277" s="297" t="n"/>
      <c r="H277" s="298" t="n"/>
    </row>
    <row r="278" ht="13" customHeight="1" s="189">
      <c r="A278" s="289" t="n"/>
      <c r="B278" s="290" t="n"/>
      <c r="C278" s="290" t="n"/>
      <c r="D278" s="291" t="n"/>
      <c r="E278" s="291" t="n"/>
      <c r="F278" s="291" t="n"/>
      <c r="G278" s="297" t="n"/>
      <c r="H278" s="298" t="n"/>
    </row>
    <row r="279" ht="13" customHeight="1" s="189">
      <c r="A279" s="289" t="n"/>
      <c r="B279" s="290" t="n"/>
      <c r="C279" s="290" t="n"/>
      <c r="D279" s="291" t="n"/>
      <c r="E279" s="291" t="n"/>
      <c r="F279" s="291" t="n"/>
      <c r="G279" s="297" t="n"/>
      <c r="H279" s="298" t="n"/>
    </row>
    <row r="280" ht="13" customHeight="1" s="189">
      <c r="A280" s="289" t="n"/>
      <c r="B280" s="290" t="n"/>
      <c r="C280" s="290" t="n"/>
      <c r="D280" s="291" t="n"/>
      <c r="E280" s="291" t="n"/>
      <c r="F280" s="291" t="n"/>
      <c r="G280" s="297" t="n"/>
      <c r="H280" s="298" t="n"/>
    </row>
    <row r="281" ht="13" customHeight="1" s="189">
      <c r="A281" s="289" t="n"/>
      <c r="B281" s="290" t="n"/>
      <c r="C281" s="290" t="n"/>
      <c r="D281" s="291" t="n"/>
      <c r="E281" s="291" t="n"/>
      <c r="F281" s="291" t="n"/>
      <c r="G281" s="297" t="n"/>
      <c r="H281" s="298" t="n"/>
    </row>
    <row r="282" ht="13" customHeight="1" s="189">
      <c r="A282" s="289" t="n"/>
      <c r="B282" s="290" t="n"/>
      <c r="C282" s="290" t="n"/>
      <c r="D282" s="291" t="n"/>
      <c r="E282" s="291" t="n"/>
      <c r="F282" s="291" t="n"/>
      <c r="G282" s="297" t="n"/>
      <c r="H282" s="298" t="n"/>
    </row>
    <row r="283" ht="13" customHeight="1" s="189">
      <c r="A283" s="289" t="n"/>
      <c r="B283" s="290" t="n"/>
      <c r="C283" s="290" t="n"/>
      <c r="D283" s="291" t="n"/>
      <c r="E283" s="291" t="n"/>
      <c r="F283" s="291" t="n"/>
      <c r="G283" s="297" t="n"/>
      <c r="H283" s="298" t="n"/>
    </row>
    <row r="284" ht="13" customHeight="1" s="189">
      <c r="A284" s="289" t="n"/>
      <c r="B284" s="290" t="n"/>
      <c r="C284" s="290" t="n"/>
      <c r="D284" s="291" t="n"/>
      <c r="E284" s="291" t="n"/>
      <c r="F284" s="291" t="n"/>
      <c r="G284" s="297" t="n"/>
      <c r="H284" s="298" t="n"/>
    </row>
    <row r="285" ht="13" customHeight="1" s="189">
      <c r="A285" s="289" t="n"/>
      <c r="B285" s="290" t="n"/>
      <c r="C285" s="290" t="n"/>
      <c r="D285" s="291" t="n"/>
      <c r="E285" s="291" t="n"/>
      <c r="F285" s="291" t="n"/>
      <c r="G285" s="297" t="n"/>
      <c r="H285" s="298" t="n"/>
    </row>
    <row r="286" ht="13" customHeight="1" s="189">
      <c r="A286" s="289" t="n"/>
      <c r="B286" s="290" t="n"/>
      <c r="C286" s="290" t="n"/>
      <c r="D286" s="291" t="n"/>
      <c r="E286" s="291" t="n"/>
      <c r="F286" s="291" t="n"/>
      <c r="G286" s="297" t="n"/>
      <c r="H286" s="298" t="n"/>
    </row>
    <row r="287" ht="13" customHeight="1" s="189">
      <c r="A287" s="289" t="n"/>
      <c r="B287" s="290" t="n"/>
      <c r="C287" s="290" t="n"/>
      <c r="D287" s="291" t="n"/>
      <c r="E287" s="291" t="n"/>
      <c r="F287" s="291" t="n"/>
      <c r="G287" s="297" t="n"/>
      <c r="H287" s="298" t="n"/>
    </row>
    <row r="288" ht="13" customHeight="1" s="189">
      <c r="A288" s="289" t="n"/>
      <c r="B288" s="290" t="n"/>
      <c r="C288" s="290" t="n"/>
      <c r="D288" s="291" t="n"/>
      <c r="E288" s="291" t="n"/>
      <c r="F288" s="291" t="n"/>
      <c r="G288" s="297" t="n"/>
      <c r="H288" s="298" t="n"/>
    </row>
    <row r="289" ht="13" customHeight="1" s="189">
      <c r="A289" s="289" t="n"/>
      <c r="B289" s="290" t="n"/>
      <c r="C289" s="290" t="n"/>
      <c r="D289" s="291" t="n"/>
      <c r="E289" s="291" t="n"/>
      <c r="F289" s="291" t="n"/>
      <c r="G289" s="297" t="n"/>
      <c r="H289" s="298" t="n"/>
    </row>
    <row r="290" ht="13" customHeight="1" s="189">
      <c r="A290" s="289" t="n"/>
      <c r="B290" s="290" t="n"/>
      <c r="C290" s="290" t="n"/>
      <c r="D290" s="291" t="n"/>
      <c r="E290" s="291" t="n"/>
      <c r="F290" s="291" t="n"/>
      <c r="G290" s="297" t="n"/>
      <c r="H290" s="298" t="n"/>
    </row>
    <row r="291" ht="13" customHeight="1" s="189">
      <c r="A291" s="289" t="n"/>
      <c r="B291" s="290" t="n"/>
      <c r="C291" s="290" t="n"/>
      <c r="D291" s="291" t="n"/>
      <c r="E291" s="291" t="n"/>
      <c r="F291" s="291" t="n"/>
      <c r="G291" s="297" t="n"/>
      <c r="H291" s="298" t="n"/>
    </row>
    <row r="292" ht="13" customHeight="1" s="189">
      <c r="A292" s="289" t="n"/>
      <c r="B292" s="290" t="n"/>
      <c r="C292" s="290" t="n"/>
      <c r="D292" s="291" t="n"/>
      <c r="E292" s="291" t="n"/>
      <c r="F292" s="291" t="n"/>
      <c r="G292" s="297" t="n"/>
      <c r="H292" s="298" t="n"/>
    </row>
    <row r="293" ht="13" customHeight="1" s="189">
      <c r="A293" s="289" t="n"/>
      <c r="B293" s="290" t="n"/>
      <c r="C293" s="290" t="n"/>
      <c r="D293" s="291" t="n"/>
      <c r="E293" s="291" t="n"/>
      <c r="F293" s="291" t="n"/>
      <c r="G293" s="297" t="n"/>
      <c r="H293" s="298" t="n"/>
    </row>
    <row r="294" ht="13" customHeight="1" s="189">
      <c r="A294" s="289" t="n"/>
      <c r="B294" s="290" t="n"/>
      <c r="C294" s="290" t="n"/>
      <c r="D294" s="291" t="n"/>
      <c r="E294" s="291" t="n"/>
      <c r="F294" s="291" t="n"/>
      <c r="G294" s="297" t="n"/>
      <c r="H294" s="298" t="n"/>
    </row>
    <row r="295" ht="13" customHeight="1" s="189">
      <c r="A295" s="289" t="n"/>
      <c r="B295" s="290" t="n"/>
      <c r="C295" s="290" t="n"/>
      <c r="D295" s="291" t="n"/>
      <c r="E295" s="291" t="n"/>
      <c r="F295" s="291" t="n"/>
      <c r="G295" s="297" t="n"/>
      <c r="H295" s="298" t="n"/>
    </row>
    <row r="296" ht="13" customHeight="1" s="189">
      <c r="A296" s="289" t="n"/>
      <c r="B296" s="290" t="n"/>
      <c r="C296" s="290" t="n"/>
      <c r="D296" s="291" t="n"/>
      <c r="E296" s="291" t="n"/>
      <c r="F296" s="291" t="n"/>
      <c r="G296" s="297" t="n"/>
      <c r="H296" s="298" t="n"/>
    </row>
    <row r="297" ht="13" customHeight="1" s="189">
      <c r="A297" s="289" t="n"/>
      <c r="B297" s="290" t="n"/>
      <c r="C297" s="290" t="n"/>
      <c r="D297" s="291" t="n"/>
      <c r="E297" s="291" t="n"/>
      <c r="F297" s="291" t="n"/>
      <c r="G297" s="297" t="n"/>
      <c r="H297" s="298" t="n"/>
    </row>
    <row r="298" ht="13" customHeight="1" s="189">
      <c r="A298" s="289" t="n"/>
      <c r="B298" s="290" t="n"/>
      <c r="C298" s="290" t="n"/>
      <c r="D298" s="291" t="n"/>
      <c r="E298" s="291" t="n"/>
      <c r="F298" s="291" t="n"/>
      <c r="G298" s="297" t="n"/>
      <c r="H298" s="298" t="n"/>
    </row>
    <row r="299" ht="13" customHeight="1" s="189">
      <c r="A299" s="289" t="n"/>
      <c r="B299" s="290" t="n"/>
      <c r="C299" s="290" t="n"/>
      <c r="D299" s="291" t="n"/>
      <c r="E299" s="291" t="n"/>
      <c r="F299" s="291" t="n"/>
      <c r="G299" s="297" t="n"/>
      <c r="H299" s="298" t="n"/>
    </row>
    <row r="300" ht="13" customHeight="1" s="189">
      <c r="A300" s="289" t="n"/>
      <c r="B300" s="290" t="n"/>
      <c r="C300" s="290" t="n"/>
      <c r="D300" s="291" t="n"/>
      <c r="E300" s="291" t="n"/>
      <c r="F300" s="291" t="n"/>
      <c r="G300" s="297" t="n"/>
      <c r="H300" s="298" t="n"/>
    </row>
    <row r="301" ht="13" customHeight="1" s="189">
      <c r="A301" s="289" t="n"/>
      <c r="B301" s="290" t="n"/>
      <c r="C301" s="290" t="n"/>
      <c r="D301" s="291" t="n"/>
      <c r="E301" s="291" t="n"/>
      <c r="F301" s="291" t="n"/>
      <c r="G301" s="297" t="n"/>
      <c r="H301" s="298" t="n"/>
    </row>
    <row r="302" ht="13" customHeight="1" s="189">
      <c r="A302" s="289" t="n"/>
      <c r="B302" s="290" t="n"/>
      <c r="C302" s="290" t="n"/>
      <c r="D302" s="291" t="n"/>
      <c r="E302" s="291" t="n"/>
      <c r="F302" s="291" t="n"/>
      <c r="G302" s="297" t="n"/>
      <c r="H302" s="298" t="n"/>
    </row>
    <row r="303" ht="13" customHeight="1" s="189">
      <c r="A303" s="289" t="n"/>
      <c r="B303" s="290" t="n"/>
      <c r="C303" s="290" t="n"/>
      <c r="D303" s="291" t="n"/>
      <c r="E303" s="291" t="n"/>
      <c r="F303" s="291" t="n"/>
      <c r="G303" s="297" t="n"/>
      <c r="H303" s="298" t="n"/>
    </row>
    <row r="304" ht="13" customHeight="1" s="189">
      <c r="A304" s="289" t="n"/>
      <c r="B304" s="290" t="n"/>
      <c r="C304" s="290" t="n"/>
      <c r="D304" s="291" t="n"/>
      <c r="E304" s="291" t="n"/>
      <c r="F304" s="291" t="n"/>
      <c r="G304" s="297" t="n"/>
      <c r="H304" s="298" t="n"/>
    </row>
    <row r="305" ht="13" customHeight="1" s="189">
      <c r="A305" s="289" t="n"/>
      <c r="B305" s="290" t="n"/>
      <c r="C305" s="290" t="n"/>
      <c r="D305" s="291" t="n"/>
      <c r="E305" s="291" t="n"/>
      <c r="F305" s="291" t="n"/>
      <c r="G305" s="297" t="n"/>
      <c r="H305" s="298" t="n"/>
    </row>
    <row r="306" ht="13" customHeight="1" s="189">
      <c r="A306" s="289" t="n"/>
      <c r="B306" s="290" t="n"/>
      <c r="C306" s="290" t="n"/>
      <c r="D306" s="291" t="n"/>
      <c r="E306" s="291" t="n"/>
      <c r="F306" s="291" t="n"/>
      <c r="G306" s="297" t="n"/>
      <c r="H306" s="298" t="n"/>
    </row>
    <row r="307" ht="13" customHeight="1" s="189">
      <c r="A307" s="289" t="n"/>
      <c r="B307" s="290" t="n"/>
      <c r="C307" s="290" t="n"/>
      <c r="D307" s="291" t="n"/>
      <c r="E307" s="291" t="n"/>
      <c r="F307" s="291" t="n"/>
      <c r="G307" s="297" t="n"/>
      <c r="H307" s="298" t="n"/>
    </row>
    <row r="308" ht="13" customHeight="1" s="189">
      <c r="A308" s="289" t="n"/>
      <c r="B308" s="290" t="n"/>
      <c r="C308" s="290" t="n"/>
      <c r="D308" s="291" t="n"/>
      <c r="E308" s="291" t="n"/>
      <c r="F308" s="291" t="n"/>
      <c r="G308" s="297" t="n"/>
      <c r="H308" s="298" t="n"/>
    </row>
    <row r="309" ht="13" customHeight="1" s="189">
      <c r="A309" s="289" t="n"/>
      <c r="B309" s="290" t="n"/>
      <c r="C309" s="290" t="n"/>
      <c r="D309" s="291" t="n"/>
      <c r="E309" s="291" t="n"/>
      <c r="F309" s="291" t="n"/>
      <c r="G309" s="297" t="n"/>
      <c r="H309" s="298" t="n"/>
    </row>
    <row r="310" ht="13" customHeight="1" s="189">
      <c r="A310" s="289" t="n"/>
      <c r="B310" s="290" t="n"/>
      <c r="C310" s="290" t="n"/>
      <c r="D310" s="291" t="n"/>
      <c r="E310" s="291" t="n"/>
      <c r="F310" s="291" t="n"/>
      <c r="G310" s="297" t="n"/>
      <c r="H310" s="298" t="n"/>
    </row>
    <row r="311" ht="13" customHeight="1" s="189">
      <c r="A311" s="289" t="n"/>
      <c r="B311" s="290" t="n"/>
      <c r="C311" s="290" t="n"/>
      <c r="D311" s="291" t="n"/>
      <c r="E311" s="291" t="n"/>
      <c r="F311" s="291" t="n"/>
      <c r="G311" s="297" t="n"/>
      <c r="H311" s="298" t="n"/>
    </row>
    <row r="312" ht="13" customHeight="1" s="189">
      <c r="A312" s="289" t="n"/>
      <c r="B312" s="290" t="n"/>
      <c r="C312" s="290" t="n"/>
      <c r="D312" s="291" t="n"/>
      <c r="E312" s="291" t="n"/>
      <c r="F312" s="291" t="n"/>
      <c r="G312" s="297" t="n"/>
      <c r="H312" s="298" t="n"/>
    </row>
    <row r="313" ht="13" customHeight="1" s="189">
      <c r="A313" s="289" t="n"/>
      <c r="B313" s="290" t="n"/>
      <c r="C313" s="290" t="n"/>
      <c r="D313" s="291" t="n"/>
      <c r="E313" s="291" t="n"/>
      <c r="F313" s="291" t="n"/>
      <c r="G313" s="297" t="n"/>
      <c r="H313" s="298" t="n"/>
    </row>
    <row r="314" ht="13" customHeight="1" s="189">
      <c r="A314" s="289" t="n"/>
      <c r="B314" s="290" t="n"/>
      <c r="C314" s="290" t="n"/>
      <c r="D314" s="291" t="n"/>
      <c r="E314" s="291" t="n"/>
      <c r="F314" s="291" t="n"/>
      <c r="G314" s="297" t="n"/>
      <c r="H314" s="298" t="n"/>
    </row>
    <row r="315" ht="13" customHeight="1" s="189">
      <c r="A315" s="289" t="n"/>
      <c r="B315" s="290" t="n"/>
      <c r="C315" s="290" t="n"/>
      <c r="D315" s="291" t="n"/>
      <c r="E315" s="291" t="n"/>
      <c r="F315" s="291" t="n"/>
      <c r="G315" s="297" t="n"/>
      <c r="H315" s="298" t="n"/>
    </row>
    <row r="316" ht="13" customHeight="1" s="189">
      <c r="A316" s="289" t="n"/>
      <c r="B316" s="290" t="n"/>
      <c r="C316" s="290" t="n"/>
      <c r="D316" s="291" t="n"/>
      <c r="E316" s="291" t="n"/>
      <c r="F316" s="291" t="n"/>
      <c r="G316" s="297" t="n"/>
      <c r="H316" s="298" t="n"/>
    </row>
    <row r="317" ht="13" customHeight="1" s="189">
      <c r="A317" s="289" t="n"/>
      <c r="B317" s="290" t="n"/>
      <c r="C317" s="290" t="n"/>
      <c r="D317" s="291" t="n"/>
      <c r="E317" s="291" t="n"/>
      <c r="F317" s="291" t="n"/>
      <c r="G317" s="297" t="n"/>
      <c r="H317" s="298" t="n"/>
    </row>
    <row r="318" ht="13" customHeight="1" s="189">
      <c r="A318" s="289" t="n"/>
      <c r="B318" s="290" t="n"/>
      <c r="C318" s="290" t="n"/>
      <c r="D318" s="291" t="n"/>
      <c r="E318" s="291" t="n"/>
      <c r="F318" s="291" t="n"/>
      <c r="G318" s="297" t="n"/>
      <c r="H318" s="298" t="n"/>
    </row>
    <row r="319" ht="13" customHeight="1" s="189">
      <c r="A319" s="289" t="n"/>
      <c r="B319" s="290" t="n"/>
      <c r="C319" s="290" t="n"/>
      <c r="D319" s="291" t="n"/>
      <c r="E319" s="291" t="n"/>
      <c r="F319" s="291" t="n"/>
      <c r="G319" s="297" t="n"/>
      <c r="H319" s="298" t="n"/>
    </row>
    <row r="320" ht="13" customHeight="1" s="189">
      <c r="A320" s="289" t="n"/>
      <c r="B320" s="290" t="n"/>
      <c r="C320" s="290" t="n"/>
      <c r="D320" s="291" t="n"/>
      <c r="E320" s="291" t="n"/>
      <c r="F320" s="291" t="n"/>
      <c r="G320" s="297" t="n"/>
      <c r="H320" s="298" t="n"/>
    </row>
    <row r="321" ht="13" customHeight="1" s="189">
      <c r="A321" s="289" t="n"/>
      <c r="B321" s="290" t="n"/>
      <c r="C321" s="290" t="n"/>
      <c r="D321" s="291" t="n"/>
      <c r="E321" s="291" t="n"/>
      <c r="F321" s="291" t="n"/>
      <c r="G321" s="297" t="n"/>
      <c r="H321" s="298" t="n"/>
    </row>
    <row r="322" ht="13" customHeight="1" s="189">
      <c r="A322" s="289" t="n"/>
      <c r="B322" s="290" t="n"/>
      <c r="C322" s="290" t="n"/>
      <c r="D322" s="291" t="n"/>
      <c r="E322" s="291" t="n"/>
      <c r="F322" s="291" t="n"/>
      <c r="G322" s="297" t="n"/>
      <c r="H322" s="298" t="n"/>
    </row>
    <row r="323" ht="13" customHeight="1" s="189">
      <c r="A323" s="289" t="n"/>
      <c r="B323" s="290" t="n"/>
      <c r="C323" s="290" t="n"/>
      <c r="D323" s="291" t="n"/>
      <c r="E323" s="291" t="n"/>
      <c r="F323" s="291" t="n"/>
      <c r="G323" s="297" t="n"/>
      <c r="H323" s="298" t="n"/>
    </row>
    <row r="324" ht="13" customHeight="1" s="189">
      <c r="A324" s="289" t="n"/>
      <c r="B324" s="290" t="n"/>
      <c r="C324" s="290" t="n"/>
      <c r="D324" s="291" t="n"/>
      <c r="E324" s="291" t="n"/>
      <c r="F324" s="291" t="n"/>
      <c r="G324" s="297" t="n"/>
      <c r="H324" s="298" t="n"/>
    </row>
    <row r="325" ht="13" customHeight="1" s="189">
      <c r="A325" s="289" t="n"/>
      <c r="B325" s="290" t="n"/>
      <c r="C325" s="290" t="n"/>
      <c r="D325" s="291" t="n"/>
      <c r="E325" s="291" t="n"/>
      <c r="F325" s="291" t="n"/>
      <c r="G325" s="297" t="n"/>
      <c r="H325" s="298" t="n"/>
    </row>
    <row r="326" ht="13" customHeight="1" s="189">
      <c r="A326" s="289" t="n"/>
      <c r="B326" s="290" t="n"/>
      <c r="C326" s="290" t="n"/>
      <c r="D326" s="291" t="n"/>
      <c r="E326" s="291" t="n"/>
      <c r="F326" s="291" t="n"/>
      <c r="G326" s="297" t="n"/>
      <c r="H326" s="298" t="n"/>
    </row>
    <row r="327" ht="13" customHeight="1" s="189">
      <c r="A327" s="289" t="n"/>
      <c r="B327" s="290" t="n"/>
      <c r="C327" s="290" t="n"/>
      <c r="D327" s="291" t="n"/>
      <c r="E327" s="291" t="n"/>
      <c r="F327" s="291" t="n"/>
      <c r="G327" s="297" t="n"/>
      <c r="H327" s="298" t="n"/>
    </row>
    <row r="328" ht="13" customHeight="1" s="189">
      <c r="A328" s="289" t="n"/>
      <c r="B328" s="290" t="n"/>
      <c r="C328" s="290" t="n"/>
      <c r="D328" s="291" t="n"/>
      <c r="E328" s="291" t="n"/>
      <c r="F328" s="291" t="n"/>
      <c r="G328" s="297" t="n"/>
      <c r="H328" s="298" t="n"/>
    </row>
    <row r="329" ht="13" customHeight="1" s="189">
      <c r="A329" s="289" t="n"/>
      <c r="B329" s="290" t="n"/>
      <c r="C329" s="290" t="n"/>
      <c r="D329" s="291" t="n"/>
      <c r="E329" s="291" t="n"/>
      <c r="F329" s="291" t="n"/>
      <c r="G329" s="297" t="n"/>
      <c r="H329" s="298" t="n"/>
    </row>
    <row r="330" ht="13" customHeight="1" s="189">
      <c r="A330" s="289" t="n"/>
      <c r="B330" s="290" t="n"/>
      <c r="C330" s="290" t="n"/>
      <c r="D330" s="291" t="n"/>
      <c r="E330" s="291" t="n"/>
      <c r="F330" s="291" t="n"/>
      <c r="G330" s="297" t="n"/>
      <c r="H330" s="298" t="n"/>
    </row>
    <row r="331" ht="13" customHeight="1" s="189">
      <c r="A331" s="289" t="n"/>
      <c r="B331" s="290" t="n"/>
      <c r="C331" s="290" t="n"/>
      <c r="D331" s="291" t="n"/>
      <c r="E331" s="291" t="n"/>
      <c r="F331" s="291" t="n"/>
      <c r="G331" s="297" t="n"/>
      <c r="H331" s="298" t="n"/>
    </row>
    <row r="332" ht="13" customHeight="1" s="189">
      <c r="A332" s="289" t="n"/>
      <c r="B332" s="290" t="n"/>
      <c r="C332" s="290" t="n"/>
      <c r="D332" s="291" t="n"/>
      <c r="E332" s="291" t="n"/>
      <c r="F332" s="291" t="n"/>
      <c r="G332" s="297" t="n"/>
      <c r="H332" s="298" t="n"/>
    </row>
    <row r="333" ht="13" customHeight="1" s="189">
      <c r="A333" s="289" t="n"/>
      <c r="B333" s="290" t="n"/>
      <c r="C333" s="290" t="n"/>
      <c r="D333" s="291" t="n"/>
      <c r="E333" s="291" t="n"/>
      <c r="F333" s="291" t="n"/>
      <c r="G333" s="297" t="n"/>
      <c r="H333" s="298" t="n"/>
    </row>
    <row r="334" ht="13" customHeight="1" s="189">
      <c r="A334" s="289" t="n"/>
      <c r="B334" s="290" t="n"/>
      <c r="C334" s="290" t="n"/>
      <c r="D334" s="291" t="n"/>
      <c r="E334" s="291" t="n"/>
      <c r="F334" s="291" t="n"/>
      <c r="G334" s="297" t="n"/>
      <c r="H334" s="298" t="n"/>
    </row>
    <row r="335" ht="13" customHeight="1" s="189">
      <c r="A335" s="289" t="n"/>
      <c r="B335" s="290" t="n"/>
      <c r="C335" s="290" t="n"/>
      <c r="D335" s="291" t="n"/>
      <c r="E335" s="291" t="n"/>
      <c r="F335" s="291" t="n"/>
      <c r="G335" s="297" t="n"/>
      <c r="H335" s="298" t="n"/>
    </row>
    <row r="336" ht="13" customHeight="1" s="189">
      <c r="A336" s="289" t="n"/>
      <c r="B336" s="290" t="n"/>
      <c r="C336" s="290" t="n"/>
      <c r="D336" s="291" t="n"/>
      <c r="E336" s="291" t="n"/>
      <c r="F336" s="291" t="n"/>
      <c r="G336" s="297" t="n"/>
      <c r="H336" s="298" t="n"/>
    </row>
    <row r="337" ht="13" customHeight="1" s="189">
      <c r="A337" s="289" t="n"/>
      <c r="B337" s="290" t="n"/>
      <c r="C337" s="290" t="n"/>
      <c r="D337" s="291" t="n"/>
      <c r="E337" s="291" t="n"/>
      <c r="F337" s="291" t="n"/>
      <c r="G337" s="297" t="n"/>
      <c r="H337" s="298" t="n"/>
    </row>
    <row r="338" ht="13" customHeight="1" s="189">
      <c r="A338" s="289" t="n"/>
      <c r="B338" s="290" t="n"/>
      <c r="C338" s="290" t="n"/>
      <c r="D338" s="291" t="n"/>
      <c r="E338" s="291" t="n"/>
      <c r="F338" s="291" t="n"/>
      <c r="G338" s="297" t="n"/>
      <c r="H338" s="298" t="n"/>
    </row>
    <row r="339" ht="13" customHeight="1" s="189">
      <c r="A339" s="289" t="n"/>
      <c r="B339" s="290" t="n"/>
      <c r="C339" s="290" t="n"/>
      <c r="D339" s="291" t="n"/>
      <c r="E339" s="291" t="n"/>
      <c r="F339" s="291" t="n"/>
      <c r="G339" s="297" t="n"/>
      <c r="H339" s="298" t="n"/>
    </row>
    <row r="340" ht="13" customHeight="1" s="189">
      <c r="A340" s="289" t="n"/>
      <c r="B340" s="290" t="n"/>
      <c r="C340" s="290" t="n"/>
      <c r="D340" s="291" t="n"/>
      <c r="E340" s="291" t="n"/>
      <c r="F340" s="291" t="n"/>
      <c r="G340" s="297" t="n"/>
      <c r="H340" s="298" t="n"/>
    </row>
    <row r="341" ht="13" customHeight="1" s="189">
      <c r="A341" s="289" t="n"/>
      <c r="B341" s="290" t="n"/>
      <c r="C341" s="290" t="n"/>
      <c r="D341" s="291" t="n"/>
      <c r="E341" s="291" t="n"/>
      <c r="F341" s="291" t="n"/>
      <c r="G341" s="297" t="n"/>
      <c r="H341" s="298" t="n"/>
    </row>
    <row r="342" ht="13" customHeight="1" s="189">
      <c r="A342" s="289" t="n"/>
      <c r="B342" s="290" t="n"/>
      <c r="C342" s="290" t="n"/>
      <c r="D342" s="291" t="n"/>
      <c r="E342" s="291" t="n"/>
      <c r="F342" s="291" t="n"/>
      <c r="G342" s="297" t="n"/>
      <c r="H342" s="298" t="n"/>
    </row>
    <row r="343" ht="13" customHeight="1" s="189">
      <c r="A343" s="289" t="n"/>
      <c r="B343" s="290" t="n"/>
      <c r="C343" s="290" t="n"/>
      <c r="D343" s="291" t="n"/>
      <c r="E343" s="291" t="n"/>
      <c r="F343" s="291" t="n"/>
      <c r="G343" s="297" t="n"/>
      <c r="H343" s="298" t="n"/>
    </row>
    <row r="344" ht="13" customHeight="1" s="189">
      <c r="A344" s="289" t="n"/>
      <c r="B344" s="290" t="n"/>
      <c r="C344" s="290" t="n"/>
      <c r="D344" s="291" t="n"/>
      <c r="E344" s="291" t="n"/>
      <c r="F344" s="291" t="n"/>
      <c r="G344" s="297" t="n"/>
      <c r="H344" s="298" t="n"/>
    </row>
    <row r="345" ht="13" customHeight="1" s="189">
      <c r="A345" s="289" t="n"/>
      <c r="B345" s="290" t="n"/>
      <c r="C345" s="290" t="n"/>
      <c r="D345" s="291" t="n"/>
      <c r="E345" s="291" t="n"/>
      <c r="F345" s="291" t="n"/>
      <c r="G345" s="297" t="n"/>
      <c r="H345" s="298" t="n"/>
    </row>
    <row r="346" ht="13" customHeight="1" s="189">
      <c r="A346" s="289" t="n"/>
      <c r="B346" s="290" t="n"/>
      <c r="C346" s="290" t="n"/>
      <c r="D346" s="291" t="n"/>
      <c r="E346" s="291" t="n"/>
      <c r="F346" s="291" t="n"/>
      <c r="G346" s="297" t="n"/>
      <c r="H346" s="298" t="n"/>
    </row>
    <row r="347" ht="13" customHeight="1" s="189">
      <c r="A347" s="289" t="n"/>
      <c r="B347" s="290" t="n"/>
      <c r="C347" s="290" t="n"/>
      <c r="D347" s="291" t="n"/>
      <c r="E347" s="291" t="n"/>
      <c r="F347" s="291" t="n"/>
      <c r="G347" s="297" t="n"/>
      <c r="H347" s="298" t="n"/>
    </row>
    <row r="348" ht="13" customHeight="1" s="189">
      <c r="A348" s="289" t="n"/>
      <c r="B348" s="290" t="n"/>
      <c r="C348" s="290" t="n"/>
      <c r="D348" s="291" t="n"/>
      <c r="E348" s="291" t="n"/>
      <c r="F348" s="291" t="n"/>
      <c r="G348" s="297" t="n"/>
      <c r="H348" s="298" t="n"/>
    </row>
    <row r="349" ht="13" customHeight="1" s="189">
      <c r="A349" s="289" t="n"/>
      <c r="B349" s="290" t="n"/>
      <c r="C349" s="290" t="n"/>
      <c r="D349" s="291" t="n"/>
      <c r="E349" s="291" t="n"/>
      <c r="F349" s="291" t="n"/>
      <c r="G349" s="297" t="n"/>
      <c r="H349" s="298" t="n"/>
    </row>
    <row r="350" ht="13" customHeight="1" s="189">
      <c r="A350" s="289" t="n"/>
      <c r="B350" s="290" t="n"/>
      <c r="C350" s="290" t="n"/>
      <c r="D350" s="291" t="n"/>
      <c r="E350" s="291" t="n"/>
      <c r="F350" s="291" t="n"/>
      <c r="G350" s="297" t="n"/>
      <c r="H350" s="298" t="n"/>
    </row>
    <row r="351" ht="13" customHeight="1" s="189">
      <c r="A351" s="289" t="n"/>
      <c r="B351" s="290" t="n"/>
      <c r="C351" s="290" t="n"/>
      <c r="D351" s="291" t="n"/>
      <c r="E351" s="291" t="n"/>
      <c r="F351" s="291" t="n"/>
      <c r="G351" s="297" t="n"/>
      <c r="H351" s="298" t="n"/>
    </row>
    <row r="352" ht="13" customHeight="1" s="189">
      <c r="A352" s="289" t="n"/>
      <c r="B352" s="290" t="n"/>
      <c r="C352" s="290" t="n"/>
      <c r="D352" s="291" t="n"/>
      <c r="E352" s="291" t="n"/>
      <c r="F352" s="291" t="n"/>
      <c r="G352" s="297" t="n"/>
      <c r="H352" s="298" t="n"/>
    </row>
    <row r="353" ht="13" customHeight="1" s="189">
      <c r="A353" s="289" t="n"/>
      <c r="B353" s="290" t="n"/>
      <c r="C353" s="290" t="n"/>
      <c r="D353" s="291" t="n"/>
      <c r="E353" s="291" t="n"/>
      <c r="F353" s="291" t="n"/>
      <c r="G353" s="297" t="n"/>
      <c r="H353" s="298" t="n"/>
    </row>
    <row r="354" ht="13" customHeight="1" s="189">
      <c r="A354" s="289" t="n"/>
      <c r="B354" s="290" t="n"/>
      <c r="C354" s="290" t="n"/>
      <c r="D354" s="291" t="n"/>
      <c r="E354" s="291" t="n"/>
      <c r="F354" s="291" t="n"/>
      <c r="G354" s="297" t="n"/>
      <c r="H354" s="298" t="n"/>
    </row>
    <row r="355" ht="13" customHeight="1" s="189">
      <c r="A355" s="289" t="n"/>
      <c r="B355" s="290" t="n"/>
      <c r="C355" s="290" t="n"/>
      <c r="D355" s="291" t="n"/>
      <c r="E355" s="291" t="n"/>
      <c r="F355" s="291" t="n"/>
      <c r="G355" s="297" t="n"/>
      <c r="H355" s="298" t="n"/>
    </row>
    <row r="356" ht="13" customHeight="1" s="189">
      <c r="A356" s="289" t="n"/>
      <c r="B356" s="290" t="n"/>
      <c r="C356" s="290" t="n"/>
      <c r="D356" s="291" t="n"/>
      <c r="E356" s="291" t="n"/>
      <c r="F356" s="291" t="n"/>
      <c r="G356" s="297" t="n"/>
      <c r="H356" s="298" t="n"/>
    </row>
    <row r="357" ht="13" customHeight="1" s="189">
      <c r="A357" s="289" t="n"/>
      <c r="B357" s="290" t="n"/>
      <c r="C357" s="290" t="n"/>
      <c r="D357" s="291" t="n"/>
      <c r="E357" s="291" t="n"/>
      <c r="F357" s="291" t="n"/>
      <c r="G357" s="297" t="n"/>
      <c r="H357" s="298" t="n"/>
    </row>
    <row r="358" ht="13" customHeight="1" s="189">
      <c r="A358" s="289" t="n"/>
      <c r="B358" s="290" t="n"/>
      <c r="C358" s="290" t="n"/>
      <c r="D358" s="291" t="n"/>
      <c r="E358" s="291" t="n"/>
      <c r="F358" s="291" t="n"/>
      <c r="G358" s="297" t="n"/>
      <c r="H358" s="298" t="n"/>
    </row>
    <row r="359" ht="13" customHeight="1" s="189">
      <c r="A359" s="289" t="n"/>
      <c r="B359" s="290" t="n"/>
      <c r="C359" s="290" t="n"/>
      <c r="D359" s="291" t="n"/>
      <c r="E359" s="291" t="n"/>
      <c r="F359" s="291" t="n"/>
      <c r="G359" s="297" t="n"/>
      <c r="H359" s="298" t="n"/>
    </row>
    <row r="360" ht="13" customHeight="1" s="189">
      <c r="A360" s="289" t="n"/>
      <c r="B360" s="290" t="n"/>
      <c r="C360" s="290" t="n"/>
      <c r="D360" s="291" t="n"/>
      <c r="E360" s="291" t="n"/>
      <c r="F360" s="291" t="n"/>
      <c r="G360" s="297" t="n"/>
      <c r="H360" s="298" t="n"/>
    </row>
    <row r="361" ht="13" customHeight="1" s="189">
      <c r="A361" s="289" t="n"/>
      <c r="B361" s="290" t="n"/>
      <c r="C361" s="290" t="n"/>
      <c r="D361" s="291" t="n"/>
      <c r="E361" s="291" t="n"/>
      <c r="F361" s="291" t="n"/>
      <c r="G361" s="297" t="n"/>
      <c r="H361" s="298" t="n"/>
    </row>
    <row r="362" ht="13" customHeight="1" s="189">
      <c r="A362" s="289" t="n"/>
      <c r="B362" s="290" t="n"/>
      <c r="C362" s="290" t="n"/>
      <c r="D362" s="291" t="n"/>
      <c r="E362" s="291" t="n"/>
      <c r="F362" s="291" t="n"/>
      <c r="G362" s="297" t="n"/>
      <c r="H362" s="298" t="n"/>
    </row>
    <row r="363" ht="13" customHeight="1" s="189">
      <c r="A363" s="289" t="n"/>
      <c r="B363" s="290" t="n"/>
      <c r="C363" s="290" t="n"/>
      <c r="D363" s="291" t="n"/>
      <c r="E363" s="291" t="n"/>
      <c r="F363" s="291" t="n"/>
      <c r="G363" s="297" t="n"/>
      <c r="H363" s="298" t="n"/>
    </row>
    <row r="364" ht="13" customHeight="1" s="189">
      <c r="A364" s="289" t="n"/>
      <c r="B364" s="290" t="n"/>
      <c r="C364" s="290" t="n"/>
      <c r="D364" s="291" t="n"/>
      <c r="E364" s="291" t="n"/>
      <c r="F364" s="291" t="n"/>
      <c r="G364" s="297" t="n"/>
      <c r="H364" s="298" t="n"/>
    </row>
    <row r="365" ht="13" customHeight="1" s="189">
      <c r="A365" s="289" t="n"/>
      <c r="B365" s="290" t="n"/>
      <c r="C365" s="290" t="n"/>
      <c r="D365" s="291" t="n"/>
      <c r="E365" s="291" t="n"/>
      <c r="F365" s="291" t="n"/>
      <c r="G365" s="297" t="n"/>
      <c r="H365" s="298" t="n"/>
    </row>
    <row r="366" ht="13" customHeight="1" s="189">
      <c r="A366" s="289" t="n"/>
      <c r="B366" s="290" t="n"/>
      <c r="C366" s="290" t="n"/>
      <c r="D366" s="291" t="n"/>
      <c r="E366" s="291" t="n"/>
      <c r="F366" s="291" t="n"/>
      <c r="G366" s="297" t="n"/>
      <c r="H366" s="298" t="n"/>
    </row>
    <row r="367" ht="13" customHeight="1" s="189">
      <c r="A367" s="289" t="n"/>
      <c r="B367" s="290" t="n"/>
      <c r="C367" s="290" t="n"/>
      <c r="D367" s="291" t="n"/>
      <c r="E367" s="291" t="n"/>
      <c r="F367" s="291" t="n"/>
      <c r="G367" s="297" t="n"/>
      <c r="H367" s="298" t="n"/>
    </row>
    <row r="368" ht="13" customHeight="1" s="189">
      <c r="A368" s="289" t="n"/>
      <c r="B368" s="290" t="n"/>
      <c r="C368" s="290" t="n"/>
      <c r="D368" s="291" t="n"/>
      <c r="E368" s="291" t="n"/>
      <c r="F368" s="291" t="n"/>
      <c r="G368" s="297" t="n"/>
      <c r="H368" s="298" t="n"/>
    </row>
    <row r="369" ht="13" customHeight="1" s="189">
      <c r="A369" s="289" t="n"/>
      <c r="B369" s="290" t="n"/>
      <c r="C369" s="290" t="n"/>
      <c r="D369" s="291" t="n"/>
      <c r="E369" s="291" t="n"/>
      <c r="F369" s="291" t="n"/>
      <c r="G369" s="297" t="n"/>
      <c r="H369" s="298" t="n"/>
    </row>
    <row r="370" ht="13" customHeight="1" s="189">
      <c r="A370" s="289" t="n"/>
      <c r="B370" s="290" t="n"/>
      <c r="C370" s="290" t="n"/>
      <c r="D370" s="291" t="n"/>
      <c r="E370" s="291" t="n"/>
      <c r="F370" s="291" t="n"/>
      <c r="G370" s="297" t="n"/>
      <c r="H370" s="298" t="n"/>
    </row>
    <row r="371" ht="13" customHeight="1" s="189">
      <c r="A371" s="289" t="n"/>
      <c r="B371" s="290" t="n"/>
      <c r="C371" s="290" t="n"/>
      <c r="D371" s="291" t="n"/>
      <c r="E371" s="291" t="n"/>
      <c r="F371" s="291" t="n"/>
      <c r="G371" s="297" t="n"/>
      <c r="H371" s="298" t="n"/>
    </row>
    <row r="372" ht="13" customHeight="1" s="189">
      <c r="A372" s="289" t="n"/>
      <c r="B372" s="290" t="n"/>
      <c r="C372" s="290" t="n"/>
      <c r="D372" s="291" t="n"/>
      <c r="E372" s="291" t="n"/>
      <c r="F372" s="291" t="n"/>
      <c r="G372" s="297" t="n"/>
      <c r="H372" s="298" t="n"/>
    </row>
    <row r="373" ht="13" customHeight="1" s="189">
      <c r="A373" s="289" t="n"/>
      <c r="B373" s="290" t="n"/>
      <c r="C373" s="290" t="n"/>
      <c r="D373" s="291" t="n"/>
      <c r="E373" s="291" t="n"/>
      <c r="F373" s="291" t="n"/>
      <c r="G373" s="297" t="n"/>
      <c r="H373" s="298" t="n"/>
    </row>
    <row r="374" ht="13" customHeight="1" s="189">
      <c r="A374" s="289" t="n"/>
      <c r="B374" s="290" t="n"/>
      <c r="C374" s="290" t="n"/>
      <c r="D374" s="291" t="n"/>
      <c r="E374" s="291" t="n"/>
      <c r="F374" s="291" t="n"/>
      <c r="G374" s="297" t="n"/>
      <c r="H374" s="298" t="n"/>
    </row>
    <row r="375" ht="13" customHeight="1" s="189">
      <c r="A375" s="289" t="n"/>
      <c r="B375" s="290" t="n"/>
      <c r="C375" s="290" t="n"/>
      <c r="D375" s="291" t="n"/>
      <c r="E375" s="291" t="n"/>
      <c r="F375" s="291" t="n"/>
      <c r="G375" s="297" t="n"/>
      <c r="H375" s="298" t="n"/>
    </row>
    <row r="376" ht="13" customHeight="1" s="189">
      <c r="A376" s="289" t="n"/>
      <c r="B376" s="290" t="n"/>
      <c r="C376" s="290" t="n"/>
      <c r="D376" s="291" t="n"/>
      <c r="E376" s="291" t="n"/>
      <c r="F376" s="291" t="n"/>
      <c r="G376" s="297" t="n"/>
      <c r="H376" s="298" t="n"/>
    </row>
    <row r="377" ht="13" customHeight="1" s="189">
      <c r="A377" s="289" t="n"/>
      <c r="B377" s="290" t="n"/>
      <c r="C377" s="290" t="n"/>
      <c r="D377" s="291" t="n"/>
      <c r="E377" s="291" t="n"/>
      <c r="F377" s="291" t="n"/>
      <c r="G377" s="297" t="n"/>
      <c r="H377" s="298" t="n"/>
    </row>
    <row r="378" ht="13" customHeight="1" s="189">
      <c r="A378" s="289" t="n"/>
      <c r="B378" s="290" t="n"/>
      <c r="C378" s="290" t="n"/>
      <c r="D378" s="291" t="n"/>
      <c r="E378" s="291" t="n"/>
      <c r="F378" s="291" t="n"/>
      <c r="G378" s="297" t="n"/>
      <c r="H378" s="298" t="n"/>
    </row>
    <row r="379" ht="13" customHeight="1" s="189">
      <c r="A379" s="289" t="n"/>
      <c r="B379" s="290" t="n"/>
      <c r="C379" s="290" t="n"/>
      <c r="D379" s="291" t="n"/>
      <c r="E379" s="291" t="n"/>
      <c r="F379" s="291" t="n"/>
      <c r="G379" s="297" t="n"/>
      <c r="H379" s="298" t="n"/>
    </row>
    <row r="380" ht="13" customHeight="1" s="189">
      <c r="A380" s="289" t="n"/>
      <c r="B380" s="290" t="n"/>
      <c r="C380" s="290" t="n"/>
      <c r="D380" s="291" t="n"/>
      <c r="E380" s="291" t="n"/>
      <c r="F380" s="291" t="n"/>
      <c r="G380" s="297" t="n"/>
      <c r="H380" s="298" t="n"/>
    </row>
    <row r="381" ht="13" customHeight="1" s="189">
      <c r="A381" s="289" t="n"/>
      <c r="B381" s="290" t="n"/>
      <c r="C381" s="290" t="n"/>
      <c r="D381" s="291" t="n"/>
      <c r="E381" s="291" t="n"/>
      <c r="F381" s="291" t="n"/>
      <c r="G381" s="297" t="n"/>
      <c r="H381" s="298" t="n"/>
    </row>
    <row r="382" ht="13" customHeight="1" s="189">
      <c r="A382" s="289" t="n"/>
      <c r="B382" s="290" t="n"/>
      <c r="C382" s="290" t="n"/>
      <c r="D382" s="291" t="n"/>
      <c r="E382" s="291" t="n"/>
      <c r="F382" s="291" t="n"/>
      <c r="G382" s="297" t="n"/>
      <c r="H382" s="298" t="n"/>
    </row>
    <row r="383" ht="13" customHeight="1" s="189">
      <c r="A383" s="289" t="n"/>
      <c r="B383" s="290" t="n"/>
      <c r="C383" s="290" t="n"/>
      <c r="D383" s="291" t="n"/>
      <c r="E383" s="291" t="n"/>
      <c r="F383" s="291" t="n"/>
      <c r="G383" s="297" t="n"/>
      <c r="H383" s="298" t="n"/>
    </row>
    <row r="384" ht="13" customHeight="1" s="189">
      <c r="A384" s="289" t="n"/>
      <c r="B384" s="290" t="n"/>
      <c r="C384" s="290" t="n"/>
      <c r="D384" s="291" t="n"/>
      <c r="E384" s="291" t="n"/>
      <c r="F384" s="291" t="n"/>
      <c r="G384" s="297" t="n"/>
      <c r="H384" s="298" t="n"/>
    </row>
    <row r="385" ht="13" customHeight="1" s="189">
      <c r="A385" s="289" t="n"/>
      <c r="B385" s="290" t="n"/>
      <c r="C385" s="290" t="n"/>
      <c r="D385" s="291" t="n"/>
      <c r="E385" s="291" t="n"/>
      <c r="F385" s="291" t="n"/>
      <c r="G385" s="297" t="n"/>
      <c r="H385" s="298" t="n"/>
    </row>
    <row r="386" ht="13" customHeight="1" s="189">
      <c r="A386" s="289" t="n"/>
      <c r="B386" s="290" t="n"/>
      <c r="C386" s="290" t="n"/>
      <c r="D386" s="291" t="n"/>
      <c r="E386" s="291" t="n"/>
      <c r="F386" s="291" t="n"/>
      <c r="G386" s="297" t="n"/>
      <c r="H386" s="298" t="n"/>
    </row>
    <row r="387" ht="13" customHeight="1" s="189">
      <c r="A387" s="289" t="n"/>
      <c r="B387" s="290" t="n"/>
      <c r="C387" s="290" t="n"/>
      <c r="D387" s="291" t="n"/>
      <c r="E387" s="291" t="n"/>
      <c r="F387" s="291" t="n"/>
      <c r="G387" s="297" t="n"/>
      <c r="H387" s="298" t="n"/>
    </row>
    <row r="388" ht="13" customHeight="1" s="189">
      <c r="A388" s="289" t="n"/>
      <c r="B388" s="290" t="n"/>
      <c r="C388" s="290" t="n"/>
      <c r="D388" s="291" t="n"/>
      <c r="E388" s="291" t="n"/>
      <c r="F388" s="291" t="n"/>
      <c r="G388" s="297" t="n"/>
      <c r="H388" s="298" t="n"/>
    </row>
    <row r="389" ht="13" customHeight="1" s="189">
      <c r="A389" s="289" t="n"/>
      <c r="B389" s="290" t="n"/>
      <c r="C389" s="290" t="n"/>
      <c r="D389" s="291" t="n"/>
      <c r="E389" s="291" t="n"/>
      <c r="F389" s="291" t="n"/>
      <c r="G389" s="297" t="n"/>
      <c r="H389" s="298" t="n"/>
    </row>
    <row r="390" ht="13" customHeight="1" s="189">
      <c r="A390" s="289" t="n"/>
      <c r="B390" s="290" t="n"/>
      <c r="C390" s="290" t="n"/>
      <c r="D390" s="291" t="n"/>
      <c r="E390" s="291" t="n"/>
      <c r="F390" s="291" t="n"/>
      <c r="G390" s="297" t="n"/>
      <c r="H390" s="298" t="n"/>
    </row>
    <row r="391" ht="13" customHeight="1" s="189">
      <c r="A391" s="289" t="n"/>
      <c r="B391" s="290" t="n"/>
      <c r="C391" s="290" t="n"/>
      <c r="D391" s="291" t="n"/>
      <c r="E391" s="291" t="n"/>
      <c r="F391" s="291" t="n"/>
      <c r="G391" s="297" t="n"/>
      <c r="H391" s="298" t="n"/>
    </row>
    <row r="392" ht="13" customHeight="1" s="189">
      <c r="A392" s="289" t="n"/>
      <c r="B392" s="290" t="n"/>
      <c r="C392" s="290" t="n"/>
      <c r="D392" s="291" t="n"/>
      <c r="E392" s="291" t="n"/>
      <c r="F392" s="291" t="n"/>
      <c r="G392" s="297" t="n"/>
      <c r="H392" s="298" t="n"/>
    </row>
    <row r="393" ht="13" customHeight="1" s="189">
      <c r="A393" s="289" t="n"/>
      <c r="B393" s="290" t="n"/>
      <c r="C393" s="290" t="n"/>
      <c r="D393" s="291" t="n"/>
      <c r="E393" s="291" t="n"/>
      <c r="F393" s="291" t="n"/>
      <c r="G393" s="297" t="n"/>
      <c r="H393" s="298" t="n"/>
    </row>
    <row r="394" ht="13" customHeight="1" s="189">
      <c r="A394" s="289" t="n"/>
      <c r="B394" s="290" t="n"/>
      <c r="C394" s="290" t="n"/>
      <c r="D394" s="291" t="n"/>
      <c r="E394" s="291" t="n"/>
      <c r="F394" s="291" t="n"/>
      <c r="G394" s="297" t="n"/>
      <c r="H394" s="298" t="n"/>
    </row>
    <row r="395" ht="13" customHeight="1" s="189">
      <c r="A395" s="289" t="n"/>
      <c r="B395" s="290" t="n"/>
      <c r="C395" s="290" t="n"/>
      <c r="D395" s="291" t="n"/>
      <c r="E395" s="291" t="n"/>
      <c r="F395" s="291" t="n"/>
      <c r="G395" s="297" t="n"/>
      <c r="H395" s="298" t="n"/>
    </row>
    <row r="396" ht="13" customHeight="1" s="189">
      <c r="A396" s="289" t="n"/>
      <c r="B396" s="290" t="n"/>
      <c r="C396" s="290" t="n"/>
      <c r="D396" s="291" t="n"/>
      <c r="E396" s="291" t="n"/>
      <c r="F396" s="291" t="n"/>
      <c r="G396" s="297" t="n"/>
      <c r="H396" s="298" t="n"/>
    </row>
    <row r="397" ht="13" customHeight="1" s="189">
      <c r="A397" s="289" t="n"/>
      <c r="B397" s="290" t="n"/>
      <c r="C397" s="290" t="n"/>
      <c r="D397" s="291" t="n"/>
      <c r="E397" s="291" t="n"/>
      <c r="F397" s="291" t="n"/>
      <c r="G397" s="297" t="n"/>
      <c r="H397" s="298" t="n"/>
    </row>
    <row r="398" ht="13" customHeight="1" s="189">
      <c r="A398" s="289" t="n"/>
      <c r="B398" s="290" t="n"/>
      <c r="C398" s="290" t="n"/>
      <c r="D398" s="291" t="n"/>
      <c r="E398" s="291" t="n"/>
      <c r="F398" s="291" t="n"/>
      <c r="G398" s="297" t="n"/>
      <c r="H398" s="298" t="n"/>
    </row>
    <row r="399" ht="13" customHeight="1" s="189">
      <c r="A399" s="289" t="n"/>
      <c r="B399" s="290" t="n"/>
      <c r="C399" s="290" t="n"/>
      <c r="D399" s="291" t="n"/>
      <c r="E399" s="291" t="n"/>
      <c r="F399" s="291" t="n"/>
      <c r="G399" s="297" t="n"/>
      <c r="H399" s="298" t="n"/>
    </row>
    <row r="400" ht="13" customHeight="1" s="189">
      <c r="A400" s="289" t="n"/>
      <c r="B400" s="290" t="n"/>
      <c r="C400" s="290" t="n"/>
      <c r="D400" s="291" t="n"/>
      <c r="E400" s="291" t="n"/>
      <c r="F400" s="291" t="n"/>
      <c r="G400" s="297" t="n"/>
      <c r="H400" s="298" t="n"/>
    </row>
    <row r="401" ht="13" customHeight="1" s="189">
      <c r="A401" s="289" t="n"/>
      <c r="B401" s="290" t="n"/>
      <c r="C401" s="290" t="n"/>
      <c r="D401" s="291" t="n"/>
      <c r="E401" s="291" t="n"/>
      <c r="F401" s="291" t="n"/>
      <c r="G401" s="297" t="n"/>
      <c r="H401" s="298" t="n"/>
    </row>
    <row r="402" ht="13" customHeight="1" s="189">
      <c r="A402" s="289" t="n"/>
      <c r="B402" s="290" t="n"/>
      <c r="C402" s="290" t="n"/>
      <c r="D402" s="291" t="n"/>
      <c r="E402" s="291" t="n"/>
      <c r="F402" s="291" t="n"/>
      <c r="G402" s="297" t="n"/>
      <c r="H402" s="298" t="n"/>
    </row>
    <row r="403" ht="13" customHeight="1" s="189">
      <c r="A403" s="289" t="n"/>
      <c r="B403" s="290" t="n"/>
      <c r="C403" s="290" t="n"/>
      <c r="D403" s="291" t="n"/>
      <c r="E403" s="291" t="n"/>
      <c r="F403" s="291" t="n"/>
      <c r="G403" s="297" t="n"/>
      <c r="H403" s="298" t="n"/>
    </row>
    <row r="404" ht="13" customHeight="1" s="189">
      <c r="A404" s="289" t="n"/>
      <c r="B404" s="290" t="n"/>
      <c r="C404" s="290" t="n"/>
      <c r="D404" s="291" t="n"/>
      <c r="E404" s="291" t="n"/>
      <c r="F404" s="291" t="n"/>
      <c r="G404" s="297" t="n"/>
      <c r="H404" s="298" t="n"/>
    </row>
    <row r="405" ht="13" customHeight="1" s="189">
      <c r="A405" s="289" t="n"/>
      <c r="B405" s="290" t="n"/>
      <c r="C405" s="290" t="n"/>
      <c r="D405" s="291" t="n"/>
      <c r="E405" s="291" t="n"/>
      <c r="F405" s="291" t="n"/>
      <c r="G405" s="297" t="n"/>
      <c r="H405" s="298" t="n"/>
    </row>
    <row r="406" ht="13" customHeight="1" s="189">
      <c r="A406" s="289" t="n"/>
      <c r="B406" s="290" t="n"/>
      <c r="C406" s="290" t="n"/>
      <c r="D406" s="291" t="n"/>
      <c r="E406" s="291" t="n"/>
      <c r="F406" s="291" t="n"/>
      <c r="G406" s="297" t="n"/>
      <c r="H406" s="298" t="n"/>
    </row>
    <row r="407" ht="13" customHeight="1" s="189">
      <c r="A407" s="289" t="n"/>
      <c r="B407" s="290" t="n"/>
      <c r="C407" s="290" t="n"/>
      <c r="D407" s="291" t="n"/>
      <c r="E407" s="291" t="n"/>
      <c r="F407" s="291" t="n"/>
      <c r="G407" s="297" t="n"/>
      <c r="H407" s="298" t="n"/>
    </row>
    <row r="408" ht="13" customHeight="1" s="189">
      <c r="A408" s="289" t="n"/>
      <c r="B408" s="290" t="n"/>
      <c r="C408" s="290" t="n"/>
      <c r="D408" s="291" t="n"/>
      <c r="E408" s="291" t="n"/>
      <c r="F408" s="291" t="n"/>
      <c r="G408" s="297" t="n"/>
      <c r="H408" s="298" t="n"/>
    </row>
    <row r="409" ht="13" customHeight="1" s="189">
      <c r="A409" s="289" t="n"/>
      <c r="B409" s="290" t="n"/>
      <c r="C409" s="290" t="n"/>
      <c r="D409" s="291" t="n"/>
      <c r="E409" s="291" t="n"/>
      <c r="F409" s="291" t="n"/>
      <c r="G409" s="297" t="n"/>
      <c r="H409" s="298" t="n"/>
    </row>
    <row r="410" ht="13" customHeight="1" s="189">
      <c r="A410" s="289" t="n"/>
      <c r="B410" s="290" t="n"/>
      <c r="C410" s="290" t="n"/>
      <c r="D410" s="291" t="n"/>
      <c r="E410" s="291" t="n"/>
      <c r="F410" s="291" t="n"/>
      <c r="G410" s="297" t="n"/>
      <c r="H410" s="298" t="n"/>
    </row>
    <row r="411" ht="13" customHeight="1" s="189">
      <c r="A411" s="289" t="n"/>
      <c r="B411" s="290" t="n"/>
      <c r="C411" s="290" t="n"/>
      <c r="D411" s="291" t="n"/>
      <c r="E411" s="291" t="n"/>
      <c r="F411" s="291" t="n"/>
      <c r="G411" s="297" t="n"/>
      <c r="H411" s="298" t="n"/>
    </row>
    <row r="412" ht="13" customHeight="1" s="189">
      <c r="A412" s="289" t="n"/>
      <c r="B412" s="290" t="n"/>
      <c r="C412" s="290" t="n"/>
      <c r="D412" s="291" t="n"/>
      <c r="E412" s="291" t="n"/>
      <c r="F412" s="291" t="n"/>
      <c r="G412" s="297" t="n"/>
      <c r="H412" s="298" t="n"/>
    </row>
    <row r="413" ht="13" customHeight="1" s="189">
      <c r="A413" s="289" t="n"/>
      <c r="B413" s="290" t="n"/>
      <c r="C413" s="290" t="n"/>
      <c r="D413" s="291" t="n"/>
      <c r="E413" s="291" t="n"/>
      <c r="F413" s="291" t="n"/>
      <c r="G413" s="297" t="n"/>
      <c r="H413" s="298" t="n"/>
    </row>
    <row r="414" ht="13" customHeight="1" s="189">
      <c r="A414" s="289" t="n"/>
      <c r="B414" s="290" t="n"/>
      <c r="C414" s="290" t="n"/>
      <c r="D414" s="291" t="n"/>
      <c r="E414" s="291" t="n"/>
      <c r="F414" s="291" t="n"/>
      <c r="G414" s="297" t="n"/>
      <c r="H414" s="298" t="n"/>
    </row>
    <row r="415" ht="13" customHeight="1" s="189">
      <c r="A415" s="289" t="n"/>
      <c r="B415" s="290" t="n"/>
      <c r="C415" s="290" t="n"/>
      <c r="D415" s="291" t="n"/>
      <c r="E415" s="291" t="n"/>
      <c r="F415" s="291" t="n"/>
      <c r="G415" s="297" t="n"/>
      <c r="H415" s="298" t="n"/>
    </row>
    <row r="416" ht="13" customHeight="1" s="189">
      <c r="A416" s="289" t="n"/>
      <c r="B416" s="290" t="n"/>
      <c r="C416" s="290" t="n"/>
      <c r="D416" s="291" t="n"/>
      <c r="E416" s="291" t="n"/>
      <c r="F416" s="291" t="n"/>
      <c r="G416" s="297" t="n"/>
      <c r="H416" s="298" t="n"/>
    </row>
    <row r="417" ht="13" customHeight="1" s="189">
      <c r="A417" s="289" t="n"/>
      <c r="B417" s="290" t="n"/>
      <c r="C417" s="290" t="n"/>
      <c r="D417" s="291" t="n"/>
      <c r="E417" s="291" t="n"/>
      <c r="F417" s="291" t="n"/>
      <c r="G417" s="297" t="n"/>
      <c r="H417" s="298" t="n"/>
    </row>
    <row r="418" ht="13" customHeight="1" s="189">
      <c r="A418" s="289" t="n"/>
      <c r="B418" s="290" t="n"/>
      <c r="C418" s="290" t="n"/>
      <c r="D418" s="291" t="n"/>
      <c r="E418" s="291" t="n"/>
      <c r="F418" s="291" t="n"/>
      <c r="G418" s="297" t="n"/>
      <c r="H418" s="298" t="n"/>
    </row>
    <row r="419" ht="13" customHeight="1" s="189">
      <c r="A419" s="289" t="n"/>
      <c r="B419" s="290" t="n"/>
      <c r="C419" s="290" t="n"/>
      <c r="D419" s="291" t="n"/>
      <c r="E419" s="291" t="n"/>
      <c r="F419" s="291" t="n"/>
      <c r="G419" s="297" t="n"/>
      <c r="H419" s="298" t="n"/>
    </row>
    <row r="420" ht="13" customHeight="1" s="189">
      <c r="A420" s="289" t="n"/>
      <c r="B420" s="290" t="n"/>
      <c r="C420" s="290" t="n"/>
      <c r="D420" s="291" t="n"/>
      <c r="E420" s="291" t="n"/>
      <c r="F420" s="291" t="n"/>
      <c r="G420" s="297" t="n"/>
      <c r="H420" s="298" t="n"/>
    </row>
    <row r="421" ht="13" customHeight="1" s="189">
      <c r="A421" s="289" t="n"/>
      <c r="B421" s="290" t="n"/>
      <c r="C421" s="290" t="n"/>
      <c r="D421" s="291" t="n"/>
      <c r="E421" s="291" t="n"/>
      <c r="F421" s="291" t="n"/>
      <c r="G421" s="297" t="n"/>
      <c r="H421" s="298" t="n"/>
    </row>
    <row r="422" ht="13" customHeight="1" s="189">
      <c r="A422" s="289" t="n"/>
      <c r="B422" s="290" t="n"/>
      <c r="C422" s="290" t="n"/>
      <c r="D422" s="291" t="n"/>
      <c r="E422" s="291" t="n"/>
      <c r="F422" s="291" t="n"/>
      <c r="G422" s="297" t="n"/>
      <c r="H422" s="298" t="n"/>
    </row>
    <row r="423" ht="13" customHeight="1" s="189">
      <c r="A423" s="289" t="n"/>
      <c r="B423" s="290" t="n"/>
      <c r="C423" s="290" t="n"/>
      <c r="D423" s="291" t="n"/>
      <c r="E423" s="291" t="n"/>
      <c r="F423" s="291" t="n"/>
      <c r="G423" s="297" t="n"/>
      <c r="H423" s="298" t="n"/>
    </row>
    <row r="424" ht="13" customHeight="1" s="189">
      <c r="A424" s="289" t="n"/>
      <c r="B424" s="290" t="n"/>
      <c r="C424" s="290" t="n"/>
      <c r="D424" s="291" t="n"/>
      <c r="E424" s="291" t="n"/>
      <c r="F424" s="291" t="n"/>
      <c r="G424" s="297" t="n"/>
      <c r="H424" s="298" t="n"/>
    </row>
    <row r="425" ht="13" customHeight="1" s="189">
      <c r="A425" s="289" t="n"/>
      <c r="B425" s="290" t="n"/>
      <c r="C425" s="290" t="n"/>
      <c r="D425" s="291" t="n"/>
      <c r="E425" s="291" t="n"/>
      <c r="F425" s="291" t="n"/>
      <c r="G425" s="297" t="n"/>
      <c r="H425" s="298" t="n"/>
    </row>
    <row r="426" ht="13" customHeight="1" s="189">
      <c r="A426" s="289" t="n"/>
      <c r="B426" s="290" t="n"/>
      <c r="C426" s="290" t="n"/>
      <c r="D426" s="291" t="n"/>
      <c r="E426" s="291" t="n"/>
      <c r="F426" s="291" t="n"/>
      <c r="G426" s="297" t="n"/>
      <c r="H426" s="298" t="n"/>
    </row>
    <row r="427" ht="13" customHeight="1" s="189">
      <c r="A427" s="289" t="n"/>
      <c r="B427" s="290" t="n"/>
      <c r="C427" s="290" t="n"/>
      <c r="D427" s="291" t="n"/>
      <c r="E427" s="291" t="n"/>
      <c r="F427" s="291" t="n"/>
      <c r="G427" s="297" t="n"/>
      <c r="H427" s="298" t="n"/>
    </row>
    <row r="428" ht="13" customHeight="1" s="189">
      <c r="A428" s="289" t="n"/>
      <c r="B428" s="290" t="n"/>
      <c r="C428" s="290" t="n"/>
      <c r="D428" s="291" t="n"/>
      <c r="E428" s="291" t="n"/>
      <c r="F428" s="291" t="n"/>
      <c r="G428" s="297" t="n"/>
      <c r="H428" s="298" t="n"/>
    </row>
    <row r="429" ht="13" customHeight="1" s="189">
      <c r="A429" s="289" t="n"/>
      <c r="B429" s="290" t="n"/>
      <c r="C429" s="290" t="n"/>
      <c r="D429" s="291" t="n"/>
      <c r="E429" s="291" t="n"/>
      <c r="F429" s="291" t="n"/>
      <c r="G429" s="297" t="n"/>
      <c r="H429" s="298" t="n"/>
    </row>
    <row r="430" ht="13" customHeight="1" s="189">
      <c r="A430" s="289" t="n"/>
      <c r="B430" s="290" t="n"/>
      <c r="C430" s="290" t="n"/>
      <c r="D430" s="291" t="n"/>
      <c r="E430" s="291" t="n"/>
      <c r="F430" s="291" t="n"/>
      <c r="G430" s="297" t="n"/>
      <c r="H430" s="298" t="n"/>
    </row>
    <row r="431" ht="13" customHeight="1" s="189">
      <c r="A431" s="289" t="n"/>
      <c r="B431" s="290" t="n"/>
      <c r="C431" s="290" t="n"/>
      <c r="D431" s="291" t="n"/>
      <c r="E431" s="291" t="n"/>
      <c r="F431" s="291" t="n"/>
      <c r="G431" s="297" t="n"/>
      <c r="H431" s="298" t="n"/>
    </row>
    <row r="432" ht="13" customHeight="1" s="189">
      <c r="A432" s="289" t="n"/>
      <c r="B432" s="290" t="n"/>
      <c r="C432" s="290" t="n"/>
      <c r="D432" s="291" t="n"/>
      <c r="E432" s="291" t="n"/>
      <c r="F432" s="291" t="n"/>
      <c r="G432" s="297" t="n"/>
      <c r="H432" s="298" t="n"/>
    </row>
    <row r="433" ht="13" customHeight="1" s="189">
      <c r="A433" s="289" t="n"/>
      <c r="B433" s="290" t="n"/>
      <c r="C433" s="290" t="n"/>
      <c r="D433" s="291" t="n"/>
      <c r="E433" s="291" t="n"/>
      <c r="F433" s="291" t="n"/>
      <c r="G433" s="297" t="n"/>
      <c r="H433" s="298" t="n"/>
    </row>
    <row r="434" ht="13" customHeight="1" s="189">
      <c r="A434" s="289" t="n"/>
      <c r="B434" s="290" t="n"/>
      <c r="C434" s="290" t="n"/>
      <c r="D434" s="291" t="n"/>
      <c r="E434" s="291" t="n"/>
      <c r="F434" s="291" t="n"/>
      <c r="G434" s="297" t="n"/>
      <c r="H434" s="298" t="n"/>
    </row>
    <row r="435" ht="13" customHeight="1" s="189">
      <c r="A435" s="289" t="n"/>
      <c r="B435" s="290" t="n"/>
      <c r="C435" s="290" t="n"/>
      <c r="D435" s="291" t="n"/>
      <c r="E435" s="291" t="n"/>
      <c r="F435" s="291" t="n"/>
      <c r="G435" s="297" t="n"/>
      <c r="H435" s="298" t="n"/>
    </row>
    <row r="436" ht="13" customHeight="1" s="189">
      <c r="A436" s="289" t="n"/>
      <c r="B436" s="290" t="n"/>
      <c r="C436" s="290" t="n"/>
      <c r="D436" s="291" t="n"/>
      <c r="E436" s="291" t="n"/>
      <c r="F436" s="291" t="n"/>
      <c r="G436" s="297" t="n"/>
      <c r="H436" s="298" t="n"/>
    </row>
    <row r="437" ht="13" customHeight="1" s="189">
      <c r="A437" s="289" t="n"/>
      <c r="B437" s="290" t="n"/>
      <c r="C437" s="290" t="n"/>
      <c r="D437" s="291" t="n"/>
      <c r="E437" s="291" t="n"/>
      <c r="F437" s="291" t="n"/>
      <c r="G437" s="297" t="n"/>
      <c r="H437" s="298" t="n"/>
    </row>
    <row r="438" ht="13" customHeight="1" s="189">
      <c r="A438" s="289" t="n"/>
      <c r="B438" s="290" t="n"/>
      <c r="C438" s="290" t="n"/>
      <c r="D438" s="291" t="n"/>
      <c r="E438" s="291" t="n"/>
      <c r="F438" s="291" t="n"/>
      <c r="G438" s="297" t="n"/>
      <c r="H438" s="298" t="n"/>
    </row>
    <row r="439" ht="13" customHeight="1" s="189">
      <c r="A439" s="289" t="n"/>
      <c r="B439" s="290" t="n"/>
      <c r="C439" s="290" t="n"/>
      <c r="D439" s="291" t="n"/>
      <c r="E439" s="291" t="n"/>
      <c r="F439" s="291" t="n"/>
      <c r="G439" s="297" t="n"/>
      <c r="H439" s="298" t="n"/>
    </row>
    <row r="440" ht="13" customHeight="1" s="189">
      <c r="A440" s="289" t="n"/>
      <c r="B440" s="290" t="n"/>
      <c r="C440" s="290" t="n"/>
      <c r="D440" s="291" t="n"/>
      <c r="E440" s="291" t="n"/>
      <c r="F440" s="291" t="n"/>
      <c r="G440" s="297" t="n"/>
      <c r="H440" s="298" t="n"/>
    </row>
    <row r="441" ht="13" customHeight="1" s="189">
      <c r="A441" s="289" t="n"/>
      <c r="B441" s="290" t="n"/>
      <c r="C441" s="290" t="n"/>
      <c r="D441" s="291" t="n"/>
      <c r="E441" s="291" t="n"/>
      <c r="F441" s="291" t="n"/>
      <c r="G441" s="297" t="n"/>
      <c r="H441" s="298" t="n"/>
    </row>
    <row r="442" ht="13" customHeight="1" s="189">
      <c r="A442" s="289" t="n"/>
      <c r="B442" s="290" t="n"/>
      <c r="C442" s="290" t="n"/>
      <c r="D442" s="291" t="n"/>
      <c r="E442" s="291" t="n"/>
      <c r="F442" s="291" t="n"/>
      <c r="G442" s="297" t="n"/>
      <c r="H442" s="298" t="n"/>
    </row>
    <row r="443" ht="13" customHeight="1" s="189">
      <c r="A443" s="289" t="n"/>
      <c r="B443" s="290" t="n"/>
      <c r="C443" s="290" t="n"/>
      <c r="D443" s="291" t="n"/>
      <c r="E443" s="291" t="n"/>
      <c r="F443" s="291" t="n"/>
      <c r="G443" s="297" t="n"/>
      <c r="H443" s="298" t="n"/>
    </row>
    <row r="444" ht="13" customHeight="1" s="189">
      <c r="A444" s="289" t="n"/>
      <c r="B444" s="290" t="n"/>
      <c r="C444" s="290" t="n"/>
      <c r="D444" s="291" t="n"/>
      <c r="E444" s="291" t="n"/>
      <c r="F444" s="291" t="n"/>
      <c r="G444" s="297" t="n"/>
      <c r="H444" s="298" t="n"/>
    </row>
    <row r="445" ht="13" customHeight="1" s="189">
      <c r="A445" s="289" t="n"/>
      <c r="B445" s="290" t="n"/>
      <c r="C445" s="290" t="n"/>
      <c r="D445" s="291" t="n"/>
      <c r="E445" s="291" t="n"/>
      <c r="F445" s="291" t="n"/>
      <c r="G445" s="297" t="n"/>
      <c r="H445" s="298" t="n"/>
    </row>
    <row r="446" ht="13" customHeight="1" s="189">
      <c r="A446" s="289" t="n"/>
      <c r="B446" s="290" t="n"/>
      <c r="C446" s="290" t="n"/>
      <c r="D446" s="291" t="n"/>
      <c r="E446" s="291" t="n"/>
      <c r="F446" s="291" t="n"/>
      <c r="G446" s="297" t="n"/>
      <c r="H446" s="298" t="n"/>
    </row>
    <row r="447" ht="13" customHeight="1" s="189">
      <c r="A447" s="289" t="n"/>
      <c r="B447" s="290" t="n"/>
      <c r="C447" s="290" t="n"/>
      <c r="D447" s="291" t="n"/>
      <c r="E447" s="291" t="n"/>
      <c r="F447" s="291" t="n"/>
      <c r="G447" s="297" t="n"/>
      <c r="H447" s="298" t="n"/>
    </row>
    <row r="448" ht="13" customHeight="1" s="189">
      <c r="A448" s="289" t="n"/>
      <c r="B448" s="290" t="n"/>
      <c r="C448" s="290" t="n"/>
      <c r="D448" s="291" t="n"/>
      <c r="E448" s="291" t="n"/>
      <c r="F448" s="291" t="n"/>
      <c r="G448" s="297" t="n"/>
      <c r="H448" s="298" t="n"/>
    </row>
    <row r="449" ht="13" customHeight="1" s="189">
      <c r="A449" s="289" t="n"/>
      <c r="B449" s="290" t="n"/>
      <c r="C449" s="290" t="n"/>
      <c r="D449" s="291" t="n"/>
      <c r="E449" s="291" t="n"/>
      <c r="F449" s="291" t="n"/>
      <c r="G449" s="297" t="n"/>
      <c r="H449" s="298" t="n"/>
    </row>
    <row r="450" ht="13" customHeight="1" s="189">
      <c r="A450" s="289" t="n"/>
      <c r="B450" s="290" t="n"/>
      <c r="C450" s="290" t="n"/>
      <c r="D450" s="291" t="n"/>
      <c r="E450" s="291" t="n"/>
      <c r="F450" s="291" t="n"/>
      <c r="G450" s="297" t="n"/>
      <c r="H450" s="298" t="n"/>
    </row>
    <row r="451" ht="13" customHeight="1" s="189">
      <c r="A451" s="289" t="n"/>
      <c r="B451" s="290" t="n"/>
      <c r="C451" s="290" t="n"/>
      <c r="D451" s="291" t="n"/>
      <c r="E451" s="291" t="n"/>
      <c r="F451" s="291" t="n"/>
      <c r="G451" s="297" t="n"/>
      <c r="H451" s="298" t="n"/>
    </row>
    <row r="452" ht="13" customHeight="1" s="189">
      <c r="A452" s="289" t="n"/>
      <c r="B452" s="290" t="n"/>
      <c r="C452" s="290" t="n"/>
      <c r="D452" s="291" t="n"/>
      <c r="E452" s="291" t="n"/>
      <c r="F452" s="291" t="n"/>
      <c r="G452" s="297" t="n"/>
      <c r="H452" s="298" t="n"/>
    </row>
    <row r="453" ht="13" customHeight="1" s="189">
      <c r="A453" s="289" t="n"/>
      <c r="B453" s="290" t="n"/>
      <c r="C453" s="290" t="n"/>
      <c r="D453" s="291" t="n"/>
      <c r="E453" s="291" t="n"/>
      <c r="F453" s="291" t="n"/>
      <c r="G453" s="297" t="n"/>
      <c r="H453" s="298" t="n"/>
    </row>
    <row r="454" ht="13" customHeight="1" s="189">
      <c r="A454" s="289" t="n"/>
      <c r="B454" s="290" t="n"/>
      <c r="C454" s="290" t="n"/>
      <c r="D454" s="291" t="n"/>
      <c r="E454" s="291" t="n"/>
      <c r="F454" s="291" t="n"/>
      <c r="G454" s="297" t="n"/>
      <c r="H454" s="298" t="n"/>
    </row>
    <row r="455" ht="13" customHeight="1" s="189">
      <c r="A455" s="289" t="n"/>
      <c r="B455" s="290" t="n"/>
      <c r="C455" s="290" t="n"/>
      <c r="D455" s="291" t="n"/>
      <c r="E455" s="291" t="n"/>
      <c r="F455" s="291" t="n"/>
      <c r="G455" s="297" t="n"/>
      <c r="H455" s="298" t="n"/>
    </row>
    <row r="456" ht="13" customHeight="1" s="189">
      <c r="A456" s="289" t="n"/>
      <c r="B456" s="290" t="n"/>
      <c r="C456" s="290" t="n"/>
      <c r="D456" s="291" t="n"/>
      <c r="E456" s="291" t="n"/>
      <c r="F456" s="291" t="n"/>
      <c r="G456" s="297" t="n"/>
      <c r="H456" s="298" t="n"/>
    </row>
    <row r="457" ht="13" customHeight="1" s="189">
      <c r="A457" s="289" t="n"/>
      <c r="B457" s="290" t="n"/>
      <c r="C457" s="290" t="n"/>
      <c r="D457" s="291" t="n"/>
      <c r="E457" s="291" t="n"/>
      <c r="F457" s="291" t="n"/>
      <c r="G457" s="297" t="n"/>
      <c r="H457" s="298" t="n"/>
    </row>
    <row r="458" ht="13" customHeight="1" s="189">
      <c r="A458" s="289" t="n"/>
      <c r="B458" s="290" t="n"/>
      <c r="C458" s="290" t="n"/>
      <c r="D458" s="291" t="n"/>
      <c r="E458" s="291" t="n"/>
      <c r="F458" s="291" t="n"/>
      <c r="G458" s="297" t="n"/>
      <c r="H458" s="298" t="n"/>
    </row>
    <row r="459" ht="13" customHeight="1" s="189">
      <c r="A459" s="289" t="n"/>
      <c r="B459" s="290" t="n"/>
      <c r="C459" s="290" t="n"/>
      <c r="D459" s="291" t="n"/>
      <c r="E459" s="291" t="n"/>
      <c r="F459" s="291" t="n"/>
      <c r="G459" s="297" t="n"/>
      <c r="H459" s="298" t="n"/>
    </row>
    <row r="460" ht="13" customHeight="1" s="189">
      <c r="A460" s="289" t="n"/>
      <c r="B460" s="290" t="n"/>
      <c r="C460" s="290" t="n"/>
      <c r="D460" s="291" t="n"/>
      <c r="E460" s="291" t="n"/>
      <c r="F460" s="291" t="n"/>
      <c r="G460" s="297" t="n"/>
      <c r="H460" s="298" t="n"/>
    </row>
    <row r="461" ht="13" customHeight="1" s="189">
      <c r="A461" s="289" t="n"/>
      <c r="B461" s="290" t="n"/>
      <c r="C461" s="290" t="n"/>
      <c r="D461" s="291" t="n"/>
      <c r="E461" s="291" t="n"/>
      <c r="F461" s="291" t="n"/>
      <c r="G461" s="297" t="n"/>
      <c r="H461" s="298" t="n"/>
    </row>
    <row r="462" ht="13" customHeight="1" s="189">
      <c r="A462" s="289" t="n"/>
      <c r="B462" s="290" t="n"/>
      <c r="C462" s="290" t="n"/>
      <c r="D462" s="291" t="n"/>
      <c r="E462" s="291" t="n"/>
      <c r="F462" s="291" t="n"/>
      <c r="G462" s="297" t="n"/>
      <c r="H462" s="298" t="n"/>
    </row>
    <row r="463" ht="13" customHeight="1" s="189">
      <c r="A463" s="289" t="n"/>
      <c r="B463" s="290" t="n"/>
      <c r="C463" s="290" t="n"/>
      <c r="D463" s="291" t="n"/>
      <c r="E463" s="291" t="n"/>
      <c r="F463" s="291" t="n"/>
      <c r="G463" s="297" t="n"/>
      <c r="H463" s="298" t="n"/>
    </row>
    <row r="464" ht="13" customHeight="1" s="189">
      <c r="A464" s="289" t="n"/>
      <c r="B464" s="290" t="n"/>
      <c r="C464" s="290" t="n"/>
      <c r="D464" s="291" t="n"/>
      <c r="E464" s="291" t="n"/>
      <c r="F464" s="291" t="n"/>
      <c r="G464" s="297" t="n"/>
      <c r="H464" s="298" t="n"/>
    </row>
    <row r="465" ht="13" customHeight="1" s="189">
      <c r="A465" s="289" t="n"/>
      <c r="B465" s="290" t="n"/>
      <c r="C465" s="290" t="n"/>
      <c r="D465" s="291" t="n"/>
      <c r="E465" s="291" t="n"/>
      <c r="F465" s="291" t="n"/>
      <c r="G465" s="297" t="n"/>
      <c r="H465" s="298" t="n"/>
    </row>
    <row r="466" ht="13" customHeight="1" s="189">
      <c r="A466" s="289" t="n"/>
      <c r="B466" s="290" t="n"/>
      <c r="C466" s="290" t="n"/>
      <c r="D466" s="291" t="n"/>
      <c r="E466" s="291" t="n"/>
      <c r="F466" s="291" t="n"/>
      <c r="G466" s="297" t="n"/>
      <c r="H466" s="298" t="n"/>
    </row>
    <row r="467" ht="13" customHeight="1" s="189">
      <c r="A467" s="289" t="n"/>
      <c r="B467" s="290" t="n"/>
      <c r="C467" s="290" t="n"/>
      <c r="D467" s="291" t="n"/>
      <c r="E467" s="291" t="n"/>
      <c r="F467" s="291" t="n"/>
      <c r="G467" s="297" t="n"/>
      <c r="H467" s="298" t="n"/>
    </row>
    <row r="468" ht="13" customHeight="1" s="189">
      <c r="A468" s="289" t="n"/>
      <c r="B468" s="290" t="n"/>
      <c r="C468" s="290" t="n"/>
      <c r="D468" s="291" t="n"/>
      <c r="E468" s="291" t="n"/>
      <c r="F468" s="291" t="n"/>
      <c r="G468" s="297" t="n"/>
      <c r="H468" s="298" t="n"/>
    </row>
    <row r="469" ht="13" customHeight="1" s="189">
      <c r="A469" s="289" t="n"/>
      <c r="B469" s="290" t="n"/>
      <c r="C469" s="290" t="n"/>
      <c r="D469" s="291" t="n"/>
      <c r="E469" s="291" t="n"/>
      <c r="F469" s="291" t="n"/>
      <c r="G469" s="297" t="n"/>
      <c r="H469" s="298" t="n"/>
    </row>
    <row r="470" ht="13" customHeight="1" s="189">
      <c r="A470" s="289" t="n"/>
      <c r="B470" s="290" t="n"/>
      <c r="C470" s="290" t="n"/>
      <c r="D470" s="291" t="n"/>
      <c r="E470" s="291" t="n"/>
      <c r="F470" s="291" t="n"/>
      <c r="G470" s="297" t="n"/>
      <c r="H470" s="298" t="n"/>
    </row>
    <row r="471" ht="13" customHeight="1" s="189">
      <c r="A471" s="289" t="n"/>
      <c r="B471" s="290" t="n"/>
      <c r="C471" s="290" t="n"/>
      <c r="D471" s="291" t="n"/>
      <c r="E471" s="291" t="n"/>
      <c r="F471" s="291" t="n"/>
      <c r="G471" s="297" t="n"/>
      <c r="H471" s="298" t="n"/>
    </row>
    <row r="472" ht="13" customHeight="1" s="189">
      <c r="A472" s="289" t="n"/>
      <c r="B472" s="290" t="n"/>
      <c r="C472" s="290" t="n"/>
      <c r="D472" s="291" t="n"/>
      <c r="E472" s="291" t="n"/>
      <c r="F472" s="291" t="n"/>
      <c r="G472" s="297" t="n"/>
      <c r="H472" s="298" t="n"/>
    </row>
    <row r="473" ht="13" customHeight="1" s="189">
      <c r="A473" s="289" t="n"/>
      <c r="B473" s="290" t="n"/>
      <c r="C473" s="290" t="n"/>
      <c r="D473" s="291" t="n"/>
      <c r="E473" s="291" t="n"/>
      <c r="F473" s="291" t="n"/>
      <c r="G473" s="297" t="n"/>
      <c r="H473" s="298" t="n"/>
    </row>
    <row r="474" ht="13" customHeight="1" s="189">
      <c r="A474" s="289" t="n"/>
      <c r="B474" s="290" t="n"/>
      <c r="C474" s="290" t="n"/>
      <c r="D474" s="291" t="n"/>
      <c r="E474" s="291" t="n"/>
      <c r="F474" s="291" t="n"/>
      <c r="G474" s="297" t="n"/>
      <c r="H474" s="298" t="n"/>
    </row>
    <row r="475" ht="13" customHeight="1" s="189">
      <c r="A475" s="289" t="n"/>
      <c r="B475" s="290" t="n"/>
      <c r="C475" s="290" t="n"/>
      <c r="D475" s="291" t="n"/>
      <c r="E475" s="291" t="n"/>
      <c r="F475" s="291" t="n"/>
      <c r="G475" s="297" t="n"/>
      <c r="H475" s="298" t="n"/>
    </row>
    <row r="476" ht="13" customHeight="1" s="189">
      <c r="A476" s="289" t="n"/>
      <c r="B476" s="290" t="n"/>
      <c r="C476" s="290" t="n"/>
      <c r="D476" s="291" t="n"/>
      <c r="E476" s="291" t="n"/>
      <c r="F476" s="291" t="n"/>
      <c r="G476" s="297" t="n"/>
      <c r="H476" s="298" t="n"/>
    </row>
    <row r="477" ht="13" customHeight="1" s="189">
      <c r="A477" s="289" t="n"/>
      <c r="B477" s="290" t="n"/>
      <c r="C477" s="290" t="n"/>
      <c r="D477" s="291" t="n"/>
      <c r="E477" s="291" t="n"/>
      <c r="F477" s="291" t="n"/>
      <c r="G477" s="297" t="n"/>
      <c r="H477" s="298" t="n"/>
    </row>
    <row r="478" ht="13" customHeight="1" s="189">
      <c r="A478" s="289" t="n"/>
      <c r="B478" s="290" t="n"/>
      <c r="C478" s="290" t="n"/>
      <c r="D478" s="291" t="n"/>
      <c r="E478" s="291" t="n"/>
      <c r="F478" s="291" t="n"/>
      <c r="G478" s="297" t="n"/>
      <c r="H478" s="298" t="n"/>
    </row>
    <row r="479" ht="13" customHeight="1" s="189">
      <c r="A479" s="289" t="n"/>
      <c r="B479" s="290" t="n"/>
      <c r="C479" s="290" t="n"/>
      <c r="D479" s="291" t="n"/>
      <c r="E479" s="291" t="n"/>
      <c r="F479" s="291" t="n"/>
      <c r="G479" s="297" t="n"/>
      <c r="H479" s="298" t="n"/>
    </row>
    <row r="480" ht="13" customHeight="1" s="189">
      <c r="A480" s="289" t="n"/>
      <c r="B480" s="290" t="n"/>
      <c r="C480" s="290" t="n"/>
      <c r="D480" s="291" t="n"/>
      <c r="E480" s="291" t="n"/>
      <c r="F480" s="291" t="n"/>
      <c r="G480" s="297" t="n"/>
      <c r="H480" s="298" t="n"/>
    </row>
    <row r="481" ht="13" customHeight="1" s="189">
      <c r="A481" s="289" t="n"/>
      <c r="B481" s="290" t="n"/>
      <c r="C481" s="290" t="n"/>
      <c r="D481" s="291" t="n"/>
      <c r="E481" s="291" t="n"/>
      <c r="F481" s="291" t="n"/>
      <c r="G481" s="297" t="n"/>
      <c r="H481" s="298" t="n"/>
    </row>
    <row r="482" ht="13" customHeight="1" s="189">
      <c r="A482" s="289" t="n"/>
      <c r="B482" s="290" t="n"/>
      <c r="C482" s="290" t="n"/>
      <c r="D482" s="291" t="n"/>
      <c r="E482" s="291" t="n"/>
      <c r="F482" s="291" t="n"/>
      <c r="G482" s="297" t="n"/>
      <c r="H482" s="298" t="n"/>
    </row>
    <row r="483" ht="13" customHeight="1" s="189">
      <c r="A483" s="289" t="n"/>
      <c r="B483" s="290" t="n"/>
      <c r="C483" s="290" t="n"/>
      <c r="D483" s="291" t="n"/>
      <c r="E483" s="291" t="n"/>
      <c r="F483" s="291" t="n"/>
      <c r="G483" s="297" t="n"/>
      <c r="H483" s="298" t="n"/>
    </row>
    <row r="484" ht="13" customHeight="1" s="189">
      <c r="A484" s="289" t="n"/>
      <c r="B484" s="290" t="n"/>
      <c r="C484" s="290" t="n"/>
      <c r="D484" s="291" t="n"/>
      <c r="E484" s="291" t="n"/>
      <c r="F484" s="291" t="n"/>
      <c r="G484" s="297" t="n"/>
      <c r="H484" s="298" t="n"/>
    </row>
    <row r="485" ht="13" customHeight="1" s="189">
      <c r="A485" s="289" t="n"/>
      <c r="B485" s="290" t="n"/>
      <c r="C485" s="290" t="n"/>
      <c r="D485" s="291" t="n"/>
      <c r="E485" s="291" t="n"/>
      <c r="F485" s="291" t="n"/>
      <c r="G485" s="297" t="n"/>
      <c r="H485" s="298" t="n"/>
    </row>
    <row r="486" ht="13" customHeight="1" s="189">
      <c r="A486" s="289" t="n"/>
      <c r="B486" s="290" t="n"/>
      <c r="C486" s="290" t="n"/>
      <c r="D486" s="291" t="n"/>
      <c r="E486" s="291" t="n"/>
      <c r="F486" s="291" t="n"/>
      <c r="G486" s="297" t="n"/>
      <c r="H486" s="298" t="n"/>
    </row>
    <row r="487" ht="13" customHeight="1" s="189">
      <c r="A487" s="289" t="n"/>
      <c r="B487" s="290" t="n"/>
      <c r="C487" s="290" t="n"/>
      <c r="D487" s="291" t="n"/>
      <c r="E487" s="291" t="n"/>
      <c r="F487" s="291" t="n"/>
      <c r="G487" s="297" t="n"/>
      <c r="H487" s="298" t="n"/>
    </row>
    <row r="488" ht="13" customHeight="1" s="189">
      <c r="A488" s="289" t="n"/>
      <c r="B488" s="290" t="n"/>
      <c r="C488" s="290" t="n"/>
      <c r="D488" s="291" t="n"/>
      <c r="E488" s="291" t="n"/>
      <c r="F488" s="291" t="n"/>
      <c r="G488" s="297" t="n"/>
      <c r="H488" s="298" t="n"/>
    </row>
    <row r="489" ht="13" customHeight="1" s="189">
      <c r="A489" s="289" t="n"/>
      <c r="B489" s="290" t="n"/>
      <c r="C489" s="290" t="n"/>
      <c r="D489" s="291" t="n"/>
      <c r="E489" s="291" t="n"/>
      <c r="F489" s="291" t="n"/>
      <c r="G489" s="297" t="n"/>
      <c r="H489" s="298" t="n"/>
    </row>
    <row r="490" ht="13" customHeight="1" s="189">
      <c r="A490" s="289" t="n"/>
      <c r="B490" s="290" t="n"/>
      <c r="C490" s="290" t="n"/>
      <c r="D490" s="291" t="n"/>
      <c r="E490" s="291" t="n"/>
      <c r="F490" s="291" t="n"/>
      <c r="G490" s="297" t="n"/>
      <c r="H490" s="298" t="n"/>
    </row>
    <row r="491" ht="13" customHeight="1" s="189">
      <c r="A491" s="289" t="n"/>
      <c r="B491" s="290" t="n"/>
      <c r="C491" s="290" t="n"/>
      <c r="D491" s="291" t="n"/>
      <c r="E491" s="291" t="n"/>
      <c r="F491" s="291" t="n"/>
      <c r="G491" s="297" t="n"/>
      <c r="H491" s="298" t="n"/>
    </row>
    <row r="492" ht="13" customHeight="1" s="189">
      <c r="A492" s="289" t="n"/>
      <c r="B492" s="290" t="n"/>
      <c r="C492" s="290" t="n"/>
      <c r="D492" s="291" t="n"/>
      <c r="E492" s="291" t="n"/>
      <c r="F492" s="291" t="n"/>
      <c r="G492" s="297" t="n"/>
      <c r="H492" s="298" t="n"/>
    </row>
    <row r="493" ht="13" customHeight="1" s="189">
      <c r="A493" s="289" t="n"/>
      <c r="B493" s="290" t="n"/>
      <c r="C493" s="290" t="n"/>
      <c r="D493" s="291" t="n"/>
      <c r="E493" s="291" t="n"/>
      <c r="F493" s="291" t="n"/>
      <c r="G493" s="297" t="n"/>
      <c r="H493" s="298" t="n"/>
    </row>
    <row r="494" ht="13" customHeight="1" s="189">
      <c r="A494" s="289" t="n"/>
      <c r="B494" s="290" t="n"/>
      <c r="C494" s="290" t="n"/>
      <c r="D494" s="291" t="n"/>
      <c r="E494" s="291" t="n"/>
      <c r="F494" s="291" t="n"/>
      <c r="G494" s="297" t="n"/>
      <c r="H494" s="298" t="n"/>
    </row>
    <row r="495" ht="13" customHeight="1" s="189">
      <c r="A495" s="289" t="n"/>
      <c r="B495" s="290" t="n"/>
      <c r="C495" s="290" t="n"/>
      <c r="D495" s="291" t="n"/>
      <c r="E495" s="291" t="n"/>
      <c r="F495" s="291" t="n"/>
      <c r="G495" s="297" t="n"/>
      <c r="H495" s="298" t="n"/>
    </row>
    <row r="496" ht="13" customHeight="1" s="189">
      <c r="A496" s="289" t="n"/>
      <c r="B496" s="290" t="n"/>
      <c r="C496" s="290" t="n"/>
      <c r="D496" s="291" t="n"/>
      <c r="E496" s="291" t="n"/>
      <c r="F496" s="291" t="n"/>
      <c r="G496" s="297" t="n"/>
      <c r="H496" s="298" t="n"/>
    </row>
    <row r="497" ht="13" customHeight="1" s="189">
      <c r="A497" s="289" t="n"/>
      <c r="B497" s="290" t="n"/>
      <c r="C497" s="290" t="n"/>
      <c r="D497" s="291" t="n"/>
      <c r="E497" s="291" t="n"/>
      <c r="F497" s="291" t="n"/>
      <c r="G497" s="297" t="n"/>
      <c r="H497" s="298" t="n"/>
    </row>
    <row r="498" ht="13" customHeight="1" s="189">
      <c r="A498" s="289" t="n"/>
      <c r="B498" s="290" t="n"/>
      <c r="C498" s="290" t="n"/>
      <c r="D498" s="291" t="n"/>
      <c r="E498" s="291" t="n"/>
      <c r="F498" s="291" t="n"/>
      <c r="G498" s="297" t="n"/>
      <c r="H498" s="298" t="n"/>
    </row>
    <row r="499" ht="13" customHeight="1" s="189">
      <c r="A499" s="289" t="n"/>
      <c r="B499" s="290" t="n"/>
      <c r="C499" s="290" t="n"/>
      <c r="D499" s="291" t="n"/>
      <c r="E499" s="291" t="n"/>
      <c r="F499" s="291" t="n"/>
      <c r="G499" s="297" t="n"/>
      <c r="H499" s="298" t="n"/>
    </row>
    <row r="500" ht="13" customHeight="1" s="189">
      <c r="A500" s="289" t="n"/>
      <c r="B500" s="290" t="n"/>
      <c r="C500" s="290" t="n"/>
      <c r="D500" s="291" t="n"/>
      <c r="E500" s="291" t="n"/>
      <c r="F500" s="291" t="n"/>
      <c r="G500" s="297" t="n"/>
      <c r="H500" s="298" t="n"/>
    </row>
    <row r="501" ht="13" customHeight="1" s="189">
      <c r="A501" s="289" t="n"/>
      <c r="B501" s="290" t="n"/>
      <c r="C501" s="290" t="n"/>
      <c r="D501" s="291" t="n"/>
      <c r="E501" s="291" t="n"/>
      <c r="F501" s="291" t="n"/>
      <c r="G501" s="297" t="n"/>
      <c r="H501" s="298" t="n"/>
    </row>
    <row r="502" ht="13" customHeight="1" s="189">
      <c r="A502" s="289" t="n"/>
      <c r="B502" s="290" t="n"/>
      <c r="C502" s="290" t="n"/>
      <c r="D502" s="291" t="n"/>
      <c r="E502" s="291" t="n"/>
      <c r="F502" s="291" t="n"/>
      <c r="G502" s="297" t="n"/>
      <c r="H502" s="298" t="n"/>
    </row>
    <row r="503" ht="13" customHeight="1" s="189">
      <c r="A503" s="289" t="n"/>
      <c r="B503" s="290" t="n"/>
      <c r="C503" s="290" t="n"/>
      <c r="D503" s="291" t="n"/>
      <c r="E503" s="291" t="n"/>
      <c r="F503" s="291" t="n"/>
      <c r="G503" s="297" t="n"/>
      <c r="H503" s="298" t="n"/>
    </row>
    <row r="504" ht="13" customHeight="1" s="189">
      <c r="A504" s="289" t="n"/>
      <c r="B504" s="290" t="n"/>
      <c r="C504" s="290" t="n"/>
      <c r="D504" s="291" t="n"/>
      <c r="E504" s="291" t="n"/>
      <c r="F504" s="291" t="n"/>
      <c r="G504" s="297" t="n"/>
      <c r="H504" s="298" t="n"/>
    </row>
    <row r="505" ht="13" customHeight="1" s="189">
      <c r="A505" s="289" t="n"/>
      <c r="B505" s="290" t="n"/>
      <c r="C505" s="290" t="n"/>
      <c r="D505" s="291" t="n"/>
      <c r="E505" s="291" t="n"/>
      <c r="F505" s="291" t="n"/>
      <c r="G505" s="297" t="n"/>
      <c r="H505" s="298" t="n"/>
    </row>
    <row r="506" ht="13" customHeight="1" s="189">
      <c r="A506" s="289" t="n"/>
      <c r="B506" s="290" t="n"/>
      <c r="C506" s="290" t="n"/>
      <c r="D506" s="291" t="n"/>
      <c r="E506" s="291" t="n"/>
      <c r="F506" s="291" t="n"/>
      <c r="G506" s="297" t="n"/>
      <c r="H506" s="298" t="n"/>
    </row>
    <row r="507" ht="13" customHeight="1" s="189">
      <c r="A507" s="289" t="n"/>
      <c r="B507" s="290" t="n"/>
      <c r="C507" s="290" t="n"/>
      <c r="D507" s="291" t="n"/>
      <c r="E507" s="291" t="n"/>
      <c r="F507" s="291" t="n"/>
      <c r="G507" s="297" t="n"/>
      <c r="H507" s="298" t="n"/>
    </row>
    <row r="508" ht="13" customHeight="1" s="189">
      <c r="A508" s="289" t="n"/>
      <c r="B508" s="290" t="n"/>
      <c r="C508" s="290" t="n"/>
      <c r="D508" s="291" t="n"/>
      <c r="E508" s="291" t="n"/>
      <c r="F508" s="291" t="n"/>
      <c r="G508" s="297" t="n"/>
      <c r="H508" s="298" t="n"/>
    </row>
    <row r="509" ht="13" customHeight="1" s="189">
      <c r="A509" s="289" t="n"/>
      <c r="B509" s="290" t="n"/>
      <c r="C509" s="290" t="n"/>
      <c r="D509" s="291" t="n"/>
      <c r="E509" s="291" t="n"/>
      <c r="F509" s="291" t="n"/>
      <c r="G509" s="297" t="n"/>
      <c r="H509" s="298" t="n"/>
    </row>
    <row r="510" ht="13" customHeight="1" s="189">
      <c r="A510" s="289" t="n"/>
      <c r="B510" s="290" t="n"/>
      <c r="C510" s="290" t="n"/>
      <c r="D510" s="291" t="n"/>
      <c r="E510" s="291" t="n"/>
      <c r="F510" s="291" t="n"/>
      <c r="G510" s="297" t="n"/>
      <c r="H510" s="298" t="n"/>
    </row>
    <row r="511" ht="13" customHeight="1" s="189">
      <c r="A511" s="289" t="n"/>
      <c r="B511" s="290" t="n"/>
      <c r="C511" s="290" t="n"/>
      <c r="D511" s="291" t="n"/>
      <c r="E511" s="291" t="n"/>
      <c r="F511" s="291" t="n"/>
      <c r="G511" s="297" t="n"/>
      <c r="H511" s="298" t="n"/>
    </row>
    <row r="512" ht="13" customHeight="1" s="189">
      <c r="A512" s="289" t="n"/>
      <c r="B512" s="290" t="n"/>
      <c r="C512" s="290" t="n"/>
      <c r="D512" s="291" t="n"/>
      <c r="E512" s="291" t="n"/>
      <c r="F512" s="291" t="n"/>
      <c r="G512" s="297" t="n"/>
      <c r="H512" s="298" t="n"/>
    </row>
    <row r="513" ht="13" customHeight="1" s="189">
      <c r="A513" s="289" t="n"/>
      <c r="B513" s="290" t="n"/>
      <c r="C513" s="290" t="n"/>
      <c r="D513" s="291" t="n"/>
      <c r="E513" s="291" t="n"/>
      <c r="F513" s="291" t="n"/>
      <c r="G513" s="297" t="n"/>
      <c r="H513" s="298" t="n"/>
    </row>
    <row r="514" ht="13" customHeight="1" s="189">
      <c r="A514" s="289" t="n"/>
      <c r="B514" s="290" t="n"/>
      <c r="C514" s="290" t="n"/>
      <c r="D514" s="291" t="n"/>
      <c r="E514" s="291" t="n"/>
      <c r="F514" s="291" t="n"/>
      <c r="G514" s="297" t="n"/>
      <c r="H514" s="298" t="n"/>
    </row>
    <row r="515" ht="13" customHeight="1" s="189">
      <c r="A515" s="289" t="n"/>
      <c r="B515" s="290" t="n"/>
      <c r="C515" s="290" t="n"/>
      <c r="D515" s="291" t="n"/>
      <c r="E515" s="291" t="n"/>
      <c r="F515" s="291" t="n"/>
      <c r="G515" s="297" t="n"/>
      <c r="H515" s="298" t="n"/>
    </row>
    <row r="516" ht="13" customHeight="1" s="189">
      <c r="A516" s="289" t="n"/>
      <c r="B516" s="290" t="n"/>
      <c r="C516" s="290" t="n"/>
      <c r="D516" s="291" t="n"/>
      <c r="E516" s="291" t="n"/>
      <c r="F516" s="291" t="n"/>
      <c r="G516" s="297" t="n"/>
      <c r="H516" s="298" t="n"/>
    </row>
    <row r="517" ht="13" customHeight="1" s="189">
      <c r="A517" s="289" t="n"/>
      <c r="B517" s="290" t="n"/>
      <c r="C517" s="290" t="n"/>
      <c r="D517" s="291" t="n"/>
      <c r="E517" s="291" t="n"/>
      <c r="F517" s="291" t="n"/>
      <c r="G517" s="297" t="n"/>
      <c r="H517" s="298" t="n"/>
    </row>
    <row r="518" ht="13" customHeight="1" s="189">
      <c r="A518" s="289" t="n"/>
      <c r="B518" s="290" t="n"/>
      <c r="C518" s="290" t="n"/>
      <c r="D518" s="291" t="n"/>
      <c r="E518" s="291" t="n"/>
      <c r="F518" s="291" t="n"/>
      <c r="G518" s="297" t="n"/>
      <c r="H518" s="298" t="n"/>
    </row>
    <row r="519" ht="13" customHeight="1" s="189">
      <c r="A519" s="289" t="n"/>
      <c r="B519" s="290" t="n"/>
      <c r="C519" s="290" t="n"/>
      <c r="D519" s="291" t="n"/>
      <c r="E519" s="291" t="n"/>
      <c r="F519" s="291" t="n"/>
      <c r="G519" s="297" t="n"/>
      <c r="H519" s="298" t="n"/>
    </row>
    <row r="520" ht="13" customHeight="1" s="189">
      <c r="A520" s="289" t="n"/>
      <c r="B520" s="290" t="n"/>
      <c r="C520" s="290" t="n"/>
      <c r="D520" s="291" t="n"/>
      <c r="E520" s="291" t="n"/>
      <c r="F520" s="291" t="n"/>
      <c r="G520" s="297" t="n"/>
      <c r="H520" s="298" t="n"/>
    </row>
    <row r="521" ht="13" customHeight="1" s="189">
      <c r="A521" s="289" t="n"/>
      <c r="B521" s="290" t="n"/>
      <c r="C521" s="290" t="n"/>
      <c r="D521" s="291" t="n"/>
      <c r="E521" s="291" t="n"/>
      <c r="F521" s="291" t="n"/>
      <c r="G521" s="297" t="n"/>
      <c r="H521" s="298" t="n"/>
    </row>
    <row r="522" ht="13" customHeight="1" s="189">
      <c r="A522" s="289" t="n"/>
      <c r="B522" s="290" t="n"/>
      <c r="C522" s="290" t="n"/>
      <c r="D522" s="291" t="n"/>
      <c r="E522" s="291" t="n"/>
      <c r="F522" s="291" t="n"/>
      <c r="G522" s="297" t="n"/>
      <c r="H522" s="298" t="n"/>
    </row>
    <row r="523" ht="13" customHeight="1" s="189">
      <c r="A523" s="289" t="n"/>
      <c r="B523" s="290" t="n"/>
      <c r="C523" s="290" t="n"/>
      <c r="D523" s="291" t="n"/>
      <c r="E523" s="291" t="n"/>
      <c r="F523" s="291" t="n"/>
      <c r="G523" s="297" t="n"/>
      <c r="H523" s="298" t="n"/>
    </row>
    <row r="524" ht="13" customHeight="1" s="189">
      <c r="A524" s="289" t="n"/>
      <c r="B524" s="290" t="n"/>
      <c r="C524" s="290" t="n"/>
      <c r="D524" s="291" t="n"/>
      <c r="E524" s="291" t="n"/>
      <c r="F524" s="291" t="n"/>
      <c r="G524" s="297" t="n"/>
      <c r="H524" s="298" t="n"/>
    </row>
    <row r="525" ht="13" customHeight="1" s="189">
      <c r="A525" s="289" t="n"/>
      <c r="B525" s="290" t="n"/>
      <c r="C525" s="290" t="n"/>
      <c r="D525" s="291" t="n"/>
      <c r="E525" s="291" t="n"/>
      <c r="F525" s="291" t="n"/>
      <c r="G525" s="297" t="n"/>
      <c r="H525" s="298" t="n"/>
    </row>
    <row r="526" ht="13" customHeight="1" s="189">
      <c r="A526" s="289" t="n"/>
      <c r="B526" s="290" t="n"/>
      <c r="C526" s="290" t="n"/>
      <c r="D526" s="291" t="n"/>
      <c r="E526" s="291" t="n"/>
      <c r="F526" s="291" t="n"/>
      <c r="G526" s="297" t="n"/>
      <c r="H526" s="298" t="n"/>
    </row>
    <row r="527" ht="13" customHeight="1" s="189">
      <c r="A527" s="289" t="n"/>
      <c r="B527" s="290" t="n"/>
      <c r="C527" s="290" t="n"/>
      <c r="D527" s="291" t="n"/>
      <c r="E527" s="291" t="n"/>
      <c r="F527" s="291" t="n"/>
      <c r="G527" s="297" t="n"/>
      <c r="H527" s="298" t="n"/>
    </row>
    <row r="528" ht="13" customHeight="1" s="189">
      <c r="A528" s="289" t="n"/>
      <c r="B528" s="290" t="n"/>
      <c r="C528" s="290" t="n"/>
      <c r="D528" s="291" t="n"/>
      <c r="E528" s="291" t="n"/>
      <c r="F528" s="291" t="n"/>
      <c r="G528" s="297" t="n"/>
      <c r="H528" s="298" t="n"/>
    </row>
    <row r="529" ht="13" customHeight="1" s="189">
      <c r="A529" s="289" t="n"/>
      <c r="B529" s="290" t="n"/>
      <c r="C529" s="290" t="n"/>
      <c r="D529" s="291" t="n"/>
      <c r="E529" s="291" t="n"/>
      <c r="F529" s="291" t="n"/>
      <c r="G529" s="297" t="n"/>
      <c r="H529" s="298" t="n"/>
    </row>
    <row r="530" ht="13" customHeight="1" s="189">
      <c r="A530" s="289" t="n"/>
      <c r="B530" s="290" t="n"/>
      <c r="C530" s="290" t="n"/>
      <c r="D530" s="291" t="n"/>
      <c r="E530" s="291" t="n"/>
      <c r="F530" s="291" t="n"/>
      <c r="G530" s="297" t="n"/>
      <c r="H530" s="298" t="n"/>
    </row>
    <row r="531" ht="13" customHeight="1" s="189">
      <c r="A531" s="289" t="n"/>
      <c r="B531" s="290" t="n"/>
      <c r="C531" s="290" t="n"/>
      <c r="D531" s="291" t="n"/>
      <c r="E531" s="291" t="n"/>
      <c r="F531" s="291" t="n"/>
      <c r="G531" s="297" t="n"/>
      <c r="H531" s="298" t="n"/>
    </row>
    <row r="532" ht="13" customHeight="1" s="189">
      <c r="A532" s="289" t="n"/>
      <c r="B532" s="290" t="n"/>
      <c r="C532" s="290" t="n"/>
      <c r="D532" s="291" t="n"/>
      <c r="E532" s="291" t="n"/>
      <c r="F532" s="291" t="n"/>
      <c r="G532" s="297" t="n"/>
      <c r="H532" s="298" t="n"/>
    </row>
    <row r="533" ht="13" customHeight="1" s="189">
      <c r="A533" s="289" t="n"/>
      <c r="B533" s="290" t="n"/>
      <c r="C533" s="290" t="n"/>
      <c r="D533" s="291" t="n"/>
      <c r="E533" s="291" t="n"/>
      <c r="F533" s="291" t="n"/>
      <c r="G533" s="297" t="n"/>
      <c r="H533" s="298" t="n"/>
    </row>
    <row r="534" ht="13" customHeight="1" s="189">
      <c r="A534" s="289" t="n"/>
      <c r="B534" s="290" t="n"/>
      <c r="C534" s="290" t="n"/>
      <c r="D534" s="291" t="n"/>
      <c r="E534" s="291" t="n"/>
      <c r="F534" s="291" t="n"/>
      <c r="G534" s="297" t="n"/>
      <c r="H534" s="298" t="n"/>
    </row>
    <row r="535" ht="13" customHeight="1" s="189">
      <c r="A535" s="289" t="n"/>
      <c r="B535" s="290" t="n"/>
      <c r="C535" s="290" t="n"/>
      <c r="D535" s="291" t="n"/>
      <c r="E535" s="291" t="n"/>
      <c r="F535" s="291" t="n"/>
      <c r="G535" s="297" t="n"/>
      <c r="H535" s="298" t="n"/>
    </row>
    <row r="536" ht="13" customHeight="1" s="189">
      <c r="A536" s="289" t="n"/>
      <c r="B536" s="290" t="n"/>
      <c r="C536" s="290" t="n"/>
      <c r="D536" s="291" t="n"/>
      <c r="E536" s="291" t="n"/>
      <c r="F536" s="291" t="n"/>
      <c r="G536" s="297" t="n"/>
      <c r="H536" s="298" t="n"/>
    </row>
    <row r="537" ht="13" customHeight="1" s="189">
      <c r="A537" s="289" t="n"/>
      <c r="B537" s="290" t="n"/>
      <c r="C537" s="290" t="n"/>
      <c r="D537" s="291" t="n"/>
      <c r="E537" s="291" t="n"/>
      <c r="F537" s="291" t="n"/>
      <c r="G537" s="297" t="n"/>
      <c r="H537" s="298" t="n"/>
    </row>
    <row r="538" ht="13" customHeight="1" s="189">
      <c r="A538" s="289" t="n"/>
      <c r="B538" s="290" t="n"/>
      <c r="C538" s="290" t="n"/>
      <c r="D538" s="291" t="n"/>
      <c r="E538" s="291" t="n"/>
      <c r="F538" s="291" t="n"/>
      <c r="G538" s="297" t="n"/>
      <c r="H538" s="298" t="n"/>
    </row>
    <row r="539" ht="13" customHeight="1" s="189">
      <c r="A539" s="289" t="n"/>
      <c r="B539" s="290" t="n"/>
      <c r="C539" s="290" t="n"/>
      <c r="D539" s="291" t="n"/>
      <c r="E539" s="291" t="n"/>
      <c r="F539" s="291" t="n"/>
      <c r="G539" s="297" t="n"/>
      <c r="H539" s="298" t="n"/>
    </row>
    <row r="540" ht="13" customHeight="1" s="189">
      <c r="A540" s="289" t="n"/>
      <c r="B540" s="290" t="n"/>
      <c r="C540" s="290" t="n"/>
      <c r="D540" s="291" t="n"/>
      <c r="E540" s="291" t="n"/>
      <c r="F540" s="291" t="n"/>
      <c r="G540" s="297" t="n"/>
      <c r="H540" s="298" t="n"/>
    </row>
    <row r="541" ht="13" customHeight="1" s="189">
      <c r="A541" s="289" t="n"/>
      <c r="B541" s="290" t="n"/>
      <c r="C541" s="290" t="n"/>
      <c r="D541" s="291" t="n"/>
      <c r="E541" s="291" t="n"/>
      <c r="F541" s="291" t="n"/>
      <c r="G541" s="297" t="n"/>
      <c r="H541" s="298" t="n"/>
    </row>
    <row r="542" ht="13" customHeight="1" s="189">
      <c r="A542" s="289" t="n"/>
      <c r="B542" s="290" t="n"/>
      <c r="C542" s="290" t="n"/>
      <c r="D542" s="291" t="n"/>
      <c r="E542" s="291" t="n"/>
      <c r="F542" s="291" t="n"/>
      <c r="G542" s="297" t="n"/>
      <c r="H542" s="298" t="n"/>
    </row>
    <row r="543" ht="13" customHeight="1" s="189">
      <c r="A543" s="289" t="n"/>
      <c r="B543" s="290" t="n"/>
      <c r="C543" s="290" t="n"/>
      <c r="D543" s="291" t="n"/>
      <c r="E543" s="291" t="n"/>
      <c r="F543" s="291" t="n"/>
      <c r="G543" s="297" t="n"/>
      <c r="H543" s="298" t="n"/>
    </row>
    <row r="544" ht="13" customHeight="1" s="189">
      <c r="A544" s="289" t="n"/>
      <c r="B544" s="290" t="n"/>
      <c r="C544" s="290" t="n"/>
      <c r="D544" s="291" t="n"/>
      <c r="E544" s="291" t="n"/>
      <c r="F544" s="291" t="n"/>
      <c r="G544" s="297" t="n"/>
      <c r="H544" s="298" t="n"/>
    </row>
    <row r="545" ht="13" customHeight="1" s="189">
      <c r="A545" s="289" t="n"/>
      <c r="B545" s="290" t="n"/>
      <c r="C545" s="290" t="n"/>
      <c r="D545" s="291" t="n"/>
      <c r="E545" s="291" t="n"/>
      <c r="F545" s="291" t="n"/>
      <c r="G545" s="297" t="n"/>
      <c r="H545" s="298" t="n"/>
    </row>
    <row r="546" ht="13" customHeight="1" s="189">
      <c r="A546" s="289" t="n"/>
      <c r="B546" s="290" t="n"/>
      <c r="C546" s="290" t="n"/>
      <c r="D546" s="291" t="n"/>
      <c r="E546" s="291" t="n"/>
      <c r="F546" s="291" t="n"/>
      <c r="G546" s="297" t="n"/>
      <c r="H546" s="298" t="n"/>
    </row>
    <row r="547" ht="13" customHeight="1" s="189">
      <c r="A547" s="289" t="n"/>
      <c r="B547" s="290" t="n"/>
      <c r="C547" s="290" t="n"/>
      <c r="D547" s="291" t="n"/>
      <c r="E547" s="291" t="n"/>
      <c r="F547" s="291" t="n"/>
      <c r="G547" s="297" t="n"/>
      <c r="H547" s="298" t="n"/>
    </row>
    <row r="548" ht="13" customHeight="1" s="189">
      <c r="A548" s="289" t="n"/>
      <c r="B548" s="290" t="n"/>
      <c r="C548" s="290" t="n"/>
      <c r="D548" s="291" t="n"/>
      <c r="E548" s="291" t="n"/>
      <c r="F548" s="291" t="n"/>
      <c r="G548" s="297" t="n"/>
      <c r="H548" s="298" t="n"/>
    </row>
    <row r="549" ht="13" customHeight="1" s="189">
      <c r="A549" s="289" t="n"/>
      <c r="B549" s="290" t="n"/>
      <c r="C549" s="290" t="n"/>
      <c r="D549" s="291" t="n"/>
      <c r="E549" s="291" t="n"/>
      <c r="F549" s="291" t="n"/>
      <c r="G549" s="297" t="n"/>
      <c r="H549" s="298" t="n"/>
    </row>
    <row r="550" ht="13" customHeight="1" s="189">
      <c r="A550" s="289" t="n"/>
      <c r="B550" s="290" t="n"/>
      <c r="C550" s="290" t="n"/>
      <c r="D550" s="291" t="n"/>
      <c r="E550" s="291" t="n"/>
      <c r="F550" s="291" t="n"/>
      <c r="G550" s="297" t="n"/>
      <c r="H550" s="298" t="n"/>
    </row>
    <row r="551" ht="13" customHeight="1" s="189">
      <c r="A551" s="289" t="n"/>
      <c r="B551" s="290" t="n"/>
      <c r="C551" s="290" t="n"/>
      <c r="D551" s="291" t="n"/>
      <c r="E551" s="291" t="n"/>
      <c r="F551" s="291" t="n"/>
      <c r="G551" s="297" t="n"/>
      <c r="H551" s="298" t="n"/>
    </row>
    <row r="552" ht="13" customHeight="1" s="189">
      <c r="A552" s="289" t="n"/>
      <c r="B552" s="290" t="n"/>
      <c r="C552" s="290" t="n"/>
      <c r="D552" s="291" t="n"/>
      <c r="E552" s="291" t="n"/>
      <c r="F552" s="291" t="n"/>
      <c r="G552" s="297" t="n"/>
      <c r="H552" s="298" t="n"/>
    </row>
    <row r="553" ht="13" customHeight="1" s="189">
      <c r="A553" s="289" t="n"/>
      <c r="B553" s="290" t="n"/>
      <c r="C553" s="290" t="n"/>
      <c r="D553" s="291" t="n"/>
      <c r="E553" s="291" t="n"/>
      <c r="F553" s="291" t="n"/>
      <c r="G553" s="297" t="n"/>
      <c r="H553" s="298" t="n"/>
    </row>
    <row r="554" ht="13" customHeight="1" s="189">
      <c r="A554" s="289" t="n"/>
      <c r="B554" s="290" t="n"/>
      <c r="C554" s="290" t="n"/>
      <c r="D554" s="291" t="n"/>
      <c r="E554" s="291" t="n"/>
      <c r="F554" s="291" t="n"/>
      <c r="G554" s="297" t="n"/>
      <c r="H554" s="298" t="n"/>
    </row>
    <row r="555" ht="13" customHeight="1" s="189">
      <c r="A555" s="289" t="n"/>
      <c r="B555" s="290" t="n"/>
      <c r="C555" s="290" t="n"/>
      <c r="D555" s="291" t="n"/>
      <c r="E555" s="291" t="n"/>
      <c r="F555" s="291" t="n"/>
      <c r="G555" s="297" t="n"/>
      <c r="H555" s="298" t="n"/>
    </row>
    <row r="556" ht="13" customHeight="1" s="189">
      <c r="A556" s="289" t="n"/>
      <c r="B556" s="290" t="n"/>
      <c r="C556" s="290" t="n"/>
      <c r="D556" s="291" t="n"/>
      <c r="E556" s="291" t="n"/>
      <c r="F556" s="291" t="n"/>
      <c r="G556" s="297" t="n"/>
      <c r="H556" s="298" t="n"/>
    </row>
    <row r="557" ht="13" customHeight="1" s="189">
      <c r="A557" s="289" t="n"/>
      <c r="B557" s="290" t="n"/>
      <c r="C557" s="290" t="n"/>
      <c r="D557" s="291" t="n"/>
      <c r="E557" s="291" t="n"/>
      <c r="F557" s="291" t="n"/>
      <c r="G557" s="297" t="n"/>
      <c r="H557" s="298" t="n"/>
    </row>
    <row r="558" ht="13" customHeight="1" s="189">
      <c r="A558" s="289" t="n"/>
      <c r="B558" s="290" t="n"/>
      <c r="C558" s="290" t="n"/>
      <c r="D558" s="291" t="n"/>
      <c r="E558" s="291" t="n"/>
      <c r="F558" s="291" t="n"/>
      <c r="G558" s="297" t="n"/>
      <c r="H558" s="298" t="n"/>
    </row>
    <row r="559" ht="13" customHeight="1" s="189">
      <c r="A559" s="289" t="n"/>
      <c r="B559" s="290" t="n"/>
      <c r="C559" s="290" t="n"/>
      <c r="D559" s="291" t="n"/>
      <c r="E559" s="291" t="n"/>
      <c r="F559" s="291" t="n"/>
      <c r="G559" s="297" t="n"/>
      <c r="H559" s="298" t="n"/>
    </row>
    <row r="560" ht="13" customHeight="1" s="189">
      <c r="A560" s="289" t="n"/>
      <c r="B560" s="290" t="n"/>
      <c r="C560" s="290" t="n"/>
      <c r="D560" s="291" t="n"/>
      <c r="E560" s="291" t="n"/>
      <c r="F560" s="291" t="n"/>
      <c r="G560" s="297" t="n"/>
      <c r="H560" s="298" t="n"/>
    </row>
    <row r="561" ht="13" customHeight="1" s="189">
      <c r="A561" s="289" t="n"/>
      <c r="B561" s="290" t="n"/>
      <c r="C561" s="290" t="n"/>
      <c r="D561" s="291" t="n"/>
      <c r="E561" s="291" t="n"/>
      <c r="F561" s="291" t="n"/>
      <c r="G561" s="297" t="n"/>
      <c r="H561" s="298" t="n"/>
    </row>
    <row r="562" ht="13" customHeight="1" s="189">
      <c r="A562" s="289" t="n"/>
      <c r="B562" s="290" t="n"/>
      <c r="C562" s="290" t="n"/>
      <c r="D562" s="291" t="n"/>
      <c r="E562" s="291" t="n"/>
      <c r="F562" s="291" t="n"/>
      <c r="G562" s="297" t="n"/>
      <c r="H562" s="298" t="n"/>
    </row>
    <row r="563" ht="13" customHeight="1" s="189">
      <c r="A563" s="289" t="n"/>
      <c r="B563" s="290" t="n"/>
      <c r="C563" s="290" t="n"/>
      <c r="D563" s="291" t="n"/>
      <c r="E563" s="291" t="n"/>
      <c r="F563" s="291" t="n"/>
      <c r="G563" s="297" t="n"/>
      <c r="H563" s="298" t="n"/>
    </row>
    <row r="564" ht="13" customHeight="1" s="189">
      <c r="A564" s="289" t="n"/>
      <c r="B564" s="290" t="n"/>
      <c r="C564" s="290" t="n"/>
      <c r="D564" s="291" t="n"/>
      <c r="E564" s="291" t="n"/>
      <c r="F564" s="291" t="n"/>
      <c r="G564" s="297" t="n"/>
      <c r="H564" s="298" t="n"/>
    </row>
    <row r="565" ht="13" customHeight="1" s="189">
      <c r="A565" s="289" t="n"/>
      <c r="B565" s="290" t="n"/>
      <c r="C565" s="290" t="n"/>
      <c r="D565" s="291" t="n"/>
      <c r="E565" s="291" t="n"/>
      <c r="F565" s="291" t="n"/>
      <c r="G565" s="297" t="n"/>
      <c r="H565" s="298" t="n"/>
    </row>
    <row r="566" ht="13" customHeight="1" s="189">
      <c r="A566" s="289" t="n"/>
      <c r="B566" s="290" t="n"/>
      <c r="C566" s="290" t="n"/>
      <c r="D566" s="291" t="n"/>
      <c r="E566" s="291" t="n"/>
      <c r="F566" s="291" t="n"/>
      <c r="G566" s="297" t="n"/>
      <c r="H566" s="298" t="n"/>
    </row>
    <row r="567" ht="13" customHeight="1" s="189">
      <c r="A567" s="289" t="n"/>
      <c r="B567" s="290" t="n"/>
      <c r="C567" s="290" t="n"/>
      <c r="D567" s="291" t="n"/>
      <c r="E567" s="291" t="n"/>
      <c r="F567" s="291" t="n"/>
      <c r="G567" s="297" t="n"/>
      <c r="H567" s="298" t="n"/>
    </row>
    <row r="568" ht="13" customHeight="1" s="189">
      <c r="A568" s="289" t="n"/>
      <c r="B568" s="290" t="n"/>
      <c r="C568" s="290" t="n"/>
      <c r="D568" s="291" t="n"/>
      <c r="E568" s="291" t="n"/>
      <c r="F568" s="291" t="n"/>
      <c r="G568" s="297" t="n"/>
      <c r="H568" s="298" t="n"/>
    </row>
    <row r="569" ht="13" customHeight="1" s="189">
      <c r="A569" s="289" t="n"/>
      <c r="B569" s="290" t="n"/>
      <c r="C569" s="290" t="n"/>
      <c r="D569" s="291" t="n"/>
      <c r="E569" s="291" t="n"/>
      <c r="F569" s="291" t="n"/>
      <c r="G569" s="297" t="n"/>
      <c r="H569" s="298" t="n"/>
    </row>
    <row r="570" ht="13" customHeight="1" s="189">
      <c r="A570" s="289" t="n"/>
      <c r="B570" s="290" t="n"/>
      <c r="C570" s="290" t="n"/>
      <c r="D570" s="291" t="n"/>
      <c r="E570" s="291" t="n"/>
      <c r="F570" s="291" t="n"/>
      <c r="G570" s="297" t="n"/>
      <c r="H570" s="298" t="n"/>
    </row>
    <row r="571" ht="13" customHeight="1" s="189">
      <c r="A571" s="289" t="n"/>
      <c r="B571" s="290" t="n"/>
      <c r="C571" s="290" t="n"/>
      <c r="D571" s="291" t="n"/>
      <c r="E571" s="291" t="n"/>
      <c r="F571" s="291" t="n"/>
      <c r="G571" s="297" t="n"/>
      <c r="H571" s="298" t="n"/>
    </row>
    <row r="572" ht="13" customHeight="1" s="189">
      <c r="A572" s="289" t="n"/>
      <c r="B572" s="290" t="n"/>
      <c r="C572" s="290" t="n"/>
      <c r="D572" s="291" t="n"/>
      <c r="E572" s="291" t="n"/>
      <c r="F572" s="291" t="n"/>
      <c r="G572" s="297" t="n"/>
      <c r="H572" s="298" t="n"/>
    </row>
    <row r="573" ht="13" customHeight="1" s="189">
      <c r="A573" s="289" t="n"/>
      <c r="B573" s="290" t="n"/>
      <c r="C573" s="290" t="n"/>
      <c r="D573" s="291" t="n"/>
      <c r="E573" s="291" t="n"/>
      <c r="F573" s="291" t="n"/>
      <c r="G573" s="297" t="n"/>
      <c r="H573" s="298" t="n"/>
    </row>
    <row r="574" ht="13" customHeight="1" s="189">
      <c r="A574" s="289" t="n"/>
      <c r="B574" s="290" t="n"/>
      <c r="C574" s="290" t="n"/>
      <c r="D574" s="291" t="n"/>
      <c r="E574" s="291" t="n"/>
      <c r="F574" s="291" t="n"/>
      <c r="G574" s="297" t="n"/>
      <c r="H574" s="298" t="n"/>
    </row>
    <row r="575" ht="13" customHeight="1" s="189">
      <c r="A575" s="289" t="n"/>
      <c r="B575" s="290" t="n"/>
      <c r="C575" s="290" t="n"/>
      <c r="D575" s="291" t="n"/>
      <c r="E575" s="291" t="n"/>
      <c r="F575" s="291" t="n"/>
      <c r="G575" s="297" t="n"/>
      <c r="H575" s="298" t="n"/>
    </row>
    <row r="576" ht="13" customHeight="1" s="189">
      <c r="A576" s="289" t="n"/>
      <c r="B576" s="290" t="n"/>
      <c r="C576" s="290" t="n"/>
      <c r="D576" s="291" t="n"/>
      <c r="E576" s="291" t="n"/>
      <c r="F576" s="291" t="n"/>
      <c r="G576" s="297" t="n"/>
      <c r="H576" s="298" t="n"/>
    </row>
    <row r="577" ht="13" customHeight="1" s="189">
      <c r="A577" s="289" t="n"/>
      <c r="B577" s="290" t="n"/>
      <c r="C577" s="290" t="n"/>
      <c r="D577" s="291" t="n"/>
      <c r="E577" s="291" t="n"/>
      <c r="F577" s="291" t="n"/>
      <c r="G577" s="297" t="n"/>
      <c r="H577" s="298" t="n"/>
    </row>
    <row r="578" ht="13" customHeight="1" s="189">
      <c r="A578" s="289" t="n"/>
      <c r="B578" s="290" t="n"/>
      <c r="C578" s="290" t="n"/>
      <c r="D578" s="291" t="n"/>
      <c r="E578" s="291" t="n"/>
      <c r="F578" s="291" t="n"/>
      <c r="G578" s="297" t="n"/>
      <c r="H578" s="298" t="n"/>
    </row>
    <row r="579" ht="13" customHeight="1" s="189">
      <c r="A579" s="289" t="n"/>
      <c r="B579" s="290" t="n"/>
      <c r="C579" s="290" t="n"/>
      <c r="D579" s="291" t="n"/>
      <c r="E579" s="291" t="n"/>
      <c r="F579" s="291" t="n"/>
      <c r="G579" s="297" t="n"/>
      <c r="H579" s="298" t="n"/>
    </row>
    <row r="580" ht="13" customHeight="1" s="189">
      <c r="A580" s="289" t="n"/>
      <c r="B580" s="290" t="n"/>
      <c r="C580" s="290" t="n"/>
      <c r="D580" s="291" t="n"/>
      <c r="E580" s="291" t="n"/>
      <c r="F580" s="291" t="n"/>
      <c r="G580" s="297" t="n"/>
      <c r="H580" s="298" t="n"/>
    </row>
    <row r="581" ht="13" customHeight="1" s="189">
      <c r="A581" s="289" t="n"/>
      <c r="B581" s="290" t="n"/>
      <c r="C581" s="290" t="n"/>
      <c r="D581" s="291" t="n"/>
      <c r="E581" s="291" t="n"/>
      <c r="F581" s="291" t="n"/>
      <c r="G581" s="297" t="n"/>
      <c r="H581" s="298" t="n"/>
    </row>
    <row r="582" ht="13" customHeight="1" s="189">
      <c r="A582" s="289" t="n"/>
      <c r="B582" s="290" t="n"/>
      <c r="C582" s="290" t="n"/>
      <c r="D582" s="291" t="n"/>
      <c r="E582" s="291" t="n"/>
      <c r="F582" s="291" t="n"/>
      <c r="G582" s="297" t="n"/>
      <c r="H582" s="298" t="n"/>
    </row>
    <row r="583" ht="13" customHeight="1" s="189">
      <c r="A583" s="289" t="n"/>
      <c r="B583" s="290" t="n"/>
      <c r="C583" s="290" t="n"/>
      <c r="D583" s="291" t="n"/>
      <c r="E583" s="291" t="n"/>
      <c r="F583" s="291" t="n"/>
      <c r="G583" s="297" t="n"/>
      <c r="H583" s="298" t="n"/>
    </row>
    <row r="584" ht="13" customHeight="1" s="189">
      <c r="A584" s="289" t="n"/>
      <c r="B584" s="290" t="n"/>
      <c r="C584" s="290" t="n"/>
      <c r="D584" s="291" t="n"/>
      <c r="E584" s="291" t="n"/>
      <c r="F584" s="291" t="n"/>
      <c r="G584" s="297" t="n"/>
      <c r="H584" s="298" t="n"/>
    </row>
    <row r="585" ht="13" customHeight="1" s="189">
      <c r="A585" s="289" t="n"/>
      <c r="B585" s="290" t="n"/>
      <c r="C585" s="290" t="n"/>
      <c r="D585" s="291" t="n"/>
      <c r="E585" s="291" t="n"/>
      <c r="F585" s="291" t="n"/>
      <c r="G585" s="297" t="n"/>
      <c r="H585" s="298" t="n"/>
    </row>
    <row r="586" ht="13" customHeight="1" s="189">
      <c r="A586" s="289" t="n"/>
      <c r="B586" s="290" t="n"/>
      <c r="C586" s="290" t="n"/>
      <c r="D586" s="291" t="n"/>
      <c r="E586" s="291" t="n"/>
      <c r="F586" s="291" t="n"/>
      <c r="G586" s="297" t="n"/>
      <c r="H586" s="298" t="n"/>
    </row>
    <row r="587" ht="13" customHeight="1" s="189">
      <c r="A587" s="289" t="n"/>
      <c r="B587" s="290" t="n"/>
      <c r="C587" s="290" t="n"/>
      <c r="D587" s="291" t="n"/>
      <c r="E587" s="291" t="n"/>
      <c r="F587" s="291" t="n"/>
      <c r="G587" s="297" t="n"/>
      <c r="H587" s="298" t="n"/>
    </row>
    <row r="588" ht="13" customHeight="1" s="189">
      <c r="A588" s="289" t="n"/>
      <c r="B588" s="290" t="n"/>
      <c r="C588" s="290" t="n"/>
      <c r="D588" s="291" t="n"/>
      <c r="E588" s="291" t="n"/>
      <c r="F588" s="291" t="n"/>
      <c r="G588" s="297" t="n"/>
      <c r="H588" s="298" t="n"/>
    </row>
    <row r="589" ht="13" customHeight="1" s="189">
      <c r="A589" s="289" t="n"/>
      <c r="B589" s="290" t="n"/>
      <c r="C589" s="290" t="n"/>
      <c r="D589" s="291" t="n"/>
      <c r="E589" s="291" t="n"/>
      <c r="F589" s="291" t="n"/>
      <c r="G589" s="297" t="n"/>
      <c r="H589" s="298" t="n"/>
    </row>
    <row r="590" ht="13" customHeight="1" s="189">
      <c r="A590" s="289" t="n"/>
      <c r="B590" s="290" t="n"/>
      <c r="C590" s="290" t="n"/>
      <c r="D590" s="291" t="n"/>
      <c r="E590" s="291" t="n"/>
      <c r="F590" s="291" t="n"/>
      <c r="G590" s="297" t="n"/>
      <c r="H590" s="298" t="n"/>
    </row>
    <row r="591" ht="13" customHeight="1" s="189">
      <c r="A591" s="289" t="n"/>
      <c r="B591" s="290" t="n"/>
      <c r="C591" s="290" t="n"/>
      <c r="D591" s="291" t="n"/>
      <c r="E591" s="291" t="n"/>
      <c r="F591" s="291" t="n"/>
      <c r="G591" s="297" t="n"/>
      <c r="H591" s="298" t="n"/>
    </row>
    <row r="592" ht="13" customHeight="1" s="189">
      <c r="A592" s="289" t="n"/>
      <c r="B592" s="290" t="n"/>
      <c r="C592" s="290" t="n"/>
      <c r="D592" s="291" t="n"/>
      <c r="E592" s="291" t="n"/>
      <c r="F592" s="291" t="n"/>
      <c r="G592" s="297" t="n"/>
      <c r="H592" s="298" t="n"/>
    </row>
    <row r="593" ht="13" customHeight="1" s="189">
      <c r="A593" s="289" t="n"/>
      <c r="B593" s="290" t="n"/>
      <c r="C593" s="290" t="n"/>
      <c r="D593" s="291" t="n"/>
      <c r="E593" s="291" t="n"/>
      <c r="F593" s="291" t="n"/>
      <c r="G593" s="297" t="n"/>
      <c r="H593" s="298" t="n"/>
    </row>
    <row r="594" ht="13" customHeight="1" s="189">
      <c r="A594" s="289" t="n"/>
      <c r="B594" s="290" t="n"/>
      <c r="C594" s="290" t="n"/>
      <c r="D594" s="291" t="n"/>
      <c r="E594" s="291" t="n"/>
      <c r="F594" s="291" t="n"/>
      <c r="G594" s="297" t="n"/>
      <c r="H594" s="298" t="n"/>
    </row>
    <row r="595" ht="13" customHeight="1" s="189">
      <c r="A595" s="289" t="n"/>
      <c r="B595" s="290" t="n"/>
      <c r="C595" s="290" t="n"/>
      <c r="D595" s="291" t="n"/>
      <c r="E595" s="291" t="n"/>
      <c r="F595" s="291" t="n"/>
      <c r="G595" s="297" t="n"/>
      <c r="H595" s="298" t="n"/>
    </row>
    <row r="596" ht="13" customHeight="1" s="189">
      <c r="A596" s="289" t="n"/>
      <c r="B596" s="290" t="n"/>
      <c r="C596" s="290" t="n"/>
      <c r="D596" s="291" t="n"/>
      <c r="E596" s="291" t="n"/>
      <c r="F596" s="291" t="n"/>
      <c r="G596" s="297" t="n"/>
      <c r="H596" s="298" t="n"/>
    </row>
    <row r="597" ht="13" customHeight="1" s="189">
      <c r="A597" s="289" t="n"/>
      <c r="B597" s="290" t="n"/>
      <c r="C597" s="290" t="n"/>
      <c r="D597" s="291" t="n"/>
      <c r="E597" s="291" t="n"/>
      <c r="F597" s="291" t="n"/>
      <c r="G597" s="297" t="n"/>
      <c r="H597" s="298" t="n"/>
    </row>
    <row r="598" ht="13" customHeight="1" s="189">
      <c r="A598" s="289" t="n"/>
      <c r="B598" s="290" t="n"/>
      <c r="C598" s="290" t="n"/>
      <c r="D598" s="291" t="n"/>
      <c r="E598" s="291" t="n"/>
      <c r="F598" s="291" t="n"/>
      <c r="G598" s="297" t="n"/>
      <c r="H598" s="298" t="n"/>
    </row>
    <row r="599" ht="13" customHeight="1" s="189">
      <c r="A599" s="289" t="n"/>
      <c r="B599" s="290" t="n"/>
      <c r="C599" s="290" t="n"/>
      <c r="D599" s="291" t="n"/>
      <c r="E599" s="291" t="n"/>
      <c r="F599" s="291" t="n"/>
      <c r="G599" s="297" t="n"/>
      <c r="H599" s="298" t="n"/>
    </row>
    <row r="600" ht="13" customHeight="1" s="189">
      <c r="A600" s="289" t="n"/>
      <c r="B600" s="290" t="n"/>
      <c r="C600" s="290" t="n"/>
      <c r="D600" s="291" t="n"/>
      <c r="E600" s="291" t="n"/>
      <c r="F600" s="291" t="n"/>
      <c r="G600" s="297" t="n"/>
      <c r="H600" s="298" t="n"/>
    </row>
    <row r="601" ht="13" customHeight="1" s="189">
      <c r="A601" s="289" t="n"/>
      <c r="B601" s="290" t="n"/>
      <c r="C601" s="290" t="n"/>
      <c r="D601" s="291" t="n"/>
      <c r="E601" s="291" t="n"/>
      <c r="F601" s="291" t="n"/>
      <c r="G601" s="297" t="n"/>
      <c r="H601" s="298" t="n"/>
    </row>
    <row r="602" ht="13" customHeight="1" s="189">
      <c r="A602" s="289" t="n"/>
      <c r="B602" s="290" t="n"/>
      <c r="C602" s="290" t="n"/>
      <c r="D602" s="291" t="n"/>
      <c r="E602" s="291" t="n"/>
      <c r="F602" s="291" t="n"/>
      <c r="G602" s="297" t="n"/>
      <c r="H602" s="298" t="n"/>
    </row>
    <row r="603" ht="13" customHeight="1" s="189">
      <c r="A603" s="289" t="n"/>
      <c r="B603" s="290" t="n"/>
      <c r="C603" s="290" t="n"/>
      <c r="D603" s="291" t="n"/>
      <c r="E603" s="291" t="n"/>
      <c r="F603" s="291" t="n"/>
      <c r="G603" s="297" t="n"/>
      <c r="H603" s="298" t="n"/>
    </row>
    <row r="604" ht="13" customHeight="1" s="189">
      <c r="A604" s="289" t="n"/>
      <c r="B604" s="290" t="n"/>
      <c r="C604" s="290" t="n"/>
      <c r="D604" s="291" t="n"/>
      <c r="E604" s="291" t="n"/>
      <c r="F604" s="291" t="n"/>
      <c r="G604" s="297" t="n"/>
      <c r="H604" s="298" t="n"/>
    </row>
    <row r="605" ht="13" customHeight="1" s="189">
      <c r="A605" s="289" t="n"/>
      <c r="B605" s="290" t="n"/>
      <c r="C605" s="290" t="n"/>
      <c r="D605" s="291" t="n"/>
      <c r="E605" s="291" t="n"/>
      <c r="F605" s="291" t="n"/>
      <c r="G605" s="297" t="n"/>
      <c r="H605" s="298" t="n"/>
    </row>
    <row r="606" ht="13" customHeight="1" s="189">
      <c r="A606" s="289" t="n"/>
      <c r="B606" s="290" t="n"/>
      <c r="C606" s="290" t="n"/>
      <c r="D606" s="291" t="n"/>
      <c r="E606" s="291" t="n"/>
      <c r="F606" s="291" t="n"/>
      <c r="G606" s="297" t="n"/>
      <c r="H606" s="298" t="n"/>
    </row>
    <row r="607" ht="13" customHeight="1" s="189">
      <c r="A607" s="289" t="n"/>
      <c r="B607" s="290" t="n"/>
      <c r="C607" s="290" t="n"/>
      <c r="D607" s="291" t="n"/>
      <c r="E607" s="291" t="n"/>
      <c r="F607" s="291" t="n"/>
      <c r="G607" s="297" t="n"/>
      <c r="H607" s="298" t="n"/>
    </row>
    <row r="608" ht="13" customHeight="1" s="189">
      <c r="A608" s="289" t="n"/>
      <c r="B608" s="290" t="n"/>
      <c r="C608" s="290" t="n"/>
      <c r="D608" s="291" t="n"/>
      <c r="E608" s="291" t="n"/>
      <c r="F608" s="291" t="n"/>
      <c r="G608" s="297" t="n"/>
      <c r="H608" s="298" t="n"/>
    </row>
    <row r="609" ht="13" customHeight="1" s="189">
      <c r="A609" s="289" t="n"/>
      <c r="B609" s="290" t="n"/>
      <c r="C609" s="290" t="n"/>
      <c r="D609" s="291" t="n"/>
      <c r="E609" s="291" t="n"/>
      <c r="F609" s="291" t="n"/>
      <c r="G609" s="297" t="n"/>
      <c r="H609" s="298" t="n"/>
    </row>
    <row r="610" ht="13" customHeight="1" s="189">
      <c r="A610" s="289" t="n"/>
      <c r="B610" s="290" t="n"/>
      <c r="C610" s="290" t="n"/>
      <c r="D610" s="291" t="n"/>
      <c r="E610" s="291" t="n"/>
      <c r="F610" s="291" t="n"/>
      <c r="G610" s="297" t="n"/>
      <c r="H610" s="298" t="n"/>
    </row>
    <row r="611" ht="13" customHeight="1" s="189">
      <c r="A611" s="289" t="n"/>
      <c r="B611" s="290" t="n"/>
      <c r="C611" s="290" t="n"/>
      <c r="D611" s="291" t="n"/>
      <c r="E611" s="291" t="n"/>
      <c r="F611" s="291" t="n"/>
      <c r="G611" s="297" t="n"/>
      <c r="H611" s="298" t="n"/>
    </row>
    <row r="612" ht="13" customHeight="1" s="189">
      <c r="A612" s="289" t="n"/>
      <c r="B612" s="290" t="n"/>
      <c r="C612" s="290" t="n"/>
      <c r="D612" s="291" t="n"/>
      <c r="E612" s="291" t="n"/>
      <c r="F612" s="291" t="n"/>
      <c r="G612" s="297" t="n"/>
      <c r="H612" s="298" t="n"/>
    </row>
    <row r="613" ht="13" customHeight="1" s="189">
      <c r="A613" s="289" t="n"/>
      <c r="B613" s="290" t="n"/>
      <c r="C613" s="290" t="n"/>
      <c r="D613" s="291" t="n"/>
      <c r="E613" s="291" t="n"/>
      <c r="F613" s="291" t="n"/>
      <c r="G613" s="297" t="n"/>
      <c r="H613" s="298" t="n"/>
    </row>
    <row r="614" ht="13" customHeight="1" s="189">
      <c r="A614" s="289" t="n"/>
      <c r="B614" s="290" t="n"/>
      <c r="C614" s="290" t="n"/>
      <c r="D614" s="291" t="n"/>
      <c r="E614" s="291" t="n"/>
      <c r="F614" s="291" t="n"/>
      <c r="G614" s="297" t="n"/>
      <c r="H614" s="298" t="n"/>
    </row>
    <row r="615" ht="13" customHeight="1" s="189">
      <c r="A615" s="289" t="n"/>
      <c r="B615" s="290" t="n"/>
      <c r="C615" s="290" t="n"/>
      <c r="D615" s="291" t="n"/>
      <c r="E615" s="291" t="n"/>
      <c r="F615" s="291" t="n"/>
      <c r="G615" s="297" t="n"/>
      <c r="H615" s="298" t="n"/>
    </row>
    <row r="616" ht="13" customHeight="1" s="189">
      <c r="A616" s="289" t="n"/>
      <c r="B616" s="290" t="n"/>
      <c r="C616" s="290" t="n"/>
      <c r="D616" s="291" t="n"/>
      <c r="E616" s="291" t="n"/>
      <c r="F616" s="291" t="n"/>
      <c r="G616" s="297" t="n"/>
      <c r="H616" s="298" t="n"/>
    </row>
    <row r="617" ht="13" customHeight="1" s="189">
      <c r="A617" s="289" t="n"/>
      <c r="B617" s="290" t="n"/>
      <c r="C617" s="290" t="n"/>
      <c r="D617" s="291" t="n"/>
      <c r="E617" s="291" t="n"/>
      <c r="F617" s="291" t="n"/>
      <c r="G617" s="297" t="n"/>
      <c r="H617" s="298" t="n"/>
    </row>
    <row r="618" ht="13" customHeight="1" s="189">
      <c r="A618" s="289" t="n"/>
      <c r="B618" s="290" t="n"/>
      <c r="C618" s="290" t="n"/>
      <c r="D618" s="291" t="n"/>
      <c r="E618" s="291" t="n"/>
      <c r="F618" s="291" t="n"/>
      <c r="G618" s="297" t="n"/>
      <c r="H618" s="298" t="n"/>
    </row>
    <row r="619" ht="13" customHeight="1" s="189">
      <c r="A619" s="289" t="n"/>
      <c r="B619" s="290" t="n"/>
      <c r="C619" s="290" t="n"/>
      <c r="D619" s="291" t="n"/>
      <c r="E619" s="291" t="n"/>
      <c r="F619" s="291" t="n"/>
      <c r="G619" s="297" t="n"/>
      <c r="H619" s="298" t="n"/>
    </row>
    <row r="620" ht="13" customHeight="1" s="189">
      <c r="A620" s="289" t="n"/>
      <c r="B620" s="290" t="n"/>
      <c r="C620" s="290" t="n"/>
      <c r="D620" s="291" t="n"/>
      <c r="E620" s="291" t="n"/>
      <c r="F620" s="291" t="n"/>
      <c r="G620" s="297" t="n"/>
      <c r="H620" s="298" t="n"/>
    </row>
    <row r="621" ht="13" customHeight="1" s="189">
      <c r="A621" s="289" t="n"/>
      <c r="B621" s="290" t="n"/>
      <c r="C621" s="290" t="n"/>
      <c r="D621" s="291" t="n"/>
      <c r="E621" s="291" t="n"/>
      <c r="F621" s="291" t="n"/>
      <c r="G621" s="297" t="n"/>
      <c r="H621" s="298" t="n"/>
    </row>
    <row r="622" ht="13" customHeight="1" s="189">
      <c r="A622" s="289" t="n"/>
      <c r="B622" s="290" t="n"/>
      <c r="C622" s="290" t="n"/>
      <c r="D622" s="291" t="n"/>
      <c r="E622" s="291" t="n"/>
      <c r="F622" s="291" t="n"/>
      <c r="G622" s="297" t="n"/>
      <c r="H622" s="298" t="n"/>
    </row>
    <row r="623" ht="13" customHeight="1" s="189">
      <c r="A623" s="289" t="n"/>
      <c r="B623" s="290" t="n"/>
      <c r="C623" s="290" t="n"/>
      <c r="D623" s="291" t="n"/>
      <c r="E623" s="291" t="n"/>
      <c r="F623" s="291" t="n"/>
      <c r="G623" s="297" t="n"/>
      <c r="H623" s="298" t="n"/>
    </row>
    <row r="624" ht="13" customHeight="1" s="189">
      <c r="A624" s="289" t="n"/>
      <c r="B624" s="290" t="n"/>
      <c r="C624" s="290" t="n"/>
      <c r="D624" s="291" t="n"/>
      <c r="E624" s="291" t="n"/>
      <c r="F624" s="291" t="n"/>
      <c r="G624" s="297" t="n"/>
      <c r="H624" s="298" t="n"/>
    </row>
    <row r="625" ht="13" customHeight="1" s="189">
      <c r="A625" s="289" t="n"/>
      <c r="B625" s="290" t="n"/>
      <c r="C625" s="290" t="n"/>
      <c r="D625" s="291" t="n"/>
      <c r="E625" s="291" t="n"/>
      <c r="F625" s="291" t="n"/>
      <c r="G625" s="297" t="n"/>
      <c r="H625" s="298" t="n"/>
    </row>
    <row r="626" ht="13" customHeight="1" s="189">
      <c r="A626" s="289" t="n"/>
      <c r="B626" s="290" t="n"/>
      <c r="C626" s="290" t="n"/>
      <c r="D626" s="291" t="n"/>
      <c r="E626" s="291" t="n"/>
      <c r="F626" s="291" t="n"/>
      <c r="G626" s="297" t="n"/>
      <c r="H626" s="298" t="n"/>
    </row>
    <row r="627" ht="13" customHeight="1" s="189">
      <c r="A627" s="289" t="n"/>
      <c r="B627" s="290" t="n"/>
      <c r="C627" s="290" t="n"/>
      <c r="D627" s="291" t="n"/>
      <c r="E627" s="291" t="n"/>
      <c r="F627" s="291" t="n"/>
      <c r="G627" s="297" t="n"/>
      <c r="H627" s="298" t="n"/>
    </row>
    <row r="628" ht="13" customHeight="1" s="189">
      <c r="A628" s="289" t="n"/>
      <c r="B628" s="290" t="n"/>
      <c r="C628" s="290" t="n"/>
      <c r="D628" s="291" t="n"/>
      <c r="E628" s="291" t="n"/>
      <c r="F628" s="291" t="n"/>
      <c r="G628" s="297" t="n"/>
      <c r="H628" s="298" t="n"/>
    </row>
    <row r="629" ht="13" customHeight="1" s="189">
      <c r="A629" s="289" t="n"/>
      <c r="B629" s="290" t="n"/>
      <c r="C629" s="290" t="n"/>
      <c r="D629" s="291" t="n"/>
      <c r="E629" s="291" t="n"/>
      <c r="F629" s="291" t="n"/>
      <c r="G629" s="297" t="n"/>
      <c r="H629" s="298" t="n"/>
    </row>
    <row r="630" ht="13" customHeight="1" s="189">
      <c r="A630" s="289" t="n"/>
      <c r="B630" s="290" t="n"/>
      <c r="C630" s="290" t="n"/>
      <c r="D630" s="291" t="n"/>
      <c r="E630" s="291" t="n"/>
      <c r="F630" s="291" t="n"/>
      <c r="G630" s="297" t="n"/>
      <c r="H630" s="298" t="n"/>
    </row>
    <row r="631" ht="13" customHeight="1" s="189">
      <c r="A631" s="289" t="n"/>
      <c r="B631" s="290" t="n"/>
      <c r="C631" s="290" t="n"/>
      <c r="D631" s="291" t="n"/>
      <c r="E631" s="291" t="n"/>
      <c r="F631" s="291" t="n"/>
      <c r="G631" s="297" t="n"/>
      <c r="H631" s="298" t="n"/>
    </row>
    <row r="632" ht="13" customHeight="1" s="189">
      <c r="A632" s="289" t="n"/>
      <c r="B632" s="290" t="n"/>
      <c r="C632" s="290" t="n"/>
      <c r="D632" s="291" t="n"/>
      <c r="E632" s="291" t="n"/>
      <c r="F632" s="291" t="n"/>
      <c r="G632" s="297" t="n"/>
      <c r="H632" s="298" t="n"/>
    </row>
    <row r="633" ht="13" customHeight="1" s="189">
      <c r="A633" s="289" t="n"/>
      <c r="B633" s="290" t="n"/>
      <c r="C633" s="290" t="n"/>
      <c r="D633" s="291" t="n"/>
      <c r="E633" s="291" t="n"/>
      <c r="F633" s="291" t="n"/>
      <c r="G633" s="297" t="n"/>
      <c r="H633" s="298" t="n"/>
    </row>
    <row r="634" ht="13" customHeight="1" s="189">
      <c r="A634" s="289" t="n"/>
      <c r="B634" s="290" t="n"/>
      <c r="C634" s="290" t="n"/>
      <c r="D634" s="291" t="n"/>
      <c r="E634" s="291" t="n"/>
      <c r="F634" s="291" t="n"/>
      <c r="G634" s="297" t="n"/>
      <c r="H634" s="298" t="n"/>
    </row>
    <row r="635" ht="13" customHeight="1" s="189">
      <c r="A635" s="289" t="n"/>
      <c r="B635" s="290" t="n"/>
      <c r="C635" s="290" t="n"/>
      <c r="D635" s="291" t="n"/>
      <c r="E635" s="291" t="n"/>
      <c r="F635" s="291" t="n"/>
      <c r="G635" s="297" t="n"/>
      <c r="H635" s="298" t="n"/>
    </row>
    <row r="636" ht="13" customHeight="1" s="189">
      <c r="A636" s="289" t="n"/>
      <c r="B636" s="290" t="n"/>
      <c r="C636" s="290" t="n"/>
      <c r="D636" s="291" t="n"/>
      <c r="E636" s="291" t="n"/>
      <c r="F636" s="291" t="n"/>
      <c r="G636" s="297" t="n"/>
      <c r="H636" s="298" t="n"/>
    </row>
    <row r="637" ht="13" customHeight="1" s="189">
      <c r="A637" s="289" t="n"/>
      <c r="B637" s="290" t="n"/>
      <c r="C637" s="290" t="n"/>
      <c r="D637" s="291" t="n"/>
      <c r="E637" s="291" t="n"/>
      <c r="F637" s="291" t="n"/>
      <c r="G637" s="297" t="n"/>
      <c r="H637" s="298" t="n"/>
    </row>
    <row r="638" ht="13" customHeight="1" s="189">
      <c r="A638" s="289" t="n"/>
      <c r="B638" s="290" t="n"/>
      <c r="C638" s="290" t="n"/>
      <c r="D638" s="291" t="n"/>
      <c r="E638" s="291" t="n"/>
      <c r="F638" s="291" t="n"/>
      <c r="G638" s="297" t="n"/>
      <c r="H638" s="298" t="n"/>
    </row>
    <row r="639" ht="13" customHeight="1" s="189">
      <c r="A639" s="289" t="n"/>
      <c r="B639" s="290" t="n"/>
      <c r="C639" s="290" t="n"/>
      <c r="D639" s="291" t="n"/>
      <c r="E639" s="291" t="n"/>
      <c r="F639" s="291" t="n"/>
      <c r="G639" s="297" t="n"/>
      <c r="H639" s="298" t="n"/>
    </row>
    <row r="640" ht="13" customHeight="1" s="189">
      <c r="A640" s="289" t="n"/>
      <c r="B640" s="290" t="n"/>
      <c r="C640" s="290" t="n"/>
      <c r="D640" s="291" t="n"/>
      <c r="E640" s="291" t="n"/>
      <c r="F640" s="291" t="n"/>
      <c r="G640" s="297" t="n"/>
      <c r="H640" s="298" t="n"/>
    </row>
    <row r="641" ht="13" customHeight="1" s="189">
      <c r="A641" s="289" t="n"/>
      <c r="B641" s="290" t="n"/>
      <c r="C641" s="290" t="n"/>
      <c r="D641" s="291" t="n"/>
      <c r="E641" s="291" t="n"/>
      <c r="F641" s="291" t="n"/>
      <c r="G641" s="297" t="n"/>
      <c r="H641" s="298" t="n"/>
    </row>
    <row r="642" ht="13" customHeight="1" s="189">
      <c r="A642" s="289" t="n"/>
      <c r="B642" s="290" t="n"/>
      <c r="C642" s="290" t="n"/>
      <c r="D642" s="291" t="n"/>
      <c r="E642" s="291" t="n"/>
      <c r="F642" s="291" t="n"/>
      <c r="G642" s="297" t="n"/>
      <c r="H642" s="298" t="n"/>
    </row>
    <row r="643" ht="13" customHeight="1" s="189">
      <c r="A643" s="289" t="n"/>
      <c r="B643" s="290" t="n"/>
      <c r="C643" s="290" t="n"/>
      <c r="D643" s="291" t="n"/>
      <c r="E643" s="291" t="n"/>
      <c r="F643" s="291" t="n"/>
      <c r="G643" s="297" t="n"/>
      <c r="H643" s="298" t="n"/>
    </row>
    <row r="644" ht="13" customHeight="1" s="189">
      <c r="A644" s="289" t="n"/>
      <c r="B644" s="290" t="n"/>
      <c r="C644" s="290" t="n"/>
      <c r="D644" s="291" t="n"/>
      <c r="E644" s="291" t="n"/>
      <c r="F644" s="291" t="n"/>
      <c r="G644" s="297" t="n"/>
      <c r="H644" s="298" t="n"/>
    </row>
    <row r="645" ht="13" customHeight="1" s="189">
      <c r="A645" s="289" t="n"/>
      <c r="B645" s="290" t="n"/>
      <c r="C645" s="290" t="n"/>
      <c r="D645" s="291" t="n"/>
      <c r="E645" s="291" t="n"/>
      <c r="F645" s="291" t="n"/>
      <c r="G645" s="297" t="n"/>
      <c r="H645" s="298" t="n"/>
    </row>
    <row r="646" ht="13" customHeight="1" s="189">
      <c r="A646" s="289" t="n"/>
      <c r="B646" s="290" t="n"/>
      <c r="C646" s="290" t="n"/>
      <c r="D646" s="291" t="n"/>
      <c r="E646" s="291" t="n"/>
      <c r="F646" s="291" t="n"/>
      <c r="G646" s="297" t="n"/>
      <c r="H646" s="298" t="n"/>
    </row>
    <row r="647" ht="13" customHeight="1" s="189">
      <c r="A647" s="289" t="n"/>
      <c r="B647" s="290" t="n"/>
      <c r="C647" s="290" t="n"/>
      <c r="D647" s="291" t="n"/>
      <c r="E647" s="291" t="n"/>
      <c r="F647" s="291" t="n"/>
      <c r="G647" s="297" t="n"/>
      <c r="H647" s="298" t="n"/>
    </row>
    <row r="648" ht="13" customHeight="1" s="189">
      <c r="A648" s="289" t="n"/>
      <c r="B648" s="290" t="n"/>
      <c r="C648" s="290" t="n"/>
      <c r="D648" s="291" t="n"/>
      <c r="E648" s="291" t="n"/>
      <c r="F648" s="291" t="n"/>
      <c r="G648" s="297" t="n"/>
      <c r="H648" s="298" t="n"/>
    </row>
    <row r="649" ht="13" customHeight="1" s="189">
      <c r="A649" s="289" t="n"/>
      <c r="B649" s="290" t="n"/>
      <c r="C649" s="290" t="n"/>
      <c r="D649" s="291" t="n"/>
      <c r="E649" s="291" t="n"/>
      <c r="F649" s="291" t="n"/>
      <c r="G649" s="297" t="n"/>
      <c r="H649" s="298" t="n"/>
    </row>
    <row r="650" ht="13" customHeight="1" s="189">
      <c r="A650" s="289" t="n"/>
      <c r="B650" s="290" t="n"/>
      <c r="C650" s="290" t="n"/>
      <c r="D650" s="291" t="n"/>
      <c r="E650" s="291" t="n"/>
      <c r="F650" s="291" t="n"/>
      <c r="G650" s="297" t="n"/>
      <c r="H650" s="298" t="n"/>
    </row>
    <row r="651" ht="13" customHeight="1" s="189">
      <c r="A651" s="289" t="n"/>
      <c r="B651" s="290" t="n"/>
      <c r="C651" s="290" t="n"/>
      <c r="D651" s="291" t="n"/>
      <c r="E651" s="291" t="n"/>
      <c r="F651" s="291" t="n"/>
      <c r="G651" s="297" t="n"/>
      <c r="H651" s="298" t="n"/>
    </row>
    <row r="652" ht="13" customHeight="1" s="189">
      <c r="A652" s="289" t="n"/>
      <c r="B652" s="290" t="n"/>
      <c r="C652" s="290" t="n"/>
      <c r="D652" s="291" t="n"/>
      <c r="E652" s="291" t="n"/>
      <c r="F652" s="291" t="n"/>
      <c r="G652" s="297" t="n"/>
      <c r="H652" s="298" t="n"/>
    </row>
    <row r="653" ht="13" customHeight="1" s="189">
      <c r="A653" s="289" t="n"/>
      <c r="B653" s="290" t="n"/>
      <c r="C653" s="290" t="n"/>
      <c r="D653" s="291" t="n"/>
      <c r="E653" s="291" t="n"/>
      <c r="F653" s="291" t="n"/>
      <c r="G653" s="297" t="n"/>
      <c r="H653" s="298" t="n"/>
    </row>
    <row r="654" ht="13" customHeight="1" s="189">
      <c r="A654" s="289" t="n"/>
      <c r="B654" s="290" t="n"/>
      <c r="C654" s="290" t="n"/>
      <c r="D654" s="291" t="n"/>
      <c r="E654" s="291" t="n"/>
      <c r="F654" s="291" t="n"/>
      <c r="G654" s="297" t="n"/>
      <c r="H654" s="298" t="n"/>
    </row>
    <row r="655" ht="13" customHeight="1" s="189">
      <c r="A655" s="289" t="n"/>
      <c r="B655" s="290" t="n"/>
      <c r="C655" s="290" t="n"/>
      <c r="D655" s="291" t="n"/>
      <c r="E655" s="291" t="n"/>
      <c r="F655" s="291" t="n"/>
      <c r="G655" s="297" t="n"/>
      <c r="H655" s="298" t="n"/>
    </row>
    <row r="656" ht="13" customHeight="1" s="189">
      <c r="A656" s="289" t="n"/>
      <c r="B656" s="290" t="n"/>
      <c r="C656" s="290" t="n"/>
      <c r="D656" s="291" t="n"/>
      <c r="E656" s="291" t="n"/>
      <c r="F656" s="291" t="n"/>
      <c r="G656" s="297" t="n"/>
      <c r="H656" s="298" t="n"/>
    </row>
    <row r="657" ht="13" customHeight="1" s="189">
      <c r="A657" s="289" t="n"/>
      <c r="B657" s="290" t="n"/>
      <c r="C657" s="290" t="n"/>
      <c r="D657" s="291" t="n"/>
      <c r="E657" s="291" t="n"/>
      <c r="F657" s="291" t="n"/>
      <c r="G657" s="297" t="n"/>
      <c r="H657" s="298" t="n"/>
    </row>
    <row r="658" ht="13" customHeight="1" s="189">
      <c r="A658" s="289" t="n"/>
      <c r="B658" s="290" t="n"/>
      <c r="C658" s="290" t="n"/>
      <c r="D658" s="291" t="n"/>
      <c r="E658" s="291" t="n"/>
      <c r="F658" s="291" t="n"/>
      <c r="G658" s="297" t="n"/>
      <c r="H658" s="298" t="n"/>
    </row>
    <row r="659" ht="13" customHeight="1" s="189">
      <c r="A659" s="289" t="n"/>
      <c r="B659" s="290" t="n"/>
      <c r="C659" s="290" t="n"/>
      <c r="D659" s="291" t="n"/>
      <c r="E659" s="291" t="n"/>
      <c r="F659" s="291" t="n"/>
      <c r="G659" s="297" t="n"/>
      <c r="H659" s="298" t="n"/>
    </row>
    <row r="660" ht="13" customHeight="1" s="189">
      <c r="A660" s="289" t="n"/>
      <c r="B660" s="290" t="n"/>
      <c r="C660" s="290" t="n"/>
      <c r="D660" s="291" t="n"/>
      <c r="E660" s="291" t="n"/>
      <c r="F660" s="291" t="n"/>
      <c r="G660" s="297" t="n"/>
      <c r="H660" s="298" t="n"/>
    </row>
    <row r="661" ht="13" customHeight="1" s="189">
      <c r="A661" s="289" t="n"/>
      <c r="B661" s="290" t="n"/>
      <c r="C661" s="290" t="n"/>
      <c r="D661" s="291" t="n"/>
      <c r="E661" s="291" t="n"/>
      <c r="F661" s="291" t="n"/>
      <c r="G661" s="297" t="n"/>
      <c r="H661" s="298" t="n"/>
    </row>
    <row r="662" ht="13" customHeight="1" s="189">
      <c r="A662" s="289" t="n"/>
      <c r="B662" s="290" t="n"/>
      <c r="C662" s="290" t="n"/>
      <c r="D662" s="291" t="n"/>
      <c r="E662" s="291" t="n"/>
      <c r="F662" s="291" t="n"/>
      <c r="G662" s="297" t="n"/>
      <c r="H662" s="298" t="n"/>
    </row>
    <row r="663" ht="13" customHeight="1" s="189">
      <c r="A663" s="289" t="n"/>
      <c r="B663" s="290" t="n"/>
      <c r="C663" s="290" t="n"/>
      <c r="D663" s="291" t="n"/>
      <c r="E663" s="291" t="n"/>
      <c r="F663" s="291" t="n"/>
      <c r="G663" s="297" t="n"/>
      <c r="H663" s="298" t="n"/>
    </row>
    <row r="664" ht="13" customHeight="1" s="189">
      <c r="A664" s="289" t="n"/>
      <c r="B664" s="290" t="n"/>
      <c r="C664" s="290" t="n"/>
      <c r="D664" s="291" t="n"/>
      <c r="E664" s="291" t="n"/>
      <c r="F664" s="291" t="n"/>
      <c r="G664" s="297" t="n"/>
      <c r="H664" s="298" t="n"/>
    </row>
    <row r="665" ht="13" customHeight="1" s="189">
      <c r="A665" s="289" t="n"/>
      <c r="B665" s="290" t="n"/>
      <c r="C665" s="290" t="n"/>
      <c r="D665" s="291" t="n"/>
      <c r="E665" s="291" t="n"/>
      <c r="F665" s="291" t="n"/>
      <c r="G665" s="297" t="n"/>
      <c r="H665" s="298" t="n"/>
    </row>
    <row r="666" ht="13" customHeight="1" s="189">
      <c r="A666" s="289" t="n"/>
      <c r="B666" s="290" t="n"/>
      <c r="C666" s="290" t="n"/>
      <c r="D666" s="291" t="n"/>
      <c r="E666" s="291" t="n"/>
      <c r="F666" s="291" t="n"/>
      <c r="G666" s="297" t="n"/>
      <c r="H666" s="298" t="n"/>
    </row>
    <row r="667" ht="13" customHeight="1" s="189">
      <c r="A667" s="289" t="n"/>
      <c r="B667" s="290" t="n"/>
      <c r="C667" s="290" t="n"/>
      <c r="D667" s="291" t="n"/>
      <c r="E667" s="291" t="n"/>
      <c r="F667" s="291" t="n"/>
      <c r="G667" s="297" t="n"/>
      <c r="H667" s="298" t="n"/>
    </row>
    <row r="668" ht="13" customHeight="1" s="189">
      <c r="A668" s="289" t="n"/>
      <c r="B668" s="290" t="n"/>
      <c r="C668" s="290" t="n"/>
      <c r="D668" s="291" t="n"/>
      <c r="E668" s="291" t="n"/>
      <c r="F668" s="291" t="n"/>
      <c r="G668" s="297" t="n"/>
      <c r="H668" s="298" t="n"/>
    </row>
    <row r="669" ht="13" customHeight="1" s="189">
      <c r="A669" s="289" t="n"/>
      <c r="B669" s="290" t="n"/>
      <c r="C669" s="290" t="n"/>
      <c r="D669" s="291" t="n"/>
      <c r="E669" s="291" t="n"/>
      <c r="F669" s="291" t="n"/>
      <c r="G669" s="297" t="n"/>
      <c r="H669" s="298" t="n"/>
    </row>
    <row r="670" ht="13" customHeight="1" s="189">
      <c r="A670" s="289" t="n"/>
      <c r="B670" s="290" t="n"/>
      <c r="C670" s="290" t="n"/>
      <c r="D670" s="291" t="n"/>
      <c r="E670" s="291" t="n"/>
      <c r="F670" s="291" t="n"/>
      <c r="G670" s="297" t="n"/>
      <c r="H670" s="298" t="n"/>
    </row>
    <row r="671" ht="13" customHeight="1" s="189">
      <c r="A671" s="289" t="n"/>
      <c r="B671" s="290" t="n"/>
      <c r="C671" s="290" t="n"/>
      <c r="D671" s="291" t="n"/>
      <c r="E671" s="291" t="n"/>
      <c r="F671" s="291" t="n"/>
      <c r="G671" s="297" t="n"/>
      <c r="H671" s="298" t="n"/>
    </row>
    <row r="672" ht="13" customHeight="1" s="189">
      <c r="A672" s="289" t="n"/>
      <c r="B672" s="290" t="n"/>
      <c r="C672" s="290" t="n"/>
      <c r="D672" s="291" t="n"/>
      <c r="E672" s="291" t="n"/>
      <c r="F672" s="291" t="n"/>
      <c r="G672" s="297" t="n"/>
      <c r="H672" s="298" t="n"/>
    </row>
    <row r="673" ht="13" customHeight="1" s="189">
      <c r="A673" s="289" t="n"/>
      <c r="B673" s="290" t="n"/>
      <c r="C673" s="290" t="n"/>
      <c r="D673" s="291" t="n"/>
      <c r="E673" s="291" t="n"/>
      <c r="F673" s="291" t="n"/>
      <c r="G673" s="297" t="n"/>
      <c r="H673" s="298" t="n"/>
    </row>
    <row r="674" ht="13" customHeight="1" s="189">
      <c r="A674" s="289" t="n"/>
      <c r="B674" s="290" t="n"/>
      <c r="C674" s="290" t="n"/>
      <c r="D674" s="291" t="n"/>
      <c r="E674" s="291" t="n"/>
      <c r="F674" s="291" t="n"/>
      <c r="G674" s="297" t="n"/>
      <c r="H674" s="298" t="n"/>
    </row>
    <row r="675" ht="13" customHeight="1" s="189">
      <c r="A675" s="289" t="n"/>
      <c r="B675" s="290" t="n"/>
      <c r="C675" s="290" t="n"/>
      <c r="D675" s="291" t="n"/>
      <c r="E675" s="291" t="n"/>
      <c r="F675" s="291" t="n"/>
      <c r="G675" s="297" t="n"/>
      <c r="H675" s="298" t="n"/>
    </row>
    <row r="676" ht="13" customHeight="1" s="189">
      <c r="A676" s="289" t="n"/>
      <c r="B676" s="290" t="n"/>
      <c r="C676" s="290" t="n"/>
      <c r="D676" s="291" t="n"/>
      <c r="E676" s="291" t="n"/>
      <c r="F676" s="291" t="n"/>
      <c r="G676" s="297" t="n"/>
      <c r="H676" s="298" t="n"/>
    </row>
    <row r="677" ht="13" customHeight="1" s="189">
      <c r="A677" s="289" t="n"/>
      <c r="B677" s="290" t="n"/>
      <c r="C677" s="290" t="n"/>
      <c r="D677" s="291" t="n"/>
      <c r="E677" s="291" t="n"/>
      <c r="F677" s="291" t="n"/>
      <c r="G677" s="297" t="n"/>
      <c r="H677" s="298" t="n"/>
    </row>
    <row r="678" ht="13" customHeight="1" s="189">
      <c r="A678" s="289" t="n"/>
      <c r="B678" s="290" t="n"/>
      <c r="C678" s="290" t="n"/>
      <c r="D678" s="291" t="n"/>
      <c r="E678" s="291" t="n"/>
      <c r="F678" s="291" t="n"/>
      <c r="G678" s="297" t="n"/>
      <c r="H678" s="298" t="n"/>
    </row>
    <row r="679" ht="13" customHeight="1" s="189">
      <c r="A679" s="289" t="n"/>
      <c r="B679" s="290" t="n"/>
      <c r="C679" s="290" t="n"/>
      <c r="D679" s="291" t="n"/>
      <c r="E679" s="291" t="n"/>
      <c r="F679" s="291" t="n"/>
      <c r="G679" s="297" t="n"/>
      <c r="H679" s="298" t="n"/>
    </row>
    <row r="680" ht="13" customHeight="1" s="189">
      <c r="A680" s="289" t="n"/>
      <c r="B680" s="290" t="n"/>
      <c r="C680" s="290" t="n"/>
      <c r="D680" s="291" t="n"/>
      <c r="E680" s="291" t="n"/>
      <c r="F680" s="291" t="n"/>
      <c r="G680" s="297" t="n"/>
      <c r="H680" s="298" t="n"/>
    </row>
    <row r="681" ht="13" customHeight="1" s="189">
      <c r="A681" s="289" t="n"/>
      <c r="B681" s="290" t="n"/>
      <c r="C681" s="290" t="n"/>
      <c r="D681" s="291" t="n"/>
      <c r="E681" s="291" t="n"/>
      <c r="F681" s="291" t="n"/>
      <c r="G681" s="297" t="n"/>
      <c r="H681" s="298" t="n"/>
    </row>
    <row r="682" ht="13" customHeight="1" s="189">
      <c r="A682" s="289" t="n"/>
      <c r="B682" s="290" t="n"/>
      <c r="C682" s="290" t="n"/>
      <c r="D682" s="291" t="n"/>
      <c r="E682" s="291" t="n"/>
      <c r="F682" s="291" t="n"/>
      <c r="G682" s="297" t="n"/>
      <c r="H682" s="298" t="n"/>
    </row>
    <row r="683" ht="13" customHeight="1" s="189">
      <c r="A683" s="289" t="n"/>
      <c r="B683" s="290" t="n"/>
      <c r="C683" s="290" t="n"/>
      <c r="D683" s="291" t="n"/>
      <c r="E683" s="291" t="n"/>
      <c r="F683" s="291" t="n"/>
      <c r="G683" s="297" t="n"/>
      <c r="H683" s="298" t="n"/>
    </row>
    <row r="684" ht="13" customHeight="1" s="189">
      <c r="A684" s="289" t="n"/>
      <c r="B684" s="290" t="n"/>
      <c r="C684" s="290" t="n"/>
      <c r="D684" s="291" t="n"/>
      <c r="E684" s="291" t="n"/>
      <c r="F684" s="291" t="n"/>
      <c r="G684" s="297" t="n"/>
      <c r="H684" s="298" t="n"/>
    </row>
    <row r="685" ht="13" customHeight="1" s="189">
      <c r="A685" s="289" t="n"/>
      <c r="B685" s="290" t="n"/>
      <c r="C685" s="290" t="n"/>
      <c r="D685" s="291" t="n"/>
      <c r="E685" s="291" t="n"/>
      <c r="F685" s="291" t="n"/>
      <c r="G685" s="297" t="n"/>
      <c r="H685" s="298" t="n"/>
    </row>
    <row r="686" ht="13" customHeight="1" s="189">
      <c r="A686" s="289" t="n"/>
      <c r="B686" s="290" t="n"/>
      <c r="C686" s="290" t="n"/>
      <c r="D686" s="291" t="n"/>
      <c r="E686" s="291" t="n"/>
      <c r="F686" s="291" t="n"/>
      <c r="G686" s="297" t="n"/>
      <c r="H686" s="298" t="n"/>
    </row>
    <row r="687" ht="13" customHeight="1" s="189">
      <c r="A687" s="289" t="n"/>
      <c r="B687" s="290" t="n"/>
      <c r="C687" s="290" t="n"/>
      <c r="D687" s="291" t="n"/>
      <c r="E687" s="291" t="n"/>
      <c r="F687" s="291" t="n"/>
      <c r="G687" s="297" t="n"/>
      <c r="H687" s="298" t="n"/>
    </row>
    <row r="688" ht="13" customHeight="1" s="189">
      <c r="A688" s="289" t="n"/>
      <c r="B688" s="290" t="n"/>
      <c r="C688" s="290" t="n"/>
      <c r="D688" s="291" t="n"/>
      <c r="E688" s="291" t="n"/>
      <c r="F688" s="291" t="n"/>
      <c r="G688" s="297" t="n"/>
      <c r="H688" s="298" t="n"/>
    </row>
    <row r="689" ht="13" customHeight="1" s="189">
      <c r="A689" s="289" t="n"/>
      <c r="B689" s="290" t="n"/>
      <c r="C689" s="290" t="n"/>
      <c r="D689" s="291" t="n"/>
      <c r="E689" s="291" t="n"/>
      <c r="F689" s="291" t="n"/>
      <c r="G689" s="297" t="n"/>
      <c r="H689" s="298" t="n"/>
    </row>
    <row r="690" ht="13" customHeight="1" s="189">
      <c r="A690" s="289" t="n"/>
      <c r="B690" s="290" t="n"/>
      <c r="C690" s="290" t="n"/>
      <c r="D690" s="291" t="n"/>
      <c r="E690" s="291" t="n"/>
      <c r="F690" s="291" t="n"/>
      <c r="G690" s="297" t="n"/>
      <c r="H690" s="298" t="n"/>
    </row>
    <row r="691" ht="13" customHeight="1" s="189">
      <c r="A691" s="289" t="n"/>
      <c r="B691" s="290" t="n"/>
      <c r="C691" s="290" t="n"/>
      <c r="D691" s="291" t="n"/>
      <c r="E691" s="291" t="n"/>
      <c r="F691" s="291" t="n"/>
      <c r="G691" s="297" t="n"/>
      <c r="H691" s="298" t="n"/>
    </row>
    <row r="692" ht="13" customHeight="1" s="189">
      <c r="A692" s="289" t="n"/>
      <c r="B692" s="290" t="n"/>
      <c r="C692" s="290" t="n"/>
      <c r="D692" s="291" t="n"/>
      <c r="E692" s="291" t="n"/>
      <c r="F692" s="291" t="n"/>
      <c r="G692" s="297" t="n"/>
      <c r="H692" s="298" t="n"/>
    </row>
    <row r="693" ht="13" customHeight="1" s="189">
      <c r="A693" s="289" t="n"/>
      <c r="B693" s="290" t="n"/>
      <c r="C693" s="290" t="n"/>
      <c r="D693" s="291" t="n"/>
      <c r="E693" s="291" t="n"/>
      <c r="F693" s="291" t="n"/>
      <c r="G693" s="297" t="n"/>
      <c r="H693" s="298" t="n"/>
    </row>
    <row r="694" ht="13" customHeight="1" s="189">
      <c r="A694" s="289" t="n"/>
      <c r="B694" s="290" t="n"/>
      <c r="C694" s="290" t="n"/>
      <c r="D694" s="291" t="n"/>
      <c r="E694" s="291" t="n"/>
      <c r="F694" s="291" t="n"/>
      <c r="G694" s="297" t="n"/>
      <c r="H694" s="298" t="n"/>
    </row>
    <row r="695" ht="13" customHeight="1" s="189">
      <c r="A695" s="289" t="n"/>
      <c r="B695" s="290" t="n"/>
      <c r="C695" s="290" t="n"/>
      <c r="D695" s="291" t="n"/>
      <c r="E695" s="291" t="n"/>
      <c r="F695" s="291" t="n"/>
      <c r="G695" s="297" t="n"/>
      <c r="H695" s="298" t="n"/>
    </row>
    <row r="696" ht="13" customHeight="1" s="189">
      <c r="A696" s="289" t="n"/>
      <c r="B696" s="290" t="n"/>
      <c r="C696" s="290" t="n"/>
      <c r="D696" s="291" t="n"/>
      <c r="E696" s="291" t="n"/>
      <c r="F696" s="291" t="n"/>
      <c r="G696" s="297" t="n"/>
      <c r="H696" s="298" t="n"/>
    </row>
    <row r="697" ht="13" customHeight="1" s="189">
      <c r="A697" s="289" t="n"/>
      <c r="B697" s="290" t="n"/>
      <c r="C697" s="290" t="n"/>
      <c r="D697" s="291" t="n"/>
      <c r="E697" s="291" t="n"/>
      <c r="F697" s="291" t="n"/>
      <c r="G697" s="297" t="n"/>
      <c r="H697" s="298" t="n"/>
    </row>
    <row r="698" ht="13" customHeight="1" s="189">
      <c r="A698" s="289" t="n"/>
      <c r="B698" s="290" t="n"/>
      <c r="C698" s="290" t="n"/>
      <c r="D698" s="291" t="n"/>
      <c r="E698" s="291" t="n"/>
      <c r="F698" s="291" t="n"/>
      <c r="G698" s="297" t="n"/>
      <c r="H698" s="298" t="n"/>
    </row>
    <row r="699" ht="13" customHeight="1" s="189">
      <c r="A699" s="289" t="n"/>
      <c r="B699" s="290" t="n"/>
      <c r="C699" s="290" t="n"/>
      <c r="D699" s="291" t="n"/>
      <c r="E699" s="291" t="n"/>
      <c r="F699" s="291" t="n"/>
      <c r="G699" s="297" t="n"/>
      <c r="H699" s="298" t="n"/>
    </row>
    <row r="700" ht="13" customHeight="1" s="189">
      <c r="A700" s="289" t="n"/>
      <c r="B700" s="290" t="n"/>
      <c r="C700" s="290" t="n"/>
      <c r="D700" s="291" t="n"/>
      <c r="E700" s="291" t="n"/>
      <c r="F700" s="291" t="n"/>
      <c r="G700" s="297" t="n"/>
      <c r="H700" s="298" t="n"/>
    </row>
    <row r="701" ht="13" customHeight="1" s="189">
      <c r="A701" s="289" t="n"/>
      <c r="B701" s="290" t="n"/>
      <c r="C701" s="290" t="n"/>
      <c r="D701" s="291" t="n"/>
      <c r="E701" s="291" t="n"/>
      <c r="F701" s="291" t="n"/>
      <c r="G701" s="297" t="n"/>
      <c r="H701" s="298" t="n"/>
    </row>
    <row r="702" ht="13" customHeight="1" s="189">
      <c r="A702" s="289" t="n"/>
      <c r="B702" s="290" t="n"/>
      <c r="C702" s="290" t="n"/>
      <c r="D702" s="291" t="n"/>
      <c r="E702" s="291" t="n"/>
      <c r="F702" s="291" t="n"/>
      <c r="G702" s="297" t="n"/>
      <c r="H702" s="298" t="n"/>
    </row>
    <row r="703" ht="13" customHeight="1" s="189">
      <c r="A703" s="289" t="n"/>
      <c r="B703" s="290" t="n"/>
      <c r="C703" s="290" t="n"/>
      <c r="D703" s="291" t="n"/>
      <c r="E703" s="291" t="n"/>
      <c r="F703" s="291" t="n"/>
      <c r="G703" s="297" t="n"/>
      <c r="H703" s="298" t="n"/>
    </row>
    <row r="704" ht="13" customHeight="1" s="189">
      <c r="A704" s="289" t="n"/>
      <c r="B704" s="290" t="n"/>
      <c r="C704" s="290" t="n"/>
      <c r="D704" s="291" t="n"/>
      <c r="E704" s="291" t="n"/>
      <c r="F704" s="291" t="n"/>
      <c r="G704" s="297" t="n"/>
      <c r="H704" s="298" t="n"/>
    </row>
    <row r="705" ht="13" customHeight="1" s="189">
      <c r="A705" s="289" t="n"/>
      <c r="B705" s="290" t="n"/>
      <c r="C705" s="290" t="n"/>
      <c r="D705" s="291" t="n"/>
      <c r="E705" s="291" t="n"/>
      <c r="F705" s="291" t="n"/>
      <c r="G705" s="297" t="n"/>
      <c r="H705" s="298" t="n"/>
    </row>
    <row r="706" ht="13" customHeight="1" s="189">
      <c r="A706" s="289" t="n"/>
      <c r="B706" s="290" t="n"/>
      <c r="C706" s="290" t="n"/>
      <c r="D706" s="291" t="n"/>
      <c r="E706" s="291" t="n"/>
      <c r="F706" s="291" t="n"/>
      <c r="G706" s="297" t="n"/>
      <c r="H706" s="298" t="n"/>
    </row>
    <row r="707" ht="13" customHeight="1" s="189">
      <c r="A707" s="289" t="n"/>
      <c r="B707" s="290" t="n"/>
      <c r="C707" s="290" t="n"/>
      <c r="D707" s="291" t="n"/>
      <c r="E707" s="291" t="n"/>
      <c r="F707" s="291" t="n"/>
      <c r="G707" s="297" t="n"/>
      <c r="H707" s="298" t="n"/>
    </row>
    <row r="708" ht="13" customHeight="1" s="189">
      <c r="A708" s="289" t="n"/>
      <c r="B708" s="290" t="n"/>
      <c r="C708" s="290" t="n"/>
      <c r="D708" s="291" t="n"/>
      <c r="E708" s="291" t="n"/>
      <c r="F708" s="291" t="n"/>
      <c r="G708" s="297" t="n"/>
      <c r="H708" s="298" t="n"/>
    </row>
    <row r="709" ht="13" customHeight="1" s="189">
      <c r="A709" s="289" t="n"/>
      <c r="B709" s="290" t="n"/>
      <c r="C709" s="290" t="n"/>
      <c r="D709" s="291" t="n"/>
      <c r="E709" s="291" t="n"/>
      <c r="F709" s="291" t="n"/>
      <c r="G709" s="297" t="n"/>
      <c r="H709" s="298" t="n"/>
    </row>
    <row r="710" ht="13" customHeight="1" s="189">
      <c r="A710" s="289" t="n"/>
      <c r="B710" s="290" t="n"/>
      <c r="C710" s="290" t="n"/>
      <c r="D710" s="291" t="n"/>
      <c r="E710" s="291" t="n"/>
      <c r="F710" s="291" t="n"/>
      <c r="G710" s="297" t="n"/>
      <c r="H710" s="298" t="n"/>
    </row>
    <row r="711" ht="13" customHeight="1" s="189">
      <c r="A711" s="289" t="n"/>
      <c r="B711" s="290" t="n"/>
      <c r="C711" s="290" t="n"/>
      <c r="D711" s="291" t="n"/>
      <c r="E711" s="291" t="n"/>
      <c r="F711" s="291" t="n"/>
      <c r="G711" s="297" t="n"/>
      <c r="H711" s="298" t="n"/>
    </row>
    <row r="712" ht="13" customHeight="1" s="189">
      <c r="A712" s="289" t="n"/>
      <c r="B712" s="290" t="n"/>
      <c r="C712" s="290" t="n"/>
      <c r="D712" s="291" t="n"/>
      <c r="E712" s="291" t="n"/>
      <c r="F712" s="291" t="n"/>
      <c r="G712" s="297" t="n"/>
      <c r="H712" s="298" t="n"/>
    </row>
    <row r="713" ht="13" customHeight="1" s="189">
      <c r="A713" s="289" t="n"/>
      <c r="B713" s="290" t="n"/>
      <c r="C713" s="290" t="n"/>
      <c r="D713" s="291" t="n"/>
      <c r="E713" s="291" t="n"/>
      <c r="F713" s="291" t="n"/>
      <c r="G713" s="297" t="n"/>
      <c r="H713" s="298" t="n"/>
    </row>
    <row r="714" ht="13" customHeight="1" s="189">
      <c r="A714" s="289" t="n"/>
      <c r="B714" s="290" t="n"/>
      <c r="C714" s="290" t="n"/>
      <c r="D714" s="291" t="n"/>
      <c r="E714" s="291" t="n"/>
      <c r="F714" s="291" t="n"/>
      <c r="G714" s="297" t="n"/>
      <c r="H714" s="298" t="n"/>
    </row>
    <row r="715" ht="13" customHeight="1" s="189">
      <c r="A715" s="289" t="n"/>
      <c r="B715" s="290" t="n"/>
      <c r="C715" s="290" t="n"/>
      <c r="D715" s="291" t="n"/>
      <c r="E715" s="291" t="n"/>
      <c r="F715" s="291" t="n"/>
      <c r="G715" s="297" t="n"/>
      <c r="H715" s="298" t="n"/>
    </row>
    <row r="716" ht="13" customHeight="1" s="189">
      <c r="A716" s="289" t="n"/>
      <c r="B716" s="290" t="n"/>
      <c r="C716" s="290" t="n"/>
      <c r="D716" s="291" t="n"/>
      <c r="E716" s="291" t="n"/>
      <c r="F716" s="291" t="n"/>
      <c r="G716" s="297" t="n"/>
      <c r="H716" s="298" t="n"/>
    </row>
    <row r="717" ht="13" customHeight="1" s="189">
      <c r="A717" s="289" t="n"/>
      <c r="B717" s="290" t="n"/>
      <c r="C717" s="290" t="n"/>
      <c r="D717" s="291" t="n"/>
      <c r="E717" s="291" t="n"/>
      <c r="F717" s="291" t="n"/>
      <c r="G717" s="297" t="n"/>
      <c r="H717" s="298" t="n"/>
    </row>
    <row r="718" ht="13" customHeight="1" s="189">
      <c r="A718" s="289" t="n"/>
      <c r="B718" s="290" t="n"/>
      <c r="C718" s="290" t="n"/>
      <c r="D718" s="291" t="n"/>
      <c r="E718" s="291" t="n"/>
      <c r="F718" s="291" t="n"/>
      <c r="G718" s="297" t="n"/>
      <c r="H718" s="298" t="n"/>
    </row>
    <row r="719" ht="13" customHeight="1" s="189">
      <c r="A719" s="289" t="n"/>
      <c r="B719" s="290" t="n"/>
      <c r="C719" s="290" t="n"/>
      <c r="D719" s="291" t="n"/>
      <c r="E719" s="291" t="n"/>
      <c r="F719" s="291" t="n"/>
      <c r="G719" s="297" t="n"/>
      <c r="H719" s="298" t="n"/>
    </row>
    <row r="720" ht="13" customHeight="1" s="189">
      <c r="A720" s="289" t="n"/>
      <c r="B720" s="290" t="n"/>
      <c r="C720" s="290" t="n"/>
      <c r="D720" s="291" t="n"/>
      <c r="E720" s="291" t="n"/>
      <c r="F720" s="291" t="n"/>
      <c r="G720" s="297" t="n"/>
      <c r="H720" s="298" t="n"/>
    </row>
    <row r="721" ht="13" customHeight="1" s="189">
      <c r="A721" s="289" t="n"/>
      <c r="B721" s="290" t="n"/>
      <c r="C721" s="290" t="n"/>
      <c r="D721" s="291" t="n"/>
      <c r="E721" s="291" t="n"/>
      <c r="F721" s="291" t="n"/>
      <c r="G721" s="297" t="n"/>
      <c r="H721" s="298" t="n"/>
    </row>
    <row r="722" ht="13" customHeight="1" s="189">
      <c r="A722" s="289" t="n"/>
      <c r="B722" s="290" t="n"/>
      <c r="C722" s="290" t="n"/>
      <c r="D722" s="291" t="n"/>
      <c r="E722" s="291" t="n"/>
      <c r="F722" s="291" t="n"/>
      <c r="G722" s="297" t="n"/>
      <c r="H722" s="298" t="n"/>
    </row>
    <row r="723" ht="13" customHeight="1" s="189">
      <c r="A723" s="289" t="n"/>
      <c r="B723" s="290" t="n"/>
      <c r="C723" s="290" t="n"/>
      <c r="D723" s="291" t="n"/>
      <c r="E723" s="291" t="n"/>
      <c r="F723" s="291" t="n"/>
      <c r="G723" s="297" t="n"/>
      <c r="H723" s="298" t="n"/>
    </row>
    <row r="724" ht="13" customHeight="1" s="189">
      <c r="A724" s="289" t="n"/>
      <c r="B724" s="290" t="n"/>
      <c r="C724" s="290" t="n"/>
      <c r="D724" s="291" t="n"/>
      <c r="E724" s="291" t="n"/>
      <c r="F724" s="291" t="n"/>
      <c r="G724" s="297" t="n"/>
      <c r="H724" s="298" t="n"/>
    </row>
    <row r="725" ht="13" customHeight="1" s="189">
      <c r="A725" s="289" t="n"/>
      <c r="B725" s="290" t="n"/>
      <c r="C725" s="290" t="n"/>
      <c r="D725" s="291" t="n"/>
      <c r="E725" s="291" t="n"/>
      <c r="F725" s="291" t="n"/>
      <c r="G725" s="297" t="n"/>
      <c r="H725" s="298" t="n"/>
    </row>
    <row r="726" ht="13" customHeight="1" s="189">
      <c r="A726" s="289" t="n"/>
      <c r="B726" s="290" t="n"/>
      <c r="C726" s="290" t="n"/>
      <c r="D726" s="291" t="n"/>
      <c r="E726" s="291" t="n"/>
      <c r="F726" s="291" t="n"/>
      <c r="G726" s="297" t="n"/>
      <c r="H726" s="298" t="n"/>
    </row>
    <row r="727" ht="13" customHeight="1" s="189">
      <c r="A727" s="289" t="n"/>
      <c r="B727" s="290" t="n"/>
      <c r="C727" s="290" t="n"/>
      <c r="D727" s="291" t="n"/>
      <c r="E727" s="291" t="n"/>
      <c r="F727" s="291" t="n"/>
      <c r="G727" s="297" t="n"/>
      <c r="H727" s="298" t="n"/>
    </row>
    <row r="728" ht="13" customHeight="1" s="189">
      <c r="A728" s="289" t="n"/>
      <c r="B728" s="290" t="n"/>
      <c r="C728" s="290" t="n"/>
      <c r="D728" s="291" t="n"/>
      <c r="E728" s="291" t="n"/>
      <c r="F728" s="291" t="n"/>
      <c r="G728" s="297" t="n"/>
      <c r="H728" s="298" t="n"/>
    </row>
    <row r="729" ht="13" customHeight="1" s="189">
      <c r="A729" s="289" t="n"/>
      <c r="B729" s="290" t="n"/>
      <c r="C729" s="290" t="n"/>
      <c r="D729" s="291" t="n"/>
      <c r="E729" s="291" t="n"/>
      <c r="F729" s="291" t="n"/>
      <c r="G729" s="297" t="n"/>
      <c r="H729" s="298" t="n"/>
    </row>
    <row r="730" ht="13" customHeight="1" s="189">
      <c r="A730" s="289" t="n"/>
      <c r="B730" s="290" t="n"/>
      <c r="C730" s="290" t="n"/>
      <c r="D730" s="291" t="n"/>
      <c r="E730" s="291" t="n"/>
      <c r="F730" s="291" t="n"/>
      <c r="G730" s="297" t="n"/>
      <c r="H730" s="298" t="n"/>
    </row>
    <row r="731" ht="13" customHeight="1" s="189">
      <c r="A731" s="289" t="n"/>
      <c r="B731" s="290" t="n"/>
      <c r="C731" s="290" t="n"/>
      <c r="D731" s="291" t="n"/>
      <c r="E731" s="291" t="n"/>
      <c r="F731" s="291" t="n"/>
      <c r="G731" s="297" t="n"/>
      <c r="H731" s="298" t="n"/>
    </row>
    <row r="732" ht="13" customHeight="1" s="189">
      <c r="A732" s="289" t="n"/>
      <c r="B732" s="290" t="n"/>
      <c r="C732" s="290" t="n"/>
      <c r="D732" s="291" t="n"/>
      <c r="E732" s="291" t="n"/>
      <c r="F732" s="291" t="n"/>
      <c r="G732" s="297" t="n"/>
      <c r="H732" s="298" t="n"/>
    </row>
    <row r="733" ht="13" customHeight="1" s="189">
      <c r="A733" s="289" t="n"/>
      <c r="B733" s="290" t="n"/>
      <c r="C733" s="290" t="n"/>
      <c r="D733" s="291" t="n"/>
      <c r="E733" s="291" t="n"/>
      <c r="F733" s="291" t="n"/>
      <c r="G733" s="297" t="n"/>
      <c r="H733" s="298" t="n"/>
    </row>
    <row r="734" ht="13" customHeight="1" s="189">
      <c r="A734" s="289" t="n"/>
      <c r="B734" s="290" t="n"/>
      <c r="C734" s="290" t="n"/>
      <c r="D734" s="291" t="n"/>
      <c r="E734" s="291" t="n"/>
      <c r="F734" s="291" t="n"/>
      <c r="G734" s="297" t="n"/>
      <c r="H734" s="298" t="n"/>
    </row>
    <row r="735" ht="13" customHeight="1" s="189">
      <c r="A735" s="289" t="n"/>
      <c r="B735" s="290" t="n"/>
      <c r="C735" s="290" t="n"/>
      <c r="D735" s="291" t="n"/>
      <c r="E735" s="291" t="n"/>
      <c r="F735" s="291" t="n"/>
      <c r="G735" s="297" t="n"/>
      <c r="H735" s="298" t="n"/>
    </row>
    <row r="736" ht="13" customHeight="1" s="189">
      <c r="A736" s="289" t="n"/>
      <c r="B736" s="290" t="n"/>
      <c r="C736" s="290" t="n"/>
      <c r="D736" s="291" t="n"/>
      <c r="E736" s="291" t="n"/>
      <c r="F736" s="291" t="n"/>
      <c r="G736" s="297" t="n"/>
      <c r="H736" s="298" t="n"/>
    </row>
    <row r="737" ht="13" customHeight="1" s="189">
      <c r="A737" s="289" t="n"/>
      <c r="B737" s="290" t="n"/>
      <c r="C737" s="290" t="n"/>
      <c r="D737" s="291" t="n"/>
      <c r="E737" s="291" t="n"/>
      <c r="F737" s="291" t="n"/>
      <c r="G737" s="297" t="n"/>
      <c r="H737" s="298" t="n"/>
    </row>
    <row r="738" ht="13" customHeight="1" s="189">
      <c r="A738" s="289" t="n"/>
      <c r="B738" s="290" t="n"/>
      <c r="C738" s="290" t="n"/>
      <c r="D738" s="291" t="n"/>
      <c r="E738" s="291" t="n"/>
      <c r="F738" s="291" t="n"/>
      <c r="G738" s="297" t="n"/>
      <c r="H738" s="298" t="n"/>
    </row>
    <row r="739" ht="13" customHeight="1" s="189">
      <c r="A739" s="289" t="n"/>
      <c r="B739" s="290" t="n"/>
      <c r="C739" s="290" t="n"/>
      <c r="D739" s="291" t="n"/>
      <c r="E739" s="291" t="n"/>
      <c r="F739" s="291" t="n"/>
      <c r="G739" s="297" t="n"/>
      <c r="H739" s="298" t="n"/>
    </row>
    <row r="740" ht="13" customHeight="1" s="189">
      <c r="A740" s="289" t="n"/>
      <c r="B740" s="290" t="n"/>
      <c r="C740" s="290" t="n"/>
      <c r="D740" s="291" t="n"/>
      <c r="E740" s="291" t="n"/>
      <c r="F740" s="291" t="n"/>
      <c r="G740" s="297" t="n"/>
      <c r="H740" s="298" t="n"/>
    </row>
    <row r="741" ht="13" customHeight="1" s="189">
      <c r="A741" s="289" t="n"/>
      <c r="B741" s="290" t="n"/>
      <c r="C741" s="290" t="n"/>
      <c r="D741" s="291" t="n"/>
      <c r="E741" s="291" t="n"/>
      <c r="F741" s="291" t="n"/>
      <c r="G741" s="297" t="n"/>
      <c r="H741" s="298" t="n"/>
    </row>
    <row r="742" ht="13" customHeight="1" s="189">
      <c r="A742" s="289" t="n"/>
      <c r="B742" s="290" t="n"/>
      <c r="C742" s="290" t="n"/>
      <c r="D742" s="291" t="n"/>
      <c r="E742" s="291" t="n"/>
      <c r="F742" s="291" t="n"/>
      <c r="G742" s="297" t="n"/>
      <c r="H742" s="298" t="n"/>
    </row>
    <row r="743" ht="13" customHeight="1" s="189">
      <c r="A743" s="289" t="n"/>
      <c r="B743" s="290" t="n"/>
      <c r="C743" s="290" t="n"/>
      <c r="D743" s="291" t="n"/>
      <c r="E743" s="291" t="n"/>
      <c r="F743" s="291" t="n"/>
      <c r="G743" s="297" t="n"/>
      <c r="H743" s="298" t="n"/>
    </row>
    <row r="744" ht="13" customHeight="1" s="189">
      <c r="A744" s="289" t="n"/>
      <c r="B744" s="290" t="n"/>
      <c r="C744" s="290" t="n"/>
      <c r="D744" s="291" t="n"/>
      <c r="E744" s="291" t="n"/>
      <c r="F744" s="291" t="n"/>
      <c r="G744" s="297" t="n"/>
      <c r="H744" s="298" t="n"/>
    </row>
    <row r="745" ht="13" customHeight="1" s="189">
      <c r="A745" s="289" t="n"/>
      <c r="B745" s="290" t="n"/>
      <c r="C745" s="290" t="n"/>
      <c r="D745" s="291" t="n"/>
      <c r="E745" s="291" t="n"/>
      <c r="F745" s="291" t="n"/>
      <c r="G745" s="297" t="n"/>
      <c r="H745" s="298" t="n"/>
    </row>
    <row r="746" ht="13" customHeight="1" s="189">
      <c r="A746" s="289" t="n"/>
      <c r="B746" s="290" t="n"/>
      <c r="C746" s="290" t="n"/>
      <c r="D746" s="291" t="n"/>
      <c r="E746" s="291" t="n"/>
      <c r="F746" s="291" t="n"/>
      <c r="G746" s="297" t="n"/>
      <c r="H746" s="298" t="n"/>
    </row>
    <row r="747" ht="13" customHeight="1" s="189">
      <c r="A747" s="289" t="n"/>
      <c r="B747" s="290" t="n"/>
      <c r="C747" s="290" t="n"/>
      <c r="D747" s="291" t="n"/>
      <c r="E747" s="291" t="n"/>
      <c r="F747" s="291" t="n"/>
      <c r="G747" s="297" t="n"/>
      <c r="H747" s="298" t="n"/>
    </row>
    <row r="748" ht="13" customHeight="1" s="189">
      <c r="A748" s="289" t="n"/>
      <c r="B748" s="290" t="n"/>
      <c r="C748" s="290" t="n"/>
      <c r="D748" s="291" t="n"/>
      <c r="E748" s="291" t="n"/>
      <c r="F748" s="291" t="n"/>
      <c r="G748" s="297" t="n"/>
      <c r="H748" s="298" t="n"/>
    </row>
    <row r="749" ht="13" customHeight="1" s="189">
      <c r="A749" s="289" t="n"/>
      <c r="B749" s="290" t="n"/>
      <c r="C749" s="290" t="n"/>
      <c r="D749" s="291" t="n"/>
      <c r="E749" s="291" t="n"/>
      <c r="F749" s="291" t="n"/>
      <c r="G749" s="297" t="n"/>
      <c r="H749" s="298" t="n"/>
    </row>
    <row r="750" ht="13" customHeight="1" s="189">
      <c r="A750" s="289" t="n"/>
      <c r="B750" s="290" t="n"/>
      <c r="C750" s="290" t="n"/>
      <c r="D750" s="291" t="n"/>
      <c r="E750" s="291" t="n"/>
      <c r="F750" s="291" t="n"/>
      <c r="G750" s="297" t="n"/>
      <c r="H750" s="298" t="n"/>
    </row>
    <row r="751" ht="13" customHeight="1" s="189">
      <c r="A751" s="289" t="n"/>
      <c r="B751" s="290" t="n"/>
      <c r="C751" s="290" t="n"/>
      <c r="D751" s="291" t="n"/>
      <c r="E751" s="291" t="n"/>
      <c r="F751" s="291" t="n"/>
      <c r="G751" s="297" t="n"/>
      <c r="H751" s="298" t="n"/>
    </row>
    <row r="752" ht="13" customHeight="1" s="189">
      <c r="A752" s="289" t="n"/>
      <c r="B752" s="290" t="n"/>
      <c r="C752" s="290" t="n"/>
      <c r="D752" s="291" t="n"/>
      <c r="E752" s="291" t="n"/>
      <c r="F752" s="291" t="n"/>
      <c r="G752" s="297" t="n"/>
      <c r="H752" s="298" t="n"/>
    </row>
    <row r="753" ht="13" customHeight="1" s="189">
      <c r="A753" s="289" t="n"/>
      <c r="B753" s="290" t="n"/>
      <c r="C753" s="290" t="n"/>
      <c r="D753" s="291" t="n"/>
      <c r="E753" s="291" t="n"/>
      <c r="F753" s="291" t="n"/>
      <c r="G753" s="297" t="n"/>
      <c r="H753" s="298" t="n"/>
    </row>
    <row r="754" ht="13" customHeight="1" s="189">
      <c r="A754" s="289" t="n"/>
      <c r="B754" s="290" t="n"/>
      <c r="C754" s="290" t="n"/>
      <c r="D754" s="291" t="n"/>
      <c r="E754" s="291" t="n"/>
      <c r="F754" s="291" t="n"/>
      <c r="G754" s="297" t="n"/>
      <c r="H754" s="298" t="n"/>
    </row>
    <row r="755" ht="13" customHeight="1" s="189">
      <c r="A755" s="289" t="n"/>
      <c r="B755" s="290" t="n"/>
      <c r="C755" s="290" t="n"/>
      <c r="D755" s="291" t="n"/>
      <c r="E755" s="291" t="n"/>
      <c r="F755" s="291" t="n"/>
      <c r="G755" s="297" t="n"/>
      <c r="H755" s="298" t="n"/>
    </row>
    <row r="756" ht="13" customHeight="1" s="189">
      <c r="A756" s="289" t="n"/>
      <c r="B756" s="290" t="n"/>
      <c r="C756" s="290" t="n"/>
      <c r="D756" s="291" t="n"/>
      <c r="E756" s="291" t="n"/>
      <c r="F756" s="291" t="n"/>
      <c r="G756" s="297" t="n"/>
      <c r="H756" s="298" t="n"/>
    </row>
    <row r="757" ht="13" customHeight="1" s="189">
      <c r="A757" s="289" t="n"/>
      <c r="B757" s="290" t="n"/>
      <c r="C757" s="290" t="n"/>
      <c r="D757" s="291" t="n"/>
      <c r="E757" s="291" t="n"/>
      <c r="F757" s="291" t="n"/>
      <c r="G757" s="297" t="n"/>
      <c r="H757" s="298" t="n"/>
    </row>
    <row r="758" ht="13" customHeight="1" s="189">
      <c r="A758" s="289" t="n"/>
      <c r="B758" s="290" t="n"/>
      <c r="C758" s="290" t="n"/>
      <c r="D758" s="291" t="n"/>
      <c r="E758" s="291" t="n"/>
      <c r="F758" s="291" t="n"/>
      <c r="G758" s="297" t="n"/>
      <c r="H758" s="298" t="n"/>
    </row>
    <row r="759" ht="13" customHeight="1" s="189">
      <c r="A759" s="289" t="n"/>
      <c r="B759" s="290" t="n"/>
      <c r="C759" s="290" t="n"/>
      <c r="D759" s="291" t="n"/>
      <c r="E759" s="291" t="n"/>
      <c r="F759" s="291" t="n"/>
      <c r="G759" s="297" t="n"/>
      <c r="H759" s="298" t="n"/>
    </row>
    <row r="760" ht="13" customHeight="1" s="189">
      <c r="A760" s="289" t="n"/>
      <c r="B760" s="290" t="n"/>
      <c r="C760" s="290" t="n"/>
      <c r="D760" s="291" t="n"/>
      <c r="E760" s="291" t="n"/>
      <c r="F760" s="291" t="n"/>
      <c r="G760" s="297" t="n"/>
      <c r="H760" s="298" t="n"/>
    </row>
    <row r="761" ht="13" customHeight="1" s="189">
      <c r="A761" s="289" t="n"/>
      <c r="B761" s="290" t="n"/>
      <c r="C761" s="290" t="n"/>
      <c r="D761" s="291" t="n"/>
      <c r="E761" s="291" t="n"/>
      <c r="F761" s="291" t="n"/>
      <c r="G761" s="297" t="n"/>
      <c r="H761" s="298" t="n"/>
    </row>
    <row r="762" ht="13" customHeight="1" s="189">
      <c r="A762" s="289" t="n"/>
      <c r="B762" s="290" t="n"/>
      <c r="C762" s="290" t="n"/>
      <c r="D762" s="291" t="n"/>
      <c r="E762" s="291" t="n"/>
      <c r="F762" s="291" t="n"/>
      <c r="G762" s="297" t="n"/>
      <c r="H762" s="298" t="n"/>
    </row>
    <row r="763" ht="13" customHeight="1" s="189">
      <c r="A763" s="289" t="n"/>
      <c r="B763" s="290" t="n"/>
      <c r="C763" s="290" t="n"/>
      <c r="D763" s="291" t="n"/>
      <c r="E763" s="291" t="n"/>
      <c r="F763" s="291" t="n"/>
      <c r="G763" s="297" t="n"/>
      <c r="H763" s="298" t="n"/>
    </row>
    <row r="764" ht="13" customHeight="1" s="189">
      <c r="A764" s="289" t="n"/>
      <c r="B764" s="290" t="n"/>
      <c r="C764" s="290" t="n"/>
      <c r="D764" s="291" t="n"/>
      <c r="E764" s="291" t="n"/>
      <c r="F764" s="291" t="n"/>
      <c r="G764" s="297" t="n"/>
      <c r="H764" s="298" t="n"/>
    </row>
    <row r="765" ht="13" customHeight="1" s="189">
      <c r="A765" s="289" t="n"/>
      <c r="B765" s="290" t="n"/>
      <c r="C765" s="290" t="n"/>
      <c r="D765" s="291" t="n"/>
      <c r="E765" s="291" t="n"/>
      <c r="F765" s="291" t="n"/>
      <c r="G765" s="297" t="n"/>
      <c r="H765" s="298" t="n"/>
    </row>
    <row r="766" ht="13" customHeight="1" s="189">
      <c r="A766" s="289" t="n"/>
      <c r="B766" s="290" t="n"/>
      <c r="C766" s="290" t="n"/>
      <c r="D766" s="291" t="n"/>
      <c r="E766" s="291" t="n"/>
      <c r="F766" s="291" t="n"/>
      <c r="G766" s="297" t="n"/>
      <c r="H766" s="298" t="n"/>
    </row>
    <row r="767" ht="13" customHeight="1" s="189">
      <c r="A767" s="289" t="n"/>
      <c r="B767" s="290" t="n"/>
      <c r="C767" s="290" t="n"/>
      <c r="D767" s="291" t="n"/>
      <c r="E767" s="291" t="n"/>
      <c r="F767" s="291" t="n"/>
      <c r="G767" s="297" t="n"/>
      <c r="H767" s="298" t="n"/>
    </row>
    <row r="768" ht="13" customHeight="1" s="189">
      <c r="A768" s="289" t="n"/>
      <c r="B768" s="290" t="n"/>
      <c r="C768" s="290" t="n"/>
      <c r="D768" s="291" t="n"/>
      <c r="E768" s="291" t="n"/>
      <c r="F768" s="291" t="n"/>
      <c r="G768" s="297" t="n"/>
      <c r="H768" s="298" t="n"/>
    </row>
    <row r="769" ht="13" customHeight="1" s="189">
      <c r="A769" s="289" t="n"/>
      <c r="B769" s="290" t="n"/>
      <c r="C769" s="290" t="n"/>
      <c r="D769" s="291" t="n"/>
      <c r="E769" s="291" t="n"/>
      <c r="F769" s="291" t="n"/>
      <c r="G769" s="297" t="n"/>
      <c r="H769" s="298" t="n"/>
    </row>
    <row r="770" ht="13" customHeight="1" s="189">
      <c r="A770" s="289" t="n"/>
      <c r="B770" s="290" t="n"/>
      <c r="C770" s="290" t="n"/>
      <c r="D770" s="291" t="n"/>
      <c r="E770" s="291" t="n"/>
      <c r="F770" s="291" t="n"/>
      <c r="G770" s="297" t="n"/>
      <c r="H770" s="298" t="n"/>
    </row>
    <row r="771" ht="13" customHeight="1" s="189">
      <c r="A771" s="289" t="n"/>
      <c r="B771" s="290" t="n"/>
      <c r="C771" s="290" t="n"/>
      <c r="D771" s="291" t="n"/>
      <c r="E771" s="291" t="n"/>
      <c r="F771" s="291" t="n"/>
      <c r="G771" s="297" t="n"/>
      <c r="H771" s="298" t="n"/>
    </row>
    <row r="772" ht="13" customHeight="1" s="189">
      <c r="A772" s="289" t="n"/>
      <c r="B772" s="290" t="n"/>
      <c r="C772" s="290" t="n"/>
      <c r="D772" s="291" t="n"/>
      <c r="E772" s="291" t="n"/>
      <c r="F772" s="291" t="n"/>
      <c r="G772" s="297" t="n"/>
      <c r="H772" s="298" t="n"/>
    </row>
    <row r="773" ht="13" customHeight="1" s="189">
      <c r="A773" s="289" t="n"/>
      <c r="B773" s="290" t="n"/>
      <c r="C773" s="290" t="n"/>
      <c r="D773" s="291" t="n"/>
      <c r="E773" s="291" t="n"/>
      <c r="F773" s="291" t="n"/>
      <c r="G773" s="297" t="n"/>
      <c r="H773" s="298" t="n"/>
    </row>
    <row r="774" ht="13" customHeight="1" s="189">
      <c r="A774" s="289" t="n"/>
      <c r="B774" s="290" t="n"/>
      <c r="C774" s="290" t="n"/>
      <c r="D774" s="291" t="n"/>
      <c r="E774" s="291" t="n"/>
      <c r="F774" s="291" t="n"/>
      <c r="G774" s="297" t="n"/>
      <c r="H774" s="298" t="n"/>
    </row>
    <row r="775" ht="13" customHeight="1" s="189">
      <c r="A775" s="289" t="n"/>
      <c r="B775" s="290" t="n"/>
      <c r="C775" s="290" t="n"/>
      <c r="D775" s="291" t="n"/>
      <c r="E775" s="291" t="n"/>
      <c r="F775" s="291" t="n"/>
      <c r="G775" s="297" t="n"/>
      <c r="H775" s="298" t="n"/>
    </row>
    <row r="776" ht="13" customHeight="1" s="189">
      <c r="A776" s="289" t="n"/>
      <c r="B776" s="290" t="n"/>
      <c r="C776" s="290" t="n"/>
      <c r="D776" s="291" t="n"/>
      <c r="E776" s="291" t="n"/>
      <c r="F776" s="291" t="n"/>
      <c r="G776" s="297" t="n"/>
      <c r="H776" s="298" t="n"/>
    </row>
    <row r="777" ht="13" customHeight="1" s="189">
      <c r="A777" s="289" t="n"/>
      <c r="B777" s="290" t="n"/>
      <c r="C777" s="290" t="n"/>
      <c r="D777" s="291" t="n"/>
      <c r="E777" s="291" t="n"/>
      <c r="F777" s="291" t="n"/>
      <c r="G777" s="297" t="n"/>
      <c r="H777" s="298" t="n"/>
    </row>
    <row r="778" ht="13" customHeight="1" s="189">
      <c r="A778" s="289" t="n"/>
      <c r="B778" s="290" t="n"/>
      <c r="C778" s="290" t="n"/>
      <c r="D778" s="291" t="n"/>
      <c r="E778" s="291" t="n"/>
      <c r="F778" s="291" t="n"/>
      <c r="G778" s="297" t="n"/>
      <c r="H778" s="298" t="n"/>
    </row>
    <row r="779" ht="13" customHeight="1" s="189">
      <c r="A779" s="289" t="n"/>
      <c r="B779" s="290" t="n"/>
      <c r="C779" s="290" t="n"/>
      <c r="D779" s="291" t="n"/>
      <c r="E779" s="291" t="n"/>
      <c r="F779" s="291" t="n"/>
      <c r="G779" s="297" t="n"/>
      <c r="H779" s="298" t="n"/>
    </row>
    <row r="780" ht="13" customHeight="1" s="189">
      <c r="A780" s="289" t="n"/>
      <c r="B780" s="290" t="n"/>
      <c r="C780" s="290" t="n"/>
      <c r="D780" s="291" t="n"/>
      <c r="E780" s="291" t="n"/>
      <c r="F780" s="291" t="n"/>
      <c r="G780" s="297" t="n"/>
      <c r="H780" s="298" t="n"/>
    </row>
    <row r="781" ht="13" customHeight="1" s="189">
      <c r="A781" s="289" t="n"/>
      <c r="B781" s="290" t="n"/>
      <c r="C781" s="290" t="n"/>
      <c r="D781" s="291" t="n"/>
      <c r="E781" s="291" t="n"/>
      <c r="F781" s="291" t="n"/>
      <c r="G781" s="297" t="n"/>
      <c r="H781" s="298" t="n"/>
    </row>
    <row r="782" ht="13" customHeight="1" s="189">
      <c r="A782" s="289" t="n"/>
      <c r="B782" s="290" t="n"/>
      <c r="C782" s="290" t="n"/>
      <c r="D782" s="291" t="n"/>
      <c r="E782" s="291" t="n"/>
      <c r="F782" s="291" t="n"/>
      <c r="G782" s="297" t="n"/>
      <c r="H782" s="298" t="n"/>
    </row>
    <row r="783" ht="13" customHeight="1" s="189">
      <c r="A783" s="289" t="n"/>
      <c r="B783" s="290" t="n"/>
      <c r="C783" s="290" t="n"/>
      <c r="D783" s="291" t="n"/>
      <c r="E783" s="291" t="n"/>
      <c r="F783" s="291" t="n"/>
      <c r="G783" s="297" t="n"/>
      <c r="H783" s="298" t="n"/>
    </row>
    <row r="784" ht="13" customHeight="1" s="189">
      <c r="A784" s="289" t="n"/>
      <c r="B784" s="290" t="n"/>
      <c r="C784" s="290" t="n"/>
      <c r="D784" s="291" t="n"/>
      <c r="E784" s="291" t="n"/>
      <c r="F784" s="291" t="n"/>
      <c r="G784" s="297" t="n"/>
      <c r="H784" s="298" t="n"/>
    </row>
    <row r="785" ht="13" customHeight="1" s="189">
      <c r="A785" s="289" t="n"/>
      <c r="B785" s="290" t="n"/>
      <c r="C785" s="290" t="n"/>
      <c r="D785" s="291" t="n"/>
      <c r="E785" s="291" t="n"/>
      <c r="F785" s="291" t="n"/>
      <c r="G785" s="297" t="n"/>
      <c r="H785" s="298" t="n"/>
    </row>
    <row r="786" ht="13" customHeight="1" s="189">
      <c r="A786" s="289" t="n"/>
      <c r="B786" s="290" t="n"/>
      <c r="C786" s="290" t="n"/>
      <c r="D786" s="291" t="n"/>
      <c r="E786" s="291" t="n"/>
      <c r="F786" s="291" t="n"/>
      <c r="G786" s="297" t="n"/>
      <c r="H786" s="298" t="n"/>
    </row>
    <row r="787" ht="13" customHeight="1" s="189">
      <c r="A787" s="289" t="n"/>
      <c r="B787" s="290" t="n"/>
      <c r="C787" s="290" t="n"/>
      <c r="D787" s="291" t="n"/>
      <c r="E787" s="291" t="n"/>
      <c r="F787" s="291" t="n"/>
      <c r="G787" s="297" t="n"/>
      <c r="H787" s="298" t="n"/>
    </row>
    <row r="788" ht="13" customHeight="1" s="189">
      <c r="A788" s="289" t="n"/>
      <c r="B788" s="290" t="n"/>
      <c r="C788" s="290" t="n"/>
      <c r="D788" s="291" t="n"/>
      <c r="E788" s="291" t="n"/>
      <c r="F788" s="291" t="n"/>
      <c r="G788" s="297" t="n"/>
      <c r="H788" s="298" t="n"/>
    </row>
    <row r="789" ht="13" customHeight="1" s="189">
      <c r="A789" s="289" t="n"/>
      <c r="B789" s="290" t="n"/>
      <c r="C789" s="290" t="n"/>
      <c r="D789" s="291" t="n"/>
      <c r="E789" s="291" t="n"/>
      <c r="F789" s="291" t="n"/>
      <c r="G789" s="297" t="n"/>
      <c r="H789" s="298" t="n"/>
    </row>
    <row r="790" ht="13" customHeight="1" s="189">
      <c r="A790" s="289" t="n"/>
      <c r="B790" s="290" t="n"/>
      <c r="C790" s="290" t="n"/>
      <c r="D790" s="291" t="n"/>
      <c r="E790" s="291" t="n"/>
      <c r="F790" s="291" t="n"/>
      <c r="G790" s="297" t="n"/>
      <c r="H790" s="298" t="n"/>
    </row>
    <row r="791" ht="13" customHeight="1" s="189">
      <c r="A791" s="289" t="n"/>
      <c r="B791" s="290" t="n"/>
      <c r="C791" s="290" t="n"/>
      <c r="D791" s="291" t="n"/>
      <c r="E791" s="291" t="n"/>
      <c r="F791" s="291" t="n"/>
      <c r="G791" s="297" t="n"/>
      <c r="H791" s="298" t="n"/>
    </row>
    <row r="792" ht="13" customHeight="1" s="189">
      <c r="A792" s="289" t="n"/>
      <c r="B792" s="290" t="n"/>
      <c r="C792" s="290" t="n"/>
      <c r="D792" s="291" t="n"/>
      <c r="E792" s="291" t="n"/>
      <c r="F792" s="291" t="n"/>
      <c r="G792" s="297" t="n"/>
      <c r="H792" s="298" t="n"/>
    </row>
    <row r="793" ht="13" customHeight="1" s="189">
      <c r="A793" s="289" t="n"/>
      <c r="B793" s="290" t="n"/>
      <c r="C793" s="290" t="n"/>
      <c r="D793" s="291" t="n"/>
      <c r="E793" s="291" t="n"/>
      <c r="F793" s="291" t="n"/>
      <c r="G793" s="297" t="n"/>
      <c r="H793" s="298" t="n"/>
    </row>
    <row r="794" ht="13" customHeight="1" s="189">
      <c r="A794" s="289" t="n"/>
      <c r="B794" s="290" t="n"/>
      <c r="C794" s="290" t="n"/>
      <c r="D794" s="291" t="n"/>
      <c r="E794" s="291" t="n"/>
      <c r="F794" s="291" t="n"/>
      <c r="G794" s="297" t="n"/>
      <c r="H794" s="298" t="n"/>
    </row>
    <row r="795" ht="13" customHeight="1" s="189">
      <c r="A795" s="289" t="n"/>
      <c r="B795" s="290" t="n"/>
      <c r="C795" s="290" t="n"/>
      <c r="D795" s="291" t="n"/>
      <c r="E795" s="291" t="n"/>
      <c r="F795" s="291" t="n"/>
      <c r="G795" s="297" t="n"/>
      <c r="H795" s="298" t="n"/>
    </row>
    <row r="796" ht="13" customHeight="1" s="189">
      <c r="A796" s="289" t="n"/>
      <c r="B796" s="290" t="n"/>
      <c r="C796" s="290" t="n"/>
      <c r="D796" s="291" t="n"/>
      <c r="E796" s="291" t="n"/>
      <c r="F796" s="291" t="n"/>
      <c r="G796" s="297" t="n"/>
      <c r="H796" s="298" t="n"/>
    </row>
    <row r="797" ht="13" customHeight="1" s="189">
      <c r="A797" s="289" t="n"/>
      <c r="B797" s="290" t="n"/>
      <c r="C797" s="290" t="n"/>
      <c r="D797" s="291" t="n"/>
      <c r="E797" s="291" t="n"/>
      <c r="F797" s="291" t="n"/>
      <c r="G797" s="297" t="n"/>
      <c r="H797" s="298" t="n"/>
    </row>
    <row r="798" ht="13" customHeight="1" s="189">
      <c r="A798" s="289" t="n"/>
      <c r="B798" s="290" t="n"/>
      <c r="C798" s="290" t="n"/>
      <c r="D798" s="291" t="n"/>
      <c r="E798" s="291" t="n"/>
      <c r="F798" s="291" t="n"/>
      <c r="G798" s="297" t="n"/>
      <c r="H798" s="298" t="n"/>
    </row>
    <row r="799" ht="13" customHeight="1" s="189">
      <c r="A799" s="289" t="n"/>
      <c r="B799" s="290" t="n"/>
      <c r="C799" s="290" t="n"/>
      <c r="D799" s="291" t="n"/>
      <c r="E799" s="291" t="n"/>
      <c r="F799" s="291" t="n"/>
      <c r="G799" s="297" t="n"/>
      <c r="H799" s="298" t="n"/>
    </row>
    <row r="800" ht="13" customHeight="1" s="189">
      <c r="A800" s="289" t="n"/>
      <c r="B800" s="290" t="n"/>
      <c r="C800" s="290" t="n"/>
      <c r="D800" s="291" t="n"/>
      <c r="E800" s="291" t="n"/>
      <c r="F800" s="291" t="n"/>
      <c r="G800" s="297" t="n"/>
      <c r="H800" s="298" t="n"/>
    </row>
    <row r="801" ht="13" customHeight="1" s="189">
      <c r="A801" s="289" t="n"/>
      <c r="B801" s="290" t="n"/>
      <c r="C801" s="290" t="n"/>
      <c r="D801" s="291" t="n"/>
      <c r="E801" s="291" t="n"/>
      <c r="F801" s="291" t="n"/>
      <c r="G801" s="297" t="n"/>
      <c r="H801" s="298" t="n"/>
    </row>
    <row r="802" ht="13" customHeight="1" s="189">
      <c r="A802" s="289" t="n"/>
      <c r="B802" s="290" t="n"/>
      <c r="C802" s="290" t="n"/>
      <c r="D802" s="291" t="n"/>
      <c r="E802" s="291" t="n"/>
      <c r="F802" s="291" t="n"/>
      <c r="G802" s="297" t="n"/>
      <c r="H802" s="298" t="n"/>
    </row>
    <row r="803" ht="13" customHeight="1" s="189">
      <c r="A803" s="289" t="n"/>
      <c r="B803" s="290" t="n"/>
      <c r="C803" s="290" t="n"/>
      <c r="D803" s="291" t="n"/>
      <c r="E803" s="291" t="n"/>
      <c r="F803" s="291" t="n"/>
      <c r="G803" s="297" t="n"/>
      <c r="H803" s="298" t="n"/>
    </row>
    <row r="804" ht="13" customHeight="1" s="189">
      <c r="A804" s="289" t="n"/>
      <c r="B804" s="290" t="n"/>
      <c r="C804" s="290" t="n"/>
      <c r="D804" s="291" t="n"/>
      <c r="E804" s="291" t="n"/>
      <c r="F804" s="291" t="n"/>
      <c r="G804" s="297" t="n"/>
      <c r="H804" s="298" t="n"/>
    </row>
    <row r="805" ht="13" customHeight="1" s="189">
      <c r="A805" s="289" t="n"/>
      <c r="B805" s="290" t="n"/>
      <c r="C805" s="290" t="n"/>
      <c r="D805" s="291" t="n"/>
      <c r="E805" s="291" t="n"/>
      <c r="F805" s="291" t="n"/>
      <c r="G805" s="297" t="n"/>
      <c r="H805" s="298" t="n"/>
    </row>
    <row r="806" ht="13" customHeight="1" s="189">
      <c r="A806" s="289" t="n"/>
      <c r="B806" s="290" t="n"/>
      <c r="C806" s="290" t="n"/>
      <c r="D806" s="291" t="n"/>
      <c r="E806" s="291" t="n"/>
      <c r="F806" s="291" t="n"/>
      <c r="G806" s="297" t="n"/>
      <c r="H806" s="298" t="n"/>
    </row>
    <row r="807" ht="13" customHeight="1" s="189">
      <c r="A807" s="289" t="n"/>
      <c r="B807" s="290" t="n"/>
      <c r="C807" s="290" t="n"/>
      <c r="D807" s="291" t="n"/>
      <c r="E807" s="291" t="n"/>
      <c r="F807" s="291" t="n"/>
      <c r="G807" s="297" t="n"/>
      <c r="H807" s="298" t="n"/>
    </row>
    <row r="808" ht="13" customHeight="1" s="189">
      <c r="A808" s="289" t="n"/>
      <c r="B808" s="290" t="n"/>
      <c r="C808" s="290" t="n"/>
      <c r="D808" s="291" t="n"/>
      <c r="E808" s="291" t="n"/>
      <c r="F808" s="291" t="n"/>
      <c r="G808" s="297" t="n"/>
      <c r="H808" s="298" t="n"/>
    </row>
    <row r="809" ht="13" customHeight="1" s="189">
      <c r="A809" s="289" t="n"/>
      <c r="B809" s="290" t="n"/>
      <c r="C809" s="290" t="n"/>
      <c r="D809" s="291" t="n"/>
      <c r="E809" s="291" t="n"/>
      <c r="F809" s="291" t="n"/>
      <c r="G809" s="297" t="n"/>
      <c r="H809" s="298" t="n"/>
    </row>
    <row r="810" ht="13" customHeight="1" s="189">
      <c r="A810" s="289" t="n"/>
      <c r="B810" s="290" t="n"/>
      <c r="C810" s="290" t="n"/>
      <c r="D810" s="291" t="n"/>
      <c r="E810" s="291" t="n"/>
      <c r="F810" s="291" t="n"/>
      <c r="G810" s="297" t="n"/>
      <c r="H810" s="298" t="n"/>
    </row>
    <row r="811" ht="13" customHeight="1" s="189">
      <c r="A811" s="289" t="n"/>
      <c r="B811" s="290" t="n"/>
      <c r="C811" s="290" t="n"/>
      <c r="D811" s="291" t="n"/>
      <c r="E811" s="291" t="n"/>
      <c r="F811" s="291" t="n"/>
      <c r="G811" s="297" t="n"/>
      <c r="H811" s="298" t="n"/>
    </row>
    <row r="812" ht="13" customHeight="1" s="189">
      <c r="A812" s="289" t="n"/>
      <c r="B812" s="290" t="n"/>
      <c r="C812" s="290" t="n"/>
      <c r="D812" s="291" t="n"/>
      <c r="E812" s="291" t="n"/>
      <c r="F812" s="291" t="n"/>
      <c r="G812" s="297" t="n"/>
      <c r="H812" s="298" t="n"/>
    </row>
    <row r="813" ht="13" customHeight="1" s="189">
      <c r="A813" s="289" t="n"/>
      <c r="B813" s="290" t="n"/>
      <c r="C813" s="290" t="n"/>
      <c r="D813" s="291" t="n"/>
      <c r="E813" s="291" t="n"/>
      <c r="F813" s="291" t="n"/>
      <c r="G813" s="297" t="n"/>
      <c r="H813" s="298" t="n"/>
    </row>
    <row r="814" ht="13" customHeight="1" s="189">
      <c r="A814" s="289" t="n"/>
      <c r="B814" s="290" t="n"/>
      <c r="C814" s="290" t="n"/>
      <c r="D814" s="291" t="n"/>
      <c r="E814" s="291" t="n"/>
      <c r="F814" s="291" t="n"/>
      <c r="G814" s="297" t="n"/>
      <c r="H814" s="298" t="n"/>
    </row>
    <row r="815" ht="13" customHeight="1" s="189">
      <c r="A815" s="289" t="n"/>
      <c r="B815" s="290" t="n"/>
      <c r="C815" s="290" t="n"/>
      <c r="D815" s="291" t="n"/>
      <c r="E815" s="291" t="n"/>
      <c r="F815" s="291" t="n"/>
      <c r="G815" s="297" t="n"/>
      <c r="H815" s="298" t="n"/>
    </row>
    <row r="816" ht="13" customHeight="1" s="189">
      <c r="A816" s="289" t="n"/>
      <c r="B816" s="290" t="n"/>
      <c r="C816" s="290" t="n"/>
      <c r="D816" s="291" t="n"/>
      <c r="E816" s="291" t="n"/>
      <c r="F816" s="291" t="n"/>
      <c r="G816" s="297" t="n"/>
      <c r="H816" s="298" t="n"/>
    </row>
    <row r="817" ht="13" customHeight="1" s="189">
      <c r="A817" s="289" t="n"/>
      <c r="B817" s="290" t="n"/>
      <c r="C817" s="290" t="n"/>
      <c r="D817" s="291" t="n"/>
      <c r="E817" s="291" t="n"/>
      <c r="F817" s="291" t="n"/>
      <c r="G817" s="297" t="n"/>
      <c r="H817" s="298" t="n"/>
    </row>
    <row r="818" ht="13" customHeight="1" s="189">
      <c r="A818" s="289" t="n"/>
      <c r="B818" s="290" t="n"/>
      <c r="C818" s="290" t="n"/>
      <c r="D818" s="291" t="n"/>
      <c r="E818" s="291" t="n"/>
      <c r="F818" s="291" t="n"/>
      <c r="G818" s="297" t="n"/>
      <c r="H818" s="298" t="n"/>
    </row>
    <row r="819" ht="13" customHeight="1" s="189">
      <c r="A819" s="289" t="n"/>
      <c r="B819" s="290" t="n"/>
      <c r="C819" s="290" t="n"/>
      <c r="D819" s="291" t="n"/>
      <c r="E819" s="291" t="n"/>
      <c r="F819" s="291" t="n"/>
      <c r="G819" s="297" t="n"/>
      <c r="H819" s="298" t="n"/>
    </row>
    <row r="820" ht="13" customHeight="1" s="189">
      <c r="A820" s="289" t="n"/>
      <c r="B820" s="290" t="n"/>
      <c r="C820" s="290" t="n"/>
      <c r="D820" s="291" t="n"/>
      <c r="E820" s="291" t="n"/>
      <c r="F820" s="291" t="n"/>
      <c r="G820" s="297" t="n"/>
      <c r="H820" s="298" t="n"/>
    </row>
    <row r="821" ht="13" customHeight="1" s="189">
      <c r="A821" s="289" t="n"/>
      <c r="B821" s="290" t="n"/>
      <c r="C821" s="290" t="n"/>
      <c r="D821" s="291" t="n"/>
      <c r="E821" s="291" t="n"/>
      <c r="F821" s="291" t="n"/>
      <c r="G821" s="297" t="n"/>
      <c r="H821" s="298" t="n"/>
    </row>
    <row r="822" ht="13" customHeight="1" s="189">
      <c r="A822" s="289" t="n"/>
      <c r="B822" s="290" t="n"/>
      <c r="C822" s="290" t="n"/>
      <c r="D822" s="291" t="n"/>
      <c r="E822" s="291" t="n"/>
      <c r="F822" s="291" t="n"/>
      <c r="G822" s="297" t="n"/>
      <c r="H822" s="298" t="n"/>
    </row>
    <row r="823" ht="13" customHeight="1" s="189">
      <c r="A823" s="289" t="n"/>
      <c r="B823" s="290" t="n"/>
      <c r="C823" s="290" t="n"/>
      <c r="D823" s="291" t="n"/>
      <c r="E823" s="291" t="n"/>
      <c r="F823" s="291" t="n"/>
      <c r="G823" s="297" t="n"/>
      <c r="H823" s="298" t="n"/>
    </row>
    <row r="824" ht="13" customHeight="1" s="189">
      <c r="A824" s="289" t="n"/>
      <c r="B824" s="290" t="n"/>
      <c r="C824" s="290" t="n"/>
      <c r="D824" s="291" t="n"/>
      <c r="E824" s="291" t="n"/>
      <c r="F824" s="291" t="n"/>
      <c r="G824" s="297" t="n"/>
      <c r="H824" s="298" t="n"/>
    </row>
    <row r="825" ht="13" customHeight="1" s="189">
      <c r="A825" s="289" t="n"/>
      <c r="B825" s="290" t="n"/>
      <c r="C825" s="290" t="n"/>
      <c r="D825" s="291" t="n"/>
      <c r="E825" s="291" t="n"/>
      <c r="F825" s="291" t="n"/>
      <c r="G825" s="297" t="n"/>
      <c r="H825" s="298" t="n"/>
    </row>
    <row r="826" ht="13" customHeight="1" s="189">
      <c r="A826" s="289" t="n"/>
      <c r="B826" s="290" t="n"/>
      <c r="C826" s="290" t="n"/>
      <c r="D826" s="291" t="n"/>
      <c r="E826" s="291" t="n"/>
      <c r="F826" s="291" t="n"/>
      <c r="G826" s="297" t="n"/>
      <c r="H826" s="298" t="n"/>
    </row>
    <row r="827" ht="13" customHeight="1" s="189">
      <c r="A827" s="289" t="n"/>
      <c r="B827" s="290" t="n"/>
      <c r="C827" s="290" t="n"/>
      <c r="D827" s="291" t="n"/>
      <c r="E827" s="291" t="n"/>
      <c r="F827" s="291" t="n"/>
      <c r="G827" s="297" t="n"/>
      <c r="H827" s="298" t="n"/>
    </row>
    <row r="828" ht="13" customHeight="1" s="189">
      <c r="A828" s="289" t="n"/>
      <c r="B828" s="290" t="n"/>
      <c r="C828" s="290" t="n"/>
      <c r="D828" s="291" t="n"/>
      <c r="E828" s="291" t="n"/>
      <c r="F828" s="291" t="n"/>
      <c r="G828" s="297" t="n"/>
      <c r="H828" s="298" t="n"/>
    </row>
    <row r="829" ht="13" customHeight="1" s="189">
      <c r="A829" s="289" t="n"/>
      <c r="B829" s="290" t="n"/>
      <c r="C829" s="290" t="n"/>
      <c r="D829" s="291" t="n"/>
      <c r="E829" s="291" t="n"/>
      <c r="F829" s="291" t="n"/>
      <c r="G829" s="297" t="n"/>
      <c r="H829" s="298" t="n"/>
    </row>
    <row r="830" ht="13" customHeight="1" s="189">
      <c r="A830" s="289" t="n"/>
      <c r="B830" s="290" t="n"/>
      <c r="C830" s="290" t="n"/>
      <c r="D830" s="291" t="n"/>
      <c r="E830" s="291" t="n"/>
      <c r="F830" s="291" t="n"/>
      <c r="G830" s="297" t="n"/>
      <c r="H830" s="298" t="n"/>
    </row>
    <row r="831" ht="13" customHeight="1" s="189">
      <c r="A831" s="289" t="n"/>
      <c r="B831" s="290" t="n"/>
      <c r="C831" s="290" t="n"/>
      <c r="D831" s="291" t="n"/>
      <c r="E831" s="291" t="n"/>
      <c r="F831" s="291" t="n"/>
      <c r="G831" s="297" t="n"/>
      <c r="H831" s="298" t="n"/>
    </row>
    <row r="832" ht="13" customHeight="1" s="189">
      <c r="A832" s="289" t="n"/>
      <c r="B832" s="290" t="n"/>
      <c r="C832" s="290" t="n"/>
      <c r="D832" s="291" t="n"/>
      <c r="E832" s="291" t="n"/>
      <c r="F832" s="291" t="n"/>
      <c r="G832" s="297" t="n"/>
      <c r="H832" s="298" t="n"/>
    </row>
    <row r="833" ht="13" customHeight="1" s="189">
      <c r="A833" s="289" t="n"/>
      <c r="B833" s="290" t="n"/>
      <c r="C833" s="290" t="n"/>
      <c r="D833" s="291" t="n"/>
      <c r="E833" s="291" t="n"/>
      <c r="F833" s="291" t="n"/>
      <c r="G833" s="297" t="n"/>
      <c r="H833" s="298" t="n"/>
    </row>
    <row r="834" ht="13" customHeight="1" s="189">
      <c r="A834" s="289" t="n"/>
      <c r="B834" s="290" t="n"/>
      <c r="C834" s="290" t="n"/>
      <c r="D834" s="291" t="n"/>
      <c r="E834" s="291" t="n"/>
      <c r="F834" s="291" t="n"/>
      <c r="G834" s="297" t="n"/>
      <c r="H834" s="298" t="n"/>
    </row>
    <row r="835" ht="13" customHeight="1" s="189">
      <c r="A835" s="289" t="n"/>
      <c r="B835" s="290" t="n"/>
      <c r="C835" s="290" t="n"/>
      <c r="D835" s="291" t="n"/>
      <c r="E835" s="291" t="n"/>
      <c r="F835" s="291" t="n"/>
      <c r="G835" s="297" t="n"/>
      <c r="H835" s="298" t="n"/>
    </row>
    <row r="836" ht="13" customHeight="1" s="189">
      <c r="A836" s="289" t="n"/>
      <c r="B836" s="290" t="n"/>
      <c r="C836" s="290" t="n"/>
      <c r="D836" s="291" t="n"/>
      <c r="E836" s="291" t="n"/>
      <c r="F836" s="291" t="n"/>
      <c r="G836" s="297" t="n"/>
      <c r="H836" s="298" t="n"/>
    </row>
    <row r="837" ht="13" customHeight="1" s="189">
      <c r="A837" s="289" t="n"/>
      <c r="B837" s="290" t="n"/>
      <c r="C837" s="290" t="n"/>
      <c r="D837" s="291" t="n"/>
      <c r="E837" s="291" t="n"/>
      <c r="F837" s="291" t="n"/>
      <c r="G837" s="297" t="n"/>
      <c r="H837" s="298" t="n"/>
    </row>
    <row r="838" ht="13" customHeight="1" s="189">
      <c r="A838" s="289" t="n"/>
      <c r="B838" s="290" t="n"/>
      <c r="C838" s="290" t="n"/>
      <c r="D838" s="291" t="n"/>
      <c r="E838" s="291" t="n"/>
      <c r="F838" s="291" t="n"/>
      <c r="G838" s="297" t="n"/>
      <c r="H838" s="298" t="n"/>
    </row>
    <row r="839" ht="13" customHeight="1" s="189">
      <c r="A839" s="289" t="n"/>
      <c r="B839" s="290" t="n"/>
      <c r="C839" s="290" t="n"/>
      <c r="D839" s="291" t="n"/>
      <c r="E839" s="291" t="n"/>
      <c r="F839" s="291" t="n"/>
      <c r="G839" s="297" t="n"/>
      <c r="H839" s="298" t="n"/>
    </row>
    <row r="840" ht="13" customHeight="1" s="189">
      <c r="A840" s="289" t="n"/>
      <c r="B840" s="290" t="n"/>
      <c r="C840" s="290" t="n"/>
      <c r="D840" s="291" t="n"/>
      <c r="E840" s="291" t="n"/>
      <c r="F840" s="291" t="n"/>
      <c r="G840" s="297" t="n"/>
      <c r="H840" s="298" t="n"/>
    </row>
    <row r="841" ht="13" customHeight="1" s="189">
      <c r="A841" s="289" t="n"/>
      <c r="B841" s="290" t="n"/>
      <c r="C841" s="290" t="n"/>
      <c r="D841" s="291" t="n"/>
      <c r="E841" s="291" t="n"/>
      <c r="F841" s="291" t="n"/>
      <c r="G841" s="297" t="n"/>
      <c r="H841" s="298" t="n"/>
    </row>
    <row r="842" ht="13" customHeight="1" s="189">
      <c r="A842" s="289" t="n"/>
      <c r="B842" s="290" t="n"/>
      <c r="C842" s="290" t="n"/>
      <c r="D842" s="291" t="n"/>
      <c r="E842" s="291" t="n"/>
      <c r="F842" s="291" t="n"/>
      <c r="G842" s="297" t="n"/>
      <c r="H842" s="298" t="n"/>
    </row>
    <row r="843" ht="13" customHeight="1" s="189">
      <c r="A843" s="289" t="n"/>
      <c r="B843" s="290" t="n"/>
      <c r="C843" s="290" t="n"/>
      <c r="D843" s="291" t="n"/>
      <c r="E843" s="291" t="n"/>
      <c r="F843" s="291" t="n"/>
      <c r="G843" s="297" t="n"/>
      <c r="H843" s="298" t="n"/>
    </row>
    <row r="844" ht="13" customHeight="1" s="189">
      <c r="A844" s="289" t="n"/>
      <c r="B844" s="290" t="n"/>
      <c r="C844" s="290" t="n"/>
      <c r="D844" s="291" t="n"/>
      <c r="E844" s="291" t="n"/>
      <c r="F844" s="291" t="n"/>
      <c r="G844" s="297" t="n"/>
      <c r="H844" s="298" t="n"/>
    </row>
    <row r="845" ht="13" customHeight="1" s="189">
      <c r="A845" s="289" t="n"/>
      <c r="B845" s="290" t="n"/>
      <c r="C845" s="290" t="n"/>
      <c r="D845" s="291" t="n"/>
      <c r="E845" s="291" t="n"/>
      <c r="F845" s="291" t="n"/>
      <c r="G845" s="297" t="n"/>
      <c r="H845" s="298" t="n"/>
    </row>
    <row r="846" ht="13" customHeight="1" s="189">
      <c r="A846" s="289" t="n"/>
      <c r="B846" s="290" t="n"/>
      <c r="C846" s="290" t="n"/>
      <c r="D846" s="291" t="n"/>
      <c r="E846" s="291" t="n"/>
      <c r="F846" s="291" t="n"/>
      <c r="G846" s="297" t="n"/>
      <c r="H846" s="298" t="n"/>
    </row>
    <row r="847" ht="13" customHeight="1" s="189">
      <c r="A847" s="289" t="n"/>
      <c r="B847" s="290" t="n"/>
      <c r="C847" s="290" t="n"/>
      <c r="D847" s="291" t="n"/>
      <c r="E847" s="291" t="n"/>
      <c r="F847" s="291" t="n"/>
      <c r="G847" s="297" t="n"/>
      <c r="H847" s="298" t="n"/>
    </row>
    <row r="848" ht="13" customHeight="1" s="189">
      <c r="A848" s="289" t="n"/>
      <c r="B848" s="290" t="n"/>
      <c r="C848" s="290" t="n"/>
      <c r="D848" s="291" t="n"/>
      <c r="E848" s="291" t="n"/>
      <c r="F848" s="291" t="n"/>
      <c r="G848" s="297" t="n"/>
      <c r="H848" s="298" t="n"/>
    </row>
    <row r="849" ht="13" customHeight="1" s="189">
      <c r="A849" s="289" t="n"/>
      <c r="B849" s="290" t="n"/>
      <c r="C849" s="290" t="n"/>
      <c r="D849" s="291" t="n"/>
      <c r="E849" s="291" t="n"/>
      <c r="F849" s="291" t="n"/>
      <c r="G849" s="297" t="n"/>
      <c r="H849" s="298" t="n"/>
    </row>
    <row r="850" ht="13" customHeight="1" s="189">
      <c r="A850" s="289" t="n"/>
      <c r="B850" s="290" t="n"/>
      <c r="C850" s="290" t="n"/>
      <c r="D850" s="291" t="n"/>
      <c r="E850" s="291" t="n"/>
      <c r="F850" s="291" t="n"/>
      <c r="G850" s="297" t="n"/>
      <c r="H850" s="298" t="n"/>
    </row>
    <row r="851" ht="13" customHeight="1" s="189">
      <c r="A851" s="289" t="n"/>
      <c r="B851" s="290" t="n"/>
      <c r="C851" s="290" t="n"/>
      <c r="D851" s="291" t="n"/>
      <c r="E851" s="291" t="n"/>
      <c r="F851" s="291" t="n"/>
      <c r="G851" s="297" t="n"/>
      <c r="H851" s="298" t="n"/>
    </row>
    <row r="852" ht="13" customHeight="1" s="189">
      <c r="A852" s="289" t="n"/>
      <c r="B852" s="290" t="n"/>
      <c r="C852" s="290" t="n"/>
      <c r="D852" s="291" t="n"/>
      <c r="E852" s="291" t="n"/>
      <c r="F852" s="291" t="n"/>
      <c r="G852" s="297" t="n"/>
      <c r="H852" s="298" t="n"/>
    </row>
    <row r="853" ht="13" customHeight="1" s="189">
      <c r="A853" s="289" t="n"/>
      <c r="B853" s="290" t="n"/>
      <c r="C853" s="290" t="n"/>
      <c r="D853" s="291" t="n"/>
      <c r="E853" s="291" t="n"/>
      <c r="F853" s="291" t="n"/>
      <c r="G853" s="297" t="n"/>
      <c r="H853" s="298" t="n"/>
    </row>
    <row r="854" ht="13" customHeight="1" s="189">
      <c r="A854" s="289" t="n"/>
      <c r="B854" s="290" t="n"/>
      <c r="C854" s="290" t="n"/>
      <c r="D854" s="291" t="n"/>
      <c r="E854" s="291" t="n"/>
      <c r="F854" s="291" t="n"/>
      <c r="G854" s="297" t="n"/>
      <c r="H854" s="298" t="n"/>
    </row>
    <row r="855" ht="13" customHeight="1" s="189">
      <c r="A855" s="289" t="n"/>
      <c r="B855" s="290" t="n"/>
      <c r="C855" s="290" t="n"/>
      <c r="D855" s="291" t="n"/>
      <c r="E855" s="291" t="n"/>
      <c r="F855" s="291" t="n"/>
      <c r="G855" s="297" t="n"/>
      <c r="H855" s="298" t="n"/>
    </row>
    <row r="856" ht="13" customHeight="1" s="189">
      <c r="A856" s="289" t="n"/>
      <c r="B856" s="290" t="n"/>
      <c r="C856" s="290" t="n"/>
      <c r="D856" s="291" t="n"/>
      <c r="E856" s="291" t="n"/>
      <c r="F856" s="291" t="n"/>
      <c r="G856" s="297" t="n"/>
      <c r="H856" s="298" t="n"/>
    </row>
    <row r="857" ht="13" customHeight="1" s="189">
      <c r="A857" s="289" t="n"/>
      <c r="B857" s="290" t="n"/>
      <c r="C857" s="290" t="n"/>
      <c r="D857" s="291" t="n"/>
      <c r="E857" s="291" t="n"/>
      <c r="F857" s="291" t="n"/>
      <c r="G857" s="297" t="n"/>
      <c r="H857" s="298" t="n"/>
    </row>
    <row r="858" ht="13" customHeight="1" s="189">
      <c r="A858" s="289" t="n"/>
      <c r="B858" s="290" t="n"/>
      <c r="C858" s="290" t="n"/>
      <c r="D858" s="291" t="n"/>
      <c r="E858" s="291" t="n"/>
      <c r="F858" s="291" t="n"/>
      <c r="G858" s="297" t="n"/>
      <c r="H858" s="298" t="n"/>
    </row>
    <row r="859" ht="13" customHeight="1" s="189">
      <c r="A859" s="289" t="n"/>
      <c r="B859" s="290" t="n"/>
      <c r="C859" s="290" t="n"/>
      <c r="D859" s="291" t="n"/>
      <c r="E859" s="291" t="n"/>
      <c r="F859" s="291" t="n"/>
      <c r="G859" s="297" t="n"/>
      <c r="H859" s="298" t="n"/>
    </row>
    <row r="860" ht="13" customHeight="1" s="189">
      <c r="A860" s="289" t="n"/>
      <c r="B860" s="290" t="n"/>
      <c r="C860" s="290" t="n"/>
      <c r="D860" s="291" t="n"/>
      <c r="E860" s="291" t="n"/>
      <c r="F860" s="291" t="n"/>
      <c r="G860" s="297" t="n"/>
      <c r="H860" s="298" t="n"/>
    </row>
    <row r="861" ht="13" customHeight="1" s="189">
      <c r="A861" s="289" t="n"/>
      <c r="B861" s="290" t="n"/>
      <c r="C861" s="290" t="n"/>
      <c r="D861" s="291" t="n"/>
      <c r="E861" s="291" t="n"/>
      <c r="F861" s="291" t="n"/>
      <c r="G861" s="297" t="n"/>
      <c r="H861" s="298" t="n"/>
    </row>
    <row r="862" ht="13" customHeight="1" s="189">
      <c r="A862" s="289" t="n"/>
      <c r="B862" s="290" t="n"/>
      <c r="C862" s="290" t="n"/>
      <c r="D862" s="291" t="n"/>
      <c r="E862" s="291" t="n"/>
      <c r="F862" s="291" t="n"/>
      <c r="G862" s="297" t="n"/>
      <c r="H862" s="298" t="n"/>
    </row>
    <row r="863" ht="13" customHeight="1" s="189">
      <c r="A863" s="289" t="n"/>
      <c r="B863" s="290" t="n"/>
      <c r="C863" s="290" t="n"/>
      <c r="D863" s="291" t="n"/>
      <c r="E863" s="291" t="n"/>
      <c r="F863" s="291" t="n"/>
      <c r="G863" s="297" t="n"/>
      <c r="H863" s="298" t="n"/>
    </row>
    <row r="864" ht="13" customHeight="1" s="189">
      <c r="A864" s="289" t="n"/>
      <c r="B864" s="290" t="n"/>
      <c r="C864" s="290" t="n"/>
      <c r="D864" s="291" t="n"/>
      <c r="E864" s="291" t="n"/>
      <c r="F864" s="291" t="n"/>
      <c r="G864" s="297" t="n"/>
      <c r="H864" s="298" t="n"/>
    </row>
    <row r="865" ht="13" customHeight="1" s="189">
      <c r="A865" s="289" t="n"/>
      <c r="B865" s="290" t="n"/>
      <c r="C865" s="290" t="n"/>
      <c r="D865" s="291" t="n"/>
      <c r="E865" s="291" t="n"/>
      <c r="F865" s="291" t="n"/>
      <c r="G865" s="297" t="n"/>
      <c r="H865" s="298" t="n"/>
    </row>
    <row r="866" ht="13" customHeight="1" s="189">
      <c r="A866" s="289" t="n"/>
      <c r="B866" s="290" t="n"/>
      <c r="C866" s="290" t="n"/>
      <c r="D866" s="291" t="n"/>
      <c r="E866" s="291" t="n"/>
      <c r="F866" s="291" t="n"/>
      <c r="G866" s="297" t="n"/>
      <c r="H866" s="298" t="n"/>
    </row>
    <row r="867" ht="13" customHeight="1" s="189">
      <c r="A867" s="289" t="n"/>
      <c r="B867" s="290" t="n"/>
      <c r="C867" s="290" t="n"/>
      <c r="D867" s="291" t="n"/>
      <c r="E867" s="291" t="n"/>
      <c r="F867" s="291" t="n"/>
      <c r="G867" s="297" t="n"/>
      <c r="H867" s="298" t="n"/>
    </row>
    <row r="868" ht="13" customHeight="1" s="189">
      <c r="A868" s="289" t="n"/>
      <c r="B868" s="290" t="n"/>
      <c r="C868" s="290" t="n"/>
      <c r="D868" s="291" t="n"/>
      <c r="E868" s="291" t="n"/>
      <c r="F868" s="291" t="n"/>
      <c r="G868" s="297" t="n"/>
      <c r="H868" s="298" t="n"/>
    </row>
    <row r="869" ht="13" customHeight="1" s="189">
      <c r="A869" s="289" t="n"/>
      <c r="B869" s="290" t="n"/>
      <c r="C869" s="290" t="n"/>
      <c r="D869" s="291" t="n"/>
      <c r="E869" s="291" t="n"/>
      <c r="F869" s="291" t="n"/>
      <c r="G869" s="297" t="n"/>
      <c r="H869" s="298" t="n"/>
    </row>
    <row r="870" ht="13" customHeight="1" s="189">
      <c r="A870" s="289" t="n"/>
      <c r="B870" s="290" t="n"/>
      <c r="C870" s="290" t="n"/>
      <c r="D870" s="291" t="n"/>
      <c r="E870" s="291" t="n"/>
      <c r="F870" s="291" t="n"/>
      <c r="G870" s="297" t="n"/>
      <c r="H870" s="298" t="n"/>
    </row>
    <row r="871" ht="13" customHeight="1" s="189">
      <c r="A871" s="289" t="n"/>
      <c r="B871" s="290" t="n"/>
      <c r="C871" s="290" t="n"/>
      <c r="D871" s="291" t="n"/>
      <c r="E871" s="291" t="n"/>
      <c r="F871" s="291" t="n"/>
      <c r="G871" s="297" t="n"/>
      <c r="H871" s="298" t="n"/>
    </row>
    <row r="872" ht="13" customHeight="1" s="189">
      <c r="A872" s="289" t="n"/>
      <c r="B872" s="290" t="n"/>
      <c r="C872" s="290" t="n"/>
      <c r="D872" s="291" t="n"/>
      <c r="E872" s="291" t="n"/>
      <c r="F872" s="291" t="n"/>
      <c r="G872" s="297" t="n"/>
      <c r="H872" s="298" t="n"/>
    </row>
    <row r="873" ht="13" customHeight="1" s="189">
      <c r="A873" s="289" t="n"/>
      <c r="B873" s="290" t="n"/>
      <c r="C873" s="290" t="n"/>
      <c r="D873" s="291" t="n"/>
      <c r="E873" s="291" t="n"/>
      <c r="F873" s="291" t="n"/>
      <c r="G873" s="297" t="n"/>
      <c r="H873" s="298" t="n"/>
    </row>
    <row r="874" ht="13" customHeight="1" s="189">
      <c r="A874" s="289" t="n"/>
      <c r="B874" s="290" t="n"/>
      <c r="C874" s="290" t="n"/>
      <c r="D874" s="291" t="n"/>
      <c r="E874" s="291" t="n"/>
      <c r="F874" s="291" t="n"/>
      <c r="G874" s="297" t="n"/>
      <c r="H874" s="298" t="n"/>
    </row>
    <row r="875" ht="13" customHeight="1" s="189">
      <c r="A875" s="289" t="n"/>
      <c r="B875" s="290" t="n"/>
      <c r="C875" s="290" t="n"/>
      <c r="D875" s="291" t="n"/>
      <c r="E875" s="291" t="n"/>
      <c r="F875" s="291" t="n"/>
      <c r="G875" s="297" t="n"/>
      <c r="H875" s="298" t="n"/>
    </row>
    <row r="876" ht="13" customHeight="1" s="189">
      <c r="A876" s="289" t="n"/>
      <c r="B876" s="290" t="n"/>
      <c r="C876" s="290" t="n"/>
      <c r="D876" s="291" t="n"/>
      <c r="E876" s="291" t="n"/>
      <c r="F876" s="291" t="n"/>
      <c r="G876" s="297" t="n"/>
      <c r="H876" s="298" t="n"/>
    </row>
    <row r="877" ht="13" customHeight="1" s="189">
      <c r="A877" s="289" t="n"/>
      <c r="B877" s="290" t="n"/>
      <c r="C877" s="290" t="n"/>
      <c r="D877" s="291" t="n"/>
      <c r="E877" s="291" t="n"/>
      <c r="F877" s="291" t="n"/>
      <c r="G877" s="297" t="n"/>
      <c r="H877" s="298" t="n"/>
    </row>
    <row r="878" ht="13" customHeight="1" s="189">
      <c r="A878" s="289" t="n"/>
      <c r="B878" s="290" t="n"/>
      <c r="C878" s="290" t="n"/>
      <c r="D878" s="291" t="n"/>
      <c r="E878" s="291" t="n"/>
      <c r="F878" s="291" t="n"/>
      <c r="G878" s="297" t="n"/>
      <c r="H878" s="298" t="n"/>
    </row>
    <row r="879" ht="13" customHeight="1" s="189">
      <c r="A879" s="289" t="n"/>
      <c r="B879" s="290" t="n"/>
      <c r="C879" s="290" t="n"/>
      <c r="D879" s="291" t="n"/>
      <c r="E879" s="291" t="n"/>
      <c r="F879" s="291" t="n"/>
      <c r="G879" s="297" t="n"/>
      <c r="H879" s="298" t="n"/>
    </row>
    <row r="880" ht="13" customHeight="1" s="189">
      <c r="A880" s="289" t="n"/>
      <c r="B880" s="290" t="n"/>
      <c r="C880" s="290" t="n"/>
      <c r="D880" s="291" t="n"/>
      <c r="E880" s="291" t="n"/>
      <c r="F880" s="291" t="n"/>
      <c r="G880" s="297" t="n"/>
      <c r="H880" s="298" t="n"/>
    </row>
    <row r="881" ht="13" customHeight="1" s="189">
      <c r="A881" s="289" t="n"/>
      <c r="B881" s="290" t="n"/>
      <c r="C881" s="290" t="n"/>
      <c r="D881" s="291" t="n"/>
      <c r="E881" s="291" t="n"/>
      <c r="F881" s="291" t="n"/>
      <c r="G881" s="297" t="n"/>
      <c r="H881" s="298" t="n"/>
    </row>
    <row r="882" ht="13" customHeight="1" s="189">
      <c r="A882" s="289" t="n"/>
      <c r="B882" s="290" t="n"/>
      <c r="C882" s="290" t="n"/>
      <c r="D882" s="291" t="n"/>
      <c r="E882" s="291" t="n"/>
      <c r="F882" s="291" t="n"/>
      <c r="G882" s="297" t="n"/>
      <c r="H882" s="298" t="n"/>
    </row>
    <row r="883" ht="13" customHeight="1" s="189">
      <c r="A883" s="289" t="n"/>
      <c r="B883" s="290" t="n"/>
      <c r="C883" s="290" t="n"/>
      <c r="D883" s="291" t="n"/>
      <c r="E883" s="291" t="n"/>
      <c r="F883" s="291" t="n"/>
      <c r="G883" s="297" t="n"/>
      <c r="H883" s="298" t="n"/>
    </row>
    <row r="884" ht="13" customHeight="1" s="189">
      <c r="A884" s="289" t="n"/>
      <c r="B884" s="290" t="n"/>
      <c r="C884" s="290" t="n"/>
      <c r="D884" s="291" t="n"/>
      <c r="E884" s="291" t="n"/>
      <c r="F884" s="291" t="n"/>
      <c r="G884" s="297" t="n"/>
      <c r="H884" s="298" t="n"/>
    </row>
    <row r="885" ht="13" customHeight="1" s="189">
      <c r="A885" s="289" t="n"/>
      <c r="B885" s="290" t="n"/>
      <c r="C885" s="290" t="n"/>
      <c r="D885" s="291" t="n"/>
      <c r="E885" s="291" t="n"/>
      <c r="F885" s="291" t="n"/>
      <c r="G885" s="297" t="n"/>
      <c r="H885" s="298" t="n"/>
    </row>
    <row r="886" ht="13" customHeight="1" s="189">
      <c r="A886" s="289" t="n"/>
      <c r="B886" s="290" t="n"/>
      <c r="C886" s="290" t="n"/>
      <c r="D886" s="291" t="n"/>
      <c r="E886" s="291" t="n"/>
      <c r="F886" s="291" t="n"/>
      <c r="G886" s="297" t="n"/>
      <c r="H886" s="298" t="n"/>
    </row>
    <row r="887" ht="13" customHeight="1" s="189">
      <c r="A887" s="289" t="n"/>
      <c r="B887" s="290" t="n"/>
      <c r="C887" s="290" t="n"/>
      <c r="D887" s="291" t="n"/>
      <c r="E887" s="291" t="n"/>
      <c r="F887" s="291" t="n"/>
      <c r="G887" s="297" t="n"/>
      <c r="H887" s="298" t="n"/>
    </row>
    <row r="888" ht="13" customHeight="1" s="189">
      <c r="A888" s="289" t="n"/>
      <c r="B888" s="290" t="n"/>
      <c r="C888" s="290" t="n"/>
      <c r="D888" s="291" t="n"/>
      <c r="E888" s="291" t="n"/>
      <c r="F888" s="291" t="n"/>
      <c r="G888" s="297" t="n"/>
      <c r="H888" s="298" t="n"/>
    </row>
    <row r="889" ht="13" customHeight="1" s="189">
      <c r="A889" s="289" t="n"/>
      <c r="B889" s="290" t="n"/>
      <c r="C889" s="290" t="n"/>
      <c r="D889" s="291" t="n"/>
      <c r="E889" s="291" t="n"/>
      <c r="F889" s="291" t="n"/>
      <c r="G889" s="297" t="n"/>
      <c r="H889" s="298" t="n"/>
    </row>
    <row r="890" ht="13" customHeight="1" s="189">
      <c r="A890" s="289" t="n"/>
      <c r="B890" s="290" t="n"/>
      <c r="C890" s="290" t="n"/>
      <c r="D890" s="291" t="n"/>
      <c r="E890" s="291" t="n"/>
      <c r="F890" s="291" t="n"/>
      <c r="G890" s="297" t="n"/>
      <c r="H890" s="298" t="n"/>
    </row>
    <row r="891" ht="13" customHeight="1" s="189">
      <c r="A891" s="289" t="n"/>
      <c r="B891" s="290" t="n"/>
      <c r="C891" s="290" t="n"/>
      <c r="D891" s="291" t="n"/>
      <c r="E891" s="291" t="n"/>
      <c r="F891" s="291" t="n"/>
      <c r="G891" s="297" t="n"/>
      <c r="H891" s="298" t="n"/>
    </row>
    <row r="892" ht="13" customHeight="1" s="189">
      <c r="A892" s="289" t="n"/>
      <c r="B892" s="290" t="n"/>
      <c r="C892" s="290" t="n"/>
      <c r="D892" s="291" t="n"/>
      <c r="E892" s="291" t="n"/>
      <c r="F892" s="291" t="n"/>
      <c r="G892" s="297" t="n"/>
      <c r="H892" s="298" t="n"/>
    </row>
    <row r="893" ht="13" customHeight="1" s="189">
      <c r="A893" s="289" t="n"/>
      <c r="B893" s="290" t="n"/>
      <c r="C893" s="290" t="n"/>
      <c r="D893" s="291" t="n"/>
      <c r="E893" s="291" t="n"/>
      <c r="F893" s="291" t="n"/>
      <c r="G893" s="297" t="n"/>
      <c r="H893" s="298" t="n"/>
    </row>
    <row r="894" ht="13" customHeight="1" s="189">
      <c r="A894" s="289" t="n"/>
      <c r="B894" s="290" t="n"/>
      <c r="C894" s="290" t="n"/>
      <c r="D894" s="291" t="n"/>
      <c r="E894" s="291" t="n"/>
      <c r="F894" s="291" t="n"/>
      <c r="G894" s="297" t="n"/>
      <c r="H894" s="298" t="n"/>
    </row>
    <row r="895" ht="13" customHeight="1" s="189">
      <c r="A895" s="289" t="n"/>
      <c r="B895" s="290" t="n"/>
      <c r="C895" s="290" t="n"/>
      <c r="D895" s="291" t="n"/>
      <c r="E895" s="291" t="n"/>
      <c r="F895" s="291" t="n"/>
      <c r="G895" s="297" t="n"/>
      <c r="H895" s="298" t="n"/>
    </row>
    <row r="896" ht="13" customHeight="1" s="189">
      <c r="A896" s="289" t="n"/>
      <c r="B896" s="290" t="n"/>
      <c r="C896" s="290" t="n"/>
      <c r="D896" s="291" t="n"/>
      <c r="E896" s="291" t="n"/>
      <c r="F896" s="291" t="n"/>
      <c r="G896" s="297" t="n"/>
      <c r="H896" s="298" t="n"/>
    </row>
    <row r="897" ht="13" customHeight="1" s="189">
      <c r="A897" s="289" t="n"/>
      <c r="B897" s="290" t="n"/>
      <c r="C897" s="290" t="n"/>
      <c r="D897" s="291" t="n"/>
      <c r="E897" s="291" t="n"/>
      <c r="F897" s="291" t="n"/>
      <c r="G897" s="297" t="n"/>
      <c r="H897" s="298" t="n"/>
    </row>
    <row r="898" ht="13" customHeight="1" s="189">
      <c r="A898" s="289" t="n"/>
      <c r="B898" s="290" t="n"/>
      <c r="C898" s="290" t="n"/>
      <c r="D898" s="291" t="n"/>
      <c r="E898" s="291" t="n"/>
      <c r="F898" s="291" t="n"/>
      <c r="G898" s="297" t="n"/>
      <c r="H898" s="298" t="n"/>
    </row>
    <row r="899" ht="13" customHeight="1" s="189">
      <c r="A899" s="289" t="n"/>
      <c r="B899" s="290" t="n"/>
      <c r="C899" s="290" t="n"/>
      <c r="D899" s="291" t="n"/>
      <c r="E899" s="291" t="n"/>
      <c r="F899" s="291" t="n"/>
      <c r="G899" s="297" t="n"/>
      <c r="H899" s="298" t="n"/>
    </row>
    <row r="900" ht="13" customHeight="1" s="189">
      <c r="A900" s="289" t="n"/>
      <c r="B900" s="290" t="n"/>
      <c r="C900" s="290" t="n"/>
      <c r="D900" s="291" t="n"/>
      <c r="E900" s="291" t="n"/>
      <c r="F900" s="291" t="n"/>
      <c r="G900" s="297" t="n"/>
      <c r="H900" s="298" t="n"/>
    </row>
    <row r="901" ht="13" customHeight="1" s="189">
      <c r="A901" s="289" t="n"/>
      <c r="B901" s="290" t="n"/>
      <c r="C901" s="290" t="n"/>
      <c r="D901" s="291" t="n"/>
      <c r="E901" s="291" t="n"/>
      <c r="F901" s="291" t="n"/>
      <c r="G901" s="297" t="n"/>
      <c r="H901" s="298" t="n"/>
    </row>
    <row r="902" ht="13" customHeight="1" s="189">
      <c r="A902" s="289" t="n"/>
      <c r="B902" s="290" t="n"/>
      <c r="C902" s="290" t="n"/>
      <c r="D902" s="291" t="n"/>
      <c r="E902" s="291" t="n"/>
      <c r="F902" s="291" t="n"/>
      <c r="G902" s="297" t="n"/>
      <c r="H902" s="298" t="n"/>
    </row>
    <row r="903" ht="13" customHeight="1" s="189">
      <c r="A903" s="289" t="n"/>
      <c r="B903" s="290" t="n"/>
      <c r="C903" s="290" t="n"/>
      <c r="D903" s="291" t="n"/>
      <c r="E903" s="291" t="n"/>
      <c r="F903" s="291" t="n"/>
      <c r="G903" s="297" t="n"/>
      <c r="H903" s="298" t="n"/>
    </row>
    <row r="904" ht="13" customHeight="1" s="189">
      <c r="A904" s="289" t="n"/>
      <c r="B904" s="290" t="n"/>
      <c r="C904" s="290" t="n"/>
      <c r="D904" s="291" t="n"/>
      <c r="E904" s="291" t="n"/>
      <c r="F904" s="291" t="n"/>
      <c r="G904" s="297" t="n"/>
      <c r="H904" s="298" t="n"/>
    </row>
    <row r="905" ht="13" customHeight="1" s="189">
      <c r="A905" s="289" t="n"/>
      <c r="B905" s="290" t="n"/>
      <c r="C905" s="290" t="n"/>
      <c r="D905" s="291" t="n"/>
      <c r="E905" s="291" t="n"/>
      <c r="F905" s="291" t="n"/>
      <c r="G905" s="297" t="n"/>
      <c r="H905" s="298" t="n"/>
    </row>
    <row r="906" ht="13" customHeight="1" s="189">
      <c r="A906" s="289" t="n"/>
      <c r="B906" s="290" t="n"/>
      <c r="C906" s="290" t="n"/>
      <c r="D906" s="291" t="n"/>
      <c r="E906" s="291" t="n"/>
      <c r="F906" s="291" t="n"/>
      <c r="G906" s="297" t="n"/>
      <c r="H906" s="298" t="n"/>
    </row>
    <row r="907" ht="13" customHeight="1" s="189">
      <c r="A907" s="289" t="n"/>
      <c r="B907" s="290" t="n"/>
      <c r="C907" s="290" t="n"/>
      <c r="D907" s="291" t="n"/>
      <c r="E907" s="291" t="n"/>
      <c r="F907" s="291" t="n"/>
      <c r="G907" s="297" t="n"/>
      <c r="H907" s="298" t="n"/>
    </row>
    <row r="908" ht="13" customHeight="1" s="189">
      <c r="A908" s="289" t="n"/>
      <c r="B908" s="290" t="n"/>
      <c r="C908" s="290" t="n"/>
      <c r="D908" s="291" t="n"/>
      <c r="E908" s="291" t="n"/>
      <c r="F908" s="291" t="n"/>
      <c r="G908" s="297" t="n"/>
      <c r="H908" s="298" t="n"/>
    </row>
    <row r="909" ht="13" customHeight="1" s="189">
      <c r="A909" s="289" t="n"/>
      <c r="B909" s="290" t="n"/>
      <c r="C909" s="290" t="n"/>
      <c r="D909" s="291" t="n"/>
      <c r="E909" s="291" t="n"/>
      <c r="F909" s="291" t="n"/>
      <c r="G909" s="297" t="n"/>
      <c r="H909" s="298" t="n"/>
    </row>
    <row r="910" ht="13" customHeight="1" s="189">
      <c r="A910" s="289" t="n"/>
      <c r="B910" s="290" t="n"/>
      <c r="C910" s="290" t="n"/>
      <c r="D910" s="291" t="n"/>
      <c r="E910" s="291" t="n"/>
      <c r="F910" s="291" t="n"/>
      <c r="G910" s="297" t="n"/>
      <c r="H910" s="298" t="n"/>
    </row>
    <row r="911" ht="13" customHeight="1" s="189">
      <c r="A911" s="289" t="n"/>
      <c r="B911" s="290" t="n"/>
      <c r="C911" s="290" t="n"/>
      <c r="D911" s="291" t="n"/>
      <c r="E911" s="291" t="n"/>
      <c r="F911" s="291" t="n"/>
      <c r="G911" s="297" t="n"/>
      <c r="H911" s="298" t="n"/>
    </row>
    <row r="912" ht="13" customHeight="1" s="189">
      <c r="A912" s="289" t="n"/>
      <c r="B912" s="290" t="n"/>
      <c r="C912" s="290" t="n"/>
      <c r="D912" s="291" t="n"/>
      <c r="E912" s="291" t="n"/>
      <c r="F912" s="291" t="n"/>
      <c r="G912" s="297" t="n"/>
      <c r="H912" s="298" t="n"/>
    </row>
    <row r="913" ht="13" customHeight="1" s="189">
      <c r="A913" s="289" t="n"/>
      <c r="B913" s="290" t="n"/>
      <c r="C913" s="290" t="n"/>
      <c r="D913" s="291" t="n"/>
      <c r="E913" s="291" t="n"/>
      <c r="F913" s="291" t="n"/>
      <c r="G913" s="297" t="n"/>
      <c r="H913" s="298" t="n"/>
    </row>
    <row r="914" ht="13" customHeight="1" s="189">
      <c r="A914" s="289" t="n"/>
      <c r="B914" s="290" t="n"/>
      <c r="C914" s="290" t="n"/>
      <c r="D914" s="291" t="n"/>
      <c r="E914" s="291" t="n"/>
      <c r="F914" s="291" t="n"/>
      <c r="G914" s="297" t="n"/>
      <c r="H914" s="298" t="n"/>
    </row>
    <row r="915" ht="13" customHeight="1" s="189">
      <c r="A915" s="289" t="n"/>
      <c r="B915" s="290" t="n"/>
      <c r="C915" s="290" t="n"/>
      <c r="D915" s="291" t="n"/>
      <c r="E915" s="291" t="n"/>
      <c r="F915" s="291" t="n"/>
      <c r="G915" s="297" t="n"/>
      <c r="H915" s="298" t="n"/>
    </row>
    <row r="916" ht="13" customHeight="1" s="189">
      <c r="A916" s="289" t="n"/>
      <c r="B916" s="290" t="n"/>
      <c r="C916" s="290" t="n"/>
      <c r="D916" s="291" t="n"/>
      <c r="E916" s="291" t="n"/>
      <c r="F916" s="291" t="n"/>
      <c r="G916" s="297" t="n"/>
      <c r="H916" s="298" t="n"/>
    </row>
    <row r="917" ht="13" customHeight="1" s="189">
      <c r="A917" s="289" t="n"/>
      <c r="B917" s="290" t="n"/>
      <c r="C917" s="290" t="n"/>
      <c r="D917" s="291" t="n"/>
      <c r="E917" s="291" t="n"/>
      <c r="F917" s="291" t="n"/>
      <c r="G917" s="297" t="n"/>
      <c r="H917" s="298" t="n"/>
    </row>
    <row r="918" ht="13" customHeight="1" s="189">
      <c r="A918" s="289" t="n"/>
      <c r="B918" s="290" t="n"/>
      <c r="C918" s="290" t="n"/>
      <c r="D918" s="291" t="n"/>
      <c r="E918" s="291" t="n"/>
      <c r="F918" s="291" t="n"/>
      <c r="G918" s="297" t="n"/>
      <c r="H918" s="298" t="n"/>
    </row>
    <row r="919" ht="13" customHeight="1" s="189">
      <c r="A919" s="289" t="n"/>
      <c r="B919" s="290" t="n"/>
      <c r="C919" s="290" t="n"/>
      <c r="D919" s="291" t="n"/>
      <c r="E919" s="291" t="n"/>
      <c r="F919" s="291" t="n"/>
      <c r="G919" s="297" t="n"/>
      <c r="H919" s="298" t="n"/>
    </row>
    <row r="920" ht="13" customHeight="1" s="189">
      <c r="A920" s="289" t="n"/>
      <c r="B920" s="290" t="n"/>
      <c r="C920" s="290" t="n"/>
      <c r="D920" s="291" t="n"/>
      <c r="E920" s="291" t="n"/>
      <c r="F920" s="291" t="n"/>
      <c r="G920" s="297" t="n"/>
      <c r="H920" s="298" t="n"/>
    </row>
    <row r="921" ht="13" customHeight="1" s="189">
      <c r="A921" s="289" t="n"/>
      <c r="B921" s="290" t="n"/>
      <c r="C921" s="290" t="n"/>
      <c r="D921" s="291" t="n"/>
      <c r="E921" s="291" t="n"/>
      <c r="F921" s="291" t="n"/>
      <c r="G921" s="297" t="n"/>
      <c r="H921" s="298" t="n"/>
    </row>
    <row r="922" ht="13" customHeight="1" s="189">
      <c r="A922" s="289" t="n"/>
      <c r="B922" s="290" t="n"/>
      <c r="C922" s="290" t="n"/>
      <c r="D922" s="291" t="n"/>
      <c r="E922" s="291" t="n"/>
      <c r="F922" s="291" t="n"/>
      <c r="G922" s="297" t="n"/>
      <c r="H922" s="298" t="n"/>
    </row>
    <row r="923" ht="13" customHeight="1" s="189">
      <c r="A923" s="289" t="n"/>
      <c r="B923" s="290" t="n"/>
      <c r="C923" s="290" t="n"/>
      <c r="D923" s="291" t="n"/>
      <c r="E923" s="291" t="n"/>
      <c r="F923" s="291" t="n"/>
      <c r="G923" s="297" t="n"/>
      <c r="H923" s="298" t="n"/>
    </row>
    <row r="924" ht="13" customHeight="1" s="189">
      <c r="A924" s="289" t="n"/>
      <c r="B924" s="290" t="n"/>
      <c r="C924" s="290" t="n"/>
      <c r="D924" s="291" t="n"/>
      <c r="E924" s="291" t="n"/>
      <c r="F924" s="291" t="n"/>
      <c r="G924" s="297" t="n"/>
      <c r="H924" s="298" t="n"/>
    </row>
    <row r="925" ht="13" customHeight="1" s="189">
      <c r="A925" s="289" t="n"/>
      <c r="B925" s="290" t="n"/>
      <c r="C925" s="290" t="n"/>
      <c r="D925" s="291" t="n"/>
      <c r="E925" s="291" t="n"/>
      <c r="F925" s="291" t="n"/>
      <c r="G925" s="297" t="n"/>
      <c r="H925" s="298" t="n"/>
    </row>
    <row r="926" ht="13" customHeight="1" s="189">
      <c r="A926" s="289" t="n"/>
      <c r="B926" s="290" t="n"/>
      <c r="C926" s="290" t="n"/>
      <c r="D926" s="291" t="n"/>
      <c r="E926" s="291" t="n"/>
      <c r="F926" s="291" t="n"/>
      <c r="G926" s="297" t="n"/>
      <c r="H926" s="298" t="n"/>
    </row>
    <row r="927" ht="13" customHeight="1" s="189">
      <c r="A927" s="289" t="n"/>
      <c r="B927" s="290" t="n"/>
      <c r="C927" s="290" t="n"/>
      <c r="D927" s="291" t="n"/>
      <c r="E927" s="291" t="n"/>
      <c r="F927" s="291" t="n"/>
      <c r="G927" s="297" t="n"/>
      <c r="H927" s="298" t="n"/>
    </row>
    <row r="928" ht="13" customHeight="1" s="189">
      <c r="A928" s="289" t="n"/>
      <c r="B928" s="290" t="n"/>
      <c r="C928" s="290" t="n"/>
      <c r="D928" s="291" t="n"/>
      <c r="E928" s="291" t="n"/>
      <c r="F928" s="291" t="n"/>
      <c r="G928" s="297" t="n"/>
      <c r="H928" s="298" t="n"/>
    </row>
    <row r="929" ht="13" customHeight="1" s="189">
      <c r="A929" s="289" t="n"/>
      <c r="B929" s="290" t="n"/>
      <c r="C929" s="290" t="n"/>
      <c r="D929" s="291" t="n"/>
      <c r="E929" s="291" t="n"/>
      <c r="F929" s="291" t="n"/>
      <c r="G929" s="297" t="n"/>
      <c r="H929" s="298" t="n"/>
    </row>
    <row r="930" ht="13" customHeight="1" s="189">
      <c r="A930" s="289" t="n"/>
      <c r="B930" s="290" t="n"/>
      <c r="C930" s="290" t="n"/>
      <c r="D930" s="291" t="n"/>
      <c r="E930" s="291" t="n"/>
      <c r="F930" s="291" t="n"/>
      <c r="G930" s="297" t="n"/>
      <c r="H930" s="298" t="n"/>
    </row>
    <row r="931" ht="13" customHeight="1" s="189">
      <c r="A931" s="289" t="n"/>
      <c r="B931" s="290" t="n"/>
      <c r="C931" s="290" t="n"/>
      <c r="D931" s="291" t="n"/>
      <c r="E931" s="291" t="n"/>
      <c r="F931" s="291" t="n"/>
      <c r="G931" s="297" t="n"/>
      <c r="H931" s="298" t="n"/>
    </row>
    <row r="932" ht="13" customHeight="1" s="189">
      <c r="A932" s="289" t="n"/>
      <c r="B932" s="290" t="n"/>
      <c r="C932" s="290" t="n"/>
      <c r="D932" s="291" t="n"/>
      <c r="E932" s="291" t="n"/>
      <c r="F932" s="291" t="n"/>
      <c r="G932" s="297" t="n"/>
      <c r="H932" s="298" t="n"/>
    </row>
    <row r="933" ht="13" customHeight="1" s="189">
      <c r="A933" s="289" t="n"/>
      <c r="B933" s="290" t="n"/>
      <c r="C933" s="290" t="n"/>
      <c r="D933" s="291" t="n"/>
      <c r="E933" s="291" t="n"/>
      <c r="F933" s="291" t="n"/>
      <c r="G933" s="297" t="n"/>
      <c r="H933" s="298" t="n"/>
    </row>
    <row r="934" ht="13" customHeight="1" s="189">
      <c r="A934" s="289" t="n"/>
      <c r="B934" s="290" t="n"/>
      <c r="C934" s="290" t="n"/>
      <c r="D934" s="291" t="n"/>
      <c r="E934" s="291" t="n"/>
      <c r="F934" s="291" t="n"/>
      <c r="G934" s="297" t="n"/>
      <c r="H934" s="298" t="n"/>
    </row>
    <row r="935" ht="13" customHeight="1" s="189">
      <c r="A935" s="289" t="n"/>
      <c r="B935" s="290" t="n"/>
      <c r="C935" s="290" t="n"/>
      <c r="D935" s="291" t="n"/>
      <c r="E935" s="291" t="n"/>
      <c r="F935" s="291" t="n"/>
      <c r="G935" s="297" t="n"/>
      <c r="H935" s="298" t="n"/>
    </row>
    <row r="936" ht="13" customHeight="1" s="189">
      <c r="A936" s="289" t="n"/>
      <c r="B936" s="290" t="n"/>
      <c r="C936" s="290" t="n"/>
      <c r="D936" s="291" t="n"/>
      <c r="E936" s="291" t="n"/>
      <c r="F936" s="291" t="n"/>
      <c r="G936" s="297" t="n"/>
      <c r="H936" s="298" t="n"/>
    </row>
    <row r="937" ht="13" customHeight="1" s="189">
      <c r="A937" s="289" t="n"/>
      <c r="B937" s="290" t="n"/>
      <c r="C937" s="290" t="n"/>
      <c r="D937" s="291" t="n"/>
      <c r="E937" s="291" t="n"/>
      <c r="F937" s="291" t="n"/>
      <c r="G937" s="297" t="n"/>
      <c r="H937" s="298" t="n"/>
    </row>
    <row r="938" ht="13" customHeight="1" s="189">
      <c r="A938" s="289" t="n"/>
      <c r="B938" s="290" t="n"/>
      <c r="C938" s="290" t="n"/>
      <c r="D938" s="291" t="n"/>
      <c r="E938" s="291" t="n"/>
      <c r="F938" s="291" t="n"/>
      <c r="G938" s="297" t="n"/>
      <c r="H938" s="298" t="n"/>
    </row>
    <row r="939" ht="13" customHeight="1" s="189">
      <c r="A939" s="289" t="n"/>
      <c r="B939" s="290" t="n"/>
      <c r="C939" s="290" t="n"/>
      <c r="D939" s="291" t="n"/>
      <c r="E939" s="291" t="n"/>
      <c r="F939" s="291" t="n"/>
      <c r="G939" s="297" t="n"/>
      <c r="H939" s="298" t="n"/>
    </row>
    <row r="940" ht="13" customHeight="1" s="189">
      <c r="A940" s="289" t="n"/>
      <c r="B940" s="290" t="n"/>
      <c r="C940" s="290" t="n"/>
      <c r="D940" s="291" t="n"/>
      <c r="E940" s="291" t="n"/>
      <c r="F940" s="291" t="n"/>
      <c r="G940" s="297" t="n"/>
      <c r="H940" s="298" t="n"/>
    </row>
    <row r="941" ht="13" customHeight="1" s="189">
      <c r="A941" s="289" t="n"/>
      <c r="B941" s="290" t="n"/>
      <c r="C941" s="290" t="n"/>
      <c r="D941" s="291" t="n"/>
      <c r="E941" s="291" t="n"/>
      <c r="F941" s="291" t="n"/>
      <c r="G941" s="297" t="n"/>
      <c r="H941" s="298" t="n"/>
    </row>
    <row r="942" ht="13" customHeight="1" s="189">
      <c r="A942" s="289" t="n"/>
      <c r="B942" s="290" t="n"/>
      <c r="C942" s="290" t="n"/>
      <c r="D942" s="291" t="n"/>
      <c r="E942" s="291" t="n"/>
      <c r="F942" s="291" t="n"/>
      <c r="G942" s="297" t="n"/>
      <c r="H942" s="298" t="n"/>
    </row>
    <row r="943" ht="13" customHeight="1" s="189">
      <c r="A943" s="289" t="n"/>
      <c r="B943" s="290" t="n"/>
      <c r="C943" s="290" t="n"/>
      <c r="D943" s="291" t="n"/>
      <c r="E943" s="291" t="n"/>
      <c r="F943" s="291" t="n"/>
      <c r="G943" s="297" t="n"/>
      <c r="H943" s="298" t="n"/>
    </row>
    <row r="944" ht="13" customHeight="1" s="189">
      <c r="A944" s="289" t="n"/>
      <c r="B944" s="290" t="n"/>
      <c r="C944" s="290" t="n"/>
      <c r="D944" s="291" t="n"/>
      <c r="E944" s="291" t="n"/>
      <c r="F944" s="291" t="n"/>
      <c r="G944" s="297" t="n"/>
      <c r="H944" s="298" t="n"/>
    </row>
    <row r="945" ht="13" customHeight="1" s="189">
      <c r="A945" s="289" t="n"/>
      <c r="B945" s="290" t="n"/>
      <c r="C945" s="290" t="n"/>
      <c r="D945" s="291" t="n"/>
      <c r="E945" s="291" t="n"/>
      <c r="F945" s="291" t="n"/>
      <c r="G945" s="297" t="n"/>
      <c r="H945" s="298" t="n"/>
    </row>
    <row r="946" ht="13" customHeight="1" s="189">
      <c r="A946" s="289" t="n"/>
      <c r="B946" s="290" t="n"/>
      <c r="C946" s="290" t="n"/>
      <c r="D946" s="291" t="n"/>
      <c r="E946" s="291" t="n"/>
      <c r="F946" s="291" t="n"/>
      <c r="G946" s="297" t="n"/>
      <c r="H946" s="298" t="n"/>
    </row>
    <row r="947" ht="13" customHeight="1" s="189">
      <c r="A947" s="289" t="n"/>
      <c r="B947" s="290" t="n"/>
      <c r="C947" s="290" t="n"/>
      <c r="D947" s="291" t="n"/>
      <c r="E947" s="291" t="n"/>
      <c r="F947" s="291" t="n"/>
      <c r="G947" s="297" t="n"/>
      <c r="H947" s="298" t="n"/>
    </row>
    <row r="948" ht="13" customHeight="1" s="189">
      <c r="A948" s="289" t="n"/>
      <c r="B948" s="290" t="n"/>
      <c r="C948" s="290" t="n"/>
      <c r="D948" s="291" t="n"/>
      <c r="E948" s="291" t="n"/>
      <c r="F948" s="291" t="n"/>
      <c r="G948" s="297" t="n"/>
      <c r="H948" s="298" t="n"/>
    </row>
    <row r="949" ht="13" customHeight="1" s="189">
      <c r="A949" s="289" t="n"/>
      <c r="B949" s="290" t="n"/>
      <c r="C949" s="290" t="n"/>
      <c r="D949" s="291" t="n"/>
      <c r="E949" s="291" t="n"/>
      <c r="F949" s="291" t="n"/>
      <c r="G949" s="297" t="n"/>
      <c r="H949" s="298" t="n"/>
    </row>
    <row r="950" ht="13" customHeight="1" s="189">
      <c r="A950" s="289" t="n"/>
      <c r="B950" s="290" t="n"/>
      <c r="C950" s="290" t="n"/>
      <c r="D950" s="291" t="n"/>
      <c r="E950" s="291" t="n"/>
      <c r="F950" s="291" t="n"/>
      <c r="G950" s="297" t="n"/>
      <c r="H950" s="298" t="n"/>
    </row>
    <row r="951" ht="13" customHeight="1" s="189">
      <c r="A951" s="289" t="n"/>
      <c r="B951" s="290" t="n"/>
      <c r="C951" s="290" t="n"/>
      <c r="D951" s="291" t="n"/>
      <c r="E951" s="291" t="n"/>
      <c r="F951" s="291" t="n"/>
      <c r="G951" s="297" t="n"/>
      <c r="H951" s="298" t="n"/>
    </row>
    <row r="952" ht="13" customHeight="1" s="189">
      <c r="A952" s="289" t="n"/>
      <c r="B952" s="290" t="n"/>
      <c r="C952" s="290" t="n"/>
      <c r="D952" s="291" t="n"/>
      <c r="E952" s="291" t="n"/>
      <c r="F952" s="291" t="n"/>
      <c r="G952" s="297" t="n"/>
      <c r="H952" s="298" t="n"/>
    </row>
    <row r="953" ht="13" customHeight="1" s="189">
      <c r="A953" s="289" t="n"/>
      <c r="B953" s="290" t="n"/>
      <c r="C953" s="290" t="n"/>
      <c r="D953" s="291" t="n"/>
      <c r="E953" s="291" t="n"/>
      <c r="F953" s="291" t="n"/>
      <c r="G953" s="297" t="n"/>
      <c r="H953" s="298" t="n"/>
    </row>
    <row r="954" ht="13" customHeight="1" s="189">
      <c r="A954" s="289" t="n"/>
      <c r="B954" s="290" t="n"/>
      <c r="C954" s="290" t="n"/>
      <c r="D954" s="291" t="n"/>
      <c r="E954" s="291" t="n"/>
      <c r="F954" s="291" t="n"/>
      <c r="G954" s="297" t="n"/>
      <c r="H954" s="298" t="n"/>
    </row>
    <row r="955" ht="13" customHeight="1" s="189">
      <c r="A955" s="289" t="n"/>
      <c r="B955" s="290" t="n"/>
      <c r="C955" s="290" t="n"/>
      <c r="D955" s="291" t="n"/>
      <c r="E955" s="291" t="n"/>
      <c r="F955" s="291" t="n"/>
      <c r="G955" s="297" t="n"/>
      <c r="H955" s="298" t="n"/>
    </row>
    <row r="956" ht="13" customHeight="1" s="189">
      <c r="A956" s="289" t="n"/>
      <c r="B956" s="290" t="n"/>
      <c r="C956" s="290" t="n"/>
      <c r="D956" s="291" t="n"/>
      <c r="E956" s="291" t="n"/>
      <c r="F956" s="291" t="n"/>
      <c r="G956" s="297" t="n"/>
      <c r="H956" s="298" t="n"/>
    </row>
    <row r="957" ht="13" customHeight="1" s="189">
      <c r="A957" s="289" t="n"/>
      <c r="B957" s="290" t="n"/>
      <c r="C957" s="290" t="n"/>
      <c r="D957" s="291" t="n"/>
      <c r="E957" s="291" t="n"/>
      <c r="F957" s="291" t="n"/>
      <c r="G957" s="297" t="n"/>
      <c r="H957" s="298" t="n"/>
    </row>
    <row r="958" ht="13" customHeight="1" s="189">
      <c r="A958" s="289" t="n"/>
      <c r="B958" s="290" t="n"/>
      <c r="C958" s="290" t="n"/>
      <c r="D958" s="291" t="n"/>
      <c r="E958" s="291" t="n"/>
      <c r="F958" s="291" t="n"/>
      <c r="G958" s="297" t="n"/>
      <c r="H958" s="298" t="n"/>
    </row>
    <row r="959" ht="13" customHeight="1" s="189">
      <c r="A959" s="289" t="n"/>
      <c r="B959" s="290" t="n"/>
      <c r="C959" s="290" t="n"/>
      <c r="D959" s="291" t="n"/>
      <c r="E959" s="291" t="n"/>
      <c r="F959" s="291" t="n"/>
      <c r="G959" s="297" t="n"/>
      <c r="H959" s="298" t="n"/>
    </row>
    <row r="960" ht="13" customHeight="1" s="189">
      <c r="A960" s="289" t="n"/>
      <c r="B960" s="290" t="n"/>
      <c r="C960" s="290" t="n"/>
      <c r="D960" s="291" t="n"/>
      <c r="E960" s="291" t="n"/>
      <c r="F960" s="291" t="n"/>
      <c r="G960" s="297" t="n"/>
      <c r="H960" s="298" t="n"/>
    </row>
    <row r="961" ht="13" customHeight="1" s="189">
      <c r="A961" s="289" t="n"/>
      <c r="B961" s="290" t="n"/>
      <c r="C961" s="290" t="n"/>
      <c r="D961" s="291" t="n"/>
      <c r="E961" s="291" t="n"/>
      <c r="F961" s="291" t="n"/>
      <c r="G961" s="297" t="n"/>
      <c r="H961" s="298" t="n"/>
    </row>
    <row r="962" ht="13" customHeight="1" s="189">
      <c r="A962" s="289" t="n"/>
      <c r="B962" s="290" t="n"/>
      <c r="C962" s="290" t="n"/>
      <c r="D962" s="291" t="n"/>
      <c r="E962" s="291" t="n"/>
      <c r="F962" s="291" t="n"/>
      <c r="G962" s="297" t="n"/>
      <c r="H962" s="298" t="n"/>
    </row>
    <row r="963" ht="13" customHeight="1" s="189">
      <c r="A963" s="289" t="n"/>
      <c r="B963" s="290" t="n"/>
      <c r="C963" s="290" t="n"/>
      <c r="D963" s="291" t="n"/>
      <c r="E963" s="291" t="n"/>
      <c r="F963" s="291" t="n"/>
      <c r="G963" s="297" t="n"/>
      <c r="H963" s="298" t="n"/>
    </row>
    <row r="964" ht="13" customHeight="1" s="189">
      <c r="A964" s="289" t="n"/>
      <c r="B964" s="290" t="n"/>
      <c r="C964" s="290" t="n"/>
      <c r="D964" s="291" t="n"/>
      <c r="E964" s="291" t="n"/>
      <c r="F964" s="291" t="n"/>
      <c r="G964" s="297" t="n"/>
      <c r="H964" s="298" t="n"/>
    </row>
    <row r="965" ht="13" customHeight="1" s="189">
      <c r="A965" s="289" t="n"/>
      <c r="B965" s="290" t="n"/>
      <c r="C965" s="290" t="n"/>
      <c r="D965" s="291" t="n"/>
      <c r="E965" s="291" t="n"/>
      <c r="F965" s="291" t="n"/>
      <c r="G965" s="297" t="n"/>
      <c r="H965" s="298" t="n"/>
    </row>
    <row r="966" ht="13" customHeight="1" s="189">
      <c r="A966" s="289" t="n"/>
      <c r="B966" s="290" t="n"/>
      <c r="C966" s="290" t="n"/>
      <c r="D966" s="291" t="n"/>
      <c r="E966" s="291" t="n"/>
      <c r="F966" s="291" t="n"/>
      <c r="G966" s="297" t="n"/>
      <c r="H966" s="298" t="n"/>
    </row>
    <row r="967" ht="13" customHeight="1" s="189">
      <c r="A967" s="289" t="n"/>
      <c r="B967" s="290" t="n"/>
      <c r="C967" s="290" t="n"/>
      <c r="D967" s="291" t="n"/>
      <c r="E967" s="291" t="n"/>
      <c r="F967" s="291" t="n"/>
      <c r="G967" s="297" t="n"/>
      <c r="H967" s="298" t="n"/>
    </row>
    <row r="968" ht="13" customHeight="1" s="189">
      <c r="A968" s="289" t="n"/>
      <c r="B968" s="290" t="n"/>
      <c r="C968" s="290" t="n"/>
      <c r="D968" s="291" t="n"/>
      <c r="E968" s="291" t="n"/>
      <c r="F968" s="291" t="n"/>
      <c r="G968" s="297" t="n"/>
      <c r="H968" s="298" t="n"/>
    </row>
    <row r="969" ht="13" customHeight="1" s="189">
      <c r="A969" s="289" t="n"/>
      <c r="B969" s="290" t="n"/>
      <c r="C969" s="290" t="n"/>
      <c r="D969" s="291" t="n"/>
      <c r="E969" s="291" t="n"/>
      <c r="F969" s="291" t="n"/>
      <c r="G969" s="297" t="n"/>
      <c r="H969" s="298" t="n"/>
    </row>
    <row r="970" ht="13" customHeight="1" s="189">
      <c r="A970" s="289" t="n"/>
      <c r="B970" s="290" t="n"/>
      <c r="C970" s="290" t="n"/>
      <c r="D970" s="291" t="n"/>
      <c r="E970" s="291" t="n"/>
      <c r="F970" s="291" t="n"/>
      <c r="G970" s="297" t="n"/>
      <c r="H970" s="298" t="n"/>
    </row>
    <row r="971" ht="13" customHeight="1" s="189">
      <c r="A971" s="289" t="n"/>
      <c r="B971" s="290" t="n"/>
      <c r="C971" s="290" t="n"/>
      <c r="D971" s="291" t="n"/>
      <c r="E971" s="291" t="n"/>
      <c r="F971" s="291" t="n"/>
      <c r="G971" s="297" t="n"/>
      <c r="H971" s="298" t="n"/>
    </row>
    <row r="972" ht="13" customHeight="1" s="189">
      <c r="A972" s="289" t="n"/>
      <c r="B972" s="290" t="n"/>
      <c r="C972" s="290" t="n"/>
      <c r="D972" s="291" t="n"/>
      <c r="E972" s="291" t="n"/>
      <c r="F972" s="291" t="n"/>
      <c r="G972" s="297" t="n"/>
      <c r="H972" s="298" t="n"/>
    </row>
    <row r="973" ht="13" customHeight="1" s="189">
      <c r="A973" s="289" t="n"/>
      <c r="B973" s="290" t="n"/>
      <c r="C973" s="290" t="n"/>
      <c r="D973" s="291" t="n"/>
      <c r="E973" s="291" t="n"/>
      <c r="F973" s="291" t="n"/>
      <c r="G973" s="297" t="n"/>
      <c r="H973" s="298" t="n"/>
    </row>
    <row r="974" ht="13" customHeight="1" s="189">
      <c r="A974" s="289" t="n"/>
      <c r="B974" s="290" t="n"/>
      <c r="C974" s="290" t="n"/>
      <c r="D974" s="291" t="n"/>
      <c r="E974" s="291" t="n"/>
      <c r="F974" s="291" t="n"/>
      <c r="G974" s="297" t="n"/>
      <c r="H974" s="298" t="n"/>
    </row>
    <row r="975" ht="13" customHeight="1" s="189">
      <c r="A975" s="289" t="n"/>
      <c r="B975" s="290" t="n"/>
      <c r="C975" s="290" t="n"/>
      <c r="D975" s="291" t="n"/>
      <c r="E975" s="291" t="n"/>
      <c r="F975" s="291" t="n"/>
      <c r="G975" s="297" t="n"/>
      <c r="H975" s="298" t="n"/>
    </row>
    <row r="976" ht="13" customHeight="1" s="189">
      <c r="A976" s="289" t="n"/>
      <c r="B976" s="290" t="n"/>
      <c r="C976" s="290" t="n"/>
      <c r="D976" s="291" t="n"/>
      <c r="E976" s="291" t="n"/>
      <c r="F976" s="291" t="n"/>
      <c r="G976" s="297" t="n"/>
      <c r="H976" s="298" t="n"/>
    </row>
    <row r="977" ht="13" customHeight="1" s="189">
      <c r="A977" s="289" t="n"/>
      <c r="B977" s="290" t="n"/>
      <c r="C977" s="290" t="n"/>
      <c r="D977" s="291" t="n"/>
      <c r="E977" s="291" t="n"/>
      <c r="F977" s="291" t="n"/>
      <c r="G977" s="297" t="n"/>
      <c r="H977" s="298" t="n"/>
    </row>
    <row r="978" ht="13" customHeight="1" s="189">
      <c r="A978" s="289" t="n"/>
      <c r="B978" s="290" t="n"/>
      <c r="C978" s="290" t="n"/>
      <c r="D978" s="291" t="n"/>
      <c r="E978" s="291" t="n"/>
      <c r="F978" s="291" t="n"/>
      <c r="G978" s="297" t="n"/>
      <c r="H978" s="298" t="n"/>
    </row>
    <row r="979" ht="13" customHeight="1" s="189">
      <c r="A979" s="289" t="n"/>
      <c r="B979" s="290" t="n"/>
      <c r="C979" s="290" t="n"/>
      <c r="D979" s="291" t="n"/>
      <c r="E979" s="291" t="n"/>
      <c r="F979" s="291" t="n"/>
      <c r="G979" s="297" t="n"/>
      <c r="H979" s="298" t="n"/>
    </row>
    <row r="980" ht="13" customHeight="1" s="189">
      <c r="A980" s="289" t="n"/>
      <c r="B980" s="290" t="n"/>
      <c r="C980" s="290" t="n"/>
      <c r="D980" s="291" t="n"/>
      <c r="E980" s="291" t="n"/>
      <c r="F980" s="291" t="n"/>
      <c r="G980" s="297" t="n"/>
      <c r="H980" s="298" t="n"/>
    </row>
    <row r="981" ht="13" customHeight="1" s="189">
      <c r="A981" s="289" t="n"/>
      <c r="B981" s="290" t="n"/>
      <c r="C981" s="290" t="n"/>
      <c r="D981" s="291" t="n"/>
      <c r="E981" s="291" t="n"/>
      <c r="F981" s="291" t="n"/>
      <c r="G981" s="297" t="n"/>
      <c r="H981" s="298" t="n"/>
    </row>
    <row r="982" ht="13" customHeight="1" s="189">
      <c r="A982" s="289" t="n"/>
      <c r="B982" s="290" t="n"/>
      <c r="C982" s="290" t="n"/>
      <c r="D982" s="291" t="n"/>
      <c r="E982" s="291" t="n"/>
      <c r="F982" s="291" t="n"/>
      <c r="G982" s="297" t="n"/>
      <c r="H982" s="298" t="n"/>
    </row>
    <row r="983" ht="13" customHeight="1" s="189">
      <c r="A983" s="289" t="n"/>
      <c r="B983" s="290" t="n"/>
      <c r="C983" s="290" t="n"/>
      <c r="D983" s="291" t="n"/>
      <c r="E983" s="291" t="n"/>
      <c r="F983" s="291" t="n"/>
      <c r="G983" s="297" t="n"/>
      <c r="H983" s="298" t="n"/>
    </row>
    <row r="984" ht="13" customHeight="1" s="189">
      <c r="A984" s="289" t="n"/>
      <c r="B984" s="290" t="n"/>
      <c r="C984" s="290" t="n"/>
      <c r="D984" s="291" t="n"/>
      <c r="E984" s="291" t="n"/>
      <c r="F984" s="291" t="n"/>
      <c r="G984" s="297" t="n"/>
      <c r="H984" s="298" t="n"/>
    </row>
    <row r="985" ht="13" customHeight="1" s="189">
      <c r="A985" s="289" t="n"/>
      <c r="B985" s="290" t="n"/>
      <c r="C985" s="290" t="n"/>
      <c r="D985" s="291" t="n"/>
      <c r="E985" s="291" t="n"/>
      <c r="F985" s="291" t="n"/>
      <c r="G985" s="297" t="n"/>
      <c r="H985" s="298" t="n"/>
    </row>
    <row r="986" ht="13" customHeight="1" s="189">
      <c r="A986" s="289" t="n"/>
      <c r="B986" s="290" t="n"/>
      <c r="C986" s="290" t="n"/>
      <c r="D986" s="291" t="n"/>
      <c r="E986" s="291" t="n"/>
      <c r="F986" s="291" t="n"/>
      <c r="G986" s="297" t="n"/>
      <c r="H986" s="298" t="n"/>
    </row>
    <row r="987" ht="13" customHeight="1" s="189">
      <c r="A987" s="289" t="n"/>
      <c r="B987" s="290" t="n"/>
      <c r="C987" s="290" t="n"/>
      <c r="D987" s="291" t="n"/>
      <c r="E987" s="291" t="n"/>
      <c r="F987" s="291" t="n"/>
      <c r="G987" s="297" t="n"/>
      <c r="H987" s="298" t="n"/>
    </row>
    <row r="988" ht="13" customHeight="1" s="189">
      <c r="A988" s="289" t="n"/>
      <c r="B988" s="290" t="n"/>
      <c r="C988" s="290" t="n"/>
      <c r="D988" s="291" t="n"/>
      <c r="E988" s="291" t="n"/>
      <c r="F988" s="291" t="n"/>
      <c r="G988" s="297" t="n"/>
      <c r="H988" s="298" t="n"/>
    </row>
    <row r="989" ht="13" customHeight="1" s="189">
      <c r="A989" s="289" t="n"/>
      <c r="B989" s="290" t="n"/>
      <c r="C989" s="290" t="n"/>
      <c r="D989" s="291" t="n"/>
      <c r="E989" s="291" t="n"/>
      <c r="F989" s="291" t="n"/>
      <c r="G989" s="297" t="n"/>
      <c r="H989" s="298" t="n"/>
    </row>
    <row r="990" ht="13" customHeight="1" s="189">
      <c r="A990" s="289" t="n"/>
      <c r="B990" s="290" t="n"/>
      <c r="C990" s="290" t="n"/>
      <c r="D990" s="291" t="n"/>
      <c r="E990" s="291" t="n"/>
      <c r="F990" s="291" t="n"/>
      <c r="G990" s="297" t="n"/>
      <c r="H990" s="298" t="n"/>
    </row>
    <row r="991" ht="13" customHeight="1" s="189">
      <c r="A991" s="289" t="n"/>
      <c r="B991" s="290" t="n"/>
      <c r="C991" s="290" t="n"/>
      <c r="D991" s="291" t="n"/>
      <c r="E991" s="291" t="n"/>
      <c r="F991" s="291" t="n"/>
      <c r="G991" s="297" t="n"/>
      <c r="H991" s="298" t="n"/>
    </row>
    <row r="992" ht="13" customHeight="1" s="189">
      <c r="A992" s="289" t="n"/>
      <c r="B992" s="290" t="n"/>
      <c r="C992" s="290" t="n"/>
      <c r="D992" s="291" t="n"/>
      <c r="E992" s="291" t="n"/>
      <c r="F992" s="291" t="n"/>
      <c r="G992" s="297" t="n"/>
      <c r="H992" s="298" t="n"/>
    </row>
    <row r="993" ht="13" customHeight="1" s="189">
      <c r="A993" s="289" t="n"/>
      <c r="B993" s="290" t="n"/>
      <c r="C993" s="290" t="n"/>
      <c r="D993" s="291" t="n"/>
      <c r="E993" s="291" t="n"/>
      <c r="F993" s="291" t="n"/>
      <c r="G993" s="297" t="n"/>
      <c r="H993" s="298" t="n"/>
    </row>
    <row r="994" ht="13" customHeight="1" s="189">
      <c r="A994" s="289" t="n"/>
      <c r="B994" s="290" t="n"/>
      <c r="C994" s="290" t="n"/>
      <c r="D994" s="291" t="n"/>
      <c r="E994" s="291" t="n"/>
      <c r="F994" s="291" t="n"/>
      <c r="G994" s="297" t="n"/>
      <c r="H994" s="298" t="n"/>
    </row>
    <row r="995" ht="13" customHeight="1" s="189">
      <c r="A995" s="289" t="n"/>
      <c r="B995" s="290" t="n"/>
      <c r="C995" s="290" t="n"/>
      <c r="D995" s="291" t="n"/>
      <c r="E995" s="291" t="n"/>
      <c r="F995" s="291" t="n"/>
      <c r="G995" s="297" t="n"/>
      <c r="H995" s="298" t="n"/>
    </row>
    <row r="996" ht="13" customHeight="1" s="189">
      <c r="A996" s="289" t="n"/>
      <c r="B996" s="290" t="n"/>
      <c r="C996" s="290" t="n"/>
      <c r="D996" s="291" t="n"/>
      <c r="E996" s="291" t="n"/>
      <c r="F996" s="291" t="n"/>
      <c r="G996" s="297" t="n"/>
      <c r="H996" s="298" t="n"/>
    </row>
    <row r="997" ht="13" customHeight="1" s="189">
      <c r="A997" s="289" t="n"/>
      <c r="B997" s="290" t="n"/>
      <c r="C997" s="290" t="n"/>
      <c r="D997" s="291" t="n"/>
      <c r="E997" s="291" t="n"/>
      <c r="F997" s="291" t="n"/>
      <c r="G997" s="297" t="n"/>
      <c r="H997" s="298" t="n"/>
    </row>
    <row r="998" ht="13" customHeight="1" s="189">
      <c r="A998" s="289" t="n"/>
      <c r="B998" s="290" t="n"/>
      <c r="C998" s="290" t="n"/>
      <c r="D998" s="291" t="n"/>
      <c r="E998" s="291" t="n"/>
      <c r="F998" s="291" t="n"/>
      <c r="G998" s="297" t="n"/>
      <c r="H998" s="298" t="n"/>
    </row>
    <row r="999" ht="13" customHeight="1" s="189">
      <c r="A999" s="289" t="n"/>
      <c r="B999" s="290" t="n"/>
      <c r="C999" s="290" t="n"/>
      <c r="D999" s="291" t="n"/>
      <c r="E999" s="291" t="n"/>
      <c r="F999" s="291" t="n"/>
      <c r="G999" s="297" t="n"/>
      <c r="H999" s="298" t="n"/>
    </row>
    <row r="1000" ht="13" customHeight="1" s="189">
      <c r="A1000" s="289" t="n"/>
      <c r="B1000" s="290" t="n"/>
      <c r="C1000" s="290" t="n"/>
      <c r="D1000" s="291" t="n"/>
      <c r="E1000" s="291" t="n"/>
      <c r="F1000" s="291" t="n"/>
      <c r="G1000" s="297" t="n"/>
      <c r="H1000" s="298" t="n"/>
    </row>
    <row r="1001" ht="13" customHeight="1" s="189">
      <c r="A1001" s="289" t="n"/>
      <c r="B1001" s="290" t="n"/>
      <c r="C1001" s="290" t="n"/>
      <c r="D1001" s="291" t="n"/>
      <c r="E1001" s="291" t="n"/>
      <c r="F1001" s="291" t="n"/>
      <c r="G1001" s="297" t="n"/>
      <c r="H1001" s="298" t="n"/>
    </row>
    <row r="1002" ht="13" customHeight="1" s="189">
      <c r="A1002" s="289" t="n"/>
      <c r="B1002" s="290" t="n"/>
      <c r="C1002" s="290" t="n"/>
      <c r="D1002" s="291" t="n"/>
      <c r="E1002" s="291" t="n"/>
      <c r="F1002" s="291" t="n"/>
      <c r="G1002" s="297" t="n"/>
      <c r="H1002" s="298" t="n"/>
    </row>
    <row r="1003" ht="13" customHeight="1" s="189">
      <c r="A1003" s="289" t="n"/>
      <c r="B1003" s="290" t="n"/>
      <c r="C1003" s="290" t="n"/>
      <c r="D1003" s="291" t="n"/>
      <c r="E1003" s="291" t="n"/>
      <c r="F1003" s="291" t="n"/>
      <c r="G1003" s="297" t="n"/>
      <c r="H1003" s="298" t="n"/>
    </row>
    <row r="1004" ht="13" customHeight="1" s="189">
      <c r="A1004" s="289" t="n"/>
      <c r="B1004" s="290" t="n"/>
      <c r="C1004" s="290" t="n"/>
      <c r="D1004" s="291" t="n"/>
      <c r="E1004" s="291" t="n"/>
      <c r="F1004" s="291" t="n"/>
      <c r="G1004" s="297" t="n"/>
      <c r="H1004" s="298" t="n"/>
    </row>
    <row r="1005" ht="13" customHeight="1" s="189">
      <c r="A1005" s="289" t="n"/>
      <c r="B1005" s="290" t="n"/>
      <c r="C1005" s="290" t="n"/>
      <c r="D1005" s="291" t="n"/>
      <c r="E1005" s="291" t="n"/>
      <c r="F1005" s="291" t="n"/>
      <c r="G1005" s="297" t="n"/>
      <c r="H1005" s="298" t="n"/>
    </row>
    <row r="1006" ht="13" customHeight="1" s="189">
      <c r="A1006" s="289" t="n"/>
      <c r="B1006" s="290" t="n"/>
      <c r="C1006" s="290" t="n"/>
      <c r="D1006" s="291" t="n"/>
      <c r="E1006" s="291" t="n"/>
      <c r="F1006" s="291" t="n"/>
      <c r="G1006" s="297" t="n"/>
      <c r="H1006" s="298" t="n"/>
    </row>
    <row r="1007" ht="13" customHeight="1" s="189">
      <c r="A1007" s="289" t="n"/>
      <c r="B1007" s="290" t="n"/>
      <c r="C1007" s="290" t="n"/>
      <c r="D1007" s="291" t="n"/>
      <c r="E1007" s="291" t="n"/>
      <c r="F1007" s="291" t="n"/>
      <c r="G1007" s="297" t="n"/>
      <c r="H1007" s="298" t="n"/>
    </row>
    <row r="1008" ht="13" customHeight="1" s="189">
      <c r="A1008" s="289" t="n"/>
      <c r="B1008" s="290" t="n"/>
      <c r="C1008" s="290" t="n"/>
      <c r="D1008" s="291" t="n"/>
      <c r="E1008" s="291" t="n"/>
      <c r="F1008" s="291" t="n"/>
      <c r="G1008" s="297" t="n"/>
      <c r="H1008" s="298" t="n"/>
    </row>
    <row r="1009" ht="13" customHeight="1" s="189">
      <c r="A1009" s="289" t="n"/>
      <c r="B1009" s="290" t="n"/>
      <c r="C1009" s="290" t="n"/>
      <c r="D1009" s="291" t="n"/>
      <c r="E1009" s="291" t="n"/>
      <c r="F1009" s="291" t="n"/>
      <c r="G1009" s="297" t="n"/>
      <c r="H1009" s="298" t="n"/>
    </row>
    <row r="1010" ht="13" customHeight="1" s="189">
      <c r="A1010" s="289" t="n"/>
      <c r="B1010" s="290" t="n"/>
      <c r="C1010" s="290" t="n"/>
      <c r="D1010" s="291" t="n"/>
      <c r="E1010" s="291" t="n"/>
      <c r="F1010" s="291" t="n"/>
      <c r="G1010" s="297" t="n"/>
      <c r="H1010" s="298" t="n"/>
    </row>
    <row r="1011" ht="13" customHeight="1" s="189">
      <c r="A1011" s="289" t="n"/>
      <c r="B1011" s="290" t="n"/>
      <c r="C1011" s="290" t="n"/>
      <c r="D1011" s="291" t="n"/>
      <c r="E1011" s="291" t="n"/>
      <c r="F1011" s="291" t="n"/>
      <c r="G1011" s="297" t="n"/>
      <c r="H1011" s="298" t="n"/>
    </row>
    <row r="1012" ht="13" customHeight="1" s="189">
      <c r="A1012" s="289" t="n"/>
      <c r="B1012" s="290" t="n"/>
      <c r="C1012" s="290" t="n"/>
      <c r="D1012" s="291" t="n"/>
      <c r="E1012" s="291" t="n"/>
      <c r="F1012" s="291" t="n"/>
      <c r="G1012" s="297" t="n"/>
      <c r="H1012" s="298" t="n"/>
    </row>
    <row r="1013" ht="13" customHeight="1" s="189">
      <c r="A1013" s="289" t="n"/>
      <c r="B1013" s="290" t="n"/>
      <c r="C1013" s="290" t="n"/>
      <c r="D1013" s="291" t="n"/>
      <c r="E1013" s="291" t="n"/>
      <c r="F1013" s="291" t="n"/>
      <c r="G1013" s="297" t="n"/>
      <c r="H1013" s="298" t="n"/>
    </row>
    <row r="1014" ht="13" customHeight="1" s="189">
      <c r="A1014" s="289" t="n"/>
      <c r="B1014" s="290" t="n"/>
      <c r="C1014" s="290" t="n"/>
      <c r="D1014" s="291" t="n"/>
      <c r="E1014" s="291" t="n"/>
      <c r="F1014" s="291" t="n"/>
      <c r="G1014" s="297" t="n"/>
      <c r="H1014" s="298" t="n"/>
    </row>
    <row r="1015" ht="13" customHeight="1" s="189">
      <c r="A1015" s="289" t="n"/>
      <c r="B1015" s="290" t="n"/>
      <c r="C1015" s="290" t="n"/>
      <c r="D1015" s="291" t="n"/>
      <c r="E1015" s="291" t="n"/>
      <c r="F1015" s="291" t="n"/>
      <c r="G1015" s="297" t="n"/>
      <c r="H1015" s="298" t="n"/>
    </row>
    <row r="1016" ht="13" customHeight="1" s="189">
      <c r="A1016" s="289" t="n"/>
      <c r="B1016" s="290" t="n"/>
      <c r="C1016" s="290" t="n"/>
      <c r="D1016" s="291" t="n"/>
      <c r="E1016" s="291" t="n"/>
      <c r="F1016" s="291" t="n"/>
      <c r="G1016" s="297" t="n"/>
      <c r="H1016" s="298" t="n"/>
    </row>
    <row r="1017" ht="13" customHeight="1" s="189">
      <c r="A1017" s="289" t="n"/>
      <c r="B1017" s="290" t="n"/>
      <c r="C1017" s="290" t="n"/>
      <c r="D1017" s="291" t="n"/>
      <c r="E1017" s="291" t="n"/>
      <c r="F1017" s="291" t="n"/>
      <c r="G1017" s="297" t="n"/>
      <c r="H1017" s="298" t="n"/>
    </row>
    <row r="1018" ht="13" customHeight="1" s="189">
      <c r="A1018" s="289" t="n"/>
      <c r="B1018" s="290" t="n"/>
      <c r="C1018" s="290" t="n"/>
      <c r="D1018" s="291" t="n"/>
      <c r="E1018" s="291" t="n"/>
      <c r="F1018" s="291" t="n"/>
      <c r="G1018" s="297" t="n"/>
      <c r="H1018" s="298" t="n"/>
    </row>
    <row r="1019" ht="13" customHeight="1" s="189">
      <c r="A1019" s="289" t="n"/>
      <c r="B1019" s="290" t="n"/>
      <c r="C1019" s="290" t="n"/>
      <c r="D1019" s="291" t="n"/>
      <c r="E1019" s="291" t="n"/>
      <c r="F1019" s="291" t="n"/>
      <c r="G1019" s="297" t="n"/>
      <c r="H1019" s="298" t="n"/>
    </row>
    <row r="1020" ht="13" customHeight="1" s="189">
      <c r="A1020" s="289" t="n"/>
      <c r="B1020" s="290" t="n"/>
      <c r="C1020" s="290" t="n"/>
      <c r="D1020" s="291" t="n"/>
      <c r="E1020" s="291" t="n"/>
      <c r="F1020" s="291" t="n"/>
      <c r="G1020" s="297" t="n"/>
      <c r="H1020" s="298" t="n"/>
    </row>
    <row r="1021" ht="13" customHeight="1" s="189">
      <c r="A1021" s="289" t="n"/>
      <c r="B1021" s="290" t="n"/>
      <c r="C1021" s="290" t="n"/>
      <c r="D1021" s="291" t="n"/>
      <c r="E1021" s="291" t="n"/>
      <c r="F1021" s="291" t="n"/>
      <c r="G1021" s="297" t="n"/>
      <c r="H1021" s="298" t="n"/>
    </row>
    <row r="1022" ht="13" customHeight="1" s="189">
      <c r="A1022" s="289" t="n"/>
      <c r="B1022" s="290" t="n"/>
      <c r="C1022" s="290" t="n"/>
      <c r="D1022" s="291" t="n"/>
      <c r="E1022" s="291" t="n"/>
      <c r="F1022" s="291" t="n"/>
      <c r="G1022" s="297" t="n"/>
      <c r="H1022" s="298" t="n"/>
    </row>
    <row r="1023" ht="13" customHeight="1" s="189">
      <c r="A1023" s="289" t="n"/>
      <c r="B1023" s="290" t="n"/>
      <c r="C1023" s="290" t="n"/>
      <c r="D1023" s="291" t="n"/>
      <c r="E1023" s="291" t="n"/>
      <c r="F1023" s="291" t="n"/>
      <c r="G1023" s="297" t="n"/>
      <c r="H1023" s="298" t="n"/>
    </row>
    <row r="1024" ht="13" customHeight="1" s="189">
      <c r="A1024" s="289" t="n"/>
      <c r="B1024" s="290" t="n"/>
      <c r="C1024" s="290" t="n"/>
      <c r="D1024" s="291" t="n"/>
      <c r="E1024" s="291" t="n"/>
      <c r="F1024" s="291" t="n"/>
      <c r="G1024" s="297" t="n"/>
      <c r="H1024" s="298" t="n"/>
    </row>
    <row r="1025" ht="13" customHeight="1" s="189"/>
    <row r="1026" ht="13" customHeight="1" s="189"/>
    <row r="1027" ht="13" customHeight="1" s="189"/>
    <row r="1028" ht="13" customHeight="1" s="189"/>
    <row r="1029" ht="13" customHeight="1" s="189"/>
    <row r="1030" ht="13" customHeight="1" s="189"/>
    <row r="1031" ht="13" customHeight="1" s="189"/>
    <row r="1032" ht="13" customHeight="1" s="189"/>
    <row r="1033" ht="13" customHeight="1" s="189"/>
    <row r="1034" ht="13" customHeight="1" s="189"/>
    <row r="1035" ht="13" customHeight="1" s="189"/>
    <row r="1036" ht="13" customHeight="1" s="189"/>
    <row r="1037" ht="13" customHeight="1" s="189"/>
    <row r="1038" ht="13" customHeight="1" s="189"/>
    <row r="1039" ht="13" customHeight="1" s="189"/>
    <row r="1040" ht="13" customHeight="1" s="189"/>
    <row r="1041" ht="13" customHeight="1" s="189"/>
    <row r="1042" ht="13" customHeight="1" s="189"/>
    <row r="1043" ht="13" customHeight="1" s="189"/>
    <row r="1044" ht="13" customHeight="1" s="189"/>
    <row r="1045" ht="13" customHeight="1" s="189"/>
    <row r="1046" ht="13" customHeight="1" s="189"/>
    <row r="1047" ht="13" customHeight="1" s="189"/>
    <row r="1048" ht="13" customHeight="1" s="189"/>
    <row r="1049" ht="13" customHeight="1" s="189"/>
    <row r="1050" ht="13" customHeight="1" s="189"/>
    <row r="1051" ht="13" customHeight="1" s="189"/>
    <row r="1052" ht="13" customHeight="1" s="189"/>
    <row r="1053" ht="13" customHeight="1" s="189"/>
    <row r="1054" ht="13" customHeight="1" s="189"/>
    <row r="1055" ht="13" customHeight="1" s="189"/>
    <row r="1056" ht="13" customHeight="1" s="189"/>
    <row r="1057" ht="13" customHeight="1" s="189"/>
    <row r="1058" ht="13" customHeight="1" s="189"/>
    <row r="1059" ht="13" customHeight="1" s="189"/>
    <row r="1060" ht="13" customHeight="1" s="189"/>
    <row r="1061" ht="13" customHeight="1" s="189"/>
    <row r="1062" ht="13" customHeight="1" s="189"/>
    <row r="1063" ht="13" customHeight="1" s="189"/>
    <row r="1064" ht="13" customHeight="1" s="189"/>
    <row r="1065" ht="13" customHeight="1" s="189"/>
    <row r="1066" ht="13" customHeight="1" s="189"/>
    <row r="1067" ht="13" customHeight="1" s="189"/>
    <row r="1068" ht="13" customHeight="1" s="189"/>
    <row r="1069" ht="13" customHeight="1" s="189"/>
    <row r="1070" ht="13" customHeight="1" s="189"/>
    <row r="1071" ht="13" customHeight="1" s="189"/>
    <row r="1072" ht="13" customHeight="1" s="189"/>
    <row r="1073" ht="13" customHeight="1" s="189"/>
    <row r="1074" ht="13" customHeight="1" s="189"/>
    <row r="1075" ht="13" customHeight="1" s="189"/>
    <row r="1076" ht="13" customHeight="1" s="189"/>
    <row r="1077" ht="13" customHeight="1" s="189"/>
    <row r="1078" ht="13" customHeight="1" s="189"/>
    <row r="1079" ht="13" customHeight="1" s="189"/>
    <row r="1080" ht="13" customHeight="1" s="189"/>
    <row r="1081" ht="13" customHeight="1" s="189"/>
    <row r="1082" ht="13" customHeight="1" s="189"/>
    <row r="1083" ht="13" customHeight="1" s="189"/>
    <row r="1084" ht="13" customHeight="1" s="189"/>
    <row r="1085" ht="13" customHeight="1" s="189"/>
    <row r="1086" ht="13" customHeight="1" s="189"/>
    <row r="1087" ht="13" customHeight="1" s="189"/>
    <row r="1088" ht="13" customHeight="1" s="189"/>
    <row r="1089" ht="13" customHeight="1" s="189"/>
    <row r="1090" ht="13" customHeight="1" s="189"/>
    <row r="1091" ht="13" customHeight="1" s="189"/>
    <row r="1092" ht="13" customHeight="1" s="189"/>
    <row r="1093" ht="13" customHeight="1" s="189"/>
    <row r="1094" ht="13" customHeight="1" s="189"/>
    <row r="1095" ht="13" customHeight="1" s="189"/>
    <row r="1096" ht="13" customHeight="1" s="189"/>
    <row r="1097" ht="13" customHeight="1" s="189"/>
    <row r="1098" ht="13" customHeight="1" s="189"/>
    <row r="1099" ht="13" customHeight="1" s="189"/>
    <row r="1100" ht="13" customHeight="1" s="189"/>
    <row r="1101" ht="13" customHeight="1" s="189"/>
    <row r="1102" ht="13" customHeight="1" s="189"/>
    <row r="1103" ht="13" customHeight="1" s="189"/>
    <row r="1104" ht="13" customHeight="1" s="189"/>
    <row r="1105" ht="13" customHeight="1" s="189"/>
    <row r="1106" ht="13" customHeight="1" s="189"/>
    <row r="1107" ht="13" customHeight="1" s="189"/>
    <row r="1108" ht="13" customHeight="1" s="189"/>
    <row r="1109" ht="13" customHeight="1" s="189"/>
    <row r="1110" ht="13" customHeight="1" s="189"/>
    <row r="1111" ht="13" customHeight="1" s="189"/>
    <row r="1112" ht="13" customHeight="1" s="189"/>
    <row r="1113" ht="13" customHeight="1" s="189"/>
    <row r="1114" ht="13" customHeight="1" s="189"/>
    <row r="1115" ht="13" customHeight="1" s="189"/>
    <row r="1116" ht="13" customHeight="1" s="189"/>
    <row r="1117" ht="13" customHeight="1" s="189"/>
    <row r="1118" ht="13" customHeight="1" s="189"/>
    <row r="1119" ht="13" customHeight="1" s="189"/>
    <row r="1120" ht="13" customHeight="1" s="189"/>
    <row r="1121" ht="13" customHeight="1" s="189"/>
    <row r="1122" ht="13" customHeight="1" s="189"/>
    <row r="1123" ht="13" customHeight="1" s="189"/>
    <row r="1124" ht="13" customHeight="1" s="189"/>
    <row r="1125" ht="13" customHeight="1" s="189"/>
    <row r="1126" ht="13" customHeight="1" s="189"/>
    <row r="1127" ht="13" customHeight="1" s="189"/>
    <row r="1128" ht="13" customHeight="1" s="189"/>
    <row r="1129" ht="13" customHeight="1" s="189"/>
    <row r="1130" ht="13" customHeight="1" s="189"/>
    <row r="1131" ht="13" customHeight="1" s="189"/>
    <row r="1132" ht="13" customHeight="1" s="189"/>
    <row r="1133" ht="13" customHeight="1" s="189"/>
    <row r="1134" ht="13" customHeight="1" s="189"/>
    <row r="1135" ht="13" customHeight="1" s="189"/>
    <row r="1136" ht="13" customHeight="1" s="189"/>
    <row r="1137" ht="13" customHeight="1" s="189"/>
    <row r="1138" ht="13" customHeight="1" s="189"/>
    <row r="1139" ht="13" customHeight="1" s="189"/>
    <row r="1140" ht="13" customHeight="1" s="189"/>
    <row r="1141" ht="13" customHeight="1" s="189"/>
    <row r="1142" ht="13" customHeight="1" s="189"/>
    <row r="1143" ht="13" customHeight="1" s="189"/>
    <row r="1144" ht="13" customHeight="1" s="189"/>
    <row r="1145" ht="13" customHeight="1" s="189"/>
    <row r="1146" ht="13" customHeight="1" s="189"/>
    <row r="1147" ht="13" customHeight="1" s="189"/>
    <row r="1148" ht="13" customHeight="1" s="189"/>
    <row r="1149" ht="13" customHeight="1" s="189"/>
    <row r="1150" ht="13" customHeight="1" s="189"/>
    <row r="1151" ht="13" customHeight="1" s="189"/>
    <row r="1152" ht="13" customHeight="1" s="189"/>
    <row r="1153" ht="13" customHeight="1" s="189"/>
    <row r="1154" ht="13" customHeight="1" s="189"/>
    <row r="1155" ht="13" customHeight="1" s="189"/>
    <row r="1156" ht="13" customHeight="1" s="189"/>
    <row r="1157" ht="13" customHeight="1" s="189"/>
    <row r="1158" ht="13" customHeight="1" s="189"/>
    <row r="1159" ht="13" customHeight="1" s="189"/>
    <row r="1160" ht="13" customHeight="1" s="189"/>
    <row r="1161" ht="13" customHeight="1" s="189"/>
    <row r="1162" ht="13" customHeight="1" s="189"/>
    <row r="1163" ht="13" customHeight="1" s="189"/>
    <row r="1164" ht="13" customHeight="1" s="189"/>
    <row r="1165" ht="13" customHeight="1" s="189"/>
    <row r="1166" ht="13" customHeight="1" s="189"/>
    <row r="1167" ht="13" customHeight="1" s="189"/>
    <row r="1168" ht="13" customHeight="1" s="189"/>
    <row r="1169" ht="13" customHeight="1" s="189"/>
    <row r="1170" ht="13" customHeight="1" s="189"/>
    <row r="1171" ht="13" customHeight="1" s="189"/>
    <row r="1172" ht="13" customHeight="1" s="189"/>
    <row r="1173" ht="13" customHeight="1" s="189"/>
    <row r="1174" ht="13" customHeight="1" s="189"/>
    <row r="1175" ht="13" customHeight="1" s="189"/>
    <row r="1176" ht="13" customHeight="1" s="189"/>
    <row r="1177" ht="13" customHeight="1" s="189"/>
    <row r="1178" ht="13" customHeight="1" s="189"/>
    <row r="1179" ht="13" customHeight="1" s="189"/>
    <row r="1180" ht="13" customHeight="1" s="189"/>
    <row r="1181" ht="13" customHeight="1" s="189"/>
    <row r="1182" ht="13" customHeight="1" s="189"/>
    <row r="1183" ht="13" customHeight="1" s="189"/>
    <row r="1184" ht="13" customHeight="1" s="189"/>
    <row r="1185" ht="13" customHeight="1" s="189"/>
    <row r="1186" ht="13" customHeight="1" s="189"/>
    <row r="1187" ht="13" customHeight="1" s="189"/>
    <row r="1188" ht="13" customHeight="1" s="189"/>
    <row r="1189" ht="13" customHeight="1" s="189"/>
    <row r="1190" ht="13" customHeight="1" s="189"/>
    <row r="1191" ht="13" customHeight="1" s="189"/>
    <row r="1192" ht="13" customHeight="1" s="189"/>
    <row r="1193" ht="13" customHeight="1" s="189"/>
    <row r="1194" ht="13" customHeight="1" s="189"/>
    <row r="1195" ht="13" customHeight="1" s="189"/>
    <row r="1196" ht="13" customHeight="1" s="189"/>
    <row r="1197" ht="13" customHeight="1" s="189"/>
    <row r="1198" ht="13" customHeight="1" s="189"/>
    <row r="1199" ht="13" customHeight="1" s="189"/>
    <row r="1200" ht="13" customHeight="1" s="189"/>
    <row r="1201" ht="13" customHeight="1" s="189"/>
    <row r="1202" ht="13" customHeight="1" s="189"/>
    <row r="1203" ht="13" customHeight="1" s="189"/>
    <row r="1204" ht="13" customHeight="1" s="189"/>
    <row r="1205" ht="13" customHeight="1" s="189"/>
    <row r="1206" ht="13" customHeight="1" s="189"/>
    <row r="1207" ht="13" customHeight="1" s="189"/>
    <row r="1208" ht="13" customHeight="1" s="189"/>
    <row r="1209" ht="13" customHeight="1" s="189"/>
    <row r="1210" ht="13" customHeight="1" s="189"/>
    <row r="1211" ht="13" customHeight="1" s="189"/>
    <row r="1212" ht="13" customHeight="1" s="189"/>
    <row r="1213" ht="13" customHeight="1" s="189"/>
    <row r="1214" ht="13" customHeight="1" s="189"/>
    <row r="1215" ht="13" customHeight="1" s="189"/>
    <row r="1216" ht="13" customHeight="1" s="189"/>
    <row r="1217" ht="13" customHeight="1" s="189"/>
    <row r="1218" ht="13" customHeight="1" s="189"/>
    <row r="1219" ht="13" customHeight="1" s="189"/>
    <row r="1220" ht="13" customHeight="1" s="189"/>
    <row r="1221" ht="13" customHeight="1" s="189"/>
    <row r="1222" ht="13" customHeight="1" s="189"/>
    <row r="1223" ht="13" customHeight="1" s="189"/>
    <row r="1224" ht="13" customHeight="1" s="189"/>
    <row r="1225" ht="13" customHeight="1" s="189"/>
    <row r="1226" ht="13" customHeight="1" s="189"/>
    <row r="1227" ht="13" customHeight="1" s="189"/>
    <row r="1228" ht="13" customHeight="1" s="189"/>
    <row r="1229" ht="13" customHeight="1" s="189"/>
    <row r="1230" ht="13" customHeight="1" s="189"/>
    <row r="1231" ht="13" customHeight="1" s="189"/>
    <row r="1232" ht="13" customHeight="1" s="189"/>
    <row r="1233" ht="13" customHeight="1" s="189"/>
    <row r="1234" ht="13" customHeight="1" s="189"/>
    <row r="1235" ht="13" customHeight="1" s="189"/>
    <row r="1236" ht="13" customHeight="1" s="189"/>
    <row r="1237" ht="13" customHeight="1" s="189"/>
    <row r="1238" ht="13" customHeight="1" s="189"/>
    <row r="1239" ht="13" customHeight="1" s="189"/>
    <row r="1240" ht="13" customHeight="1" s="189"/>
    <row r="1241" ht="13" customHeight="1" s="189"/>
    <row r="1242" ht="13" customHeight="1" s="189"/>
    <row r="1243" ht="13" customHeight="1" s="189"/>
    <row r="1244" ht="13" customHeight="1" s="189"/>
    <row r="1245" ht="13" customHeight="1" s="189"/>
    <row r="1246" ht="13" customHeight="1" s="189"/>
    <row r="1247" ht="13" customHeight="1" s="189"/>
    <row r="1248" ht="13" customHeight="1" s="189"/>
    <row r="1249" ht="13" customHeight="1" s="189"/>
    <row r="1250" ht="13" customHeight="1" s="189"/>
    <row r="1251" ht="13" customHeight="1" s="189"/>
    <row r="1252" ht="13" customHeight="1" s="189"/>
    <row r="1253" ht="13" customHeight="1" s="189"/>
    <row r="1254" ht="13" customHeight="1" s="189"/>
    <row r="1255" ht="13" customHeight="1" s="189"/>
    <row r="1256" ht="13" customHeight="1" s="189"/>
    <row r="1257" ht="13" customHeight="1" s="189"/>
    <row r="1258" ht="13" customHeight="1" s="189"/>
    <row r="1259" ht="13" customHeight="1" s="189"/>
    <row r="1260" ht="13" customHeight="1" s="189"/>
    <row r="1261" ht="13" customHeight="1" s="189"/>
    <row r="1262" ht="13" customHeight="1" s="189"/>
    <row r="1263" ht="13" customHeight="1" s="189"/>
    <row r="1264" ht="13" customHeight="1" s="189"/>
    <row r="1265" ht="13" customHeight="1" s="189"/>
    <row r="1266" ht="13" customHeight="1" s="189"/>
    <row r="1267" ht="13" customHeight="1" s="189"/>
    <row r="1268" ht="13" customHeight="1" s="189"/>
    <row r="1269" ht="13" customHeight="1" s="189"/>
    <row r="1270" ht="13" customHeight="1" s="189"/>
    <row r="1271" ht="13" customHeight="1" s="189"/>
    <row r="1272" ht="13" customHeight="1" s="189"/>
    <row r="1273" ht="13" customHeight="1" s="189"/>
    <row r="1274" ht="13" customHeight="1" s="189"/>
    <row r="1275" ht="13" customHeight="1" s="189"/>
    <row r="1276" ht="13" customHeight="1" s="189"/>
    <row r="1277" ht="13" customHeight="1" s="189"/>
    <row r="1278" ht="13" customHeight="1" s="189"/>
    <row r="1279" ht="13" customHeight="1" s="189"/>
    <row r="1280" ht="13" customHeight="1" s="189"/>
    <row r="1281" ht="13" customHeight="1" s="189"/>
    <row r="1282" ht="13" customHeight="1" s="189"/>
    <row r="1283" ht="13" customHeight="1" s="189"/>
    <row r="1284" ht="13" customHeight="1" s="189"/>
    <row r="1285" ht="13" customHeight="1" s="189"/>
    <row r="1286" ht="13" customHeight="1" s="189"/>
    <row r="1287" ht="13" customHeight="1" s="189"/>
    <row r="1288" ht="13" customHeight="1" s="189"/>
    <row r="1289" ht="13" customHeight="1" s="189"/>
    <row r="1290" ht="13" customHeight="1" s="189"/>
    <row r="1291" ht="13" customHeight="1" s="189"/>
    <row r="1292" ht="13" customHeight="1" s="189"/>
    <row r="1293" ht="13" customHeight="1" s="189"/>
    <row r="1294" ht="13" customHeight="1" s="189"/>
    <row r="1295" ht="13" customHeight="1" s="189"/>
    <row r="1296" ht="13" customHeight="1" s="189"/>
    <row r="1297" ht="13" customHeight="1" s="189"/>
    <row r="1298" ht="13" customHeight="1" s="189"/>
    <row r="1299" ht="13" customHeight="1" s="189"/>
    <row r="1300" ht="13" customHeight="1" s="189"/>
    <row r="1301" ht="13" customHeight="1" s="189"/>
    <row r="1302" ht="13" customHeight="1" s="189"/>
    <row r="1303" ht="13" customHeight="1" s="189"/>
    <row r="1304" ht="13" customHeight="1" s="189"/>
    <row r="1305" ht="13" customHeight="1" s="189"/>
    <row r="1306" ht="13" customHeight="1" s="189"/>
    <row r="1307" ht="13" customHeight="1" s="189"/>
    <row r="1308" ht="13" customHeight="1" s="189"/>
    <row r="1309" ht="13" customHeight="1" s="189"/>
    <row r="1310" ht="13" customHeight="1" s="189"/>
    <row r="1311" ht="13" customHeight="1" s="189"/>
    <row r="1312" ht="13" customHeight="1" s="189"/>
    <row r="1313" ht="13" customHeight="1" s="189"/>
    <row r="1314" ht="13" customHeight="1" s="189"/>
    <row r="1315" ht="13" customHeight="1" s="189"/>
    <row r="1316" ht="13" customHeight="1" s="189"/>
    <row r="1317" ht="13" customHeight="1" s="189"/>
    <row r="1318" ht="13" customHeight="1" s="189"/>
    <row r="1319" ht="13" customHeight="1" s="189"/>
    <row r="1320" ht="13" customHeight="1" s="189"/>
    <row r="1321" ht="13" customHeight="1" s="189"/>
    <row r="1322" ht="13" customHeight="1" s="189"/>
    <row r="1323" ht="13" customHeight="1" s="189"/>
    <row r="1324" ht="13" customHeight="1" s="189"/>
    <row r="1325" ht="13" customHeight="1" s="189"/>
    <row r="1326" ht="13" customHeight="1" s="189"/>
    <row r="1327" ht="13" customHeight="1" s="189"/>
    <row r="1328" ht="13" customHeight="1" s="189"/>
    <row r="1329" ht="13" customHeight="1" s="189"/>
    <row r="1330" ht="13" customHeight="1" s="189"/>
    <row r="1331" ht="13" customHeight="1" s="189"/>
    <row r="1332" ht="13" customHeight="1" s="189"/>
    <row r="1333" ht="13" customHeight="1" s="189"/>
    <row r="1334" ht="13" customHeight="1" s="189"/>
    <row r="1335" ht="13" customHeight="1" s="189"/>
    <row r="1336" ht="13" customHeight="1" s="189"/>
    <row r="1337" ht="13" customHeight="1" s="189"/>
    <row r="1338" ht="13" customHeight="1" s="189"/>
    <row r="1339" ht="13" customHeight="1" s="189"/>
    <row r="1340" ht="13" customHeight="1" s="189"/>
    <row r="1341" ht="13" customHeight="1" s="189"/>
    <row r="1342" ht="13" customHeight="1" s="189"/>
    <row r="1343" ht="13" customHeight="1" s="189"/>
    <row r="1344" ht="13" customHeight="1" s="189"/>
    <row r="1345" ht="13" customHeight="1" s="189"/>
    <row r="1346" ht="13" customHeight="1" s="189"/>
    <row r="1347" ht="13" customHeight="1" s="189"/>
    <row r="1348" ht="13" customHeight="1" s="189"/>
    <row r="1349" ht="13" customHeight="1" s="189"/>
    <row r="1350" ht="13" customHeight="1" s="189"/>
    <row r="1351" ht="13" customHeight="1" s="189"/>
    <row r="1352" ht="13" customHeight="1" s="189"/>
    <row r="1353" ht="13" customHeight="1" s="189"/>
    <row r="1354" ht="13" customHeight="1" s="189"/>
    <row r="1355" ht="13" customHeight="1" s="189"/>
    <row r="1356" ht="13" customHeight="1" s="189"/>
    <row r="1357" ht="13" customHeight="1" s="189"/>
    <row r="1358" ht="13" customHeight="1" s="189"/>
    <row r="1359" ht="13" customHeight="1" s="189"/>
    <row r="1360" ht="13" customHeight="1" s="189"/>
    <row r="1361" ht="13" customHeight="1" s="189"/>
    <row r="1362" ht="13" customHeight="1" s="189"/>
    <row r="1363" ht="13" customHeight="1" s="189"/>
    <row r="1364" ht="13" customHeight="1" s="189"/>
    <row r="1365" ht="13" customHeight="1" s="189"/>
    <row r="1366" ht="13" customHeight="1" s="189"/>
    <row r="1367" ht="13" customHeight="1" s="189"/>
    <row r="1368" ht="13" customHeight="1" s="189"/>
    <row r="1369" ht="13" customHeight="1" s="189"/>
    <row r="1370" ht="13" customHeight="1" s="189"/>
    <row r="1371" ht="13" customHeight="1" s="189"/>
    <row r="1372" ht="13" customHeight="1" s="189"/>
    <row r="1373" ht="13" customHeight="1" s="189"/>
    <row r="1374" ht="13" customHeight="1" s="189"/>
    <row r="1375" ht="13" customHeight="1" s="189"/>
    <row r="1376" ht="13" customHeight="1" s="189"/>
    <row r="1377" ht="13" customHeight="1" s="189"/>
    <row r="1378" ht="13" customHeight="1" s="189"/>
    <row r="1379" ht="13" customHeight="1" s="189"/>
    <row r="1380" ht="13" customHeight="1" s="189"/>
    <row r="1381" ht="13" customHeight="1" s="189"/>
    <row r="1382" ht="13" customHeight="1" s="189"/>
    <row r="1383" ht="13" customHeight="1" s="189"/>
    <row r="1384" ht="13" customHeight="1" s="189"/>
    <row r="1385" ht="13" customHeight="1" s="189"/>
    <row r="1386" ht="13" customHeight="1" s="189"/>
    <row r="1387" ht="13" customHeight="1" s="189"/>
    <row r="1388" ht="13" customHeight="1" s="189"/>
    <row r="1389" ht="13" customHeight="1" s="189"/>
    <row r="1390" ht="13" customHeight="1" s="189"/>
    <row r="1391" ht="13" customHeight="1" s="189"/>
    <row r="1392" ht="13" customHeight="1" s="189"/>
    <row r="1393" ht="13" customHeight="1" s="189"/>
    <row r="1394" ht="13" customHeight="1" s="189"/>
    <row r="1395" ht="13" customHeight="1" s="189"/>
    <row r="1396" ht="13" customHeight="1" s="189"/>
    <row r="1397" ht="13" customHeight="1" s="189"/>
    <row r="1398" ht="13" customHeight="1" s="189"/>
    <row r="1399" ht="13" customHeight="1" s="189"/>
    <row r="1400" ht="13" customHeight="1" s="189"/>
    <row r="1401" ht="13" customHeight="1" s="189"/>
    <row r="1402" ht="13" customHeight="1" s="189"/>
    <row r="1403" ht="13" customHeight="1" s="189"/>
    <row r="1404" ht="13" customHeight="1" s="189"/>
    <row r="1405" ht="13" customHeight="1" s="189"/>
    <row r="1406" ht="13" customHeight="1" s="189"/>
    <row r="1407" ht="13" customHeight="1" s="189"/>
    <row r="1408" ht="13" customHeight="1" s="189"/>
    <row r="1409" ht="13" customHeight="1" s="189"/>
    <row r="1410" ht="13" customHeight="1" s="189"/>
    <row r="1411" ht="13" customHeight="1" s="189"/>
    <row r="1412" ht="13" customHeight="1" s="189"/>
    <row r="1413" ht="13" customHeight="1" s="189"/>
    <row r="1414" ht="13" customHeight="1" s="189"/>
    <row r="1415" ht="13" customHeight="1" s="189"/>
    <row r="1416" ht="13" customHeight="1" s="189"/>
    <row r="1417" ht="13" customHeight="1" s="189"/>
    <row r="1418" ht="13" customHeight="1" s="189"/>
    <row r="1419" ht="13" customHeight="1" s="189"/>
    <row r="1420" ht="13" customHeight="1" s="189"/>
    <row r="1421" ht="13" customHeight="1" s="189"/>
    <row r="1422" ht="13" customHeight="1" s="189"/>
    <row r="1423" ht="13" customHeight="1" s="189"/>
    <row r="1424" ht="13" customHeight="1" s="189"/>
    <row r="1425" ht="13" customHeight="1" s="189"/>
    <row r="1426" ht="13" customHeight="1" s="189"/>
    <row r="1427" ht="13" customHeight="1" s="189"/>
    <row r="1428" ht="13" customHeight="1" s="189"/>
    <row r="1429" ht="13" customHeight="1" s="189"/>
    <row r="1430" ht="13" customHeight="1" s="189"/>
    <row r="1431" ht="13" customHeight="1" s="189"/>
    <row r="1432" ht="13" customHeight="1" s="189"/>
    <row r="1433" ht="13" customHeight="1" s="189"/>
    <row r="1434" ht="13" customHeight="1" s="189"/>
    <row r="1435" ht="13" customHeight="1" s="189"/>
    <row r="1436" ht="13" customHeight="1" s="189"/>
    <row r="1437" ht="13" customHeight="1" s="189"/>
    <row r="1438" ht="13" customHeight="1" s="189"/>
    <row r="1439" ht="13" customHeight="1" s="189"/>
    <row r="1440" ht="13" customHeight="1" s="189"/>
    <row r="1441" ht="13" customHeight="1" s="189"/>
    <row r="1442" ht="13" customHeight="1" s="189"/>
    <row r="1443" ht="13" customHeight="1" s="189"/>
    <row r="1444" ht="13" customHeight="1" s="189"/>
    <row r="1445" ht="13" customHeight="1" s="189"/>
    <row r="1446" ht="13" customHeight="1" s="189"/>
    <row r="1447" ht="13" customHeight="1" s="189"/>
    <row r="1448" ht="13" customHeight="1" s="189"/>
    <row r="1449" ht="13" customHeight="1" s="189"/>
    <row r="1450" ht="13" customHeight="1" s="189"/>
    <row r="1451" ht="13" customHeight="1" s="189"/>
    <row r="1452" ht="13" customHeight="1" s="189"/>
    <row r="1453" ht="13" customHeight="1" s="189"/>
    <row r="1454" ht="13" customHeight="1" s="189"/>
    <row r="1455" ht="13" customHeight="1" s="189"/>
    <row r="1456" ht="13" customHeight="1" s="189"/>
    <row r="1457" ht="13" customHeight="1" s="189"/>
    <row r="1458" ht="13" customHeight="1" s="189"/>
    <row r="1459" ht="13" customHeight="1" s="189"/>
    <row r="1460" ht="13" customHeight="1" s="189"/>
    <row r="1461" ht="13" customHeight="1" s="189"/>
    <row r="1462" ht="13" customHeight="1" s="189"/>
    <row r="1463" ht="13" customHeight="1" s="189"/>
    <row r="1464" ht="13" customHeight="1" s="189"/>
  </sheetData>
  <mergeCells count="8">
    <mergeCell ref="A4:B4"/>
    <mergeCell ref="A2:B2"/>
    <mergeCell ref="E3:H3"/>
    <mergeCell ref="E4:H4"/>
    <mergeCell ref="A1:H1"/>
    <mergeCell ref="A3:B3"/>
    <mergeCell ref="E2:H2"/>
    <mergeCell ref="A5:G5"/>
  </mergeCells>
  <printOptions horizontalCentered="0" verticalCentered="0" headings="0" gridLines="1" gridLinesSet="1"/>
  <pageMargins left="0.75" right="0.75" top="1" bottom="1"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20.xml><?xml version="1.0" encoding="utf-8"?>
<worksheet xmlns="http://schemas.openxmlformats.org/spreadsheetml/2006/main">
  <sheetPr filterMode="0">
    <outlinePr summaryBelow="1" summaryRight="1"/>
    <pageSetUpPr fitToPage="0"/>
  </sheetPr>
  <dimension ref="A1:G511"/>
  <sheetViews>
    <sheetView showFormulas="0" showGridLines="1" showRowColHeaders="1" showZeros="1" rightToLeft="0" tabSelected="0" showOutlineSymbols="1" defaultGridColor="1" view="normal" topLeftCell="A10" colorId="64" zoomScale="100" zoomScaleNormal="100" zoomScalePageLayoutView="100" workbookViewId="0">
      <selection pane="topLeft" activeCell="G39" activeCellId="0" sqref="G39"/>
    </sheetView>
  </sheetViews>
  <sheetFormatPr baseColWidth="8" defaultColWidth="9.0546875" defaultRowHeight="12.5" zeroHeight="0" outlineLevelRow="0"/>
  <cols>
    <col width="14.99" customWidth="1" style="188" min="1" max="1"/>
    <col width="40.72" customWidth="1" style="188" min="2" max="2"/>
    <col width="12.72" customWidth="1" style="188" min="3" max="3"/>
    <col width="12.72" customWidth="1" style="293" min="4" max="4"/>
    <col width="12.72" customWidth="1" style="188" min="5" max="7"/>
  </cols>
  <sheetData>
    <row r="1" ht="15.5" customHeight="1" s="189">
      <c r="A1" s="243" t="inlineStr">
        <is>
          <t>Expectations</t>
        </is>
      </c>
      <c r="B1" s="213" t="n"/>
      <c r="C1" s="213" t="n"/>
      <c r="D1" s="213" t="n"/>
      <c r="E1" s="213" t="n"/>
      <c r="F1" s="213" t="n"/>
      <c r="G1" s="214" t="n"/>
    </row>
    <row r="2" ht="13" customHeight="1" s="189">
      <c r="A2" s="266" t="inlineStr">
        <is>
          <t>Project</t>
        </is>
      </c>
      <c r="B2" s="208">
        <f>Data!B1</f>
        <v/>
      </c>
      <c r="C2" s="266" t="inlineStr">
        <is>
          <t>Project #</t>
        </is>
      </c>
      <c r="D2" s="214" t="n"/>
      <c r="E2" s="208">
        <f>Data!B2</f>
        <v/>
      </c>
      <c r="F2" s="213" t="n"/>
      <c r="G2" s="214" t="n"/>
    </row>
    <row r="3" ht="13" customHeight="1" s="189">
      <c r="A3" s="266" t="inlineStr">
        <is>
          <t>Project manager</t>
        </is>
      </c>
      <c r="B3" s="208">
        <f>Data!B3</f>
        <v/>
      </c>
      <c r="C3" s="266" t="inlineStr">
        <is>
          <t>Sponsor</t>
        </is>
      </c>
      <c r="D3" s="214" t="n"/>
      <c r="E3" s="208">
        <f>Data!B4</f>
        <v/>
      </c>
      <c r="F3" s="213" t="n"/>
      <c r="G3" s="214" t="n"/>
    </row>
    <row r="4" ht="13" customHeight="1" s="189">
      <c r="A4" s="266" t="inlineStr">
        <is>
          <t>Project artifacts</t>
        </is>
      </c>
      <c r="B4" s="208">
        <f>Data!B5</f>
        <v/>
      </c>
      <c r="C4" s="266" t="inlineStr">
        <is>
          <t>Updated</t>
        </is>
      </c>
      <c r="D4" s="214" t="n"/>
      <c r="E4" s="208">
        <f>Data!B6</f>
        <v/>
      </c>
      <c r="F4" s="213" t="n"/>
      <c r="G4" s="214" t="n"/>
    </row>
    <row r="5" ht="12.5" customHeight="1" s="189">
      <c r="A5" s="222" t="n"/>
      <c r="B5" s="213" t="n"/>
      <c r="C5" s="213" t="n"/>
      <c r="D5" s="213" t="n"/>
      <c r="E5" s="213" t="n"/>
      <c r="F5" s="214" t="n"/>
      <c r="G5" s="222" t="n"/>
    </row>
    <row r="6" ht="12.5" customHeight="1" s="189">
      <c r="A6" s="281" t="inlineStr">
        <is>
          <t>ID</t>
        </is>
      </c>
      <c r="B6" s="281" t="inlineStr">
        <is>
          <t>Expectation Description</t>
        </is>
      </c>
      <c r="C6" s="281" t="inlineStr">
        <is>
          <t>Source</t>
        </is>
      </c>
      <c r="D6" s="281" t="inlineStr">
        <is>
          <t>Must Have</t>
        </is>
      </c>
      <c r="E6" s="281" t="inlineStr">
        <is>
          <t>Want to Have</t>
        </is>
      </c>
      <c r="F6" s="281" t="inlineStr">
        <is>
          <t>Nice to Have</t>
        </is>
      </c>
      <c r="G6" s="281" t="inlineStr">
        <is>
          <t>Date Identified</t>
        </is>
      </c>
    </row>
    <row r="7" ht="13" customHeight="1" s="189">
      <c r="A7" s="222" t="n"/>
      <c r="B7" s="199" t="n"/>
      <c r="C7" s="199" t="n"/>
      <c r="D7" s="285" t="n"/>
      <c r="E7" s="199" t="n"/>
      <c r="F7" s="199" t="n"/>
      <c r="G7" s="222" t="n"/>
    </row>
    <row r="8" ht="13" customHeight="1" s="189">
      <c r="A8" s="222" t="n"/>
      <c r="B8" s="199" t="n"/>
      <c r="C8" s="199" t="n"/>
      <c r="D8" s="285" t="n"/>
      <c r="E8" s="199" t="n"/>
      <c r="F8" s="199" t="n"/>
      <c r="G8" s="222" t="n"/>
    </row>
    <row r="9" ht="13" customHeight="1" s="189">
      <c r="A9" s="222" t="n"/>
      <c r="B9" s="199" t="n"/>
      <c r="C9" s="199" t="n"/>
      <c r="D9" s="285" t="n"/>
      <c r="E9" s="199" t="n"/>
      <c r="F9" s="199" t="n"/>
      <c r="G9" s="222" t="n"/>
    </row>
    <row r="10" ht="13" customHeight="1" s="189">
      <c r="A10" s="222" t="n"/>
      <c r="B10" s="199" t="n"/>
      <c r="C10" s="199" t="n"/>
      <c r="D10" s="285" t="n"/>
      <c r="E10" s="199" t="n"/>
      <c r="F10" s="199" t="n"/>
      <c r="G10" s="222" t="n"/>
    </row>
    <row r="11" ht="13" customHeight="1" s="189">
      <c r="A11" s="222" t="n"/>
      <c r="B11" s="199" t="n"/>
      <c r="C11" s="199" t="n"/>
      <c r="D11" s="285" t="n"/>
      <c r="E11" s="199" t="n"/>
      <c r="F11" s="199" t="n"/>
      <c r="G11" s="222" t="n"/>
    </row>
    <row r="12" ht="13" customHeight="1" s="189">
      <c r="A12" s="222" t="n"/>
      <c r="B12" s="199" t="n"/>
      <c r="C12" s="199" t="n"/>
      <c r="D12" s="285" t="n"/>
      <c r="E12" s="199" t="n"/>
      <c r="F12" s="199" t="n"/>
      <c r="G12" s="222" t="n"/>
    </row>
    <row r="13" ht="13" customHeight="1" s="189">
      <c r="A13" s="222" t="n"/>
      <c r="B13" s="199" t="n"/>
      <c r="C13" s="199" t="n"/>
      <c r="D13" s="285" t="n"/>
      <c r="E13" s="199" t="n"/>
      <c r="F13" s="199" t="n"/>
      <c r="G13" s="222" t="n"/>
    </row>
    <row r="14" ht="13" customHeight="1" s="189">
      <c r="A14" s="222" t="n"/>
      <c r="B14" s="199" t="n"/>
      <c r="C14" s="199" t="n"/>
      <c r="D14" s="285" t="n"/>
      <c r="E14" s="199" t="n"/>
      <c r="F14" s="199" t="n"/>
      <c r="G14" s="222" t="n"/>
    </row>
    <row r="15" ht="13" customHeight="1" s="189">
      <c r="A15" s="222" t="n"/>
      <c r="B15" s="199" t="n"/>
      <c r="C15" s="199" t="n"/>
      <c r="D15" s="285" t="n"/>
      <c r="E15" s="199" t="n"/>
      <c r="F15" s="199" t="n"/>
      <c r="G15" s="222" t="n"/>
    </row>
    <row r="16" ht="13" customHeight="1" s="189">
      <c r="A16" s="222" t="n"/>
      <c r="B16" s="199" t="n"/>
      <c r="C16" s="199" t="n"/>
      <c r="D16" s="285" t="n"/>
      <c r="E16" s="199" t="n"/>
      <c r="F16" s="199" t="n"/>
      <c r="G16" s="222" t="n"/>
    </row>
    <row r="17" ht="13" customHeight="1" s="189">
      <c r="A17" s="222" t="n"/>
      <c r="B17" s="199" t="n"/>
      <c r="C17" s="199" t="n"/>
      <c r="D17" s="285" t="n"/>
      <c r="E17" s="199" t="n"/>
      <c r="F17" s="199" t="n"/>
      <c r="G17" s="222" t="n"/>
    </row>
    <row r="18" ht="13" customHeight="1" s="189">
      <c r="A18" s="222" t="n"/>
      <c r="B18" s="199" t="n"/>
      <c r="C18" s="199" t="n"/>
      <c r="D18" s="285" t="n"/>
      <c r="E18" s="199" t="n"/>
      <c r="F18" s="199" t="n"/>
      <c r="G18" s="222" t="n"/>
    </row>
    <row r="19" ht="13" customHeight="1" s="189">
      <c r="A19" s="222" t="n"/>
      <c r="B19" s="199" t="n"/>
      <c r="C19" s="199" t="n"/>
      <c r="D19" s="285" t="n"/>
      <c r="E19" s="199" t="n"/>
      <c r="F19" s="199" t="n"/>
      <c r="G19" s="222" t="n"/>
    </row>
    <row r="20" ht="13" customHeight="1" s="189">
      <c r="A20" s="222" t="n"/>
      <c r="B20" s="199" t="n"/>
      <c r="C20" s="199" t="n"/>
      <c r="D20" s="285" t="n"/>
      <c r="E20" s="199" t="n"/>
      <c r="F20" s="199" t="n"/>
      <c r="G20" s="222" t="n"/>
    </row>
    <row r="21" ht="13" customHeight="1" s="189">
      <c r="A21" s="222" t="n"/>
      <c r="B21" s="199" t="n"/>
      <c r="C21" s="199" t="n"/>
      <c r="D21" s="285" t="n"/>
      <c r="E21" s="199" t="n"/>
      <c r="F21" s="199" t="n"/>
      <c r="G21" s="222" t="n"/>
    </row>
    <row r="22" ht="13" customHeight="1" s="189">
      <c r="A22" s="222" t="n"/>
      <c r="B22" s="199" t="n"/>
      <c r="C22" s="199" t="n"/>
      <c r="D22" s="285" t="n"/>
      <c r="E22" s="199" t="n"/>
      <c r="F22" s="199" t="n"/>
      <c r="G22" s="222" t="n"/>
    </row>
    <row r="23" ht="13" customHeight="1" s="189">
      <c r="A23" s="222" t="n"/>
      <c r="B23" s="199" t="n"/>
      <c r="C23" s="199" t="n"/>
      <c r="D23" s="285" t="n"/>
      <c r="E23" s="199" t="n"/>
      <c r="F23" s="199" t="n"/>
      <c r="G23" s="222" t="n"/>
    </row>
    <row r="24" ht="13" customHeight="1" s="189">
      <c r="A24" s="222" t="n"/>
      <c r="B24" s="199" t="n"/>
      <c r="C24" s="199" t="n"/>
      <c r="D24" s="285" t="n"/>
      <c r="E24" s="199" t="n"/>
      <c r="F24" s="199" t="n"/>
      <c r="G24" s="222" t="n"/>
    </row>
    <row r="25" ht="13" customHeight="1" s="189">
      <c r="A25" s="222" t="n"/>
      <c r="B25" s="199" t="n"/>
      <c r="C25" s="199" t="n"/>
      <c r="D25" s="285" t="n"/>
      <c r="E25" s="199" t="n"/>
      <c r="F25" s="199" t="n"/>
      <c r="G25" s="222" t="n"/>
    </row>
    <row r="26" ht="13" customHeight="1" s="189">
      <c r="A26" s="222" t="n"/>
      <c r="B26" s="199" t="n"/>
      <c r="C26" s="199" t="n"/>
      <c r="D26" s="285" t="n"/>
      <c r="E26" s="199" t="n"/>
      <c r="F26" s="199" t="n"/>
      <c r="G26" s="222" t="n"/>
    </row>
    <row r="27" ht="13" customHeight="1" s="189">
      <c r="A27" s="222" t="n"/>
      <c r="B27" s="199" t="n"/>
      <c r="C27" s="199" t="n"/>
      <c r="D27" s="285" t="n"/>
      <c r="E27" s="199" t="n"/>
      <c r="F27" s="199" t="n"/>
      <c r="G27" s="222" t="n"/>
    </row>
    <row r="28" ht="13" customHeight="1" s="189">
      <c r="A28" s="222" t="n"/>
      <c r="B28" s="199" t="n"/>
      <c r="C28" s="199" t="n"/>
      <c r="D28" s="285" t="n"/>
      <c r="E28" s="199" t="n"/>
      <c r="F28" s="199" t="n"/>
      <c r="G28" s="222" t="n"/>
    </row>
    <row r="29" ht="13" customHeight="1" s="189">
      <c r="A29" s="222" t="n"/>
      <c r="B29" s="199" t="n"/>
      <c r="C29" s="199" t="n"/>
      <c r="D29" s="285" t="n"/>
      <c r="E29" s="199" t="n"/>
      <c r="F29" s="199" t="n"/>
      <c r="G29" s="222" t="n"/>
    </row>
    <row r="30" ht="13" customHeight="1" s="189">
      <c r="A30" s="222" t="n"/>
      <c r="B30" s="199" t="n"/>
      <c r="C30" s="199" t="n"/>
      <c r="D30" s="285" t="n"/>
      <c r="E30" s="199" t="n"/>
      <c r="F30" s="199" t="n"/>
      <c r="G30" s="222" t="n"/>
    </row>
    <row r="31" ht="13" customHeight="1" s="189">
      <c r="A31" s="222" t="n"/>
      <c r="B31" s="199" t="n"/>
      <c r="C31" s="199" t="n"/>
      <c r="D31" s="285" t="n"/>
      <c r="E31" s="199" t="n"/>
      <c r="F31" s="199" t="n"/>
      <c r="G31" s="222" t="n"/>
    </row>
    <row r="32" ht="13" customHeight="1" s="189">
      <c r="A32" s="222" t="n"/>
      <c r="B32" s="199" t="n"/>
      <c r="C32" s="199" t="n"/>
      <c r="D32" s="285" t="n"/>
      <c r="E32" s="199" t="n"/>
      <c r="F32" s="199" t="n"/>
      <c r="G32" s="222" t="n"/>
    </row>
    <row r="33" ht="13" customHeight="1" s="189">
      <c r="A33" s="222" t="n"/>
      <c r="B33" s="199" t="n"/>
      <c r="C33" s="199" t="n"/>
      <c r="D33" s="285" t="n"/>
      <c r="E33" s="199" t="n"/>
      <c r="F33" s="199" t="n"/>
      <c r="G33" s="222" t="n"/>
    </row>
    <row r="34" ht="13" customHeight="1" s="189">
      <c r="A34" s="222" t="n"/>
      <c r="B34" s="199" t="n"/>
      <c r="C34" s="199" t="n"/>
      <c r="D34" s="285" t="n"/>
      <c r="E34" s="199" t="n"/>
      <c r="F34" s="199" t="n"/>
      <c r="G34" s="222" t="n"/>
    </row>
    <row r="35" ht="13" customHeight="1" s="189">
      <c r="A35" s="222" t="n"/>
      <c r="B35" s="199" t="n"/>
      <c r="C35" s="199" t="n"/>
      <c r="D35" s="285" t="n"/>
      <c r="E35" s="199" t="n"/>
      <c r="F35" s="199" t="n"/>
      <c r="G35" s="222" t="n"/>
    </row>
    <row r="36" ht="13" customHeight="1" s="189">
      <c r="A36" s="222" t="n"/>
      <c r="B36" s="199" t="n"/>
      <c r="C36" s="199" t="n"/>
      <c r="D36" s="285" t="n"/>
      <c r="E36" s="199" t="n"/>
      <c r="F36" s="199" t="n"/>
      <c r="G36" s="222" t="n"/>
    </row>
    <row r="37" ht="13" customHeight="1" s="189">
      <c r="A37" s="222" t="n"/>
      <c r="B37" s="199" t="n"/>
      <c r="C37" s="199" t="n"/>
      <c r="D37" s="285" t="n"/>
      <c r="E37" s="199" t="n"/>
      <c r="F37" s="199" t="n"/>
      <c r="G37" s="222" t="n"/>
    </row>
    <row r="38" ht="13" customHeight="1" s="189">
      <c r="B38" s="290" t="n"/>
      <c r="C38" s="290" t="n"/>
      <c r="D38" s="291" t="n"/>
      <c r="E38" s="290" t="n"/>
      <c r="F38" s="290" t="n"/>
    </row>
    <row r="39" ht="13" customHeight="1" s="189">
      <c r="B39" s="290" t="n"/>
      <c r="C39" s="290" t="n"/>
      <c r="D39" s="291" t="n"/>
      <c r="E39" s="290" t="n"/>
      <c r="F39" s="290" t="n"/>
      <c r="G39" s="201" t="inlineStr">
        <is>
          <t>© Global Knowledge Training LLC</t>
        </is>
      </c>
    </row>
    <row r="40" ht="13" customHeight="1" s="189">
      <c r="B40" s="290" t="n"/>
      <c r="C40" s="290" t="n"/>
      <c r="D40" s="291" t="n"/>
      <c r="E40" s="290" t="n"/>
      <c r="F40" s="290" t="n"/>
    </row>
    <row r="41" ht="13" customHeight="1" s="189">
      <c r="B41" s="290" t="n"/>
      <c r="C41" s="290" t="n"/>
      <c r="D41" s="291" t="n"/>
      <c r="E41" s="290" t="n"/>
      <c r="F41" s="290" t="n"/>
    </row>
    <row r="42" ht="13" customHeight="1" s="189">
      <c r="B42" s="290" t="n"/>
      <c r="C42" s="290" t="n"/>
      <c r="D42" s="291" t="n"/>
      <c r="E42" s="290" t="n"/>
      <c r="F42" s="290" t="n"/>
    </row>
    <row r="43" ht="13" customHeight="1" s="189">
      <c r="B43" s="290" t="n"/>
      <c r="C43" s="290" t="n"/>
      <c r="D43" s="291" t="n"/>
      <c r="E43" s="290" t="n"/>
      <c r="F43" s="290" t="n"/>
    </row>
    <row r="44" ht="13" customHeight="1" s="189">
      <c r="B44" s="290" t="n"/>
      <c r="C44" s="290" t="n"/>
      <c r="D44" s="291" t="n"/>
      <c r="E44" s="290" t="n"/>
      <c r="F44" s="290" t="n"/>
    </row>
    <row r="45" ht="13" customHeight="1" s="189">
      <c r="B45" s="290" t="n"/>
      <c r="C45" s="290" t="n"/>
      <c r="D45" s="291" t="n"/>
      <c r="E45" s="290" t="n"/>
      <c r="F45" s="290" t="n"/>
    </row>
    <row r="46" ht="13" customHeight="1" s="189">
      <c r="B46" s="290" t="n"/>
      <c r="C46" s="290" t="n"/>
      <c r="D46" s="291" t="n"/>
      <c r="E46" s="290" t="n"/>
      <c r="F46" s="290" t="n"/>
    </row>
    <row r="47" ht="13" customHeight="1" s="189">
      <c r="B47" s="290" t="n"/>
      <c r="C47" s="290" t="n"/>
      <c r="D47" s="291" t="n"/>
      <c r="E47" s="290" t="n"/>
      <c r="F47" s="290" t="n"/>
    </row>
    <row r="48" ht="13" customHeight="1" s="189">
      <c r="B48" s="290" t="n"/>
      <c r="C48" s="290" t="n"/>
      <c r="D48" s="291" t="n"/>
      <c r="E48" s="290" t="n"/>
      <c r="F48" s="290" t="n"/>
    </row>
    <row r="49" ht="13" customHeight="1" s="189">
      <c r="B49" s="290" t="n"/>
      <c r="C49" s="290" t="n"/>
      <c r="D49" s="291" t="n"/>
      <c r="E49" s="290" t="n"/>
      <c r="F49" s="290" t="n"/>
    </row>
    <row r="50" ht="13" customHeight="1" s="189">
      <c r="B50" s="290" t="n"/>
      <c r="C50" s="290" t="n"/>
      <c r="D50" s="291" t="n"/>
      <c r="E50" s="290" t="n"/>
      <c r="F50" s="290" t="n"/>
    </row>
    <row r="51" ht="13" customHeight="1" s="189">
      <c r="B51" s="290" t="n"/>
      <c r="C51" s="290" t="n"/>
      <c r="D51" s="291" t="n"/>
      <c r="E51" s="290" t="n"/>
      <c r="F51" s="290" t="n"/>
    </row>
    <row r="52" ht="13" customHeight="1" s="189">
      <c r="B52" s="290" t="n"/>
      <c r="C52" s="290" t="n"/>
      <c r="D52" s="291" t="n"/>
      <c r="E52" s="290" t="n"/>
      <c r="F52" s="290" t="n"/>
    </row>
    <row r="53" ht="13" customHeight="1" s="189">
      <c r="B53" s="290" t="n"/>
      <c r="C53" s="290" t="n"/>
      <c r="D53" s="291" t="n"/>
      <c r="E53" s="290" t="n"/>
      <c r="F53" s="290" t="n"/>
    </row>
    <row r="54" ht="13" customHeight="1" s="189">
      <c r="B54" s="290" t="n"/>
      <c r="C54" s="290" t="n"/>
      <c r="D54" s="291" t="n"/>
      <c r="E54" s="290" t="n"/>
      <c r="F54" s="290" t="n"/>
    </row>
    <row r="55" ht="13" customHeight="1" s="189">
      <c r="B55" s="290" t="n"/>
      <c r="C55" s="290" t="n"/>
      <c r="D55" s="291" t="n"/>
      <c r="E55" s="290" t="n"/>
      <c r="F55" s="290" t="n"/>
    </row>
    <row r="56" ht="13" customHeight="1" s="189">
      <c r="B56" s="290" t="n"/>
      <c r="C56" s="290" t="n"/>
      <c r="D56" s="291" t="n"/>
      <c r="E56" s="290" t="n"/>
      <c r="F56" s="290" t="n"/>
    </row>
    <row r="57" ht="13" customHeight="1" s="189">
      <c r="B57" s="290" t="n"/>
      <c r="C57" s="290" t="n"/>
      <c r="D57" s="291" t="n"/>
      <c r="E57" s="290" t="n"/>
      <c r="F57" s="290" t="n"/>
    </row>
    <row r="58" ht="13" customHeight="1" s="189">
      <c r="B58" s="290" t="n"/>
      <c r="C58" s="290" t="n"/>
      <c r="D58" s="291" t="n"/>
      <c r="E58" s="290" t="n"/>
      <c r="F58" s="290" t="n"/>
    </row>
    <row r="59" ht="13" customHeight="1" s="189">
      <c r="B59" s="290" t="n"/>
      <c r="C59" s="290" t="n"/>
      <c r="D59" s="291" t="n"/>
      <c r="E59" s="290" t="n"/>
      <c r="F59" s="290" t="n"/>
    </row>
    <row r="60" ht="13" customHeight="1" s="189">
      <c r="B60" s="290" t="n"/>
      <c r="C60" s="290" t="n"/>
      <c r="D60" s="291" t="n"/>
      <c r="E60" s="290" t="n"/>
      <c r="F60" s="290" t="n"/>
    </row>
    <row r="61" ht="13" customHeight="1" s="189">
      <c r="B61" s="290" t="n"/>
      <c r="C61" s="290" t="n"/>
      <c r="D61" s="291" t="n"/>
      <c r="E61" s="290" t="n"/>
      <c r="F61" s="290" t="n"/>
    </row>
    <row r="62" ht="13" customHeight="1" s="189">
      <c r="B62" s="290" t="n"/>
      <c r="C62" s="290" t="n"/>
      <c r="D62" s="291" t="n"/>
      <c r="E62" s="290" t="n"/>
      <c r="F62" s="290" t="n"/>
    </row>
    <row r="63" ht="13" customHeight="1" s="189">
      <c r="B63" s="290" t="n"/>
      <c r="C63" s="290" t="n"/>
      <c r="D63" s="291" t="n"/>
      <c r="E63" s="290" t="n"/>
      <c r="F63" s="290" t="n"/>
    </row>
    <row r="64" ht="13" customHeight="1" s="189">
      <c r="B64" s="290" t="n"/>
      <c r="C64" s="290" t="n"/>
      <c r="D64" s="291" t="n"/>
      <c r="E64" s="290" t="n"/>
      <c r="F64" s="290" t="n"/>
    </row>
    <row r="65" ht="13" customHeight="1" s="189">
      <c r="B65" s="290" t="n"/>
      <c r="C65" s="290" t="n"/>
      <c r="D65" s="291" t="n"/>
      <c r="E65" s="290" t="n"/>
      <c r="F65" s="290" t="n"/>
    </row>
    <row r="66" ht="13" customHeight="1" s="189">
      <c r="B66" s="290" t="n"/>
      <c r="C66" s="290" t="n"/>
      <c r="D66" s="291" t="n"/>
      <c r="E66" s="290" t="n"/>
      <c r="F66" s="290" t="n"/>
    </row>
    <row r="67" ht="13" customHeight="1" s="189">
      <c r="B67" s="290" t="n"/>
      <c r="C67" s="290" t="n"/>
      <c r="D67" s="291" t="n"/>
      <c r="E67" s="290" t="n"/>
      <c r="F67" s="290" t="n"/>
    </row>
    <row r="68" ht="13" customHeight="1" s="189">
      <c r="B68" s="290" t="n"/>
      <c r="C68" s="290" t="n"/>
      <c r="D68" s="291" t="n"/>
      <c r="E68" s="290" t="n"/>
      <c r="F68" s="290" t="n"/>
    </row>
    <row r="69" ht="13" customHeight="1" s="189">
      <c r="B69" s="290" t="n"/>
      <c r="C69" s="290" t="n"/>
      <c r="D69" s="291" t="n"/>
      <c r="E69" s="290" t="n"/>
      <c r="F69" s="290" t="n"/>
    </row>
    <row r="70" ht="13" customHeight="1" s="189">
      <c r="B70" s="290" t="n"/>
      <c r="C70" s="290" t="n"/>
      <c r="D70" s="291" t="n"/>
      <c r="E70" s="290" t="n"/>
      <c r="F70" s="290" t="n"/>
    </row>
    <row r="71" ht="13" customHeight="1" s="189">
      <c r="B71" s="290" t="n"/>
      <c r="C71" s="290" t="n"/>
      <c r="D71" s="291" t="n"/>
      <c r="E71" s="290" t="n"/>
      <c r="F71" s="290" t="n"/>
    </row>
    <row r="72" ht="13" customHeight="1" s="189">
      <c r="B72" s="290" t="n"/>
      <c r="C72" s="290" t="n"/>
      <c r="D72" s="291" t="n"/>
      <c r="E72" s="290" t="n"/>
      <c r="F72" s="290" t="n"/>
    </row>
    <row r="73" ht="13" customHeight="1" s="189">
      <c r="B73" s="290" t="n"/>
      <c r="C73" s="290" t="n"/>
      <c r="D73" s="291" t="n"/>
      <c r="E73" s="290" t="n"/>
      <c r="F73" s="290" t="n"/>
    </row>
    <row r="74" ht="13" customHeight="1" s="189">
      <c r="B74" s="290" t="n"/>
      <c r="C74" s="290" t="n"/>
      <c r="D74" s="291" t="n"/>
      <c r="E74" s="290" t="n"/>
      <c r="F74" s="290" t="n"/>
    </row>
    <row r="75" ht="13" customHeight="1" s="189">
      <c r="B75" s="290" t="n"/>
      <c r="C75" s="290" t="n"/>
      <c r="D75" s="291" t="n"/>
      <c r="E75" s="290" t="n"/>
      <c r="F75" s="290" t="n"/>
    </row>
    <row r="76" ht="13" customHeight="1" s="189">
      <c r="B76" s="290" t="n"/>
      <c r="C76" s="290" t="n"/>
      <c r="D76" s="291" t="n"/>
      <c r="E76" s="290" t="n"/>
      <c r="F76" s="290" t="n"/>
    </row>
    <row r="77" ht="13" customHeight="1" s="189">
      <c r="B77" s="290" t="n"/>
      <c r="C77" s="290" t="n"/>
      <c r="D77" s="291" t="n"/>
      <c r="E77" s="290" t="n"/>
      <c r="F77" s="290" t="n"/>
    </row>
    <row r="78" ht="13" customHeight="1" s="189">
      <c r="B78" s="290" t="n"/>
      <c r="C78" s="290" t="n"/>
      <c r="D78" s="291" t="n"/>
      <c r="E78" s="290" t="n"/>
      <c r="F78" s="290" t="n"/>
    </row>
    <row r="79" ht="13" customHeight="1" s="189">
      <c r="B79" s="290" t="n"/>
      <c r="C79" s="290" t="n"/>
      <c r="D79" s="291" t="n"/>
      <c r="E79" s="290" t="n"/>
      <c r="F79" s="290" t="n"/>
    </row>
    <row r="80" ht="13" customHeight="1" s="189">
      <c r="B80" s="290" t="n"/>
      <c r="C80" s="290" t="n"/>
      <c r="D80" s="291" t="n"/>
      <c r="E80" s="290" t="n"/>
      <c r="F80" s="290" t="n"/>
    </row>
    <row r="81" ht="13" customHeight="1" s="189">
      <c r="B81" s="290" t="n"/>
      <c r="C81" s="290" t="n"/>
      <c r="D81" s="291" t="n"/>
      <c r="E81" s="290" t="n"/>
      <c r="F81" s="290" t="n"/>
    </row>
    <row r="82" ht="13" customHeight="1" s="189">
      <c r="B82" s="290" t="n"/>
      <c r="C82" s="290" t="n"/>
      <c r="D82" s="291" t="n"/>
      <c r="E82" s="290" t="n"/>
      <c r="F82" s="290" t="n"/>
    </row>
    <row r="83" ht="13" customHeight="1" s="189">
      <c r="B83" s="290" t="n"/>
      <c r="C83" s="290" t="n"/>
      <c r="D83" s="291" t="n"/>
      <c r="E83" s="290" t="n"/>
      <c r="F83" s="290" t="n"/>
    </row>
    <row r="84" ht="13" customHeight="1" s="189">
      <c r="B84" s="290" t="n"/>
      <c r="C84" s="290" t="n"/>
      <c r="D84" s="291" t="n"/>
      <c r="E84" s="290" t="n"/>
      <c r="F84" s="290" t="n"/>
    </row>
    <row r="85" ht="13" customHeight="1" s="189">
      <c r="B85" s="290" t="n"/>
      <c r="C85" s="290" t="n"/>
      <c r="D85" s="291" t="n"/>
      <c r="E85" s="290" t="n"/>
      <c r="F85" s="290" t="n"/>
    </row>
    <row r="86" ht="13" customHeight="1" s="189">
      <c r="B86" s="290" t="n"/>
      <c r="C86" s="290" t="n"/>
      <c r="D86" s="291" t="n"/>
      <c r="E86" s="290" t="n"/>
      <c r="F86" s="290" t="n"/>
    </row>
    <row r="87" ht="13" customHeight="1" s="189">
      <c r="B87" s="290" t="n"/>
      <c r="C87" s="290" t="n"/>
      <c r="D87" s="291" t="n"/>
      <c r="E87" s="290" t="n"/>
      <c r="F87" s="290" t="n"/>
    </row>
    <row r="88" ht="13" customHeight="1" s="189">
      <c r="B88" s="290" t="n"/>
      <c r="C88" s="290" t="n"/>
      <c r="D88" s="291" t="n"/>
      <c r="E88" s="290" t="n"/>
      <c r="F88" s="290" t="n"/>
    </row>
    <row r="89" ht="13" customHeight="1" s="189">
      <c r="B89" s="290" t="n"/>
      <c r="C89" s="290" t="n"/>
      <c r="D89" s="291" t="n"/>
      <c r="E89" s="290" t="n"/>
      <c r="F89" s="290" t="n"/>
    </row>
    <row r="90" ht="13" customHeight="1" s="189">
      <c r="B90" s="290" t="n"/>
      <c r="C90" s="290" t="n"/>
      <c r="D90" s="291" t="n"/>
      <c r="E90" s="290" t="n"/>
      <c r="F90" s="290" t="n"/>
    </row>
    <row r="91" ht="13" customHeight="1" s="189">
      <c r="B91" s="290" t="n"/>
      <c r="C91" s="290" t="n"/>
      <c r="D91" s="291" t="n"/>
      <c r="E91" s="290" t="n"/>
      <c r="F91" s="290" t="n"/>
    </row>
    <row r="92" ht="13" customHeight="1" s="189">
      <c r="B92" s="290" t="n"/>
      <c r="C92" s="290" t="n"/>
      <c r="D92" s="291" t="n"/>
      <c r="E92" s="290" t="n"/>
      <c r="F92" s="290" t="n"/>
    </row>
    <row r="93" ht="13" customHeight="1" s="189">
      <c r="B93" s="290" t="n"/>
      <c r="C93" s="290" t="n"/>
      <c r="D93" s="291" t="n"/>
      <c r="E93" s="290" t="n"/>
      <c r="F93" s="290" t="n"/>
    </row>
    <row r="94" ht="13" customHeight="1" s="189">
      <c r="B94" s="290" t="n"/>
      <c r="C94" s="290" t="n"/>
      <c r="D94" s="291" t="n"/>
      <c r="E94" s="290" t="n"/>
      <c r="F94" s="290" t="n"/>
    </row>
    <row r="95" ht="13" customHeight="1" s="189">
      <c r="B95" s="290" t="n"/>
      <c r="C95" s="290" t="n"/>
      <c r="D95" s="291" t="n"/>
      <c r="E95" s="290" t="n"/>
      <c r="F95" s="290" t="n"/>
    </row>
    <row r="96" ht="13" customHeight="1" s="189">
      <c r="B96" s="290" t="n"/>
      <c r="C96" s="290" t="n"/>
      <c r="D96" s="291" t="n"/>
      <c r="E96" s="290" t="n"/>
      <c r="F96" s="290" t="n"/>
    </row>
    <row r="97" ht="13" customHeight="1" s="189">
      <c r="B97" s="290" t="n"/>
      <c r="C97" s="290" t="n"/>
      <c r="D97" s="291" t="n"/>
      <c r="E97" s="290" t="n"/>
      <c r="F97" s="290" t="n"/>
    </row>
    <row r="98" ht="13" customHeight="1" s="189">
      <c r="B98" s="290" t="n"/>
      <c r="C98" s="290" t="n"/>
      <c r="D98" s="291" t="n"/>
      <c r="E98" s="290" t="n"/>
      <c r="F98" s="290" t="n"/>
    </row>
    <row r="99" ht="13" customHeight="1" s="189">
      <c r="B99" s="290" t="n"/>
      <c r="C99" s="290" t="n"/>
      <c r="D99" s="291" t="n"/>
      <c r="E99" s="290" t="n"/>
      <c r="F99" s="290" t="n"/>
    </row>
    <row r="100" ht="13" customHeight="1" s="189">
      <c r="B100" s="290" t="n"/>
      <c r="C100" s="290" t="n"/>
      <c r="D100" s="291" t="n"/>
      <c r="E100" s="290" t="n"/>
      <c r="F100" s="290" t="n"/>
    </row>
    <row r="101" ht="13" customHeight="1" s="189">
      <c r="B101" s="290" t="n"/>
      <c r="C101" s="290" t="n"/>
      <c r="D101" s="291" t="n"/>
      <c r="E101" s="290" t="n"/>
      <c r="F101" s="290" t="n"/>
    </row>
    <row r="102" ht="13" customHeight="1" s="189">
      <c r="B102" s="290" t="n"/>
      <c r="C102" s="290" t="n"/>
      <c r="D102" s="291" t="n"/>
      <c r="E102" s="290" t="n"/>
      <c r="F102" s="290" t="n"/>
    </row>
    <row r="103" ht="13" customHeight="1" s="189">
      <c r="B103" s="290" t="n"/>
      <c r="C103" s="290" t="n"/>
      <c r="D103" s="291" t="n"/>
      <c r="E103" s="290" t="n"/>
      <c r="F103" s="290" t="n"/>
    </row>
    <row r="104" ht="13" customHeight="1" s="189">
      <c r="B104" s="290" t="n"/>
      <c r="C104" s="290" t="n"/>
      <c r="D104" s="291" t="n"/>
      <c r="E104" s="290" t="n"/>
      <c r="F104" s="290" t="n"/>
    </row>
    <row r="105" ht="13" customHeight="1" s="189">
      <c r="B105" s="290" t="n"/>
      <c r="C105" s="290" t="n"/>
      <c r="D105" s="291" t="n"/>
      <c r="E105" s="290" t="n"/>
      <c r="F105" s="290" t="n"/>
    </row>
    <row r="106" ht="13" customHeight="1" s="189">
      <c r="B106" s="290" t="n"/>
      <c r="C106" s="290" t="n"/>
      <c r="D106" s="291" t="n"/>
      <c r="E106" s="290" t="n"/>
      <c r="F106" s="290" t="n"/>
    </row>
    <row r="107" ht="13" customHeight="1" s="189">
      <c r="B107" s="290" t="n"/>
      <c r="C107" s="290" t="n"/>
      <c r="D107" s="291" t="n"/>
      <c r="E107" s="290" t="n"/>
      <c r="F107" s="290" t="n"/>
    </row>
    <row r="108" ht="13" customHeight="1" s="189">
      <c r="B108" s="290" t="n"/>
      <c r="C108" s="290" t="n"/>
      <c r="D108" s="291" t="n"/>
      <c r="E108" s="290" t="n"/>
      <c r="F108" s="290" t="n"/>
    </row>
    <row r="109" ht="13" customHeight="1" s="189">
      <c r="B109" s="290" t="n"/>
      <c r="C109" s="290" t="n"/>
      <c r="D109" s="291" t="n"/>
      <c r="E109" s="290" t="n"/>
      <c r="F109" s="290" t="n"/>
    </row>
    <row r="110" ht="13" customHeight="1" s="189">
      <c r="B110" s="290" t="n"/>
      <c r="C110" s="290" t="n"/>
      <c r="D110" s="291" t="n"/>
      <c r="E110" s="290" t="n"/>
      <c r="F110" s="290" t="n"/>
    </row>
    <row r="111" ht="13" customHeight="1" s="189">
      <c r="B111" s="290" t="n"/>
      <c r="C111" s="290" t="n"/>
      <c r="D111" s="291" t="n"/>
      <c r="E111" s="290" t="n"/>
      <c r="F111" s="290" t="n"/>
    </row>
    <row r="112" ht="13" customHeight="1" s="189">
      <c r="B112" s="290" t="n"/>
      <c r="C112" s="290" t="n"/>
      <c r="D112" s="291" t="n"/>
      <c r="E112" s="290" t="n"/>
      <c r="F112" s="290" t="n"/>
    </row>
    <row r="113" ht="13" customHeight="1" s="189">
      <c r="B113" s="290" t="n"/>
      <c r="C113" s="290" t="n"/>
      <c r="D113" s="291" t="n"/>
      <c r="E113" s="290" t="n"/>
      <c r="F113" s="290" t="n"/>
    </row>
    <row r="114" ht="13" customHeight="1" s="189">
      <c r="B114" s="290" t="n"/>
      <c r="C114" s="290" t="n"/>
      <c r="D114" s="291" t="n"/>
      <c r="E114" s="290" t="n"/>
      <c r="F114" s="290" t="n"/>
    </row>
    <row r="115" ht="13" customHeight="1" s="189">
      <c r="B115" s="290" t="n"/>
      <c r="C115" s="290" t="n"/>
      <c r="D115" s="291" t="n"/>
      <c r="E115" s="290" t="n"/>
      <c r="F115" s="290" t="n"/>
    </row>
    <row r="116" ht="13" customHeight="1" s="189">
      <c r="B116" s="290" t="n"/>
      <c r="C116" s="290" t="n"/>
      <c r="D116" s="291" t="n"/>
      <c r="E116" s="290" t="n"/>
      <c r="F116" s="290" t="n"/>
    </row>
    <row r="117" ht="13" customHeight="1" s="189">
      <c r="B117" s="290" t="n"/>
      <c r="C117" s="290" t="n"/>
      <c r="D117" s="291" t="n"/>
      <c r="E117" s="290" t="n"/>
      <c r="F117" s="290" t="n"/>
    </row>
    <row r="118" ht="13" customHeight="1" s="189">
      <c r="B118" s="290" t="n"/>
      <c r="C118" s="290" t="n"/>
      <c r="D118" s="291" t="n"/>
      <c r="E118" s="290" t="n"/>
      <c r="F118" s="290" t="n"/>
    </row>
    <row r="119" ht="13" customHeight="1" s="189">
      <c r="B119" s="290" t="n"/>
      <c r="C119" s="290" t="n"/>
      <c r="D119" s="291" t="n"/>
      <c r="E119" s="290" t="n"/>
      <c r="F119" s="290" t="n"/>
    </row>
    <row r="120" ht="13" customHeight="1" s="189">
      <c r="B120" s="290" t="n"/>
      <c r="C120" s="290" t="n"/>
      <c r="D120" s="291" t="n"/>
      <c r="E120" s="290" t="n"/>
      <c r="F120" s="290" t="n"/>
    </row>
    <row r="121" ht="13" customHeight="1" s="189">
      <c r="B121" s="290" t="n"/>
      <c r="C121" s="290" t="n"/>
      <c r="D121" s="291" t="n"/>
      <c r="E121" s="290" t="n"/>
      <c r="F121" s="290" t="n"/>
    </row>
    <row r="122" ht="13" customHeight="1" s="189">
      <c r="B122" s="290" t="n"/>
      <c r="C122" s="290" t="n"/>
      <c r="D122" s="291" t="n"/>
      <c r="E122" s="290" t="n"/>
      <c r="F122" s="290" t="n"/>
    </row>
    <row r="123" ht="13" customHeight="1" s="189">
      <c r="B123" s="290" t="n"/>
      <c r="C123" s="290" t="n"/>
      <c r="D123" s="291" t="n"/>
      <c r="E123" s="290" t="n"/>
      <c r="F123" s="290" t="n"/>
    </row>
    <row r="124" ht="13" customHeight="1" s="189">
      <c r="B124" s="290" t="n"/>
      <c r="C124" s="290" t="n"/>
      <c r="D124" s="291" t="n"/>
      <c r="E124" s="290" t="n"/>
      <c r="F124" s="290" t="n"/>
    </row>
    <row r="125" ht="13" customHeight="1" s="189">
      <c r="B125" s="290" t="n"/>
      <c r="C125" s="290" t="n"/>
      <c r="D125" s="291" t="n"/>
      <c r="E125" s="290" t="n"/>
      <c r="F125" s="290" t="n"/>
    </row>
    <row r="126" ht="13" customHeight="1" s="189">
      <c r="B126" s="290" t="n"/>
      <c r="C126" s="290" t="n"/>
      <c r="D126" s="291" t="n"/>
      <c r="E126" s="290" t="n"/>
      <c r="F126" s="290" t="n"/>
    </row>
    <row r="127" ht="13" customHeight="1" s="189">
      <c r="B127" s="290" t="n"/>
      <c r="C127" s="290" t="n"/>
      <c r="D127" s="291" t="n"/>
      <c r="E127" s="290" t="n"/>
      <c r="F127" s="290" t="n"/>
    </row>
    <row r="128" ht="13" customHeight="1" s="189">
      <c r="B128" s="290" t="n"/>
      <c r="C128" s="290" t="n"/>
      <c r="D128" s="291" t="n"/>
      <c r="E128" s="290" t="n"/>
      <c r="F128" s="290" t="n"/>
    </row>
    <row r="129" ht="13" customHeight="1" s="189">
      <c r="B129" s="290" t="n"/>
      <c r="C129" s="290" t="n"/>
      <c r="D129" s="291" t="n"/>
      <c r="E129" s="290" t="n"/>
      <c r="F129" s="290" t="n"/>
    </row>
    <row r="130" ht="13" customHeight="1" s="189">
      <c r="B130" s="290" t="n"/>
      <c r="C130" s="290" t="n"/>
      <c r="D130" s="291" t="n"/>
      <c r="E130" s="290" t="n"/>
      <c r="F130" s="290" t="n"/>
    </row>
    <row r="131" ht="13" customHeight="1" s="189">
      <c r="B131" s="290" t="n"/>
      <c r="C131" s="290" t="n"/>
      <c r="D131" s="291" t="n"/>
      <c r="E131" s="290" t="n"/>
      <c r="F131" s="290" t="n"/>
    </row>
    <row r="132" ht="13" customHeight="1" s="189">
      <c r="B132" s="290" t="n"/>
      <c r="C132" s="290" t="n"/>
      <c r="D132" s="291" t="n"/>
      <c r="E132" s="290" t="n"/>
      <c r="F132" s="290" t="n"/>
    </row>
    <row r="133" ht="13" customHeight="1" s="189">
      <c r="B133" s="290" t="n"/>
      <c r="C133" s="290" t="n"/>
      <c r="D133" s="291" t="n"/>
      <c r="E133" s="290" t="n"/>
      <c r="F133" s="290" t="n"/>
    </row>
    <row r="134" ht="13" customHeight="1" s="189">
      <c r="B134" s="290" t="n"/>
      <c r="C134" s="290" t="n"/>
      <c r="D134" s="291" t="n"/>
      <c r="E134" s="290" t="n"/>
      <c r="F134" s="290" t="n"/>
    </row>
    <row r="135" ht="13" customHeight="1" s="189">
      <c r="B135" s="290" t="n"/>
      <c r="C135" s="290" t="n"/>
      <c r="D135" s="291" t="n"/>
      <c r="E135" s="290" t="n"/>
      <c r="F135" s="290" t="n"/>
    </row>
    <row r="136" ht="13" customHeight="1" s="189">
      <c r="B136" s="290" t="n"/>
      <c r="C136" s="290" t="n"/>
      <c r="D136" s="291" t="n"/>
      <c r="E136" s="290" t="n"/>
      <c r="F136" s="290" t="n"/>
    </row>
    <row r="137" ht="13" customHeight="1" s="189">
      <c r="B137" s="290" t="n"/>
      <c r="C137" s="290" t="n"/>
      <c r="D137" s="291" t="n"/>
      <c r="E137" s="290" t="n"/>
      <c r="F137" s="290" t="n"/>
    </row>
    <row r="138" ht="13" customHeight="1" s="189">
      <c r="B138" s="290" t="n"/>
      <c r="C138" s="290" t="n"/>
      <c r="D138" s="291" t="n"/>
      <c r="E138" s="290" t="n"/>
      <c r="F138" s="290" t="n"/>
    </row>
    <row r="139" ht="13" customHeight="1" s="189">
      <c r="B139" s="290" t="n"/>
      <c r="C139" s="290" t="n"/>
      <c r="D139" s="291" t="n"/>
      <c r="E139" s="290" t="n"/>
      <c r="F139" s="290" t="n"/>
    </row>
    <row r="140" ht="13" customHeight="1" s="189">
      <c r="B140" s="290" t="n"/>
      <c r="C140" s="290" t="n"/>
      <c r="D140" s="291" t="n"/>
      <c r="E140" s="290" t="n"/>
      <c r="F140" s="290" t="n"/>
    </row>
    <row r="141" ht="13" customHeight="1" s="189">
      <c r="B141" s="290" t="n"/>
      <c r="C141" s="290" t="n"/>
      <c r="D141" s="291" t="n"/>
      <c r="E141" s="290" t="n"/>
      <c r="F141" s="290" t="n"/>
    </row>
    <row r="142" ht="13" customHeight="1" s="189">
      <c r="B142" s="290" t="n"/>
      <c r="C142" s="290" t="n"/>
      <c r="D142" s="291" t="n"/>
      <c r="E142" s="290" t="n"/>
      <c r="F142" s="290" t="n"/>
    </row>
    <row r="143" ht="13" customHeight="1" s="189">
      <c r="B143" s="290" t="n"/>
      <c r="C143" s="290" t="n"/>
      <c r="D143" s="291" t="n"/>
      <c r="E143" s="290" t="n"/>
      <c r="F143" s="290" t="n"/>
    </row>
    <row r="144" ht="13" customHeight="1" s="189">
      <c r="B144" s="290" t="n"/>
      <c r="C144" s="290" t="n"/>
      <c r="D144" s="291" t="n"/>
      <c r="E144" s="290" t="n"/>
      <c r="F144" s="290" t="n"/>
    </row>
    <row r="145" ht="13" customHeight="1" s="189">
      <c r="B145" s="290" t="n"/>
      <c r="C145" s="290" t="n"/>
      <c r="D145" s="291" t="n"/>
      <c r="E145" s="290" t="n"/>
      <c r="F145" s="290" t="n"/>
    </row>
    <row r="146" ht="13" customHeight="1" s="189">
      <c r="B146" s="290" t="n"/>
      <c r="C146" s="290" t="n"/>
      <c r="D146" s="291" t="n"/>
      <c r="E146" s="290" t="n"/>
      <c r="F146" s="290" t="n"/>
    </row>
    <row r="147" ht="13" customHeight="1" s="189">
      <c r="B147" s="290" t="n"/>
      <c r="C147" s="290" t="n"/>
      <c r="D147" s="291" t="n"/>
      <c r="E147" s="290" t="n"/>
      <c r="F147" s="290" t="n"/>
    </row>
    <row r="148" ht="13" customHeight="1" s="189">
      <c r="B148" s="290" t="n"/>
      <c r="C148" s="290" t="n"/>
      <c r="D148" s="291" t="n"/>
      <c r="E148" s="290" t="n"/>
      <c r="F148" s="290" t="n"/>
    </row>
    <row r="149" ht="13" customHeight="1" s="189">
      <c r="B149" s="290" t="n"/>
      <c r="C149" s="290" t="n"/>
      <c r="D149" s="291" t="n"/>
      <c r="E149" s="290" t="n"/>
      <c r="F149" s="290" t="n"/>
    </row>
    <row r="150" ht="13" customHeight="1" s="189">
      <c r="B150" s="290" t="n"/>
      <c r="C150" s="290" t="n"/>
      <c r="D150" s="291" t="n"/>
      <c r="E150" s="290" t="n"/>
      <c r="F150" s="290" t="n"/>
    </row>
    <row r="151" ht="13" customHeight="1" s="189">
      <c r="B151" s="290" t="n"/>
      <c r="C151" s="290" t="n"/>
      <c r="D151" s="291" t="n"/>
      <c r="E151" s="290" t="n"/>
      <c r="F151" s="290" t="n"/>
    </row>
    <row r="152" ht="13" customHeight="1" s="189">
      <c r="B152" s="290" t="n"/>
      <c r="C152" s="290" t="n"/>
      <c r="D152" s="291" t="n"/>
      <c r="E152" s="290" t="n"/>
      <c r="F152" s="290" t="n"/>
    </row>
    <row r="153" ht="13" customHeight="1" s="189">
      <c r="B153" s="290" t="n"/>
      <c r="C153" s="290" t="n"/>
      <c r="D153" s="291" t="n"/>
      <c r="E153" s="290" t="n"/>
      <c r="F153" s="290" t="n"/>
    </row>
    <row r="154" ht="13" customHeight="1" s="189">
      <c r="B154" s="290" t="n"/>
      <c r="C154" s="290" t="n"/>
      <c r="D154" s="291" t="n"/>
      <c r="E154" s="290" t="n"/>
      <c r="F154" s="290" t="n"/>
    </row>
    <row r="155" ht="13" customHeight="1" s="189">
      <c r="B155" s="290" t="n"/>
      <c r="C155" s="290" t="n"/>
      <c r="D155" s="291" t="n"/>
      <c r="E155" s="290" t="n"/>
      <c r="F155" s="290" t="n"/>
    </row>
    <row r="156" ht="13" customHeight="1" s="189">
      <c r="B156" s="290" t="n"/>
      <c r="C156" s="290" t="n"/>
      <c r="D156" s="291" t="n"/>
      <c r="E156" s="290" t="n"/>
      <c r="F156" s="290" t="n"/>
    </row>
    <row r="157" ht="13" customHeight="1" s="189">
      <c r="B157" s="290" t="n"/>
      <c r="C157" s="290" t="n"/>
      <c r="D157" s="291" t="n"/>
      <c r="E157" s="290" t="n"/>
      <c r="F157" s="290" t="n"/>
    </row>
    <row r="158" ht="13" customHeight="1" s="189">
      <c r="B158" s="290" t="n"/>
      <c r="C158" s="290" t="n"/>
      <c r="D158" s="291" t="n"/>
      <c r="E158" s="290" t="n"/>
      <c r="F158" s="290" t="n"/>
    </row>
    <row r="159" ht="13" customHeight="1" s="189">
      <c r="B159" s="290" t="n"/>
      <c r="C159" s="290" t="n"/>
      <c r="D159" s="291" t="n"/>
      <c r="E159" s="290" t="n"/>
      <c r="F159" s="290" t="n"/>
    </row>
    <row r="160" ht="13" customHeight="1" s="189">
      <c r="B160" s="290" t="n"/>
      <c r="C160" s="290" t="n"/>
      <c r="D160" s="291" t="n"/>
      <c r="E160" s="290" t="n"/>
      <c r="F160" s="290" t="n"/>
    </row>
    <row r="161" ht="13" customHeight="1" s="189">
      <c r="B161" s="290" t="n"/>
      <c r="C161" s="290" t="n"/>
      <c r="D161" s="291" t="n"/>
      <c r="E161" s="290" t="n"/>
      <c r="F161" s="290" t="n"/>
    </row>
    <row r="162" ht="13" customHeight="1" s="189">
      <c r="B162" s="290" t="n"/>
      <c r="C162" s="290" t="n"/>
      <c r="D162" s="291" t="n"/>
      <c r="E162" s="290" t="n"/>
      <c r="F162" s="290" t="n"/>
    </row>
    <row r="163" ht="13" customHeight="1" s="189">
      <c r="B163" s="290" t="n"/>
      <c r="C163" s="290" t="n"/>
      <c r="D163" s="291" t="n"/>
      <c r="E163" s="290" t="n"/>
      <c r="F163" s="290" t="n"/>
    </row>
    <row r="164" ht="13" customHeight="1" s="189">
      <c r="B164" s="290" t="n"/>
      <c r="C164" s="290" t="n"/>
      <c r="D164" s="291" t="n"/>
      <c r="E164" s="290" t="n"/>
      <c r="F164" s="290" t="n"/>
    </row>
    <row r="165" ht="13" customHeight="1" s="189">
      <c r="B165" s="290" t="n"/>
      <c r="C165" s="290" t="n"/>
      <c r="D165" s="291" t="n"/>
      <c r="E165" s="290" t="n"/>
      <c r="F165" s="290" t="n"/>
    </row>
    <row r="166" ht="13" customHeight="1" s="189">
      <c r="B166" s="290" t="n"/>
      <c r="C166" s="290" t="n"/>
      <c r="D166" s="291" t="n"/>
      <c r="E166" s="290" t="n"/>
      <c r="F166" s="290" t="n"/>
    </row>
    <row r="167" ht="13" customHeight="1" s="189">
      <c r="B167" s="290" t="n"/>
      <c r="C167" s="290" t="n"/>
      <c r="D167" s="291" t="n"/>
      <c r="E167" s="290" t="n"/>
      <c r="F167" s="290" t="n"/>
    </row>
    <row r="168" ht="13" customHeight="1" s="189">
      <c r="B168" s="290" t="n"/>
      <c r="C168" s="290" t="n"/>
      <c r="D168" s="291" t="n"/>
      <c r="E168" s="290" t="n"/>
      <c r="F168" s="290" t="n"/>
    </row>
    <row r="169" ht="13" customHeight="1" s="189">
      <c r="B169" s="290" t="n"/>
      <c r="C169" s="290" t="n"/>
      <c r="D169" s="291" t="n"/>
      <c r="E169" s="290" t="n"/>
      <c r="F169" s="290" t="n"/>
    </row>
    <row r="170" ht="13" customHeight="1" s="189">
      <c r="B170" s="290" t="n"/>
      <c r="C170" s="290" t="n"/>
      <c r="D170" s="291" t="n"/>
      <c r="E170" s="290" t="n"/>
      <c r="F170" s="290" t="n"/>
    </row>
    <row r="171" ht="13" customHeight="1" s="189">
      <c r="B171" s="290" t="n"/>
      <c r="C171" s="290" t="n"/>
      <c r="D171" s="291" t="n"/>
      <c r="E171" s="290" t="n"/>
      <c r="F171" s="290" t="n"/>
    </row>
    <row r="172" ht="13" customHeight="1" s="189">
      <c r="B172" s="290" t="n"/>
      <c r="C172" s="290" t="n"/>
      <c r="D172" s="291" t="n"/>
      <c r="E172" s="290" t="n"/>
      <c r="F172" s="290" t="n"/>
    </row>
    <row r="173" ht="13" customHeight="1" s="189">
      <c r="B173" s="290" t="n"/>
      <c r="C173" s="290" t="n"/>
      <c r="D173" s="291" t="n"/>
      <c r="E173" s="290" t="n"/>
      <c r="F173" s="290" t="n"/>
    </row>
    <row r="174" ht="13" customHeight="1" s="189">
      <c r="B174" s="290" t="n"/>
      <c r="C174" s="290" t="n"/>
      <c r="D174" s="291" t="n"/>
      <c r="E174" s="290" t="n"/>
      <c r="F174" s="290" t="n"/>
    </row>
    <row r="175" ht="13" customHeight="1" s="189">
      <c r="B175" s="290" t="n"/>
      <c r="C175" s="290" t="n"/>
      <c r="D175" s="291" t="n"/>
      <c r="E175" s="290" t="n"/>
      <c r="F175" s="290" t="n"/>
    </row>
    <row r="176" ht="13" customHeight="1" s="189">
      <c r="B176" s="290" t="n"/>
      <c r="C176" s="290" t="n"/>
      <c r="D176" s="291" t="n"/>
      <c r="E176" s="290" t="n"/>
      <c r="F176" s="290" t="n"/>
    </row>
    <row r="177" ht="13" customHeight="1" s="189">
      <c r="B177" s="290" t="n"/>
      <c r="C177" s="290" t="n"/>
      <c r="D177" s="291" t="n"/>
      <c r="E177" s="290" t="n"/>
      <c r="F177" s="290" t="n"/>
    </row>
    <row r="178" ht="13" customHeight="1" s="189">
      <c r="B178" s="290" t="n"/>
      <c r="C178" s="290" t="n"/>
      <c r="D178" s="291" t="n"/>
      <c r="E178" s="290" t="n"/>
      <c r="F178" s="290" t="n"/>
    </row>
    <row r="179" ht="13" customHeight="1" s="189">
      <c r="B179" s="290" t="n"/>
      <c r="C179" s="290" t="n"/>
      <c r="D179" s="291" t="n"/>
      <c r="E179" s="290" t="n"/>
      <c r="F179" s="290" t="n"/>
    </row>
    <row r="180" ht="13" customHeight="1" s="189">
      <c r="B180" s="290" t="n"/>
      <c r="C180" s="290" t="n"/>
      <c r="D180" s="291" t="n"/>
      <c r="E180" s="290" t="n"/>
      <c r="F180" s="290" t="n"/>
    </row>
    <row r="181" ht="13" customHeight="1" s="189">
      <c r="B181" s="290" t="n"/>
      <c r="C181" s="290" t="n"/>
      <c r="D181" s="291" t="n"/>
      <c r="E181" s="290" t="n"/>
      <c r="F181" s="290" t="n"/>
    </row>
    <row r="182" ht="13" customHeight="1" s="189">
      <c r="B182" s="290" t="n"/>
      <c r="C182" s="290" t="n"/>
      <c r="D182" s="291" t="n"/>
      <c r="E182" s="290" t="n"/>
      <c r="F182" s="290" t="n"/>
    </row>
    <row r="183" ht="13" customHeight="1" s="189">
      <c r="B183" s="290" t="n"/>
      <c r="C183" s="290" t="n"/>
      <c r="D183" s="291" t="n"/>
      <c r="E183" s="290" t="n"/>
      <c r="F183" s="290" t="n"/>
    </row>
    <row r="184" ht="13" customHeight="1" s="189">
      <c r="B184" s="290" t="n"/>
      <c r="C184" s="290" t="n"/>
      <c r="D184" s="291" t="n"/>
      <c r="E184" s="290" t="n"/>
      <c r="F184" s="290" t="n"/>
    </row>
    <row r="185" ht="13" customHeight="1" s="189">
      <c r="B185" s="290" t="n"/>
      <c r="C185" s="290" t="n"/>
      <c r="D185" s="291" t="n"/>
      <c r="E185" s="290" t="n"/>
      <c r="F185" s="290" t="n"/>
    </row>
    <row r="186" ht="13" customHeight="1" s="189">
      <c r="B186" s="290" t="n"/>
      <c r="C186" s="290" t="n"/>
      <c r="D186" s="291" t="n"/>
      <c r="E186" s="290" t="n"/>
      <c r="F186" s="290" t="n"/>
    </row>
    <row r="187" ht="13" customHeight="1" s="189">
      <c r="B187" s="290" t="n"/>
      <c r="C187" s="290" t="n"/>
      <c r="D187" s="291" t="n"/>
      <c r="E187" s="290" t="n"/>
      <c r="F187" s="290" t="n"/>
    </row>
    <row r="188" ht="13" customHeight="1" s="189">
      <c r="B188" s="290" t="n"/>
      <c r="C188" s="290" t="n"/>
      <c r="D188" s="291" t="n"/>
      <c r="E188" s="290" t="n"/>
      <c r="F188" s="290" t="n"/>
    </row>
    <row r="189" ht="13" customHeight="1" s="189">
      <c r="B189" s="290" t="n"/>
      <c r="C189" s="290" t="n"/>
      <c r="D189" s="291" t="n"/>
      <c r="E189" s="290" t="n"/>
      <c r="F189" s="290" t="n"/>
    </row>
    <row r="190" ht="13" customHeight="1" s="189">
      <c r="B190" s="290" t="n"/>
      <c r="C190" s="290" t="n"/>
      <c r="D190" s="291" t="n"/>
      <c r="E190" s="290" t="n"/>
      <c r="F190" s="290" t="n"/>
    </row>
    <row r="191" ht="13" customHeight="1" s="189">
      <c r="B191" s="290" t="n"/>
      <c r="C191" s="290" t="n"/>
      <c r="D191" s="291" t="n"/>
      <c r="E191" s="290" t="n"/>
      <c r="F191" s="290" t="n"/>
    </row>
    <row r="192" ht="13" customHeight="1" s="189">
      <c r="B192" s="290" t="n"/>
      <c r="C192" s="290" t="n"/>
      <c r="D192" s="291" t="n"/>
      <c r="E192" s="290" t="n"/>
      <c r="F192" s="290" t="n"/>
    </row>
    <row r="193" ht="13" customHeight="1" s="189">
      <c r="B193" s="290" t="n"/>
      <c r="C193" s="290" t="n"/>
      <c r="D193" s="291" t="n"/>
      <c r="E193" s="290" t="n"/>
      <c r="F193" s="290" t="n"/>
    </row>
    <row r="194" ht="13" customHeight="1" s="189">
      <c r="B194" s="290" t="n"/>
      <c r="C194" s="290" t="n"/>
      <c r="D194" s="291" t="n"/>
      <c r="E194" s="290" t="n"/>
      <c r="F194" s="290" t="n"/>
    </row>
    <row r="195" ht="13" customHeight="1" s="189">
      <c r="B195" s="290" t="n"/>
      <c r="C195" s="290" t="n"/>
      <c r="D195" s="291" t="n"/>
      <c r="E195" s="290" t="n"/>
      <c r="F195" s="290" t="n"/>
    </row>
    <row r="196" ht="13" customHeight="1" s="189">
      <c r="B196" s="290" t="n"/>
      <c r="C196" s="290" t="n"/>
      <c r="D196" s="291" t="n"/>
      <c r="E196" s="290" t="n"/>
      <c r="F196" s="290" t="n"/>
    </row>
    <row r="197" ht="13" customHeight="1" s="189">
      <c r="B197" s="290" t="n"/>
      <c r="C197" s="290" t="n"/>
      <c r="D197" s="291" t="n"/>
      <c r="E197" s="290" t="n"/>
      <c r="F197" s="290" t="n"/>
    </row>
    <row r="198" ht="13" customHeight="1" s="189">
      <c r="B198" s="290" t="n"/>
      <c r="C198" s="290" t="n"/>
      <c r="D198" s="291" t="n"/>
      <c r="E198" s="290" t="n"/>
      <c r="F198" s="290" t="n"/>
    </row>
    <row r="199" ht="13" customHeight="1" s="189">
      <c r="B199" s="290" t="n"/>
      <c r="C199" s="290" t="n"/>
      <c r="D199" s="291" t="n"/>
      <c r="E199" s="290" t="n"/>
      <c r="F199" s="290" t="n"/>
    </row>
    <row r="200" ht="13" customHeight="1" s="189">
      <c r="B200" s="290" t="n"/>
      <c r="C200" s="290" t="n"/>
      <c r="D200" s="291" t="n"/>
      <c r="E200" s="290" t="n"/>
      <c r="F200" s="290" t="n"/>
    </row>
    <row r="201" ht="13" customHeight="1" s="189">
      <c r="B201" s="290" t="n"/>
      <c r="C201" s="290" t="n"/>
      <c r="D201" s="291" t="n"/>
      <c r="E201" s="290" t="n"/>
      <c r="F201" s="290" t="n"/>
    </row>
    <row r="202" ht="13" customHeight="1" s="189">
      <c r="B202" s="290" t="n"/>
      <c r="C202" s="290" t="n"/>
      <c r="D202" s="291" t="n"/>
      <c r="E202" s="290" t="n"/>
      <c r="F202" s="290" t="n"/>
    </row>
    <row r="203" ht="13" customHeight="1" s="189">
      <c r="B203" s="290" t="n"/>
      <c r="C203" s="290" t="n"/>
      <c r="D203" s="291" t="n"/>
      <c r="E203" s="290" t="n"/>
      <c r="F203" s="290" t="n"/>
    </row>
    <row r="204" ht="13" customHeight="1" s="189">
      <c r="B204" s="290" t="n"/>
      <c r="C204" s="290" t="n"/>
      <c r="D204" s="291" t="n"/>
      <c r="E204" s="290" t="n"/>
      <c r="F204" s="290" t="n"/>
    </row>
    <row r="205" ht="13" customHeight="1" s="189">
      <c r="B205" s="290" t="n"/>
      <c r="C205" s="290" t="n"/>
      <c r="D205" s="291" t="n"/>
      <c r="E205" s="290" t="n"/>
      <c r="F205" s="290" t="n"/>
    </row>
    <row r="206" ht="13" customHeight="1" s="189">
      <c r="B206" s="290" t="n"/>
      <c r="C206" s="290" t="n"/>
      <c r="D206" s="291" t="n"/>
      <c r="E206" s="290" t="n"/>
      <c r="F206" s="290" t="n"/>
    </row>
    <row r="207" ht="13" customHeight="1" s="189">
      <c r="B207" s="290" t="n"/>
      <c r="C207" s="290" t="n"/>
      <c r="D207" s="291" t="n"/>
      <c r="E207" s="290" t="n"/>
      <c r="F207" s="290" t="n"/>
    </row>
    <row r="208" ht="13" customHeight="1" s="189">
      <c r="B208" s="290" t="n"/>
      <c r="C208" s="290" t="n"/>
      <c r="D208" s="291" t="n"/>
      <c r="E208" s="290" t="n"/>
      <c r="F208" s="290" t="n"/>
    </row>
    <row r="209" ht="13" customHeight="1" s="189">
      <c r="B209" s="290" t="n"/>
      <c r="C209" s="290" t="n"/>
      <c r="D209" s="291" t="n"/>
      <c r="E209" s="290" t="n"/>
      <c r="F209" s="290" t="n"/>
    </row>
    <row r="210" ht="13" customHeight="1" s="189">
      <c r="B210" s="290" t="n"/>
      <c r="C210" s="290" t="n"/>
      <c r="D210" s="291" t="n"/>
      <c r="E210" s="290" t="n"/>
      <c r="F210" s="290" t="n"/>
    </row>
    <row r="211" ht="13" customHeight="1" s="189">
      <c r="B211" s="290" t="n"/>
      <c r="C211" s="290" t="n"/>
      <c r="D211" s="291" t="n"/>
      <c r="E211" s="290" t="n"/>
      <c r="F211" s="290" t="n"/>
    </row>
    <row r="212" ht="13" customHeight="1" s="189">
      <c r="B212" s="290" t="n"/>
      <c r="C212" s="290" t="n"/>
      <c r="D212" s="291" t="n"/>
      <c r="E212" s="290" t="n"/>
      <c r="F212" s="290" t="n"/>
    </row>
    <row r="213" ht="13" customHeight="1" s="189">
      <c r="B213" s="290" t="n"/>
      <c r="C213" s="290" t="n"/>
      <c r="D213" s="291" t="n"/>
      <c r="E213" s="290" t="n"/>
      <c r="F213" s="290" t="n"/>
    </row>
    <row r="214" ht="13" customHeight="1" s="189">
      <c r="B214" s="290" t="n"/>
      <c r="C214" s="290" t="n"/>
      <c r="D214" s="291" t="n"/>
      <c r="E214" s="290" t="n"/>
      <c r="F214" s="290" t="n"/>
    </row>
    <row r="215" ht="13" customHeight="1" s="189">
      <c r="B215" s="290" t="n"/>
      <c r="C215" s="290" t="n"/>
      <c r="D215" s="291" t="n"/>
      <c r="E215" s="290" t="n"/>
      <c r="F215" s="290" t="n"/>
    </row>
    <row r="216" ht="13" customHeight="1" s="189">
      <c r="B216" s="290" t="n"/>
      <c r="C216" s="290" t="n"/>
      <c r="D216" s="291" t="n"/>
      <c r="E216" s="290" t="n"/>
      <c r="F216" s="290" t="n"/>
    </row>
    <row r="217" ht="13" customHeight="1" s="189">
      <c r="B217" s="290" t="n"/>
      <c r="C217" s="290" t="n"/>
      <c r="D217" s="291" t="n"/>
      <c r="E217" s="290" t="n"/>
      <c r="F217" s="290" t="n"/>
    </row>
    <row r="218" ht="13" customHeight="1" s="189">
      <c r="B218" s="290" t="n"/>
      <c r="C218" s="290" t="n"/>
      <c r="D218" s="291" t="n"/>
      <c r="E218" s="290" t="n"/>
      <c r="F218" s="290" t="n"/>
    </row>
    <row r="219" ht="13" customHeight="1" s="189">
      <c r="B219" s="290" t="n"/>
      <c r="C219" s="290" t="n"/>
      <c r="D219" s="291" t="n"/>
      <c r="E219" s="290" t="n"/>
      <c r="F219" s="290" t="n"/>
    </row>
    <row r="220" ht="13" customHeight="1" s="189">
      <c r="B220" s="290" t="n"/>
      <c r="C220" s="290" t="n"/>
      <c r="D220" s="291" t="n"/>
      <c r="E220" s="290" t="n"/>
      <c r="F220" s="290" t="n"/>
    </row>
    <row r="221" ht="13" customHeight="1" s="189">
      <c r="B221" s="290" t="n"/>
      <c r="C221" s="290" t="n"/>
      <c r="D221" s="291" t="n"/>
      <c r="E221" s="290" t="n"/>
      <c r="F221" s="290" t="n"/>
    </row>
    <row r="222" ht="13" customHeight="1" s="189">
      <c r="B222" s="290" t="n"/>
      <c r="C222" s="290" t="n"/>
      <c r="D222" s="291" t="n"/>
      <c r="E222" s="290" t="n"/>
      <c r="F222" s="290" t="n"/>
    </row>
    <row r="223" ht="13" customHeight="1" s="189">
      <c r="B223" s="290" t="n"/>
      <c r="C223" s="290" t="n"/>
      <c r="D223" s="291" t="n"/>
      <c r="E223" s="290" t="n"/>
      <c r="F223" s="290" t="n"/>
    </row>
    <row r="224" ht="13" customHeight="1" s="189">
      <c r="B224" s="290" t="n"/>
      <c r="C224" s="290" t="n"/>
      <c r="D224" s="291" t="n"/>
      <c r="E224" s="290" t="n"/>
      <c r="F224" s="290" t="n"/>
    </row>
    <row r="225" ht="13" customHeight="1" s="189">
      <c r="B225" s="290" t="n"/>
      <c r="C225" s="290" t="n"/>
      <c r="D225" s="291" t="n"/>
      <c r="E225" s="290" t="n"/>
      <c r="F225" s="290" t="n"/>
    </row>
    <row r="226" ht="13" customHeight="1" s="189">
      <c r="B226" s="290" t="n"/>
      <c r="C226" s="290" t="n"/>
      <c r="D226" s="291" t="n"/>
      <c r="E226" s="290" t="n"/>
      <c r="F226" s="290" t="n"/>
    </row>
    <row r="227" ht="13" customHeight="1" s="189">
      <c r="B227" s="290" t="n"/>
      <c r="C227" s="290" t="n"/>
      <c r="D227" s="291" t="n"/>
      <c r="E227" s="290" t="n"/>
      <c r="F227" s="290" t="n"/>
    </row>
    <row r="228" ht="13" customHeight="1" s="189">
      <c r="B228" s="290" t="n"/>
      <c r="C228" s="290" t="n"/>
      <c r="D228" s="291" t="n"/>
      <c r="E228" s="290" t="n"/>
      <c r="F228" s="290" t="n"/>
    </row>
    <row r="229" ht="13" customHeight="1" s="189">
      <c r="B229" s="290" t="n"/>
      <c r="C229" s="290" t="n"/>
      <c r="D229" s="291" t="n"/>
      <c r="E229" s="290" t="n"/>
      <c r="F229" s="290" t="n"/>
    </row>
    <row r="230" ht="13" customHeight="1" s="189">
      <c r="B230" s="290" t="n"/>
      <c r="C230" s="290" t="n"/>
      <c r="D230" s="291" t="n"/>
      <c r="E230" s="290" t="n"/>
      <c r="F230" s="290" t="n"/>
    </row>
    <row r="231" ht="13" customHeight="1" s="189">
      <c r="B231" s="203" t="n"/>
      <c r="C231" s="203" t="n"/>
      <c r="D231" s="289" t="n"/>
      <c r="E231" s="203" t="n"/>
      <c r="F231" s="203" t="n"/>
    </row>
    <row r="232" ht="13" customHeight="1" s="189">
      <c r="B232" s="203" t="n"/>
      <c r="C232" s="203" t="n"/>
      <c r="D232" s="289" t="n"/>
      <c r="E232" s="203" t="n"/>
      <c r="F232" s="203" t="n"/>
    </row>
    <row r="233" ht="13" customHeight="1" s="189">
      <c r="B233" s="203" t="n"/>
      <c r="C233" s="203" t="n"/>
      <c r="D233" s="289" t="n"/>
      <c r="E233" s="203" t="n"/>
      <c r="F233" s="203" t="n"/>
    </row>
    <row r="234" ht="13" customHeight="1" s="189">
      <c r="B234" s="203" t="n"/>
      <c r="C234" s="203" t="n"/>
      <c r="D234" s="289" t="n"/>
      <c r="E234" s="203" t="n"/>
      <c r="F234" s="203" t="n"/>
    </row>
    <row r="235" ht="13" customHeight="1" s="189">
      <c r="B235" s="203" t="n"/>
      <c r="C235" s="203" t="n"/>
      <c r="D235" s="289" t="n"/>
      <c r="E235" s="203" t="n"/>
      <c r="F235" s="203" t="n"/>
    </row>
    <row r="236" ht="13" customHeight="1" s="189">
      <c r="B236" s="203" t="n"/>
      <c r="C236" s="203" t="n"/>
      <c r="D236" s="289" t="n"/>
      <c r="E236" s="203" t="n"/>
      <c r="F236" s="203" t="n"/>
    </row>
    <row r="237" ht="13" customHeight="1" s="189">
      <c r="B237" s="203" t="n"/>
      <c r="C237" s="203" t="n"/>
      <c r="D237" s="289" t="n"/>
      <c r="E237" s="203" t="n"/>
      <c r="F237" s="203" t="n"/>
    </row>
    <row r="238" ht="13" customHeight="1" s="189">
      <c r="B238" s="203" t="n"/>
      <c r="C238" s="203" t="n"/>
      <c r="D238" s="289" t="n"/>
      <c r="E238" s="203" t="n"/>
      <c r="F238" s="203" t="n"/>
    </row>
    <row r="239" ht="13" customHeight="1" s="189">
      <c r="B239" s="203" t="n"/>
      <c r="C239" s="203" t="n"/>
      <c r="D239" s="289" t="n"/>
      <c r="E239" s="203" t="n"/>
      <c r="F239" s="203" t="n"/>
    </row>
    <row r="240" ht="13" customHeight="1" s="189">
      <c r="B240" s="203" t="n"/>
      <c r="C240" s="203" t="n"/>
      <c r="D240" s="289" t="n"/>
      <c r="E240" s="203" t="n"/>
      <c r="F240" s="203" t="n"/>
    </row>
    <row r="241" ht="13" customHeight="1" s="189">
      <c r="B241" s="203" t="n"/>
      <c r="C241" s="203" t="n"/>
      <c r="D241" s="289" t="n"/>
      <c r="E241" s="203" t="n"/>
      <c r="F241" s="203" t="n"/>
    </row>
    <row r="242" ht="13" customHeight="1" s="189">
      <c r="B242" s="203" t="n"/>
      <c r="C242" s="203" t="n"/>
      <c r="D242" s="289" t="n"/>
      <c r="E242" s="203" t="n"/>
      <c r="F242" s="203" t="n"/>
    </row>
    <row r="243" ht="13" customHeight="1" s="189">
      <c r="B243" s="203" t="n"/>
      <c r="C243" s="203" t="n"/>
      <c r="D243" s="289" t="n"/>
      <c r="E243" s="203" t="n"/>
      <c r="F243" s="203" t="n"/>
    </row>
    <row r="244" ht="13" customHeight="1" s="189">
      <c r="B244" s="203" t="n"/>
      <c r="C244" s="203" t="n"/>
      <c r="D244" s="289" t="n"/>
      <c r="E244" s="203" t="n"/>
      <c r="F244" s="203" t="n"/>
    </row>
    <row r="245" ht="13" customHeight="1" s="189">
      <c r="B245" s="203" t="n"/>
      <c r="C245" s="203" t="n"/>
      <c r="D245" s="289" t="n"/>
      <c r="E245" s="203" t="n"/>
      <c r="F245" s="203" t="n"/>
    </row>
    <row r="246" ht="13" customHeight="1" s="189">
      <c r="B246" s="203" t="n"/>
      <c r="C246" s="203" t="n"/>
      <c r="D246" s="289" t="n"/>
      <c r="E246" s="203" t="n"/>
      <c r="F246" s="203" t="n"/>
    </row>
    <row r="247" ht="13" customHeight="1" s="189">
      <c r="B247" s="203" t="n"/>
      <c r="C247" s="203" t="n"/>
      <c r="D247" s="289" t="n"/>
      <c r="E247" s="203" t="n"/>
      <c r="F247" s="203" t="n"/>
    </row>
    <row r="248" ht="13" customHeight="1" s="189">
      <c r="B248" s="203" t="n"/>
      <c r="C248" s="203" t="n"/>
      <c r="D248" s="289" t="n"/>
      <c r="E248" s="203" t="n"/>
      <c r="F248" s="203" t="n"/>
    </row>
    <row r="249" ht="13" customHeight="1" s="189">
      <c r="B249" s="203" t="n"/>
      <c r="C249" s="203" t="n"/>
      <c r="D249" s="289" t="n"/>
      <c r="E249" s="203" t="n"/>
      <c r="F249" s="203" t="n"/>
    </row>
    <row r="250" ht="13" customHeight="1" s="189">
      <c r="B250" s="203" t="n"/>
      <c r="C250" s="203" t="n"/>
      <c r="D250" s="289" t="n"/>
      <c r="E250" s="203" t="n"/>
      <c r="F250" s="203" t="n"/>
    </row>
    <row r="251" ht="13" customHeight="1" s="189">
      <c r="B251" s="203" t="n"/>
      <c r="C251" s="203" t="n"/>
      <c r="D251" s="289" t="n"/>
      <c r="E251" s="203" t="n"/>
      <c r="F251" s="203" t="n"/>
    </row>
    <row r="252" ht="13" customHeight="1" s="189">
      <c r="B252" s="203" t="n"/>
      <c r="C252" s="203" t="n"/>
      <c r="D252" s="289" t="n"/>
      <c r="E252" s="203" t="n"/>
      <c r="F252" s="203" t="n"/>
    </row>
    <row r="253" ht="13" customHeight="1" s="189">
      <c r="B253" s="203" t="n"/>
      <c r="C253" s="203" t="n"/>
      <c r="D253" s="289" t="n"/>
      <c r="E253" s="203" t="n"/>
      <c r="F253" s="203" t="n"/>
    </row>
    <row r="254" ht="13" customHeight="1" s="189">
      <c r="B254" s="203" t="n"/>
      <c r="C254" s="203" t="n"/>
      <c r="D254" s="289" t="n"/>
      <c r="E254" s="203" t="n"/>
      <c r="F254" s="203" t="n"/>
    </row>
    <row r="255" ht="13" customHeight="1" s="189">
      <c r="B255" s="203" t="n"/>
      <c r="C255" s="203" t="n"/>
      <c r="D255" s="289" t="n"/>
      <c r="E255" s="203" t="n"/>
      <c r="F255" s="203" t="n"/>
    </row>
    <row r="256" ht="13" customHeight="1" s="189">
      <c r="B256" s="203" t="n"/>
      <c r="C256" s="203" t="n"/>
      <c r="D256" s="289" t="n"/>
      <c r="E256" s="203" t="n"/>
      <c r="F256" s="203" t="n"/>
    </row>
    <row r="257" ht="13" customHeight="1" s="189">
      <c r="B257" s="203" t="n"/>
      <c r="C257" s="203" t="n"/>
      <c r="D257" s="289" t="n"/>
      <c r="E257" s="203" t="n"/>
      <c r="F257" s="203" t="n"/>
    </row>
    <row r="258" ht="13" customHeight="1" s="189">
      <c r="B258" s="203" t="n"/>
      <c r="C258" s="203" t="n"/>
      <c r="D258" s="289" t="n"/>
      <c r="E258" s="203" t="n"/>
      <c r="F258" s="203" t="n"/>
    </row>
    <row r="259" ht="13" customHeight="1" s="189">
      <c r="B259" s="203" t="n"/>
      <c r="C259" s="203" t="n"/>
      <c r="D259" s="289" t="n"/>
      <c r="E259" s="203" t="n"/>
      <c r="F259" s="203" t="n"/>
    </row>
    <row r="260" ht="13" customHeight="1" s="189">
      <c r="B260" s="203" t="n"/>
      <c r="C260" s="203" t="n"/>
      <c r="D260" s="289" t="n"/>
      <c r="E260" s="203" t="n"/>
      <c r="F260" s="203" t="n"/>
    </row>
    <row r="261" ht="13" customHeight="1" s="189">
      <c r="B261" s="203" t="n"/>
      <c r="C261" s="203" t="n"/>
      <c r="D261" s="289" t="n"/>
      <c r="E261" s="203" t="n"/>
      <c r="F261" s="203" t="n"/>
    </row>
    <row r="262" ht="13" customHeight="1" s="189">
      <c r="B262" s="203" t="n"/>
      <c r="C262" s="203" t="n"/>
      <c r="D262" s="289" t="n"/>
      <c r="E262" s="203" t="n"/>
      <c r="F262" s="203" t="n"/>
    </row>
    <row r="263" ht="13" customHeight="1" s="189">
      <c r="B263" s="203" t="n"/>
      <c r="C263" s="203" t="n"/>
      <c r="D263" s="289" t="n"/>
      <c r="E263" s="203" t="n"/>
      <c r="F263" s="203" t="n"/>
    </row>
    <row r="264" ht="13" customHeight="1" s="189">
      <c r="B264" s="203" t="n"/>
      <c r="C264" s="203" t="n"/>
      <c r="D264" s="289" t="n"/>
      <c r="E264" s="203" t="n"/>
      <c r="F264" s="203" t="n"/>
    </row>
    <row r="265" ht="13" customHeight="1" s="189">
      <c r="B265" s="203" t="n"/>
      <c r="C265" s="203" t="n"/>
      <c r="D265" s="289" t="n"/>
      <c r="E265" s="203" t="n"/>
      <c r="F265" s="203" t="n"/>
    </row>
    <row r="266" ht="13" customHeight="1" s="189">
      <c r="B266" s="203" t="n"/>
      <c r="C266" s="203" t="n"/>
      <c r="D266" s="289" t="n"/>
      <c r="E266" s="203" t="n"/>
      <c r="F266" s="203" t="n"/>
    </row>
    <row r="267" ht="13" customHeight="1" s="189">
      <c r="B267" s="203" t="n"/>
      <c r="C267" s="203" t="n"/>
      <c r="D267" s="289" t="n"/>
      <c r="E267" s="203" t="n"/>
      <c r="F267" s="203" t="n"/>
    </row>
    <row r="268" ht="13" customHeight="1" s="189">
      <c r="B268" s="203" t="n"/>
      <c r="C268" s="203" t="n"/>
      <c r="D268" s="289" t="n"/>
      <c r="E268" s="203" t="n"/>
      <c r="F268" s="203" t="n"/>
    </row>
    <row r="269" ht="13" customHeight="1" s="189">
      <c r="B269" s="203" t="n"/>
      <c r="C269" s="203" t="n"/>
      <c r="D269" s="289" t="n"/>
      <c r="E269" s="203" t="n"/>
      <c r="F269" s="203" t="n"/>
    </row>
    <row r="270" ht="13" customHeight="1" s="189">
      <c r="B270" s="203" t="n"/>
      <c r="C270" s="203" t="n"/>
      <c r="D270" s="289" t="n"/>
      <c r="E270" s="203" t="n"/>
      <c r="F270" s="203" t="n"/>
    </row>
    <row r="271" ht="13" customHeight="1" s="189">
      <c r="B271" s="203" t="n"/>
      <c r="C271" s="203" t="n"/>
      <c r="D271" s="289" t="n"/>
      <c r="E271" s="203" t="n"/>
      <c r="F271" s="203" t="n"/>
    </row>
    <row r="272" ht="13" customHeight="1" s="189">
      <c r="B272" s="203" t="n"/>
      <c r="C272" s="203" t="n"/>
      <c r="D272" s="289" t="n"/>
      <c r="E272" s="203" t="n"/>
      <c r="F272" s="203" t="n"/>
    </row>
    <row r="273" ht="13" customHeight="1" s="189">
      <c r="B273" s="203" t="n"/>
      <c r="C273" s="203" t="n"/>
      <c r="D273" s="289" t="n"/>
      <c r="E273" s="203" t="n"/>
      <c r="F273" s="203" t="n"/>
    </row>
    <row r="274" ht="13" customHeight="1" s="189">
      <c r="B274" s="203" t="n"/>
      <c r="C274" s="203" t="n"/>
      <c r="D274" s="289" t="n"/>
      <c r="E274" s="203" t="n"/>
      <c r="F274" s="203" t="n"/>
    </row>
    <row r="275" ht="13" customHeight="1" s="189">
      <c r="B275" s="203" t="n"/>
      <c r="C275" s="203" t="n"/>
      <c r="D275" s="289" t="n"/>
      <c r="E275" s="203" t="n"/>
      <c r="F275" s="203" t="n"/>
    </row>
    <row r="276" ht="13" customHeight="1" s="189">
      <c r="B276" s="203" t="n"/>
      <c r="C276" s="203" t="n"/>
      <c r="D276" s="289" t="n"/>
      <c r="E276" s="203" t="n"/>
      <c r="F276" s="203" t="n"/>
    </row>
    <row r="277" ht="13" customHeight="1" s="189">
      <c r="B277" s="203" t="n"/>
      <c r="C277" s="203" t="n"/>
      <c r="D277" s="289" t="n"/>
      <c r="E277" s="203" t="n"/>
      <c r="F277" s="203" t="n"/>
    </row>
    <row r="278" ht="13" customHeight="1" s="189">
      <c r="B278" s="203" t="n"/>
      <c r="C278" s="203" t="n"/>
      <c r="D278" s="289" t="n"/>
      <c r="E278" s="203" t="n"/>
      <c r="F278" s="203" t="n"/>
    </row>
    <row r="279" ht="13" customHeight="1" s="189">
      <c r="B279" s="203" t="n"/>
      <c r="C279" s="203" t="n"/>
      <c r="D279" s="289" t="n"/>
      <c r="E279" s="203" t="n"/>
      <c r="F279" s="203" t="n"/>
    </row>
    <row r="280" ht="13" customHeight="1" s="189">
      <c r="B280" s="203" t="n"/>
      <c r="C280" s="203" t="n"/>
      <c r="D280" s="289" t="n"/>
      <c r="E280" s="203" t="n"/>
      <c r="F280" s="203" t="n"/>
    </row>
    <row r="281" ht="13" customHeight="1" s="189">
      <c r="B281" s="203" t="n"/>
      <c r="C281" s="203" t="n"/>
      <c r="D281" s="289" t="n"/>
      <c r="E281" s="203" t="n"/>
      <c r="F281" s="203" t="n"/>
    </row>
    <row r="282" ht="13" customHeight="1" s="189">
      <c r="B282" s="203" t="n"/>
      <c r="C282" s="203" t="n"/>
      <c r="D282" s="289" t="n"/>
      <c r="E282" s="203" t="n"/>
      <c r="F282" s="203" t="n"/>
    </row>
    <row r="283" ht="13" customHeight="1" s="189">
      <c r="B283" s="203" t="n"/>
      <c r="C283" s="203" t="n"/>
      <c r="D283" s="289" t="n"/>
      <c r="E283" s="203" t="n"/>
      <c r="F283" s="203" t="n"/>
    </row>
    <row r="284" ht="13" customHeight="1" s="189">
      <c r="B284" s="203" t="n"/>
      <c r="C284" s="203" t="n"/>
      <c r="D284" s="289" t="n"/>
      <c r="E284" s="203" t="n"/>
      <c r="F284" s="203" t="n"/>
    </row>
    <row r="285" ht="13" customHeight="1" s="189">
      <c r="B285" s="203" t="n"/>
      <c r="C285" s="203" t="n"/>
      <c r="D285" s="289" t="n"/>
      <c r="E285" s="203" t="n"/>
      <c r="F285" s="203" t="n"/>
    </row>
    <row r="286" ht="13" customHeight="1" s="189">
      <c r="B286" s="203" t="n"/>
      <c r="C286" s="203" t="n"/>
      <c r="D286" s="289" t="n"/>
      <c r="E286" s="203" t="n"/>
      <c r="F286" s="203" t="n"/>
    </row>
    <row r="287" ht="13" customHeight="1" s="189">
      <c r="B287" s="203" t="n"/>
      <c r="C287" s="203" t="n"/>
      <c r="D287" s="289" t="n"/>
      <c r="E287" s="203" t="n"/>
      <c r="F287" s="203" t="n"/>
    </row>
    <row r="288" ht="13" customHeight="1" s="189">
      <c r="B288" s="203" t="n"/>
      <c r="C288" s="203" t="n"/>
      <c r="D288" s="289" t="n"/>
      <c r="E288" s="203" t="n"/>
      <c r="F288" s="203" t="n"/>
    </row>
    <row r="289" ht="13" customHeight="1" s="189">
      <c r="B289" s="203" t="n"/>
      <c r="C289" s="203" t="n"/>
      <c r="D289" s="289" t="n"/>
      <c r="E289" s="203" t="n"/>
      <c r="F289" s="203" t="n"/>
    </row>
    <row r="290" ht="13" customHeight="1" s="189">
      <c r="B290" s="203" t="n"/>
      <c r="C290" s="203" t="n"/>
      <c r="D290" s="289" t="n"/>
      <c r="E290" s="203" t="n"/>
      <c r="F290" s="203" t="n"/>
    </row>
    <row r="291" ht="13" customHeight="1" s="189">
      <c r="B291" s="203" t="n"/>
      <c r="C291" s="203" t="n"/>
      <c r="D291" s="289" t="n"/>
      <c r="E291" s="203" t="n"/>
      <c r="F291" s="203" t="n"/>
    </row>
    <row r="292" ht="13" customHeight="1" s="189">
      <c r="B292" s="203" t="n"/>
      <c r="C292" s="203" t="n"/>
      <c r="D292" s="289" t="n"/>
      <c r="E292" s="203" t="n"/>
      <c r="F292" s="203" t="n"/>
    </row>
    <row r="293" ht="13" customHeight="1" s="189">
      <c r="B293" s="203" t="n"/>
      <c r="C293" s="203" t="n"/>
      <c r="D293" s="289" t="n"/>
      <c r="E293" s="203" t="n"/>
      <c r="F293" s="203" t="n"/>
    </row>
    <row r="294" ht="13" customHeight="1" s="189">
      <c r="B294" s="203" t="n"/>
      <c r="C294" s="203" t="n"/>
      <c r="D294" s="289" t="n"/>
      <c r="E294" s="203" t="n"/>
      <c r="F294" s="203" t="n"/>
    </row>
    <row r="295" ht="13" customHeight="1" s="189">
      <c r="B295" s="203" t="n"/>
      <c r="C295" s="203" t="n"/>
      <c r="D295" s="289" t="n"/>
      <c r="E295" s="203" t="n"/>
      <c r="F295" s="203" t="n"/>
    </row>
    <row r="296" ht="13" customHeight="1" s="189">
      <c r="B296" s="203" t="n"/>
      <c r="C296" s="203" t="n"/>
      <c r="D296" s="289" t="n"/>
      <c r="E296" s="203" t="n"/>
      <c r="F296" s="203" t="n"/>
    </row>
    <row r="297" ht="13" customHeight="1" s="189">
      <c r="B297" s="203" t="n"/>
      <c r="C297" s="203" t="n"/>
      <c r="D297" s="289" t="n"/>
      <c r="E297" s="203" t="n"/>
      <c r="F297" s="203" t="n"/>
    </row>
    <row r="298" ht="13" customHeight="1" s="189">
      <c r="B298" s="203" t="n"/>
      <c r="C298" s="203" t="n"/>
      <c r="D298" s="289" t="n"/>
      <c r="E298" s="203" t="n"/>
      <c r="F298" s="203" t="n"/>
    </row>
    <row r="299" ht="13" customHeight="1" s="189">
      <c r="B299" s="203" t="n"/>
      <c r="C299" s="203" t="n"/>
      <c r="D299" s="289" t="n"/>
      <c r="E299" s="203" t="n"/>
      <c r="F299" s="203" t="n"/>
    </row>
    <row r="300" ht="13" customHeight="1" s="189">
      <c r="B300" s="203" t="n"/>
      <c r="C300" s="203" t="n"/>
      <c r="D300" s="289" t="n"/>
      <c r="E300" s="203" t="n"/>
      <c r="F300" s="203" t="n"/>
    </row>
    <row r="301" ht="13" customHeight="1" s="189">
      <c r="B301" s="203" t="n"/>
      <c r="C301" s="203" t="n"/>
      <c r="D301" s="289" t="n"/>
      <c r="E301" s="203" t="n"/>
      <c r="F301" s="203" t="n"/>
    </row>
    <row r="302" ht="13" customHeight="1" s="189">
      <c r="B302" s="203" t="n"/>
      <c r="C302" s="203" t="n"/>
      <c r="D302" s="289" t="n"/>
      <c r="E302" s="203" t="n"/>
      <c r="F302" s="203" t="n"/>
    </row>
    <row r="303" ht="13" customHeight="1" s="189">
      <c r="B303" s="203" t="n"/>
      <c r="C303" s="203" t="n"/>
      <c r="D303" s="289" t="n"/>
      <c r="E303" s="203" t="n"/>
      <c r="F303" s="203" t="n"/>
    </row>
    <row r="304" ht="13" customHeight="1" s="189">
      <c r="B304" s="203" t="n"/>
      <c r="C304" s="203" t="n"/>
      <c r="D304" s="289" t="n"/>
      <c r="E304" s="203" t="n"/>
      <c r="F304" s="203" t="n"/>
    </row>
    <row r="305" ht="13" customHeight="1" s="189">
      <c r="B305" s="203" t="n"/>
      <c r="C305" s="203" t="n"/>
      <c r="D305" s="289" t="n"/>
      <c r="E305" s="203" t="n"/>
      <c r="F305" s="203" t="n"/>
    </row>
    <row r="306" ht="13" customHeight="1" s="189">
      <c r="B306" s="203" t="n"/>
      <c r="C306" s="203" t="n"/>
      <c r="D306" s="289" t="n"/>
      <c r="E306" s="203" t="n"/>
      <c r="F306" s="203" t="n"/>
    </row>
    <row r="307" ht="13" customHeight="1" s="189">
      <c r="B307" s="203" t="n"/>
      <c r="C307" s="203" t="n"/>
      <c r="D307" s="289" t="n"/>
      <c r="E307" s="203" t="n"/>
      <c r="F307" s="203" t="n"/>
    </row>
    <row r="308" ht="13" customHeight="1" s="189">
      <c r="B308" s="203" t="n"/>
      <c r="C308" s="203" t="n"/>
      <c r="D308" s="289" t="n"/>
      <c r="E308" s="203" t="n"/>
      <c r="F308" s="203" t="n"/>
    </row>
    <row r="309" ht="13" customHeight="1" s="189">
      <c r="B309" s="203" t="n"/>
      <c r="C309" s="203" t="n"/>
      <c r="D309" s="289" t="n"/>
      <c r="E309" s="203" t="n"/>
      <c r="F309" s="203" t="n"/>
    </row>
    <row r="310" ht="13" customHeight="1" s="189">
      <c r="B310" s="203" t="n"/>
      <c r="C310" s="203" t="n"/>
      <c r="D310" s="289" t="n"/>
      <c r="E310" s="203" t="n"/>
      <c r="F310" s="203" t="n"/>
    </row>
    <row r="311" ht="13" customHeight="1" s="189">
      <c r="B311" s="203" t="n"/>
      <c r="C311" s="203" t="n"/>
      <c r="D311" s="289" t="n"/>
      <c r="E311" s="203" t="n"/>
      <c r="F311" s="203" t="n"/>
    </row>
    <row r="312" ht="13" customHeight="1" s="189">
      <c r="B312" s="203" t="n"/>
      <c r="C312" s="203" t="n"/>
      <c r="D312" s="289" t="n"/>
      <c r="E312" s="203" t="n"/>
      <c r="F312" s="203" t="n"/>
    </row>
    <row r="313" ht="13" customHeight="1" s="189">
      <c r="B313" s="203" t="n"/>
      <c r="C313" s="203" t="n"/>
      <c r="D313" s="289" t="n"/>
      <c r="E313" s="203" t="n"/>
      <c r="F313" s="203" t="n"/>
    </row>
    <row r="314" ht="13" customHeight="1" s="189">
      <c r="B314" s="203" t="n"/>
      <c r="C314" s="203" t="n"/>
      <c r="D314" s="289" t="n"/>
      <c r="E314" s="203" t="n"/>
      <c r="F314" s="203" t="n"/>
    </row>
    <row r="315" ht="13" customHeight="1" s="189">
      <c r="B315" s="203" t="n"/>
      <c r="C315" s="203" t="n"/>
      <c r="D315" s="289" t="n"/>
      <c r="E315" s="203" t="n"/>
      <c r="F315" s="203" t="n"/>
    </row>
    <row r="316" ht="13" customHeight="1" s="189">
      <c r="B316" s="203" t="n"/>
      <c r="C316" s="203" t="n"/>
      <c r="D316" s="289" t="n"/>
      <c r="E316" s="203" t="n"/>
      <c r="F316" s="203" t="n"/>
    </row>
    <row r="317" ht="13" customHeight="1" s="189">
      <c r="B317" s="203" t="n"/>
      <c r="C317" s="203" t="n"/>
      <c r="D317" s="289" t="n"/>
      <c r="E317" s="203" t="n"/>
      <c r="F317" s="203" t="n"/>
    </row>
    <row r="318" ht="13" customHeight="1" s="189">
      <c r="B318" s="203" t="n"/>
      <c r="C318" s="203" t="n"/>
      <c r="D318" s="289" t="n"/>
      <c r="E318" s="203" t="n"/>
      <c r="F318" s="203" t="n"/>
    </row>
    <row r="319" ht="13" customHeight="1" s="189">
      <c r="B319" s="203" t="n"/>
      <c r="C319" s="203" t="n"/>
      <c r="D319" s="289" t="n"/>
      <c r="E319" s="203" t="n"/>
      <c r="F319" s="203" t="n"/>
    </row>
    <row r="320" ht="13" customHeight="1" s="189">
      <c r="B320" s="203" t="n"/>
      <c r="C320" s="203" t="n"/>
      <c r="D320" s="289" t="n"/>
      <c r="E320" s="203" t="n"/>
      <c r="F320" s="203" t="n"/>
    </row>
    <row r="321" ht="13" customHeight="1" s="189">
      <c r="B321" s="203" t="n"/>
      <c r="C321" s="203" t="n"/>
      <c r="D321" s="289" t="n"/>
      <c r="E321" s="203" t="n"/>
      <c r="F321" s="203" t="n"/>
    </row>
    <row r="322" ht="13" customHeight="1" s="189">
      <c r="B322" s="203" t="n"/>
      <c r="C322" s="203" t="n"/>
      <c r="D322" s="289" t="n"/>
      <c r="E322" s="203" t="n"/>
      <c r="F322" s="203" t="n"/>
    </row>
    <row r="323" ht="13" customHeight="1" s="189">
      <c r="B323" s="203" t="n"/>
      <c r="C323" s="203" t="n"/>
      <c r="D323" s="289" t="n"/>
      <c r="E323" s="203" t="n"/>
      <c r="F323" s="203" t="n"/>
    </row>
    <row r="324" ht="13" customHeight="1" s="189">
      <c r="B324" s="203" t="n"/>
      <c r="C324" s="203" t="n"/>
      <c r="D324" s="289" t="n"/>
      <c r="E324" s="203" t="n"/>
      <c r="F324" s="203" t="n"/>
    </row>
    <row r="325" ht="13" customHeight="1" s="189">
      <c r="B325" s="203" t="n"/>
      <c r="C325" s="203" t="n"/>
      <c r="D325" s="289" t="n"/>
      <c r="E325" s="203" t="n"/>
      <c r="F325" s="203" t="n"/>
    </row>
    <row r="326" ht="13" customHeight="1" s="189">
      <c r="B326" s="203" t="n"/>
      <c r="C326" s="203" t="n"/>
      <c r="D326" s="289" t="n"/>
      <c r="E326" s="203" t="n"/>
      <c r="F326" s="203" t="n"/>
    </row>
    <row r="327" ht="13" customHeight="1" s="189">
      <c r="B327" s="203" t="n"/>
      <c r="C327" s="203" t="n"/>
      <c r="D327" s="289" t="n"/>
      <c r="E327" s="203" t="n"/>
      <c r="F327" s="203" t="n"/>
    </row>
    <row r="328" ht="13" customHeight="1" s="189">
      <c r="B328" s="203" t="n"/>
      <c r="C328" s="203" t="n"/>
      <c r="D328" s="289" t="n"/>
      <c r="E328" s="203" t="n"/>
      <c r="F328" s="203" t="n"/>
    </row>
    <row r="329" ht="13" customHeight="1" s="189">
      <c r="B329" s="203" t="n"/>
      <c r="C329" s="203" t="n"/>
      <c r="D329" s="289" t="n"/>
      <c r="E329" s="203" t="n"/>
      <c r="F329" s="203" t="n"/>
    </row>
    <row r="330" ht="13" customHeight="1" s="189">
      <c r="B330" s="203" t="n"/>
      <c r="C330" s="203" t="n"/>
      <c r="D330" s="289" t="n"/>
      <c r="E330" s="203" t="n"/>
      <c r="F330" s="203" t="n"/>
    </row>
    <row r="331" ht="13" customHeight="1" s="189">
      <c r="B331" s="203" t="n"/>
      <c r="C331" s="203" t="n"/>
      <c r="D331" s="289" t="n"/>
      <c r="E331" s="203" t="n"/>
      <c r="F331" s="203" t="n"/>
    </row>
    <row r="332" ht="13" customHeight="1" s="189">
      <c r="B332" s="203" t="n"/>
      <c r="C332" s="203" t="n"/>
      <c r="D332" s="289" t="n"/>
      <c r="E332" s="203" t="n"/>
      <c r="F332" s="203" t="n"/>
    </row>
    <row r="333" ht="13" customHeight="1" s="189">
      <c r="B333" s="203" t="n"/>
      <c r="C333" s="203" t="n"/>
      <c r="D333" s="289" t="n"/>
      <c r="E333" s="203" t="n"/>
      <c r="F333" s="203" t="n"/>
    </row>
    <row r="334" ht="13" customHeight="1" s="189">
      <c r="B334" s="203" t="n"/>
      <c r="C334" s="203" t="n"/>
      <c r="D334" s="289" t="n"/>
      <c r="E334" s="203" t="n"/>
      <c r="F334" s="203" t="n"/>
    </row>
    <row r="335" ht="13" customHeight="1" s="189">
      <c r="B335" s="203" t="n"/>
      <c r="C335" s="203" t="n"/>
      <c r="D335" s="289" t="n"/>
      <c r="E335" s="203" t="n"/>
      <c r="F335" s="203" t="n"/>
    </row>
    <row r="336" ht="13" customHeight="1" s="189">
      <c r="B336" s="203" t="n"/>
      <c r="C336" s="203" t="n"/>
      <c r="D336" s="289" t="n"/>
      <c r="E336" s="203" t="n"/>
      <c r="F336" s="203" t="n"/>
    </row>
    <row r="337" ht="13" customHeight="1" s="189">
      <c r="B337" s="203" t="n"/>
      <c r="C337" s="203" t="n"/>
      <c r="D337" s="289" t="n"/>
      <c r="E337" s="203" t="n"/>
      <c r="F337" s="203" t="n"/>
    </row>
    <row r="338" ht="13" customHeight="1" s="189">
      <c r="B338" s="203" t="n"/>
      <c r="C338" s="203" t="n"/>
      <c r="D338" s="289" t="n"/>
      <c r="E338" s="203" t="n"/>
      <c r="F338" s="203" t="n"/>
    </row>
    <row r="339" ht="13" customHeight="1" s="189">
      <c r="B339" s="203" t="n"/>
      <c r="C339" s="203" t="n"/>
      <c r="D339" s="289" t="n"/>
      <c r="E339" s="203" t="n"/>
      <c r="F339" s="203" t="n"/>
    </row>
    <row r="340" ht="13" customHeight="1" s="189">
      <c r="B340" s="203" t="n"/>
      <c r="C340" s="203" t="n"/>
      <c r="D340" s="289" t="n"/>
      <c r="E340" s="203" t="n"/>
      <c r="F340" s="203" t="n"/>
    </row>
    <row r="341" ht="13" customHeight="1" s="189">
      <c r="B341" s="203" t="n"/>
      <c r="C341" s="203" t="n"/>
      <c r="D341" s="289" t="n"/>
      <c r="E341" s="203" t="n"/>
      <c r="F341" s="203" t="n"/>
    </row>
    <row r="342" ht="13" customHeight="1" s="189">
      <c r="B342" s="203" t="n"/>
      <c r="C342" s="203" t="n"/>
      <c r="D342" s="289" t="n"/>
      <c r="E342" s="203" t="n"/>
      <c r="F342" s="203" t="n"/>
    </row>
    <row r="343" ht="13" customHeight="1" s="189">
      <c r="B343" s="203" t="n"/>
      <c r="C343" s="203" t="n"/>
      <c r="D343" s="289" t="n"/>
      <c r="E343" s="203" t="n"/>
      <c r="F343" s="203" t="n"/>
    </row>
    <row r="344" ht="13" customHeight="1" s="189">
      <c r="B344" s="203" t="n"/>
      <c r="C344" s="203" t="n"/>
      <c r="D344" s="289" t="n"/>
      <c r="E344" s="203" t="n"/>
      <c r="F344" s="203" t="n"/>
    </row>
    <row r="345" ht="13" customHeight="1" s="189">
      <c r="B345" s="203" t="n"/>
      <c r="C345" s="203" t="n"/>
      <c r="D345" s="289" t="n"/>
      <c r="E345" s="203" t="n"/>
      <c r="F345" s="203" t="n"/>
    </row>
    <row r="346" ht="13" customHeight="1" s="189">
      <c r="B346" s="203" t="n"/>
      <c r="C346" s="203" t="n"/>
      <c r="D346" s="289" t="n"/>
      <c r="E346" s="203" t="n"/>
      <c r="F346" s="203" t="n"/>
    </row>
    <row r="347" ht="13" customHeight="1" s="189">
      <c r="B347" s="203" t="n"/>
      <c r="C347" s="203" t="n"/>
      <c r="D347" s="289" t="n"/>
      <c r="E347" s="203" t="n"/>
      <c r="F347" s="203" t="n"/>
    </row>
    <row r="348" ht="13" customHeight="1" s="189">
      <c r="B348" s="203" t="n"/>
      <c r="C348" s="203" t="n"/>
      <c r="D348" s="289" t="n"/>
      <c r="E348" s="203" t="n"/>
      <c r="F348" s="203" t="n"/>
    </row>
    <row r="349" ht="13" customHeight="1" s="189">
      <c r="B349" s="203" t="n"/>
      <c r="C349" s="203" t="n"/>
      <c r="D349" s="289" t="n"/>
      <c r="E349" s="203" t="n"/>
      <c r="F349" s="203" t="n"/>
    </row>
    <row r="350" ht="13" customHeight="1" s="189">
      <c r="B350" s="203" t="n"/>
      <c r="C350" s="203" t="n"/>
      <c r="D350" s="289" t="n"/>
      <c r="E350" s="203" t="n"/>
      <c r="F350" s="203" t="n"/>
    </row>
    <row r="351" ht="13" customHeight="1" s="189">
      <c r="B351" s="203" t="n"/>
      <c r="C351" s="203" t="n"/>
      <c r="D351" s="289" t="n"/>
      <c r="E351" s="203" t="n"/>
      <c r="F351" s="203" t="n"/>
    </row>
    <row r="352" ht="13" customHeight="1" s="189">
      <c r="B352" s="203" t="n"/>
      <c r="C352" s="203" t="n"/>
      <c r="D352" s="289" t="n"/>
      <c r="E352" s="203" t="n"/>
      <c r="F352" s="203" t="n"/>
    </row>
    <row r="353" ht="13" customHeight="1" s="189">
      <c r="B353" s="203" t="n"/>
      <c r="C353" s="203" t="n"/>
      <c r="D353" s="289" t="n"/>
      <c r="E353" s="203" t="n"/>
      <c r="F353" s="203" t="n"/>
    </row>
    <row r="354" ht="13" customHeight="1" s="189">
      <c r="B354" s="203" t="n"/>
      <c r="C354" s="203" t="n"/>
      <c r="D354" s="289" t="n"/>
      <c r="E354" s="203" t="n"/>
      <c r="F354" s="203" t="n"/>
    </row>
    <row r="355" ht="13" customHeight="1" s="189">
      <c r="B355" s="203" t="n"/>
      <c r="C355" s="203" t="n"/>
      <c r="D355" s="289" t="n"/>
      <c r="E355" s="203" t="n"/>
      <c r="F355" s="203" t="n"/>
    </row>
    <row r="356" ht="13" customHeight="1" s="189">
      <c r="B356" s="203" t="n"/>
      <c r="C356" s="203" t="n"/>
      <c r="D356" s="289" t="n"/>
      <c r="E356" s="203" t="n"/>
      <c r="F356" s="203" t="n"/>
    </row>
    <row r="357" ht="13" customHeight="1" s="189">
      <c r="B357" s="203" t="n"/>
      <c r="C357" s="203" t="n"/>
      <c r="D357" s="289" t="n"/>
      <c r="E357" s="203" t="n"/>
      <c r="F357" s="203" t="n"/>
    </row>
    <row r="358" ht="13" customHeight="1" s="189">
      <c r="B358" s="203" t="n"/>
      <c r="C358" s="203" t="n"/>
      <c r="D358" s="289" t="n"/>
      <c r="E358" s="203" t="n"/>
      <c r="F358" s="203" t="n"/>
    </row>
    <row r="359" ht="13" customHeight="1" s="189">
      <c r="B359" s="203" t="n"/>
      <c r="C359" s="203" t="n"/>
      <c r="D359" s="289" t="n"/>
      <c r="E359" s="203" t="n"/>
      <c r="F359" s="203" t="n"/>
    </row>
    <row r="360" ht="13" customHeight="1" s="189">
      <c r="B360" s="203" t="n"/>
      <c r="C360" s="203" t="n"/>
      <c r="D360" s="289" t="n"/>
      <c r="E360" s="203" t="n"/>
      <c r="F360" s="203" t="n"/>
    </row>
    <row r="361" ht="13" customHeight="1" s="189">
      <c r="B361" s="203" t="n"/>
      <c r="C361" s="203" t="n"/>
      <c r="D361" s="289" t="n"/>
      <c r="E361" s="203" t="n"/>
      <c r="F361" s="203" t="n"/>
    </row>
    <row r="362" ht="13" customHeight="1" s="189">
      <c r="B362" s="203" t="n"/>
      <c r="C362" s="203" t="n"/>
      <c r="D362" s="289" t="n"/>
      <c r="E362" s="203" t="n"/>
      <c r="F362" s="203" t="n"/>
    </row>
    <row r="363" ht="13" customHeight="1" s="189">
      <c r="B363" s="203" t="n"/>
      <c r="C363" s="203" t="n"/>
      <c r="D363" s="289" t="n"/>
      <c r="E363" s="203" t="n"/>
      <c r="F363" s="203" t="n"/>
    </row>
    <row r="364" ht="13" customHeight="1" s="189">
      <c r="B364" s="203" t="n"/>
      <c r="C364" s="203" t="n"/>
      <c r="D364" s="289" t="n"/>
      <c r="E364" s="203" t="n"/>
      <c r="F364" s="203" t="n"/>
    </row>
    <row r="365" ht="13" customHeight="1" s="189">
      <c r="B365" s="203" t="n"/>
      <c r="C365" s="203" t="n"/>
      <c r="D365" s="289" t="n"/>
      <c r="E365" s="203" t="n"/>
      <c r="F365" s="203" t="n"/>
    </row>
    <row r="366" ht="13" customHeight="1" s="189">
      <c r="B366" s="203" t="n"/>
      <c r="C366" s="203" t="n"/>
      <c r="D366" s="289" t="n"/>
      <c r="E366" s="203" t="n"/>
      <c r="F366" s="203" t="n"/>
    </row>
    <row r="367" ht="13" customHeight="1" s="189">
      <c r="B367" s="203" t="n"/>
      <c r="C367" s="203" t="n"/>
      <c r="D367" s="289" t="n"/>
      <c r="E367" s="203" t="n"/>
      <c r="F367" s="203" t="n"/>
    </row>
    <row r="368" ht="13" customHeight="1" s="189">
      <c r="B368" s="203" t="n"/>
      <c r="C368" s="203" t="n"/>
      <c r="D368" s="289" t="n"/>
      <c r="E368" s="203" t="n"/>
      <c r="F368" s="203" t="n"/>
    </row>
    <row r="369" ht="13" customHeight="1" s="189">
      <c r="B369" s="203" t="n"/>
      <c r="C369" s="203" t="n"/>
      <c r="D369" s="289" t="n"/>
      <c r="E369" s="203" t="n"/>
      <c r="F369" s="203" t="n"/>
    </row>
    <row r="370" ht="13" customHeight="1" s="189">
      <c r="B370" s="203" t="n"/>
      <c r="C370" s="203" t="n"/>
      <c r="D370" s="289" t="n"/>
      <c r="E370" s="203" t="n"/>
      <c r="F370" s="203" t="n"/>
    </row>
    <row r="371" ht="13" customHeight="1" s="189">
      <c r="B371" s="203" t="n"/>
      <c r="C371" s="203" t="n"/>
      <c r="D371" s="289" t="n"/>
      <c r="E371" s="203" t="n"/>
      <c r="F371" s="203" t="n"/>
    </row>
    <row r="372" ht="13" customHeight="1" s="189">
      <c r="B372" s="203" t="n"/>
      <c r="C372" s="203" t="n"/>
      <c r="D372" s="289" t="n"/>
      <c r="E372" s="203" t="n"/>
      <c r="F372" s="203" t="n"/>
    </row>
    <row r="373" ht="13" customHeight="1" s="189">
      <c r="B373" s="203" t="n"/>
      <c r="C373" s="203" t="n"/>
      <c r="D373" s="289" t="n"/>
      <c r="E373" s="203" t="n"/>
      <c r="F373" s="203" t="n"/>
    </row>
    <row r="374" ht="13" customHeight="1" s="189">
      <c r="B374" s="203" t="n"/>
      <c r="C374" s="203" t="n"/>
      <c r="D374" s="289" t="n"/>
      <c r="E374" s="203" t="n"/>
      <c r="F374" s="203" t="n"/>
    </row>
    <row r="375" ht="13" customHeight="1" s="189">
      <c r="B375" s="203" t="n"/>
      <c r="C375" s="203" t="n"/>
      <c r="D375" s="289" t="n"/>
      <c r="E375" s="203" t="n"/>
      <c r="F375" s="203" t="n"/>
    </row>
    <row r="376" ht="13" customHeight="1" s="189">
      <c r="B376" s="203" t="n"/>
      <c r="C376" s="203" t="n"/>
      <c r="D376" s="289" t="n"/>
      <c r="E376" s="203" t="n"/>
      <c r="F376" s="203" t="n"/>
    </row>
    <row r="377" ht="13" customHeight="1" s="189">
      <c r="B377" s="203" t="n"/>
      <c r="C377" s="203" t="n"/>
      <c r="D377" s="289" t="n"/>
      <c r="E377" s="203" t="n"/>
      <c r="F377" s="203" t="n"/>
    </row>
    <row r="378" ht="13" customHeight="1" s="189">
      <c r="B378" s="203" t="n"/>
      <c r="C378" s="203" t="n"/>
      <c r="D378" s="289" t="n"/>
      <c r="E378" s="203" t="n"/>
      <c r="F378" s="203" t="n"/>
    </row>
    <row r="379" ht="13" customHeight="1" s="189">
      <c r="B379" s="203" t="n"/>
      <c r="C379" s="203" t="n"/>
      <c r="D379" s="289" t="n"/>
      <c r="E379" s="203" t="n"/>
      <c r="F379" s="203" t="n"/>
    </row>
    <row r="380" ht="13" customHeight="1" s="189">
      <c r="B380" s="203" t="n"/>
      <c r="C380" s="203" t="n"/>
      <c r="D380" s="289" t="n"/>
      <c r="E380" s="203" t="n"/>
      <c r="F380" s="203" t="n"/>
    </row>
    <row r="381" ht="13" customHeight="1" s="189">
      <c r="B381" s="203" t="n"/>
      <c r="C381" s="203" t="n"/>
      <c r="D381" s="289" t="n"/>
      <c r="E381" s="203" t="n"/>
      <c r="F381" s="203" t="n"/>
    </row>
    <row r="382" ht="13" customHeight="1" s="189">
      <c r="B382" s="203" t="n"/>
      <c r="C382" s="203" t="n"/>
      <c r="D382" s="289" t="n"/>
      <c r="E382" s="203" t="n"/>
      <c r="F382" s="203" t="n"/>
    </row>
    <row r="383" ht="13" customHeight="1" s="189">
      <c r="B383" s="203" t="n"/>
      <c r="C383" s="203" t="n"/>
      <c r="D383" s="289" t="n"/>
      <c r="E383" s="203" t="n"/>
      <c r="F383" s="203" t="n"/>
    </row>
    <row r="384" ht="13" customHeight="1" s="189">
      <c r="B384" s="203" t="n"/>
      <c r="C384" s="203" t="n"/>
      <c r="D384" s="289" t="n"/>
      <c r="E384" s="203" t="n"/>
      <c r="F384" s="203" t="n"/>
    </row>
    <row r="385" ht="13" customHeight="1" s="189">
      <c r="B385" s="203" t="n"/>
      <c r="C385" s="203" t="n"/>
      <c r="D385" s="289" t="n"/>
      <c r="E385" s="203" t="n"/>
      <c r="F385" s="203" t="n"/>
    </row>
    <row r="386" ht="13" customHeight="1" s="189">
      <c r="B386" s="203" t="n"/>
      <c r="C386" s="203" t="n"/>
      <c r="D386" s="289" t="n"/>
      <c r="E386" s="203" t="n"/>
      <c r="F386" s="203" t="n"/>
    </row>
    <row r="387" ht="13" customHeight="1" s="189">
      <c r="B387" s="203" t="n"/>
      <c r="C387" s="203" t="n"/>
      <c r="D387" s="289" t="n"/>
      <c r="E387" s="203" t="n"/>
      <c r="F387" s="203" t="n"/>
    </row>
    <row r="388" ht="13" customHeight="1" s="189">
      <c r="B388" s="203" t="n"/>
      <c r="C388" s="203" t="n"/>
      <c r="D388" s="289" t="n"/>
      <c r="E388" s="203" t="n"/>
      <c r="F388" s="203" t="n"/>
    </row>
    <row r="389" ht="13" customHeight="1" s="189">
      <c r="B389" s="203" t="n"/>
      <c r="C389" s="203" t="n"/>
      <c r="D389" s="289" t="n"/>
      <c r="E389" s="203" t="n"/>
      <c r="F389" s="203" t="n"/>
    </row>
    <row r="390" ht="13" customHeight="1" s="189">
      <c r="B390" s="203" t="n"/>
      <c r="C390" s="203" t="n"/>
      <c r="D390" s="289" t="n"/>
      <c r="E390" s="203" t="n"/>
      <c r="F390" s="203" t="n"/>
    </row>
    <row r="391" ht="13" customHeight="1" s="189">
      <c r="B391" s="203" t="n"/>
      <c r="C391" s="203" t="n"/>
      <c r="D391" s="289" t="n"/>
      <c r="E391" s="203" t="n"/>
      <c r="F391" s="203" t="n"/>
    </row>
    <row r="392" ht="13" customHeight="1" s="189">
      <c r="B392" s="203" t="n"/>
      <c r="C392" s="203" t="n"/>
      <c r="D392" s="289" t="n"/>
      <c r="E392" s="203" t="n"/>
      <c r="F392" s="203" t="n"/>
    </row>
    <row r="393" ht="13" customHeight="1" s="189">
      <c r="B393" s="203" t="n"/>
      <c r="C393" s="203" t="n"/>
      <c r="D393" s="289" t="n"/>
      <c r="E393" s="203" t="n"/>
      <c r="F393" s="203" t="n"/>
    </row>
    <row r="394" ht="13" customHeight="1" s="189">
      <c r="B394" s="203" t="n"/>
      <c r="C394" s="203" t="n"/>
      <c r="D394" s="289" t="n"/>
      <c r="E394" s="203" t="n"/>
      <c r="F394" s="203" t="n"/>
    </row>
    <row r="395" ht="13" customHeight="1" s="189">
      <c r="B395" s="203" t="n"/>
      <c r="C395" s="203" t="n"/>
      <c r="D395" s="289" t="n"/>
      <c r="E395" s="203" t="n"/>
      <c r="F395" s="203" t="n"/>
    </row>
    <row r="396" ht="13" customHeight="1" s="189">
      <c r="B396" s="203" t="n"/>
      <c r="C396" s="203" t="n"/>
      <c r="D396" s="289" t="n"/>
      <c r="E396" s="203" t="n"/>
      <c r="F396" s="203" t="n"/>
    </row>
    <row r="397" ht="13" customHeight="1" s="189">
      <c r="B397" s="203" t="n"/>
      <c r="C397" s="203" t="n"/>
      <c r="D397" s="289" t="n"/>
      <c r="E397" s="203" t="n"/>
      <c r="F397" s="203" t="n"/>
    </row>
    <row r="398" ht="13" customHeight="1" s="189">
      <c r="B398" s="203" t="n"/>
      <c r="C398" s="203" t="n"/>
      <c r="D398" s="289" t="n"/>
      <c r="E398" s="203" t="n"/>
      <c r="F398" s="203" t="n"/>
    </row>
    <row r="399" ht="13" customHeight="1" s="189">
      <c r="B399" s="203" t="n"/>
      <c r="C399" s="203" t="n"/>
      <c r="D399" s="289" t="n"/>
      <c r="E399" s="203" t="n"/>
      <c r="F399" s="203" t="n"/>
    </row>
    <row r="400" ht="13" customHeight="1" s="189">
      <c r="B400" s="203" t="n"/>
      <c r="C400" s="203" t="n"/>
      <c r="D400" s="289" t="n"/>
      <c r="E400" s="203" t="n"/>
      <c r="F400" s="203" t="n"/>
    </row>
    <row r="401" ht="13" customHeight="1" s="189">
      <c r="B401" s="203" t="n"/>
      <c r="C401" s="203" t="n"/>
      <c r="D401" s="289" t="n"/>
      <c r="E401" s="203" t="n"/>
      <c r="F401" s="203" t="n"/>
    </row>
    <row r="402" ht="13" customHeight="1" s="189">
      <c r="B402" s="203" t="n"/>
      <c r="C402" s="203" t="n"/>
      <c r="D402" s="289" t="n"/>
      <c r="E402" s="203" t="n"/>
      <c r="F402" s="203" t="n"/>
    </row>
    <row r="403" ht="13" customHeight="1" s="189">
      <c r="B403" s="203" t="n"/>
      <c r="C403" s="203" t="n"/>
      <c r="D403" s="289" t="n"/>
      <c r="E403" s="203" t="n"/>
      <c r="F403" s="203" t="n"/>
    </row>
    <row r="404" ht="13" customHeight="1" s="189">
      <c r="B404" s="203" t="n"/>
      <c r="C404" s="203" t="n"/>
      <c r="D404" s="289" t="n"/>
      <c r="E404" s="203" t="n"/>
      <c r="F404" s="203" t="n"/>
    </row>
    <row r="405" ht="13" customHeight="1" s="189">
      <c r="B405" s="203" t="n"/>
      <c r="C405" s="203" t="n"/>
      <c r="D405" s="289" t="n"/>
      <c r="E405" s="203" t="n"/>
      <c r="F405" s="203" t="n"/>
    </row>
    <row r="406" ht="13" customHeight="1" s="189">
      <c r="B406" s="203" t="n"/>
      <c r="C406" s="203" t="n"/>
      <c r="D406" s="289" t="n"/>
      <c r="E406" s="203" t="n"/>
      <c r="F406" s="203" t="n"/>
    </row>
    <row r="407" ht="13" customHeight="1" s="189">
      <c r="B407" s="203" t="n"/>
      <c r="C407" s="203" t="n"/>
      <c r="D407" s="289" t="n"/>
      <c r="E407" s="203" t="n"/>
      <c r="F407" s="203" t="n"/>
    </row>
    <row r="408" ht="13" customHeight="1" s="189">
      <c r="B408" s="203" t="n"/>
      <c r="C408" s="203" t="n"/>
      <c r="D408" s="289" t="n"/>
      <c r="E408" s="203" t="n"/>
      <c r="F408" s="203" t="n"/>
    </row>
    <row r="409" ht="13" customHeight="1" s="189">
      <c r="B409" s="203" t="n"/>
      <c r="C409" s="203" t="n"/>
      <c r="D409" s="289" t="n"/>
      <c r="E409" s="203" t="n"/>
      <c r="F409" s="203" t="n"/>
    </row>
    <row r="410" ht="13" customHeight="1" s="189">
      <c r="B410" s="203" t="n"/>
      <c r="C410" s="203" t="n"/>
      <c r="D410" s="289" t="n"/>
      <c r="E410" s="203" t="n"/>
      <c r="F410" s="203" t="n"/>
    </row>
    <row r="411" ht="13" customHeight="1" s="189">
      <c r="B411" s="203" t="n"/>
      <c r="C411" s="203" t="n"/>
      <c r="D411" s="289" t="n"/>
      <c r="E411" s="203" t="n"/>
      <c r="F411" s="203" t="n"/>
    </row>
    <row r="412" ht="13" customHeight="1" s="189">
      <c r="B412" s="203" t="n"/>
      <c r="C412" s="203" t="n"/>
      <c r="D412" s="289" t="n"/>
      <c r="E412" s="203" t="n"/>
      <c r="F412" s="203" t="n"/>
    </row>
    <row r="413" ht="13" customHeight="1" s="189">
      <c r="B413" s="203" t="n"/>
      <c r="C413" s="203" t="n"/>
      <c r="D413" s="289" t="n"/>
      <c r="E413" s="203" t="n"/>
      <c r="F413" s="203" t="n"/>
    </row>
    <row r="414" ht="13" customHeight="1" s="189">
      <c r="B414" s="203" t="n"/>
      <c r="C414" s="203" t="n"/>
      <c r="D414" s="289" t="n"/>
      <c r="E414" s="203" t="n"/>
      <c r="F414" s="203" t="n"/>
    </row>
    <row r="415" ht="13" customHeight="1" s="189">
      <c r="B415" s="203" t="n"/>
      <c r="C415" s="203" t="n"/>
      <c r="D415" s="289" t="n"/>
      <c r="E415" s="203" t="n"/>
      <c r="F415" s="203" t="n"/>
    </row>
    <row r="416" ht="13" customHeight="1" s="189">
      <c r="B416" s="203" t="n"/>
      <c r="C416" s="203" t="n"/>
      <c r="D416" s="289" t="n"/>
      <c r="E416" s="203" t="n"/>
      <c r="F416" s="203" t="n"/>
    </row>
    <row r="417" ht="13" customHeight="1" s="189">
      <c r="B417" s="203" t="n"/>
      <c r="C417" s="203" t="n"/>
      <c r="D417" s="289" t="n"/>
      <c r="E417" s="203" t="n"/>
      <c r="F417" s="203" t="n"/>
    </row>
    <row r="418" ht="13" customHeight="1" s="189">
      <c r="B418" s="203" t="n"/>
      <c r="C418" s="203" t="n"/>
      <c r="D418" s="289" t="n"/>
      <c r="E418" s="203" t="n"/>
      <c r="F418" s="203" t="n"/>
    </row>
    <row r="419" ht="13" customHeight="1" s="189">
      <c r="B419" s="203" t="n"/>
      <c r="C419" s="203" t="n"/>
      <c r="D419" s="289" t="n"/>
      <c r="E419" s="203" t="n"/>
      <c r="F419" s="203" t="n"/>
    </row>
    <row r="420" ht="13" customHeight="1" s="189">
      <c r="B420" s="203" t="n"/>
      <c r="C420" s="203" t="n"/>
      <c r="D420" s="289" t="n"/>
      <c r="E420" s="203" t="n"/>
      <c r="F420" s="203" t="n"/>
    </row>
    <row r="421" ht="13" customHeight="1" s="189">
      <c r="B421" s="203" t="n"/>
      <c r="C421" s="203" t="n"/>
      <c r="D421" s="289" t="n"/>
      <c r="E421" s="203" t="n"/>
      <c r="F421" s="203" t="n"/>
    </row>
    <row r="422" ht="13" customHeight="1" s="189">
      <c r="B422" s="203" t="n"/>
      <c r="C422" s="203" t="n"/>
      <c r="D422" s="289" t="n"/>
      <c r="E422" s="203" t="n"/>
      <c r="F422" s="203" t="n"/>
    </row>
    <row r="423" ht="13" customHeight="1" s="189">
      <c r="B423" s="203" t="n"/>
      <c r="C423" s="203" t="n"/>
      <c r="D423" s="289" t="n"/>
      <c r="E423" s="203" t="n"/>
      <c r="F423" s="203" t="n"/>
    </row>
    <row r="424" ht="13" customHeight="1" s="189">
      <c r="B424" s="203" t="n"/>
      <c r="C424" s="203" t="n"/>
      <c r="D424" s="289" t="n"/>
      <c r="E424" s="203" t="n"/>
      <c r="F424" s="203" t="n"/>
    </row>
    <row r="425" ht="13" customHeight="1" s="189">
      <c r="B425" s="203" t="n"/>
      <c r="C425" s="203" t="n"/>
      <c r="D425" s="289" t="n"/>
      <c r="E425" s="203" t="n"/>
      <c r="F425" s="203" t="n"/>
    </row>
    <row r="426" ht="13" customHeight="1" s="189">
      <c r="B426" s="203" t="n"/>
      <c r="C426" s="203" t="n"/>
      <c r="D426" s="289" t="n"/>
      <c r="E426" s="203" t="n"/>
      <c r="F426" s="203" t="n"/>
    </row>
    <row r="427" ht="13" customHeight="1" s="189">
      <c r="B427" s="203" t="n"/>
      <c r="C427" s="203" t="n"/>
      <c r="D427" s="289" t="n"/>
      <c r="E427" s="203" t="n"/>
      <c r="F427" s="203" t="n"/>
    </row>
    <row r="428" ht="13" customHeight="1" s="189">
      <c r="B428" s="203" t="n"/>
      <c r="C428" s="203" t="n"/>
      <c r="D428" s="289" t="n"/>
      <c r="E428" s="203" t="n"/>
      <c r="F428" s="203" t="n"/>
    </row>
    <row r="429" ht="13" customHeight="1" s="189">
      <c r="B429" s="203" t="n"/>
      <c r="C429" s="203" t="n"/>
      <c r="D429" s="289" t="n"/>
      <c r="E429" s="203" t="n"/>
      <c r="F429" s="203" t="n"/>
    </row>
    <row r="430" ht="13" customHeight="1" s="189">
      <c r="B430" s="203" t="n"/>
      <c r="C430" s="203" t="n"/>
      <c r="D430" s="289" t="n"/>
      <c r="E430" s="203" t="n"/>
      <c r="F430" s="203" t="n"/>
    </row>
    <row r="431" ht="13" customHeight="1" s="189">
      <c r="B431" s="203" t="n"/>
      <c r="C431" s="203" t="n"/>
      <c r="D431" s="289" t="n"/>
      <c r="E431" s="203" t="n"/>
      <c r="F431" s="203" t="n"/>
    </row>
    <row r="432" ht="13" customHeight="1" s="189">
      <c r="B432" s="203" t="n"/>
      <c r="C432" s="203" t="n"/>
      <c r="D432" s="289" t="n"/>
      <c r="E432" s="203" t="n"/>
      <c r="F432" s="203" t="n"/>
    </row>
    <row r="433" ht="13" customHeight="1" s="189">
      <c r="B433" s="203" t="n"/>
      <c r="C433" s="203" t="n"/>
      <c r="D433" s="289" t="n"/>
      <c r="E433" s="203" t="n"/>
      <c r="F433" s="203" t="n"/>
    </row>
    <row r="434" ht="13" customHeight="1" s="189">
      <c r="B434" s="203" t="n"/>
      <c r="C434" s="203" t="n"/>
      <c r="D434" s="289" t="n"/>
      <c r="E434" s="203" t="n"/>
      <c r="F434" s="203" t="n"/>
    </row>
    <row r="435" ht="13" customHeight="1" s="189">
      <c r="B435" s="203" t="n"/>
      <c r="C435" s="203" t="n"/>
      <c r="D435" s="289" t="n"/>
      <c r="E435" s="203" t="n"/>
      <c r="F435" s="203" t="n"/>
    </row>
    <row r="436" ht="13" customHeight="1" s="189">
      <c r="B436" s="203" t="n"/>
      <c r="C436" s="203" t="n"/>
      <c r="D436" s="289" t="n"/>
      <c r="E436" s="203" t="n"/>
      <c r="F436" s="203" t="n"/>
    </row>
    <row r="437" ht="13" customHeight="1" s="189">
      <c r="B437" s="203" t="n"/>
      <c r="C437" s="203" t="n"/>
      <c r="D437" s="289" t="n"/>
      <c r="E437" s="203" t="n"/>
      <c r="F437" s="203" t="n"/>
    </row>
    <row r="438" ht="13" customHeight="1" s="189">
      <c r="B438" s="203" t="n"/>
      <c r="C438" s="203" t="n"/>
      <c r="D438" s="289" t="n"/>
      <c r="E438" s="203" t="n"/>
      <c r="F438" s="203" t="n"/>
    </row>
    <row r="439" ht="13" customHeight="1" s="189">
      <c r="B439" s="203" t="n"/>
      <c r="C439" s="203" t="n"/>
      <c r="D439" s="289" t="n"/>
      <c r="E439" s="203" t="n"/>
      <c r="F439" s="203" t="n"/>
    </row>
    <row r="440" ht="13" customHeight="1" s="189">
      <c r="B440" s="203" t="n"/>
      <c r="C440" s="203" t="n"/>
      <c r="D440" s="289" t="n"/>
      <c r="E440" s="203" t="n"/>
      <c r="F440" s="203" t="n"/>
    </row>
    <row r="441" ht="13" customHeight="1" s="189">
      <c r="B441" s="203" t="n"/>
      <c r="C441" s="203" t="n"/>
      <c r="D441" s="289" t="n"/>
      <c r="E441" s="203" t="n"/>
      <c r="F441" s="203" t="n"/>
    </row>
    <row r="442" ht="13" customHeight="1" s="189">
      <c r="B442" s="203" t="n"/>
      <c r="C442" s="203" t="n"/>
      <c r="D442" s="289" t="n"/>
      <c r="E442" s="203" t="n"/>
      <c r="F442" s="203" t="n"/>
    </row>
    <row r="443" ht="13" customHeight="1" s="189">
      <c r="B443" s="203" t="n"/>
      <c r="C443" s="203" t="n"/>
      <c r="D443" s="289" t="n"/>
      <c r="E443" s="203" t="n"/>
      <c r="F443" s="203" t="n"/>
    </row>
    <row r="444" ht="13" customHeight="1" s="189">
      <c r="B444" s="203" t="n"/>
      <c r="C444" s="203" t="n"/>
      <c r="D444" s="289" t="n"/>
      <c r="E444" s="203" t="n"/>
      <c r="F444" s="203" t="n"/>
    </row>
    <row r="445" ht="13" customHeight="1" s="189">
      <c r="B445" s="203" t="n"/>
      <c r="C445" s="203" t="n"/>
      <c r="D445" s="289" t="n"/>
      <c r="E445" s="203" t="n"/>
      <c r="F445" s="203" t="n"/>
    </row>
    <row r="446" ht="13" customHeight="1" s="189">
      <c r="B446" s="203" t="n"/>
      <c r="C446" s="203" t="n"/>
      <c r="D446" s="289" t="n"/>
      <c r="E446" s="203" t="n"/>
      <c r="F446" s="203" t="n"/>
    </row>
    <row r="447" ht="13" customHeight="1" s="189">
      <c r="B447" s="203" t="n"/>
      <c r="C447" s="203" t="n"/>
      <c r="D447" s="289" t="n"/>
      <c r="E447" s="203" t="n"/>
      <c r="F447" s="203" t="n"/>
    </row>
    <row r="448" ht="13" customHeight="1" s="189">
      <c r="B448" s="203" t="n"/>
      <c r="C448" s="203" t="n"/>
      <c r="D448" s="289" t="n"/>
      <c r="E448" s="203" t="n"/>
      <c r="F448" s="203" t="n"/>
    </row>
    <row r="449" ht="13" customHeight="1" s="189">
      <c r="B449" s="203" t="n"/>
      <c r="C449" s="203" t="n"/>
      <c r="D449" s="289" t="n"/>
      <c r="E449" s="203" t="n"/>
      <c r="F449" s="203" t="n"/>
    </row>
    <row r="450" ht="13" customHeight="1" s="189">
      <c r="B450" s="203" t="n"/>
      <c r="C450" s="203" t="n"/>
      <c r="D450" s="289" t="n"/>
      <c r="E450" s="203" t="n"/>
      <c r="F450" s="203" t="n"/>
    </row>
    <row r="451" ht="13" customHeight="1" s="189">
      <c r="B451" s="203" t="n"/>
      <c r="C451" s="203" t="n"/>
      <c r="D451" s="289" t="n"/>
      <c r="E451" s="203" t="n"/>
      <c r="F451" s="203" t="n"/>
    </row>
    <row r="452" ht="13" customHeight="1" s="189">
      <c r="B452" s="203" t="n"/>
      <c r="C452" s="203" t="n"/>
      <c r="D452" s="289" t="n"/>
      <c r="E452" s="203" t="n"/>
      <c r="F452" s="203" t="n"/>
    </row>
    <row r="453" ht="13" customHeight="1" s="189">
      <c r="B453" s="203" t="n"/>
      <c r="C453" s="203" t="n"/>
      <c r="D453" s="289" t="n"/>
      <c r="E453" s="203" t="n"/>
      <c r="F453" s="203" t="n"/>
    </row>
    <row r="454" ht="13" customHeight="1" s="189">
      <c r="B454" s="203" t="n"/>
      <c r="C454" s="203" t="n"/>
      <c r="D454" s="289" t="n"/>
      <c r="E454" s="203" t="n"/>
      <c r="F454" s="203" t="n"/>
    </row>
    <row r="455" ht="13" customHeight="1" s="189">
      <c r="B455" s="203" t="n"/>
      <c r="C455" s="203" t="n"/>
      <c r="D455" s="289" t="n"/>
      <c r="E455" s="203" t="n"/>
      <c r="F455" s="203" t="n"/>
    </row>
    <row r="456" ht="13" customHeight="1" s="189">
      <c r="B456" s="203" t="n"/>
      <c r="C456" s="203" t="n"/>
      <c r="D456" s="289" t="n"/>
      <c r="E456" s="203" t="n"/>
      <c r="F456" s="203" t="n"/>
    </row>
    <row r="457" ht="13" customHeight="1" s="189">
      <c r="B457" s="203" t="n"/>
      <c r="C457" s="203" t="n"/>
      <c r="D457" s="289" t="n"/>
      <c r="E457" s="203" t="n"/>
      <c r="F457" s="203" t="n"/>
    </row>
    <row r="458" ht="13" customHeight="1" s="189">
      <c r="B458" s="203" t="n"/>
      <c r="C458" s="203" t="n"/>
      <c r="D458" s="289" t="n"/>
      <c r="E458" s="203" t="n"/>
      <c r="F458" s="203" t="n"/>
    </row>
    <row r="459" ht="13" customHeight="1" s="189">
      <c r="B459" s="203" t="n"/>
      <c r="C459" s="203" t="n"/>
      <c r="D459" s="289" t="n"/>
      <c r="E459" s="203" t="n"/>
      <c r="F459" s="203" t="n"/>
    </row>
    <row r="460" ht="13" customHeight="1" s="189">
      <c r="B460" s="203" t="n"/>
      <c r="C460" s="203" t="n"/>
      <c r="D460" s="289" t="n"/>
      <c r="E460" s="203" t="n"/>
      <c r="F460" s="203" t="n"/>
    </row>
    <row r="461" ht="13" customHeight="1" s="189">
      <c r="B461" s="203" t="n"/>
      <c r="C461" s="203" t="n"/>
      <c r="D461" s="289" t="n"/>
      <c r="E461" s="203" t="n"/>
      <c r="F461" s="203" t="n"/>
    </row>
    <row r="462" ht="13" customHeight="1" s="189">
      <c r="B462" s="203" t="n"/>
      <c r="C462" s="203" t="n"/>
      <c r="D462" s="289" t="n"/>
      <c r="E462" s="203" t="n"/>
      <c r="F462" s="203" t="n"/>
    </row>
    <row r="463" ht="13" customHeight="1" s="189">
      <c r="B463" s="203" t="n"/>
      <c r="C463" s="203" t="n"/>
      <c r="D463" s="289" t="n"/>
      <c r="E463" s="203" t="n"/>
      <c r="F463" s="203" t="n"/>
    </row>
    <row r="464" ht="13" customHeight="1" s="189">
      <c r="B464" s="203" t="n"/>
      <c r="C464" s="203" t="n"/>
      <c r="D464" s="289" t="n"/>
      <c r="E464" s="203" t="n"/>
      <c r="F464" s="203" t="n"/>
    </row>
    <row r="465" ht="13" customHeight="1" s="189">
      <c r="B465" s="203" t="n"/>
      <c r="C465" s="203" t="n"/>
      <c r="D465" s="289" t="n"/>
      <c r="E465" s="203" t="n"/>
      <c r="F465" s="203" t="n"/>
    </row>
    <row r="466" ht="13" customHeight="1" s="189">
      <c r="B466" s="203" t="n"/>
      <c r="C466" s="203" t="n"/>
      <c r="D466" s="289" t="n"/>
      <c r="E466" s="203" t="n"/>
      <c r="F466" s="203" t="n"/>
    </row>
    <row r="467" ht="13" customHeight="1" s="189">
      <c r="B467" s="203" t="n"/>
      <c r="C467" s="203" t="n"/>
      <c r="D467" s="289" t="n"/>
      <c r="E467" s="203" t="n"/>
      <c r="F467" s="203" t="n"/>
    </row>
    <row r="468" ht="13" customHeight="1" s="189">
      <c r="B468" s="203" t="n"/>
      <c r="C468" s="203" t="n"/>
      <c r="D468" s="289" t="n"/>
      <c r="E468" s="203" t="n"/>
      <c r="F468" s="203" t="n"/>
    </row>
    <row r="469" ht="13" customHeight="1" s="189">
      <c r="B469" s="203" t="n"/>
      <c r="C469" s="203" t="n"/>
      <c r="D469" s="289" t="n"/>
      <c r="E469" s="203" t="n"/>
      <c r="F469" s="203" t="n"/>
    </row>
    <row r="470" ht="13" customHeight="1" s="189">
      <c r="B470" s="203" t="n"/>
      <c r="C470" s="203" t="n"/>
      <c r="D470" s="289" t="n"/>
      <c r="E470" s="203" t="n"/>
      <c r="F470" s="203" t="n"/>
    </row>
    <row r="471" ht="13" customHeight="1" s="189">
      <c r="B471" s="203" t="n"/>
      <c r="C471" s="203" t="n"/>
      <c r="D471" s="289" t="n"/>
      <c r="E471" s="203" t="n"/>
      <c r="F471" s="203" t="n"/>
    </row>
    <row r="472" ht="13" customHeight="1" s="189">
      <c r="B472" s="203" t="n"/>
      <c r="C472" s="203" t="n"/>
      <c r="D472" s="289" t="n"/>
      <c r="E472" s="203" t="n"/>
      <c r="F472" s="203" t="n"/>
    </row>
    <row r="473" ht="13" customHeight="1" s="189">
      <c r="B473" s="203" t="n"/>
      <c r="C473" s="203" t="n"/>
      <c r="D473" s="289" t="n"/>
      <c r="E473" s="203" t="n"/>
      <c r="F473" s="203" t="n"/>
    </row>
    <row r="474" ht="13" customHeight="1" s="189">
      <c r="B474" s="203" t="n"/>
      <c r="C474" s="203" t="n"/>
      <c r="D474" s="289" t="n"/>
      <c r="E474" s="203" t="n"/>
      <c r="F474" s="203" t="n"/>
    </row>
    <row r="475" ht="13" customHeight="1" s="189">
      <c r="B475" s="203" t="n"/>
      <c r="C475" s="203" t="n"/>
      <c r="D475" s="289" t="n"/>
      <c r="E475" s="203" t="n"/>
      <c r="F475" s="203" t="n"/>
    </row>
    <row r="476" ht="13" customHeight="1" s="189">
      <c r="B476" s="203" t="n"/>
      <c r="C476" s="203" t="n"/>
      <c r="D476" s="289" t="n"/>
      <c r="E476" s="203" t="n"/>
      <c r="F476" s="203" t="n"/>
    </row>
    <row r="477" ht="13" customHeight="1" s="189">
      <c r="B477" s="203" t="n"/>
      <c r="C477" s="203" t="n"/>
      <c r="D477" s="289" t="n"/>
      <c r="E477" s="203" t="n"/>
      <c r="F477" s="203" t="n"/>
    </row>
    <row r="478" ht="13" customHeight="1" s="189">
      <c r="B478" s="203" t="n"/>
      <c r="C478" s="203" t="n"/>
      <c r="D478" s="289" t="n"/>
      <c r="E478" s="203" t="n"/>
      <c r="F478" s="203" t="n"/>
    </row>
    <row r="479" ht="13" customHeight="1" s="189">
      <c r="B479" s="203" t="n"/>
      <c r="C479" s="203" t="n"/>
      <c r="D479" s="289" t="n"/>
      <c r="E479" s="203" t="n"/>
      <c r="F479" s="203" t="n"/>
    </row>
    <row r="480" ht="13" customHeight="1" s="189">
      <c r="B480" s="203" t="n"/>
      <c r="C480" s="203" t="n"/>
      <c r="D480" s="289" t="n"/>
      <c r="E480" s="203" t="n"/>
      <c r="F480" s="203" t="n"/>
    </row>
    <row r="481" ht="13" customHeight="1" s="189">
      <c r="B481" s="203" t="n"/>
      <c r="C481" s="203" t="n"/>
      <c r="D481" s="289" t="n"/>
      <c r="E481" s="203" t="n"/>
      <c r="F481" s="203" t="n"/>
    </row>
    <row r="482" ht="13" customHeight="1" s="189">
      <c r="B482" s="203" t="n"/>
      <c r="C482" s="203" t="n"/>
      <c r="D482" s="289" t="n"/>
      <c r="E482" s="203" t="n"/>
      <c r="F482" s="203" t="n"/>
    </row>
    <row r="483" ht="13" customHeight="1" s="189">
      <c r="B483" s="203" t="n"/>
      <c r="C483" s="203" t="n"/>
      <c r="D483" s="289" t="n"/>
      <c r="E483" s="203" t="n"/>
      <c r="F483" s="203" t="n"/>
    </row>
    <row r="484" ht="13" customHeight="1" s="189">
      <c r="B484" s="203" t="n"/>
      <c r="C484" s="203" t="n"/>
      <c r="D484" s="289" t="n"/>
      <c r="E484" s="203" t="n"/>
      <c r="F484" s="203" t="n"/>
    </row>
    <row r="485" ht="13" customHeight="1" s="189">
      <c r="B485" s="203" t="n"/>
      <c r="C485" s="203" t="n"/>
      <c r="D485" s="289" t="n"/>
      <c r="E485" s="203" t="n"/>
      <c r="F485" s="203" t="n"/>
    </row>
    <row r="486" ht="13" customHeight="1" s="189">
      <c r="B486" s="203" t="n"/>
      <c r="C486" s="203" t="n"/>
      <c r="D486" s="289" t="n"/>
      <c r="E486" s="203" t="n"/>
      <c r="F486" s="203" t="n"/>
    </row>
    <row r="487" ht="13" customHeight="1" s="189">
      <c r="B487" s="203" t="n"/>
      <c r="C487" s="203" t="n"/>
      <c r="D487" s="289" t="n"/>
      <c r="E487" s="203" t="n"/>
      <c r="F487" s="203" t="n"/>
    </row>
    <row r="488" ht="13" customHeight="1" s="189">
      <c r="B488" s="203" t="n"/>
      <c r="C488" s="203" t="n"/>
      <c r="D488" s="289" t="n"/>
      <c r="E488" s="203" t="n"/>
      <c r="F488" s="203" t="n"/>
    </row>
    <row r="489" ht="13" customHeight="1" s="189">
      <c r="B489" s="203" t="n"/>
      <c r="C489" s="203" t="n"/>
      <c r="D489" s="289" t="n"/>
      <c r="E489" s="203" t="n"/>
      <c r="F489" s="203" t="n"/>
    </row>
    <row r="490" ht="13" customHeight="1" s="189">
      <c r="B490" s="203" t="n"/>
      <c r="C490" s="203" t="n"/>
      <c r="D490" s="289" t="n"/>
      <c r="E490" s="203" t="n"/>
      <c r="F490" s="203" t="n"/>
    </row>
    <row r="491" ht="13" customHeight="1" s="189">
      <c r="B491" s="203" t="n"/>
      <c r="C491" s="203" t="n"/>
      <c r="D491" s="289" t="n"/>
      <c r="E491" s="203" t="n"/>
      <c r="F491" s="203" t="n"/>
    </row>
    <row r="492" ht="13" customHeight="1" s="189">
      <c r="B492" s="203" t="n"/>
      <c r="C492" s="203" t="n"/>
      <c r="D492" s="289" t="n"/>
      <c r="E492" s="203" t="n"/>
      <c r="F492" s="203" t="n"/>
    </row>
    <row r="493" ht="13" customHeight="1" s="189">
      <c r="B493" s="203" t="n"/>
      <c r="C493" s="203" t="n"/>
      <c r="D493" s="289" t="n"/>
      <c r="E493" s="203" t="n"/>
      <c r="F493" s="203" t="n"/>
    </row>
    <row r="494" ht="13" customHeight="1" s="189">
      <c r="B494" s="203" t="n"/>
      <c r="C494" s="203" t="n"/>
      <c r="D494" s="289" t="n"/>
      <c r="E494" s="203" t="n"/>
      <c r="F494" s="203" t="n"/>
    </row>
    <row r="495" ht="13" customHeight="1" s="189">
      <c r="B495" s="203" t="n"/>
      <c r="C495" s="203" t="n"/>
      <c r="D495" s="289" t="n"/>
      <c r="E495" s="203" t="n"/>
      <c r="F495" s="203" t="n"/>
    </row>
    <row r="496" ht="13" customHeight="1" s="189">
      <c r="B496" s="203" t="n"/>
      <c r="C496" s="203" t="n"/>
      <c r="D496" s="289" t="n"/>
      <c r="E496" s="203" t="n"/>
      <c r="F496" s="203" t="n"/>
    </row>
    <row r="497" ht="13" customHeight="1" s="189">
      <c r="B497" s="203" t="n"/>
      <c r="C497" s="203" t="n"/>
      <c r="D497" s="289" t="n"/>
      <c r="E497" s="203" t="n"/>
      <c r="F497" s="203" t="n"/>
    </row>
    <row r="498" ht="13" customHeight="1" s="189">
      <c r="B498" s="203" t="n"/>
      <c r="C498" s="203" t="n"/>
      <c r="D498" s="289" t="n"/>
      <c r="E498" s="203" t="n"/>
      <c r="F498" s="203" t="n"/>
    </row>
    <row r="499" ht="13" customHeight="1" s="189">
      <c r="B499" s="203" t="n"/>
      <c r="C499" s="203" t="n"/>
      <c r="D499" s="289" t="n"/>
      <c r="E499" s="203" t="n"/>
      <c r="F499" s="203" t="n"/>
    </row>
    <row r="500" ht="13" customHeight="1" s="189">
      <c r="B500" s="203" t="n"/>
      <c r="C500" s="203" t="n"/>
      <c r="D500" s="289" t="n"/>
      <c r="E500" s="203" t="n"/>
      <c r="F500" s="203" t="n"/>
    </row>
    <row r="501" ht="13" customHeight="1" s="189">
      <c r="B501" s="203" t="n"/>
      <c r="C501" s="203" t="n"/>
      <c r="D501" s="289" t="n"/>
      <c r="E501" s="203" t="n"/>
      <c r="F501" s="203" t="n"/>
    </row>
    <row r="502" ht="13" customHeight="1" s="189">
      <c r="B502" s="203" t="n"/>
      <c r="C502" s="203" t="n"/>
      <c r="D502" s="289" t="n"/>
      <c r="E502" s="203" t="n"/>
      <c r="F502" s="203" t="n"/>
    </row>
    <row r="503" ht="13" customHeight="1" s="189">
      <c r="B503" s="203" t="n"/>
      <c r="C503" s="203" t="n"/>
      <c r="D503" s="289" t="n"/>
      <c r="E503" s="203" t="n"/>
      <c r="F503" s="203" t="n"/>
    </row>
    <row r="504" ht="13" customHeight="1" s="189">
      <c r="B504" s="203" t="n"/>
      <c r="C504" s="203" t="n"/>
      <c r="D504" s="289" t="n"/>
      <c r="E504" s="203" t="n"/>
      <c r="F504" s="203" t="n"/>
    </row>
    <row r="505" ht="13" customHeight="1" s="189">
      <c r="B505" s="203" t="n"/>
      <c r="C505" s="203" t="n"/>
      <c r="D505" s="289" t="n"/>
      <c r="E505" s="203" t="n"/>
      <c r="F505" s="203" t="n"/>
    </row>
    <row r="506" ht="13" customHeight="1" s="189">
      <c r="B506" s="203" t="n"/>
      <c r="C506" s="203" t="n"/>
      <c r="D506" s="289" t="n"/>
      <c r="E506" s="203" t="n"/>
      <c r="F506" s="203" t="n"/>
    </row>
    <row r="507" ht="13" customHeight="1" s="189">
      <c r="B507" s="203" t="n"/>
      <c r="C507" s="203" t="n"/>
      <c r="D507" s="289" t="n"/>
      <c r="E507" s="203" t="n"/>
      <c r="F507" s="203" t="n"/>
    </row>
    <row r="508" ht="13" customHeight="1" s="189">
      <c r="B508" s="203" t="n"/>
      <c r="C508" s="203" t="n"/>
      <c r="D508" s="289" t="n"/>
      <c r="E508" s="203" t="n"/>
      <c r="F508" s="203" t="n"/>
    </row>
    <row r="509" ht="13" customHeight="1" s="189">
      <c r="B509" s="203" t="n"/>
      <c r="C509" s="203" t="n"/>
      <c r="D509" s="289" t="n"/>
      <c r="E509" s="203" t="n"/>
      <c r="F509" s="203" t="n"/>
    </row>
    <row r="510" ht="13" customHeight="1" s="189">
      <c r="B510" s="203" t="n"/>
      <c r="C510" s="203" t="n"/>
      <c r="D510" s="289" t="n"/>
      <c r="E510" s="203" t="n"/>
      <c r="F510" s="203" t="n"/>
    </row>
    <row r="511" ht="13" customHeight="1" s="189">
      <c r="B511" s="203" t="n"/>
      <c r="C511" s="203" t="n"/>
      <c r="D511" s="289" t="n"/>
      <c r="E511" s="203" t="n"/>
      <c r="F511" s="203" t="n"/>
    </row>
  </sheetData>
  <mergeCells count="8">
    <mergeCell ref="E2:G2"/>
    <mergeCell ref="A1:G1"/>
    <mergeCell ref="C2:D2"/>
    <mergeCell ref="A5:F5"/>
    <mergeCell ref="E4:G4"/>
    <mergeCell ref="E3:G3"/>
    <mergeCell ref="C3:D3"/>
    <mergeCell ref="C4:D4"/>
  </mergeCells>
  <printOptions horizontalCentered="0" verticalCentered="0" headings="0" gridLines="1"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J1024"/>
  <sheetViews>
    <sheetView showFormulas="0" showGridLines="1" showRowColHeaders="1" showZeros="1" rightToLeft="0" tabSelected="0" showOutlineSymbols="1" defaultGridColor="1" view="normal" topLeftCell="A10" colorId="64" zoomScale="100" zoomScaleNormal="100" zoomScalePageLayoutView="100" workbookViewId="0">
      <selection pane="topLeft" activeCell="J24" activeCellId="0" sqref="J24"/>
    </sheetView>
  </sheetViews>
  <sheetFormatPr baseColWidth="8" defaultColWidth="9.0546875" defaultRowHeight="12.5" zeroHeight="0" outlineLevelRow="0"/>
  <cols>
    <col width="3.17" customWidth="1" style="287" min="1" max="1"/>
    <col width="40.53" customWidth="1" style="188" min="2" max="2"/>
    <col width="3.17" customWidth="1" style="188" min="3" max="3"/>
    <col width="10.72" customWidth="1" style="293" min="4" max="4"/>
    <col width="10.72" customWidth="1" style="188" min="5" max="10"/>
  </cols>
  <sheetData>
    <row r="1" ht="15.5" customHeight="1" s="189">
      <c r="A1" s="243" t="inlineStr">
        <is>
          <t>Change Control Log</t>
        </is>
      </c>
      <c r="B1" s="213" t="n"/>
      <c r="C1" s="213" t="n"/>
      <c r="D1" s="213" t="n"/>
      <c r="E1" s="213" t="n"/>
      <c r="F1" s="213" t="n"/>
      <c r="G1" s="213" t="n"/>
      <c r="H1" s="213" t="n"/>
      <c r="I1" s="213" t="n"/>
      <c r="J1" s="214" t="n"/>
    </row>
    <row r="2" ht="13" customHeight="1" s="189">
      <c r="A2" s="266" t="inlineStr">
        <is>
          <t>Project</t>
        </is>
      </c>
      <c r="B2" s="214" t="n"/>
      <c r="C2" s="208">
        <f>Data!B1</f>
        <v/>
      </c>
      <c r="D2" s="213" t="n"/>
      <c r="E2" s="213" t="n"/>
      <c r="F2" s="214" t="n"/>
      <c r="G2" s="266" t="inlineStr">
        <is>
          <t>Project #</t>
        </is>
      </c>
      <c r="H2" s="208">
        <f>Data!B2</f>
        <v/>
      </c>
      <c r="I2" s="213" t="n"/>
      <c r="J2" s="214" t="n"/>
    </row>
    <row r="3" ht="13" customHeight="1" s="189">
      <c r="A3" s="266" t="inlineStr">
        <is>
          <t>Project Manager</t>
        </is>
      </c>
      <c r="B3" s="214" t="n"/>
      <c r="C3" s="208">
        <f>Data!B3</f>
        <v/>
      </c>
      <c r="D3" s="213" t="n"/>
      <c r="E3" s="213" t="n"/>
      <c r="F3" s="214" t="n"/>
      <c r="G3" s="266" t="inlineStr">
        <is>
          <t>Sponsor</t>
        </is>
      </c>
      <c r="H3" s="208">
        <f>Data!B4</f>
        <v/>
      </c>
      <c r="I3" s="213" t="n"/>
      <c r="J3" s="214" t="n"/>
    </row>
    <row r="4" ht="13" customHeight="1" s="189">
      <c r="A4" s="266" t="inlineStr">
        <is>
          <t>Project Artifacts</t>
        </is>
      </c>
      <c r="B4" s="214" t="n"/>
      <c r="C4" s="208">
        <f>Data!B5</f>
        <v/>
      </c>
      <c r="D4" s="213" t="n"/>
      <c r="E4" s="213" t="n"/>
      <c r="F4" s="214" t="n"/>
      <c r="G4" s="266" t="inlineStr">
        <is>
          <t>Updated</t>
        </is>
      </c>
      <c r="H4" s="208">
        <f>Data!B6</f>
        <v/>
      </c>
      <c r="I4" s="213" t="n"/>
      <c r="J4" s="214" t="n"/>
    </row>
    <row r="5" ht="12.5" customHeight="1" s="189">
      <c r="A5" s="288" t="n"/>
      <c r="B5" s="213" t="n"/>
      <c r="C5" s="213" t="n"/>
      <c r="D5" s="213" t="n"/>
      <c r="E5" s="213" t="n"/>
      <c r="F5" s="213" t="n"/>
      <c r="G5" s="213" t="n"/>
      <c r="H5" s="213" t="n"/>
      <c r="I5" s="213" t="n"/>
      <c r="J5" s="214" t="n"/>
    </row>
    <row r="6" ht="61.5" customHeight="1" s="189">
      <c r="A6" s="281" t="inlineStr">
        <is>
          <t>ID</t>
        </is>
      </c>
      <c r="B6" s="281" t="inlineStr">
        <is>
          <t>Change Description</t>
        </is>
      </c>
      <c r="C6" s="317" t="inlineStr">
        <is>
          <t>Priority</t>
        </is>
      </c>
      <c r="D6" s="281" t="inlineStr">
        <is>
          <t>Originator</t>
        </is>
      </c>
      <c r="E6" s="281" t="inlineStr">
        <is>
          <t>Date Entered</t>
        </is>
      </c>
      <c r="F6" s="281" t="inlineStr">
        <is>
          <t>Date Assigned</t>
        </is>
      </c>
      <c r="G6" s="281" t="inlineStr">
        <is>
          <t>Evaluator</t>
        </is>
      </c>
      <c r="H6" s="281" t="inlineStr">
        <is>
          <t>Status</t>
        </is>
      </c>
      <c r="I6" s="281" t="inlineStr">
        <is>
          <t>Date of Decision</t>
        </is>
      </c>
      <c r="J6" s="281" t="inlineStr">
        <is>
          <t>Included in Rev. #</t>
        </is>
      </c>
    </row>
    <row r="7" ht="21.75" customHeight="1" s="189">
      <c r="A7" s="272" t="n">
        <v>1</v>
      </c>
      <c r="B7" s="295" t="n"/>
      <c r="C7" s="199" t="n"/>
      <c r="D7" s="285" t="n"/>
      <c r="E7" s="285" t="n"/>
      <c r="F7" s="285" t="n"/>
      <c r="G7" s="318" t="n"/>
      <c r="H7" s="318" t="n"/>
      <c r="I7" s="318" t="n"/>
      <c r="J7" s="318" t="n"/>
    </row>
    <row r="8" ht="21.75" customHeight="1" s="189">
      <c r="A8" s="272" t="n">
        <v>2</v>
      </c>
      <c r="B8" s="199" t="n"/>
      <c r="C8" s="199" t="n"/>
      <c r="D8" s="285" t="n"/>
      <c r="E8" s="285" t="n"/>
      <c r="F8" s="285" t="n"/>
      <c r="G8" s="318" t="n"/>
      <c r="H8" s="318" t="n"/>
      <c r="I8" s="318" t="n"/>
      <c r="J8" s="318" t="n"/>
    </row>
    <row r="9" ht="21.75" customHeight="1" s="189">
      <c r="A9" s="272" t="n">
        <v>3</v>
      </c>
      <c r="B9" s="199" t="n"/>
      <c r="C9" s="199" t="n"/>
      <c r="D9" s="285" t="n"/>
      <c r="E9" s="285" t="n"/>
      <c r="F9" s="285" t="n"/>
      <c r="G9" s="318" t="n"/>
      <c r="H9" s="318" t="n"/>
      <c r="I9" s="318" t="n"/>
      <c r="J9" s="318" t="n"/>
    </row>
    <row r="10" ht="21.75" customHeight="1" s="189">
      <c r="A10" s="272" t="n">
        <v>4</v>
      </c>
      <c r="B10" s="199" t="n"/>
      <c r="C10" s="199" t="n"/>
      <c r="D10" s="285" t="n"/>
      <c r="E10" s="285" t="n"/>
      <c r="F10" s="285" t="n"/>
      <c r="G10" s="318" t="n"/>
      <c r="H10" s="318" t="n"/>
      <c r="I10" s="318" t="n"/>
      <c r="J10" s="318" t="n"/>
    </row>
    <row r="11" ht="21.75" customHeight="1" s="189">
      <c r="A11" s="272" t="n">
        <v>5</v>
      </c>
      <c r="B11" s="199" t="n"/>
      <c r="C11" s="199" t="n"/>
      <c r="D11" s="285" t="n"/>
      <c r="E11" s="285" t="n"/>
      <c r="F11" s="285" t="n"/>
      <c r="G11" s="318" t="n"/>
      <c r="H11" s="318" t="n"/>
      <c r="I11" s="318" t="n"/>
      <c r="J11" s="318" t="n"/>
    </row>
    <row r="12" ht="21.75" customHeight="1" s="189">
      <c r="A12" s="272" t="n">
        <v>6</v>
      </c>
      <c r="B12" s="199" t="n"/>
      <c r="C12" s="199" t="n"/>
      <c r="D12" s="285" t="n"/>
      <c r="E12" s="285" t="n"/>
      <c r="F12" s="285" t="n"/>
      <c r="G12" s="318" t="n"/>
      <c r="H12" s="318" t="n"/>
      <c r="I12" s="318" t="n"/>
      <c r="J12" s="318" t="n"/>
    </row>
    <row r="13" ht="21.75" customHeight="1" s="189">
      <c r="A13" s="272" t="n">
        <v>7</v>
      </c>
      <c r="B13" s="199" t="n"/>
      <c r="C13" s="199" t="n"/>
      <c r="D13" s="285" t="n"/>
      <c r="E13" s="285" t="n"/>
      <c r="F13" s="285" t="n"/>
      <c r="G13" s="318" t="n"/>
      <c r="H13" s="318" t="n"/>
      <c r="I13" s="318" t="n"/>
      <c r="J13" s="318" t="n"/>
    </row>
    <row r="14" ht="21.75" customHeight="1" s="189">
      <c r="A14" s="272" t="n">
        <v>8</v>
      </c>
      <c r="B14" s="199" t="n"/>
      <c r="C14" s="199" t="n"/>
      <c r="D14" s="285" t="n"/>
      <c r="E14" s="285" t="n"/>
      <c r="F14" s="285" t="n"/>
      <c r="G14" s="318" t="n"/>
      <c r="H14" s="318" t="n"/>
      <c r="I14" s="318" t="n"/>
      <c r="J14" s="318" t="n"/>
    </row>
    <row r="15" ht="21.75" customHeight="1" s="189">
      <c r="A15" s="272" t="n">
        <v>9</v>
      </c>
      <c r="B15" s="199" t="n"/>
      <c r="C15" s="199" t="n"/>
      <c r="D15" s="285" t="n"/>
      <c r="E15" s="285" t="n"/>
      <c r="F15" s="285" t="n"/>
      <c r="G15" s="318" t="n"/>
      <c r="H15" s="318" t="n"/>
      <c r="I15" s="318" t="n"/>
      <c r="J15" s="318" t="n"/>
    </row>
    <row r="16" ht="21.75" customHeight="1" s="189">
      <c r="A16" s="272" t="n">
        <v>10</v>
      </c>
      <c r="B16" s="199" t="n"/>
      <c r="C16" s="199" t="n"/>
      <c r="D16" s="285" t="n"/>
      <c r="E16" s="285" t="n"/>
      <c r="F16" s="285" t="n"/>
      <c r="G16" s="318" t="n"/>
      <c r="H16" s="318" t="n"/>
      <c r="I16" s="318" t="n"/>
      <c r="J16" s="318" t="n"/>
    </row>
    <row r="17" ht="21.75" customHeight="1" s="189">
      <c r="A17" s="272" t="n">
        <v>11</v>
      </c>
      <c r="B17" s="199" t="n"/>
      <c r="C17" s="199" t="n"/>
      <c r="D17" s="285" t="n"/>
      <c r="E17" s="285" t="n"/>
      <c r="F17" s="285" t="n"/>
      <c r="G17" s="318" t="n"/>
      <c r="H17" s="318" t="n"/>
      <c r="I17" s="318" t="n"/>
      <c r="J17" s="318" t="n"/>
    </row>
    <row r="18" ht="21.75" customHeight="1" s="189">
      <c r="A18" s="272" t="n">
        <v>12</v>
      </c>
      <c r="B18" s="199" t="n"/>
      <c r="C18" s="199" t="n"/>
      <c r="D18" s="285" t="n"/>
      <c r="E18" s="285" t="n"/>
      <c r="F18" s="285" t="n"/>
      <c r="G18" s="318" t="n"/>
      <c r="H18" s="318" t="n"/>
      <c r="I18" s="318" t="n"/>
      <c r="J18" s="318" t="n"/>
    </row>
    <row r="19" ht="21.75" customHeight="1" s="189">
      <c r="A19" s="272" t="n">
        <v>13</v>
      </c>
      <c r="B19" s="199" t="n"/>
      <c r="C19" s="199" t="n"/>
      <c r="D19" s="285" t="n"/>
      <c r="E19" s="285" t="n"/>
      <c r="F19" s="285" t="n"/>
      <c r="G19" s="318" t="n"/>
      <c r="H19" s="318" t="n"/>
      <c r="I19" s="318" t="n"/>
      <c r="J19" s="318" t="n"/>
    </row>
    <row r="20" ht="21.75" customHeight="1" s="189">
      <c r="A20" s="272" t="n">
        <v>14</v>
      </c>
      <c r="B20" s="199" t="n"/>
      <c r="C20" s="199" t="n"/>
      <c r="D20" s="285" t="n"/>
      <c r="E20" s="285" t="n"/>
      <c r="F20" s="285" t="n"/>
      <c r="G20" s="318" t="n"/>
      <c r="H20" s="318" t="n"/>
      <c r="I20" s="318" t="n"/>
      <c r="J20" s="318" t="n"/>
    </row>
    <row r="21" ht="21.75" customHeight="1" s="189">
      <c r="A21" s="272" t="n">
        <v>15</v>
      </c>
      <c r="B21" s="199" t="n"/>
      <c r="C21" s="199" t="n"/>
      <c r="D21" s="285" t="n"/>
      <c r="E21" s="285" t="n"/>
      <c r="F21" s="285" t="n"/>
      <c r="G21" s="318" t="n"/>
      <c r="H21" s="318" t="n"/>
      <c r="I21" s="318" t="n"/>
      <c r="J21" s="318" t="n"/>
    </row>
    <row r="22" ht="21.75" customHeight="1" s="189">
      <c r="A22" s="272" t="n"/>
      <c r="B22" s="199" t="n"/>
      <c r="C22" s="199" t="n"/>
      <c r="D22" s="285" t="n"/>
      <c r="E22" s="285" t="n"/>
      <c r="F22" s="285" t="n"/>
      <c r="G22" s="318" t="n"/>
      <c r="H22" s="318" t="n"/>
      <c r="I22" s="318" t="n"/>
      <c r="J22" s="318" t="n"/>
    </row>
    <row r="23" ht="21.75" customHeight="1" s="189">
      <c r="A23" s="289" t="n"/>
      <c r="B23" s="290" t="n"/>
      <c r="C23" s="290" t="n"/>
      <c r="D23" s="291" t="n"/>
      <c r="E23" s="291" t="n"/>
      <c r="F23" s="291" t="n"/>
      <c r="G23" s="293" t="n"/>
      <c r="H23" s="293" t="n"/>
      <c r="I23" s="293" t="n"/>
      <c r="J23" s="293" t="n"/>
    </row>
    <row r="24" ht="13" customHeight="1" s="189">
      <c r="A24" s="289" t="n"/>
      <c r="B24" s="290" t="n"/>
      <c r="C24" s="290" t="n"/>
      <c r="D24" s="291" t="n"/>
      <c r="E24" s="291" t="n"/>
      <c r="F24" s="291" t="n"/>
      <c r="G24" s="293" t="n"/>
      <c r="H24" s="293" t="n"/>
      <c r="I24" s="293" t="n"/>
      <c r="J24" s="201" t="inlineStr">
        <is>
          <t>© Global Knowledge Training LLC</t>
        </is>
      </c>
    </row>
    <row r="25" ht="21.75" customHeight="1" s="189">
      <c r="A25" s="289" t="n"/>
      <c r="B25" s="290" t="n"/>
      <c r="C25" s="290" t="n"/>
      <c r="D25" s="291" t="n"/>
      <c r="E25" s="291" t="n"/>
      <c r="F25" s="291" t="n"/>
      <c r="G25" s="293" t="n"/>
      <c r="H25" s="293" t="n"/>
      <c r="I25" s="293" t="n"/>
      <c r="J25" s="293" t="n"/>
    </row>
    <row r="26" ht="21.75" customHeight="1" s="189">
      <c r="A26" s="289" t="n"/>
      <c r="B26" s="290" t="n"/>
      <c r="C26" s="290" t="n"/>
      <c r="D26" s="291" t="n"/>
      <c r="E26" s="291" t="n"/>
      <c r="F26" s="291" t="n"/>
      <c r="G26" s="293" t="n"/>
      <c r="H26" s="293" t="n"/>
      <c r="I26" s="293" t="n"/>
      <c r="J26" s="293" t="n"/>
    </row>
    <row r="27" ht="13" customHeight="1" s="189">
      <c r="A27" s="289" t="n"/>
      <c r="B27" s="290" t="n"/>
      <c r="C27" s="290" t="n"/>
      <c r="D27" s="291" t="n"/>
      <c r="E27" s="291" t="n"/>
      <c r="F27" s="291" t="n"/>
      <c r="G27" s="293" t="n"/>
      <c r="H27" s="293" t="n"/>
      <c r="I27" s="293" t="n"/>
      <c r="J27" s="293" t="n"/>
    </row>
    <row r="28" ht="13" customHeight="1" s="189">
      <c r="A28" s="289" t="n"/>
      <c r="B28" s="290" t="n"/>
      <c r="C28" s="290" t="n"/>
      <c r="D28" s="291" t="n"/>
      <c r="E28" s="291" t="n"/>
      <c r="F28" s="291" t="n"/>
      <c r="G28" s="293" t="n"/>
      <c r="H28" s="293" t="n"/>
      <c r="I28" s="293" t="n"/>
      <c r="J28" s="293" t="n"/>
    </row>
    <row r="29" ht="13" customHeight="1" s="189">
      <c r="A29" s="289" t="n"/>
      <c r="B29" s="290" t="n"/>
      <c r="C29" s="290" t="n"/>
      <c r="D29" s="291" t="n"/>
      <c r="E29" s="291" t="n"/>
      <c r="F29" s="291" t="n"/>
      <c r="G29" s="293" t="n"/>
      <c r="H29" s="293" t="n"/>
      <c r="I29" s="293" t="n"/>
      <c r="J29" s="293" t="n"/>
    </row>
    <row r="30" ht="13" customHeight="1" s="189">
      <c r="A30" s="289" t="n"/>
      <c r="B30" s="290" t="n"/>
      <c r="C30" s="290" t="n"/>
      <c r="D30" s="291" t="n"/>
      <c r="E30" s="291" t="n"/>
      <c r="F30" s="291" t="n"/>
      <c r="G30" s="293" t="n"/>
      <c r="H30" s="293" t="n"/>
      <c r="I30" s="293" t="n"/>
      <c r="J30" s="293" t="n"/>
    </row>
    <row r="31" ht="13" customHeight="1" s="189">
      <c r="A31" s="289" t="n"/>
      <c r="B31" s="290" t="n"/>
      <c r="C31" s="290" t="n"/>
      <c r="D31" s="291" t="n"/>
      <c r="E31" s="291" t="n"/>
      <c r="F31" s="291" t="n"/>
      <c r="G31" s="293" t="n"/>
      <c r="H31" s="293" t="n"/>
      <c r="I31" s="293" t="n"/>
      <c r="J31" s="293" t="n"/>
    </row>
    <row r="32" ht="13" customHeight="1" s="189">
      <c r="A32" s="289" t="n"/>
      <c r="B32" s="290" t="n"/>
      <c r="C32" s="290" t="n"/>
      <c r="D32" s="291" t="n"/>
      <c r="E32" s="291" t="n"/>
      <c r="F32" s="291" t="n"/>
      <c r="G32" s="293" t="n"/>
      <c r="H32" s="293" t="n"/>
      <c r="I32" s="293" t="n"/>
      <c r="J32" s="293" t="n"/>
    </row>
    <row r="33" ht="13" customHeight="1" s="189">
      <c r="A33" s="289" t="n"/>
      <c r="B33" s="290" t="n"/>
      <c r="C33" s="290" t="n"/>
      <c r="D33" s="291" t="n"/>
      <c r="E33" s="291" t="n"/>
      <c r="F33" s="291" t="n"/>
      <c r="G33" s="293" t="n"/>
      <c r="H33" s="293" t="n"/>
      <c r="I33" s="293" t="n"/>
      <c r="J33" s="293" t="n"/>
    </row>
    <row r="34" ht="13" customHeight="1" s="189">
      <c r="A34" s="289" t="n"/>
      <c r="B34" s="290" t="n"/>
      <c r="C34" s="290" t="n"/>
      <c r="D34" s="291" t="n"/>
      <c r="E34" s="291" t="n"/>
      <c r="F34" s="291" t="n"/>
      <c r="G34" s="293" t="n"/>
      <c r="H34" s="293" t="n"/>
      <c r="I34" s="293" t="n"/>
      <c r="J34" s="293" t="n"/>
    </row>
    <row r="35" ht="13" customHeight="1" s="189">
      <c r="A35" s="289" t="n"/>
      <c r="B35" s="290" t="n"/>
      <c r="C35" s="290" t="n"/>
      <c r="D35" s="291" t="n"/>
      <c r="E35" s="291" t="n"/>
      <c r="F35" s="291" t="n"/>
      <c r="G35" s="293" t="n"/>
      <c r="H35" s="293" t="n"/>
      <c r="I35" s="293" t="n"/>
      <c r="J35" s="293" t="n"/>
    </row>
    <row r="36" ht="13" customHeight="1" s="189">
      <c r="A36" s="289" t="n"/>
      <c r="B36" s="290" t="n"/>
      <c r="C36" s="290" t="n"/>
      <c r="D36" s="291" t="n"/>
      <c r="E36" s="291" t="n"/>
      <c r="F36" s="291" t="n"/>
      <c r="G36" s="293" t="n"/>
      <c r="H36" s="293" t="n"/>
      <c r="I36" s="293" t="n"/>
      <c r="J36" s="293" t="n"/>
    </row>
    <row r="37" ht="13" customHeight="1" s="189">
      <c r="A37" s="289" t="n"/>
      <c r="B37" s="290" t="n"/>
      <c r="C37" s="290" t="n"/>
      <c r="D37" s="291" t="n"/>
      <c r="E37" s="291" t="n"/>
      <c r="F37" s="291" t="n"/>
      <c r="G37" s="293" t="n"/>
      <c r="H37" s="293" t="n"/>
      <c r="I37" s="293" t="n"/>
      <c r="J37" s="293" t="n"/>
    </row>
    <row r="38" ht="13" customHeight="1" s="189">
      <c r="A38" s="289" t="n"/>
      <c r="B38" s="290" t="n"/>
      <c r="C38" s="290" t="n"/>
      <c r="D38" s="291" t="n"/>
      <c r="E38" s="291" t="n"/>
      <c r="F38" s="291" t="n"/>
      <c r="G38" s="293" t="n"/>
      <c r="H38" s="293" t="n"/>
      <c r="I38" s="293" t="n"/>
      <c r="J38" s="293" t="n"/>
    </row>
    <row r="39" ht="13" customHeight="1" s="189">
      <c r="A39" s="289" t="n"/>
      <c r="B39" s="290" t="n"/>
      <c r="C39" s="290" t="n"/>
      <c r="D39" s="291" t="n"/>
      <c r="E39" s="291" t="n"/>
      <c r="F39" s="291" t="n"/>
      <c r="G39" s="293" t="n"/>
      <c r="H39" s="293" t="n"/>
      <c r="I39" s="293" t="n"/>
      <c r="J39" s="293" t="n"/>
    </row>
    <row r="40" ht="13" customHeight="1" s="189">
      <c r="A40" s="289" t="n"/>
      <c r="B40" s="290" t="n"/>
      <c r="C40" s="290" t="n"/>
      <c r="D40" s="291" t="n"/>
      <c r="E40" s="291" t="n"/>
      <c r="F40" s="291" t="n"/>
      <c r="G40" s="293" t="n"/>
      <c r="H40" s="293" t="n"/>
      <c r="I40" s="293" t="n"/>
      <c r="J40" s="293" t="n"/>
    </row>
    <row r="41" ht="13" customHeight="1" s="189">
      <c r="A41" s="289" t="n"/>
      <c r="B41" s="290" t="n"/>
      <c r="C41" s="290" t="n"/>
      <c r="D41" s="291" t="n"/>
      <c r="E41" s="291" t="n"/>
      <c r="F41" s="291" t="n"/>
      <c r="G41" s="293" t="n"/>
      <c r="H41" s="293" t="n"/>
      <c r="I41" s="293" t="n"/>
      <c r="J41" s="293" t="n"/>
    </row>
    <row r="42" ht="13" customHeight="1" s="189">
      <c r="A42" s="289" t="n"/>
      <c r="B42" s="290" t="n"/>
      <c r="C42" s="290" t="n"/>
      <c r="D42" s="291" t="n"/>
      <c r="E42" s="291" t="n"/>
      <c r="F42" s="291" t="n"/>
      <c r="G42" s="293" t="n"/>
      <c r="H42" s="293" t="n"/>
      <c r="I42" s="293" t="n"/>
      <c r="J42" s="293" t="n"/>
    </row>
    <row r="43" ht="13" customHeight="1" s="189">
      <c r="A43" s="289" t="n"/>
      <c r="B43" s="290" t="n"/>
      <c r="C43" s="290" t="n"/>
      <c r="D43" s="291" t="n"/>
      <c r="E43" s="291" t="n"/>
      <c r="F43" s="291" t="n"/>
      <c r="G43" s="293" t="n"/>
      <c r="H43" s="293" t="n"/>
      <c r="I43" s="293" t="n"/>
      <c r="J43" s="293" t="n"/>
    </row>
    <row r="44" ht="13" customHeight="1" s="189">
      <c r="A44" s="289" t="n"/>
      <c r="B44" s="290" t="n"/>
      <c r="C44" s="290" t="n"/>
      <c r="D44" s="291" t="n"/>
      <c r="E44" s="291" t="n"/>
      <c r="F44" s="291" t="n"/>
      <c r="G44" s="293" t="n"/>
      <c r="H44" s="293" t="n"/>
      <c r="I44" s="293" t="n"/>
      <c r="J44" s="293" t="n"/>
    </row>
    <row r="45" ht="13" customHeight="1" s="189">
      <c r="A45" s="289" t="n"/>
      <c r="B45" s="290" t="n"/>
      <c r="C45" s="290" t="n"/>
      <c r="D45" s="291" t="n"/>
      <c r="E45" s="291" t="n"/>
      <c r="F45" s="291" t="n"/>
      <c r="G45" s="293" t="n"/>
      <c r="H45" s="293" t="n"/>
      <c r="I45" s="293" t="n"/>
      <c r="J45" s="293" t="n"/>
    </row>
    <row r="46" ht="13" customHeight="1" s="189">
      <c r="A46" s="289" t="n"/>
      <c r="B46" s="290" t="n"/>
      <c r="C46" s="290" t="n"/>
      <c r="D46" s="291" t="n"/>
      <c r="E46" s="291" t="n"/>
      <c r="F46" s="291" t="n"/>
      <c r="G46" s="293" t="n"/>
      <c r="H46" s="293" t="n"/>
      <c r="I46" s="293" t="n"/>
      <c r="J46" s="293" t="n"/>
    </row>
    <row r="47" ht="13" customHeight="1" s="189">
      <c r="A47" s="289" t="n"/>
      <c r="B47" s="290" t="n"/>
      <c r="C47" s="290" t="n"/>
      <c r="D47" s="291" t="n"/>
      <c r="E47" s="291" t="n"/>
      <c r="F47" s="291" t="n"/>
      <c r="G47" s="293" t="n"/>
      <c r="H47" s="293" t="n"/>
      <c r="I47" s="293" t="n"/>
      <c r="J47" s="293" t="n"/>
    </row>
    <row r="48" ht="13" customHeight="1" s="189">
      <c r="A48" s="289" t="n"/>
      <c r="B48" s="290" t="n"/>
      <c r="C48" s="290" t="n"/>
      <c r="D48" s="291" t="n"/>
      <c r="E48" s="291" t="n"/>
      <c r="F48" s="291" t="n"/>
      <c r="G48" s="293" t="n"/>
      <c r="H48" s="293" t="n"/>
      <c r="I48" s="293" t="n"/>
      <c r="J48" s="293" t="n"/>
    </row>
    <row r="49" ht="13" customHeight="1" s="189">
      <c r="A49" s="289" t="n"/>
      <c r="B49" s="290" t="n"/>
      <c r="C49" s="290" t="n"/>
      <c r="D49" s="291" t="n"/>
      <c r="E49" s="291" t="n"/>
      <c r="F49" s="291" t="n"/>
      <c r="G49" s="293" t="n"/>
      <c r="H49" s="293" t="n"/>
      <c r="I49" s="293" t="n"/>
      <c r="J49" s="293" t="n"/>
    </row>
    <row r="50" ht="13" customHeight="1" s="189">
      <c r="A50" s="289" t="n"/>
      <c r="B50" s="290" t="n"/>
      <c r="C50" s="290" t="n"/>
      <c r="D50" s="291" t="n"/>
      <c r="E50" s="291" t="n"/>
      <c r="F50" s="291" t="n"/>
      <c r="G50" s="293" t="n"/>
      <c r="H50" s="293" t="n"/>
      <c r="I50" s="293" t="n"/>
      <c r="J50" s="293" t="n"/>
    </row>
    <row r="51" ht="13" customHeight="1" s="189">
      <c r="A51" s="289" t="n"/>
      <c r="B51" s="290" t="n"/>
      <c r="C51" s="290" t="n"/>
      <c r="D51" s="291" t="n"/>
      <c r="E51" s="291" t="n"/>
      <c r="F51" s="291" t="n"/>
      <c r="G51" s="293" t="n"/>
      <c r="H51" s="293" t="n"/>
      <c r="I51" s="293" t="n"/>
      <c r="J51" s="293" t="n"/>
    </row>
    <row r="52" ht="13" customHeight="1" s="189">
      <c r="A52" s="289" t="n"/>
      <c r="B52" s="290" t="n"/>
      <c r="C52" s="290" t="n"/>
      <c r="D52" s="291" t="n"/>
      <c r="E52" s="291" t="n"/>
      <c r="F52" s="291" t="n"/>
      <c r="G52" s="293" t="n"/>
      <c r="H52" s="293" t="n"/>
      <c r="I52" s="293" t="n"/>
      <c r="J52" s="293" t="n"/>
    </row>
    <row r="53" ht="13" customHeight="1" s="189">
      <c r="A53" s="289" t="n"/>
      <c r="B53" s="290" t="n"/>
      <c r="C53" s="290" t="n"/>
      <c r="D53" s="291" t="n"/>
      <c r="E53" s="291" t="n"/>
      <c r="F53" s="291" t="n"/>
      <c r="G53" s="293" t="n"/>
      <c r="H53" s="293" t="n"/>
      <c r="I53" s="293" t="n"/>
      <c r="J53" s="293" t="n"/>
    </row>
    <row r="54" ht="13" customHeight="1" s="189">
      <c r="A54" s="289" t="n"/>
      <c r="B54" s="290" t="n"/>
      <c r="C54" s="290" t="n"/>
      <c r="D54" s="291" t="n"/>
      <c r="E54" s="291" t="n"/>
      <c r="F54" s="291" t="n"/>
      <c r="G54" s="293" t="n"/>
      <c r="H54" s="293" t="n"/>
      <c r="I54" s="293" t="n"/>
      <c r="J54" s="293" t="n"/>
    </row>
    <row r="55" ht="13" customHeight="1" s="189">
      <c r="A55" s="289" t="n"/>
      <c r="B55" s="290" t="n"/>
      <c r="C55" s="290" t="n"/>
      <c r="D55" s="291" t="n"/>
      <c r="E55" s="291" t="n"/>
      <c r="F55" s="291" t="n"/>
      <c r="G55" s="293" t="n"/>
      <c r="H55" s="293" t="n"/>
      <c r="I55" s="293" t="n"/>
      <c r="J55" s="293" t="n"/>
    </row>
    <row r="56" ht="13" customHeight="1" s="189">
      <c r="A56" s="289" t="n"/>
      <c r="B56" s="290" t="n"/>
      <c r="C56" s="290" t="n"/>
      <c r="D56" s="291" t="n"/>
      <c r="E56" s="291" t="n"/>
      <c r="F56" s="291" t="n"/>
      <c r="G56" s="293" t="n"/>
      <c r="H56" s="293" t="n"/>
      <c r="I56" s="293" t="n"/>
      <c r="J56" s="293" t="n"/>
    </row>
    <row r="57" ht="13" customHeight="1" s="189">
      <c r="A57" s="289" t="n"/>
      <c r="B57" s="290" t="n"/>
      <c r="C57" s="290" t="n"/>
      <c r="D57" s="291" t="n"/>
      <c r="E57" s="291" t="n"/>
      <c r="F57" s="291" t="n"/>
      <c r="G57" s="293" t="n"/>
      <c r="H57" s="293" t="n"/>
      <c r="I57" s="293" t="n"/>
      <c r="J57" s="293" t="n"/>
    </row>
    <row r="58" ht="13" customHeight="1" s="189">
      <c r="A58" s="289" t="n"/>
      <c r="B58" s="290" t="n"/>
      <c r="C58" s="290" t="n"/>
      <c r="D58" s="291" t="n"/>
      <c r="E58" s="291" t="n"/>
      <c r="F58" s="291" t="n"/>
      <c r="G58" s="293" t="n"/>
      <c r="H58" s="293" t="n"/>
      <c r="I58" s="293" t="n"/>
      <c r="J58" s="293" t="n"/>
    </row>
    <row r="59" ht="13" customHeight="1" s="189">
      <c r="A59" s="289" t="n"/>
      <c r="B59" s="290" t="n"/>
      <c r="C59" s="290" t="n"/>
      <c r="D59" s="291" t="n"/>
      <c r="E59" s="291" t="n"/>
      <c r="F59" s="291" t="n"/>
      <c r="G59" s="293" t="n"/>
      <c r="H59" s="293" t="n"/>
      <c r="I59" s="293" t="n"/>
      <c r="J59" s="293" t="n"/>
    </row>
    <row r="60" ht="13" customHeight="1" s="189">
      <c r="A60" s="289" t="n"/>
      <c r="B60" s="290" t="n"/>
      <c r="C60" s="290" t="n"/>
      <c r="D60" s="291" t="n"/>
      <c r="E60" s="291" t="n"/>
      <c r="F60" s="291" t="n"/>
      <c r="G60" s="293" t="n"/>
      <c r="H60" s="293" t="n"/>
      <c r="I60" s="293" t="n"/>
      <c r="J60" s="293" t="n"/>
    </row>
    <row r="61" ht="13" customHeight="1" s="189">
      <c r="A61" s="289" t="n"/>
      <c r="B61" s="290" t="n"/>
      <c r="C61" s="290" t="n"/>
      <c r="D61" s="291" t="n"/>
      <c r="E61" s="291" t="n"/>
      <c r="F61" s="291" t="n"/>
      <c r="G61" s="293" t="n"/>
      <c r="H61" s="293" t="n"/>
      <c r="I61" s="293" t="n"/>
      <c r="J61" s="293" t="n"/>
    </row>
    <row r="62" ht="13" customHeight="1" s="189">
      <c r="A62" s="289" t="n"/>
      <c r="B62" s="290" t="n"/>
      <c r="C62" s="290" t="n"/>
      <c r="D62" s="291" t="n"/>
      <c r="E62" s="291" t="n"/>
      <c r="F62" s="291" t="n"/>
      <c r="G62" s="293" t="n"/>
      <c r="H62" s="293" t="n"/>
      <c r="I62" s="293" t="n"/>
      <c r="J62" s="293" t="n"/>
    </row>
    <row r="63" ht="13" customHeight="1" s="189">
      <c r="A63" s="289" t="n"/>
      <c r="B63" s="290" t="n"/>
      <c r="C63" s="290" t="n"/>
      <c r="D63" s="291" t="n"/>
      <c r="E63" s="291" t="n"/>
      <c r="F63" s="291" t="n"/>
      <c r="G63" s="293" t="n"/>
      <c r="H63" s="293" t="n"/>
      <c r="I63" s="293" t="n"/>
      <c r="J63" s="293" t="n"/>
    </row>
    <row r="64" ht="13" customHeight="1" s="189">
      <c r="A64" s="289" t="n"/>
      <c r="B64" s="290" t="n"/>
      <c r="C64" s="290" t="n"/>
      <c r="D64" s="291" t="n"/>
      <c r="E64" s="291" t="n"/>
      <c r="F64" s="291" t="n"/>
      <c r="G64" s="293" t="n"/>
      <c r="H64" s="293" t="n"/>
      <c r="I64" s="293" t="n"/>
      <c r="J64" s="293" t="n"/>
    </row>
    <row r="65" ht="13" customHeight="1" s="189">
      <c r="A65" s="289" t="n"/>
      <c r="B65" s="290" t="n"/>
      <c r="C65" s="290" t="n"/>
      <c r="D65" s="291" t="n"/>
      <c r="E65" s="291" t="n"/>
      <c r="F65" s="291" t="n"/>
      <c r="G65" s="293" t="n"/>
      <c r="H65" s="293" t="n"/>
      <c r="I65" s="293" t="n"/>
      <c r="J65" s="293" t="n"/>
    </row>
    <row r="66" ht="13" customHeight="1" s="189">
      <c r="A66" s="289" t="n"/>
      <c r="B66" s="290" t="n"/>
      <c r="C66" s="290" t="n"/>
      <c r="D66" s="291" t="n"/>
      <c r="E66" s="291" t="n"/>
      <c r="F66" s="291" t="n"/>
      <c r="G66" s="293" t="n"/>
      <c r="H66" s="293" t="n"/>
      <c r="I66" s="293" t="n"/>
      <c r="J66" s="293" t="n"/>
    </row>
    <row r="67" ht="13" customHeight="1" s="189">
      <c r="A67" s="289" t="n"/>
      <c r="B67" s="290" t="n"/>
      <c r="C67" s="290" t="n"/>
      <c r="D67" s="291" t="n"/>
      <c r="E67" s="291" t="n"/>
      <c r="F67" s="291" t="n"/>
      <c r="G67" s="293" t="n"/>
      <c r="H67" s="293" t="n"/>
      <c r="I67" s="293" t="n"/>
      <c r="J67" s="293" t="n"/>
    </row>
    <row r="68" ht="13" customHeight="1" s="189">
      <c r="A68" s="289" t="n"/>
      <c r="B68" s="290" t="n"/>
      <c r="C68" s="290" t="n"/>
      <c r="D68" s="291" t="n"/>
      <c r="E68" s="291" t="n"/>
      <c r="F68" s="291" t="n"/>
      <c r="G68" s="293" t="n"/>
      <c r="H68" s="293" t="n"/>
      <c r="I68" s="293" t="n"/>
      <c r="J68" s="293" t="n"/>
    </row>
    <row r="69" ht="13" customHeight="1" s="189">
      <c r="A69" s="289" t="n"/>
      <c r="B69" s="290" t="n"/>
      <c r="C69" s="290" t="n"/>
      <c r="D69" s="291" t="n"/>
      <c r="E69" s="291" t="n"/>
      <c r="F69" s="291" t="n"/>
      <c r="G69" s="293" t="n"/>
      <c r="H69" s="293" t="n"/>
      <c r="I69" s="293" t="n"/>
      <c r="J69" s="293" t="n"/>
    </row>
    <row r="70" ht="13" customHeight="1" s="189">
      <c r="A70" s="289" t="n"/>
      <c r="B70" s="290" t="n"/>
      <c r="C70" s="290" t="n"/>
      <c r="D70" s="291" t="n"/>
      <c r="E70" s="291" t="n"/>
      <c r="F70" s="291" t="n"/>
      <c r="G70" s="293" t="n"/>
      <c r="H70" s="293" t="n"/>
      <c r="I70" s="293" t="n"/>
      <c r="J70" s="293" t="n"/>
    </row>
    <row r="71" ht="13" customHeight="1" s="189">
      <c r="A71" s="289" t="n"/>
      <c r="B71" s="290" t="n"/>
      <c r="C71" s="290" t="n"/>
      <c r="D71" s="291" t="n"/>
      <c r="E71" s="291" t="n"/>
      <c r="F71" s="291" t="n"/>
      <c r="G71" s="293" t="n"/>
      <c r="H71" s="293" t="n"/>
      <c r="I71" s="293" t="n"/>
      <c r="J71" s="293" t="n"/>
    </row>
    <row r="72" ht="13" customHeight="1" s="189">
      <c r="A72" s="289" t="n"/>
      <c r="B72" s="290" t="n"/>
      <c r="C72" s="290" t="n"/>
      <c r="D72" s="291" t="n"/>
      <c r="E72" s="291" t="n"/>
      <c r="F72" s="291" t="n"/>
      <c r="G72" s="293" t="n"/>
      <c r="H72" s="293" t="n"/>
      <c r="I72" s="293" t="n"/>
      <c r="J72" s="293" t="n"/>
    </row>
    <row r="73" ht="13" customHeight="1" s="189">
      <c r="A73" s="289" t="n"/>
      <c r="B73" s="290" t="n"/>
      <c r="C73" s="290" t="n"/>
      <c r="D73" s="291" t="n"/>
      <c r="E73" s="291" t="n"/>
      <c r="F73" s="291" t="n"/>
      <c r="G73" s="293" t="n"/>
      <c r="H73" s="293" t="n"/>
      <c r="I73" s="293" t="n"/>
      <c r="J73" s="293" t="n"/>
    </row>
    <row r="74" ht="13" customHeight="1" s="189">
      <c r="A74" s="289" t="n"/>
      <c r="B74" s="290" t="n"/>
      <c r="C74" s="290" t="n"/>
      <c r="D74" s="291" t="n"/>
      <c r="E74" s="291" t="n"/>
      <c r="F74" s="291" t="n"/>
      <c r="G74" s="293" t="n"/>
      <c r="H74" s="293" t="n"/>
      <c r="I74" s="293" t="n"/>
      <c r="J74" s="293" t="n"/>
    </row>
    <row r="75" ht="13" customHeight="1" s="189">
      <c r="A75" s="289" t="n"/>
      <c r="B75" s="290" t="n"/>
      <c r="C75" s="290" t="n"/>
      <c r="D75" s="291" t="n"/>
      <c r="E75" s="291" t="n"/>
      <c r="F75" s="291" t="n"/>
      <c r="G75" s="293" t="n"/>
      <c r="H75" s="293" t="n"/>
      <c r="I75" s="293" t="n"/>
      <c r="J75" s="293" t="n"/>
    </row>
    <row r="76" ht="13" customHeight="1" s="189">
      <c r="A76" s="289" t="n"/>
      <c r="B76" s="290" t="n"/>
      <c r="C76" s="290" t="n"/>
      <c r="D76" s="291" t="n"/>
      <c r="E76" s="291" t="n"/>
      <c r="F76" s="291" t="n"/>
      <c r="G76" s="293" t="n"/>
      <c r="H76" s="293" t="n"/>
      <c r="I76" s="293" t="n"/>
      <c r="J76" s="293" t="n"/>
    </row>
    <row r="77" ht="13" customHeight="1" s="189">
      <c r="A77" s="289" t="n"/>
      <c r="B77" s="290" t="n"/>
      <c r="C77" s="290" t="n"/>
      <c r="D77" s="291" t="n"/>
      <c r="E77" s="291" t="n"/>
      <c r="F77" s="291" t="n"/>
      <c r="G77" s="293" t="n"/>
      <c r="H77" s="293" t="n"/>
      <c r="I77" s="293" t="n"/>
      <c r="J77" s="293" t="n"/>
    </row>
    <row r="78" ht="13" customHeight="1" s="189">
      <c r="A78" s="289" t="n"/>
      <c r="B78" s="290" t="n"/>
      <c r="C78" s="290" t="n"/>
      <c r="D78" s="291" t="n"/>
      <c r="E78" s="291" t="n"/>
      <c r="F78" s="291" t="n"/>
      <c r="G78" s="293" t="n"/>
      <c r="H78" s="293" t="n"/>
      <c r="I78" s="293" t="n"/>
      <c r="J78" s="293" t="n"/>
    </row>
    <row r="79" ht="13" customHeight="1" s="189">
      <c r="A79" s="289" t="n"/>
      <c r="B79" s="290" t="n"/>
      <c r="C79" s="290" t="n"/>
      <c r="D79" s="291" t="n"/>
      <c r="E79" s="291" t="n"/>
      <c r="F79" s="291" t="n"/>
      <c r="G79" s="293" t="n"/>
      <c r="H79" s="293" t="n"/>
      <c r="I79" s="293" t="n"/>
      <c r="J79" s="293" t="n"/>
    </row>
    <row r="80" ht="13" customHeight="1" s="189">
      <c r="A80" s="289" t="n"/>
      <c r="B80" s="290" t="n"/>
      <c r="C80" s="290" t="n"/>
      <c r="D80" s="291" t="n"/>
      <c r="E80" s="291" t="n"/>
      <c r="F80" s="291" t="n"/>
      <c r="G80" s="293" t="n"/>
      <c r="H80" s="293" t="n"/>
      <c r="I80" s="293" t="n"/>
      <c r="J80" s="293" t="n"/>
    </row>
    <row r="81" ht="13" customHeight="1" s="189">
      <c r="A81" s="289" t="n"/>
      <c r="B81" s="290" t="n"/>
      <c r="C81" s="290" t="n"/>
      <c r="D81" s="291" t="n"/>
      <c r="E81" s="291" t="n"/>
      <c r="F81" s="291" t="n"/>
      <c r="G81" s="293" t="n"/>
      <c r="H81" s="293" t="n"/>
      <c r="I81" s="293" t="n"/>
      <c r="J81" s="293" t="n"/>
    </row>
    <row r="82" ht="13" customHeight="1" s="189">
      <c r="A82" s="289" t="n"/>
      <c r="B82" s="290" t="n"/>
      <c r="C82" s="290" t="n"/>
      <c r="D82" s="291" t="n"/>
      <c r="E82" s="291" t="n"/>
      <c r="F82" s="291" t="n"/>
      <c r="G82" s="293" t="n"/>
      <c r="H82" s="293" t="n"/>
      <c r="I82" s="293" t="n"/>
      <c r="J82" s="293" t="n"/>
    </row>
    <row r="83" ht="13" customHeight="1" s="189">
      <c r="A83" s="289" t="n"/>
      <c r="B83" s="290" t="n"/>
      <c r="C83" s="290" t="n"/>
      <c r="D83" s="291" t="n"/>
      <c r="E83" s="291" t="n"/>
      <c r="F83" s="291" t="n"/>
      <c r="G83" s="293" t="n"/>
      <c r="H83" s="293" t="n"/>
      <c r="I83" s="293" t="n"/>
      <c r="J83" s="293" t="n"/>
    </row>
    <row r="84" ht="13" customHeight="1" s="189">
      <c r="A84" s="289" t="n"/>
      <c r="B84" s="290" t="n"/>
      <c r="C84" s="290" t="n"/>
      <c r="D84" s="291" t="n"/>
      <c r="E84" s="291" t="n"/>
      <c r="F84" s="291" t="n"/>
      <c r="G84" s="293" t="n"/>
      <c r="H84" s="293" t="n"/>
      <c r="I84" s="293" t="n"/>
      <c r="J84" s="293" t="n"/>
    </row>
    <row r="85" ht="13" customHeight="1" s="189">
      <c r="A85" s="289" t="n"/>
      <c r="B85" s="290" t="n"/>
      <c r="C85" s="290" t="n"/>
      <c r="D85" s="291" t="n"/>
      <c r="E85" s="291" t="n"/>
      <c r="F85" s="291" t="n"/>
      <c r="G85" s="293" t="n"/>
      <c r="H85" s="293" t="n"/>
      <c r="I85" s="293" t="n"/>
      <c r="J85" s="293" t="n"/>
    </row>
    <row r="86" ht="13" customHeight="1" s="189">
      <c r="A86" s="289" t="n"/>
      <c r="B86" s="290" t="n"/>
      <c r="C86" s="290" t="n"/>
      <c r="D86" s="291" t="n"/>
      <c r="E86" s="291" t="n"/>
      <c r="F86" s="291" t="n"/>
      <c r="G86" s="293" t="n"/>
      <c r="H86" s="293" t="n"/>
      <c r="I86" s="293" t="n"/>
      <c r="J86" s="293" t="n"/>
    </row>
    <row r="87" ht="13" customHeight="1" s="189">
      <c r="A87" s="289" t="n"/>
      <c r="B87" s="290" t="n"/>
      <c r="C87" s="290" t="n"/>
      <c r="D87" s="291" t="n"/>
      <c r="E87" s="291" t="n"/>
      <c r="F87" s="291" t="n"/>
      <c r="G87" s="293" t="n"/>
      <c r="H87" s="293" t="n"/>
      <c r="I87" s="293" t="n"/>
      <c r="J87" s="293" t="n"/>
    </row>
    <row r="88" ht="13" customHeight="1" s="189">
      <c r="A88" s="289" t="n"/>
      <c r="B88" s="290" t="n"/>
      <c r="C88" s="290" t="n"/>
      <c r="D88" s="291" t="n"/>
      <c r="E88" s="291" t="n"/>
      <c r="F88" s="291" t="n"/>
      <c r="G88" s="293" t="n"/>
      <c r="H88" s="293" t="n"/>
      <c r="I88" s="293" t="n"/>
      <c r="J88" s="293" t="n"/>
    </row>
    <row r="89" ht="13" customHeight="1" s="189">
      <c r="A89" s="289" t="n"/>
      <c r="B89" s="290" t="n"/>
      <c r="C89" s="290" t="n"/>
      <c r="D89" s="291" t="n"/>
      <c r="E89" s="291" t="n"/>
      <c r="F89" s="291" t="n"/>
      <c r="G89" s="293" t="n"/>
      <c r="H89" s="293" t="n"/>
      <c r="I89" s="293" t="n"/>
      <c r="J89" s="293" t="n"/>
    </row>
    <row r="90" ht="13" customHeight="1" s="189">
      <c r="A90" s="289" t="n"/>
      <c r="B90" s="290" t="n"/>
      <c r="C90" s="290" t="n"/>
      <c r="D90" s="291" t="n"/>
      <c r="E90" s="291" t="n"/>
      <c r="F90" s="291" t="n"/>
      <c r="G90" s="293" t="n"/>
      <c r="H90" s="293" t="n"/>
      <c r="I90" s="293" t="n"/>
      <c r="J90" s="293" t="n"/>
    </row>
    <row r="91" ht="13" customHeight="1" s="189">
      <c r="A91" s="289" t="n"/>
      <c r="B91" s="290" t="n"/>
      <c r="C91" s="290" t="n"/>
      <c r="D91" s="291" t="n"/>
      <c r="E91" s="291" t="n"/>
      <c r="F91" s="291" t="n"/>
      <c r="G91" s="293" t="n"/>
      <c r="H91" s="293" t="n"/>
      <c r="I91" s="293" t="n"/>
      <c r="J91" s="293" t="n"/>
    </row>
    <row r="92" ht="13" customHeight="1" s="189">
      <c r="A92" s="289" t="n"/>
      <c r="B92" s="290" t="n"/>
      <c r="C92" s="290" t="n"/>
      <c r="D92" s="291" t="n"/>
      <c r="E92" s="291" t="n"/>
      <c r="F92" s="291" t="n"/>
      <c r="G92" s="293" t="n"/>
      <c r="H92" s="293" t="n"/>
      <c r="I92" s="293" t="n"/>
      <c r="J92" s="293" t="n"/>
    </row>
    <row r="93" ht="13" customHeight="1" s="189">
      <c r="A93" s="289" t="n"/>
      <c r="B93" s="290" t="n"/>
      <c r="C93" s="290" t="n"/>
      <c r="D93" s="291" t="n"/>
      <c r="E93" s="291" t="n"/>
      <c r="F93" s="291" t="n"/>
      <c r="G93" s="293" t="n"/>
      <c r="H93" s="293" t="n"/>
      <c r="I93" s="293" t="n"/>
      <c r="J93" s="293" t="n"/>
    </row>
    <row r="94" ht="13" customHeight="1" s="189">
      <c r="A94" s="289" t="n"/>
      <c r="B94" s="290" t="n"/>
      <c r="C94" s="290" t="n"/>
      <c r="D94" s="291" t="n"/>
      <c r="E94" s="291" t="n"/>
      <c r="F94" s="291" t="n"/>
      <c r="G94" s="293" t="n"/>
      <c r="H94" s="293" t="n"/>
      <c r="I94" s="293" t="n"/>
      <c r="J94" s="293" t="n"/>
    </row>
    <row r="95" ht="13" customHeight="1" s="189">
      <c r="A95" s="289" t="n"/>
      <c r="B95" s="290" t="n"/>
      <c r="C95" s="290" t="n"/>
      <c r="D95" s="291" t="n"/>
      <c r="E95" s="291" t="n"/>
      <c r="F95" s="291" t="n"/>
      <c r="G95" s="293" t="n"/>
      <c r="H95" s="293" t="n"/>
      <c r="I95" s="293" t="n"/>
      <c r="J95" s="293" t="n"/>
    </row>
    <row r="96" ht="13" customHeight="1" s="189">
      <c r="A96" s="289" t="n"/>
      <c r="B96" s="290" t="n"/>
      <c r="C96" s="290" t="n"/>
      <c r="D96" s="291" t="n"/>
      <c r="E96" s="291" t="n"/>
      <c r="F96" s="291" t="n"/>
      <c r="G96" s="293" t="n"/>
      <c r="H96" s="293" t="n"/>
      <c r="I96" s="293" t="n"/>
      <c r="J96" s="293" t="n"/>
    </row>
    <row r="97" ht="13" customHeight="1" s="189">
      <c r="A97" s="289" t="n"/>
      <c r="B97" s="290" t="n"/>
      <c r="C97" s="290" t="n"/>
      <c r="D97" s="291" t="n"/>
      <c r="E97" s="291" t="n"/>
      <c r="F97" s="291" t="n"/>
      <c r="G97" s="293" t="n"/>
      <c r="H97" s="293" t="n"/>
      <c r="I97" s="293" t="n"/>
      <c r="J97" s="293" t="n"/>
    </row>
    <row r="98" ht="13" customHeight="1" s="189">
      <c r="A98" s="289" t="n"/>
      <c r="B98" s="290" t="n"/>
      <c r="C98" s="290" t="n"/>
      <c r="D98" s="291" t="n"/>
      <c r="E98" s="291" t="n"/>
      <c r="F98" s="291" t="n"/>
      <c r="G98" s="293" t="n"/>
      <c r="H98" s="293" t="n"/>
      <c r="I98" s="293" t="n"/>
      <c r="J98" s="293" t="n"/>
    </row>
    <row r="99" ht="13" customHeight="1" s="189">
      <c r="A99" s="289" t="n"/>
      <c r="B99" s="290" t="n"/>
      <c r="C99" s="290" t="n"/>
      <c r="D99" s="291" t="n"/>
      <c r="E99" s="291" t="n"/>
      <c r="F99" s="291" t="n"/>
      <c r="G99" s="293" t="n"/>
      <c r="H99" s="293" t="n"/>
      <c r="I99" s="293" t="n"/>
      <c r="J99" s="293" t="n"/>
    </row>
    <row r="100" ht="13" customHeight="1" s="189">
      <c r="A100" s="289" t="n"/>
      <c r="B100" s="290" t="n"/>
      <c r="C100" s="290" t="n"/>
      <c r="D100" s="291" t="n"/>
      <c r="E100" s="291" t="n"/>
      <c r="F100" s="291" t="n"/>
      <c r="G100" s="293" t="n"/>
      <c r="H100" s="293" t="n"/>
      <c r="I100" s="293" t="n"/>
      <c r="J100" s="293" t="n"/>
    </row>
    <row r="101" ht="13" customHeight="1" s="189">
      <c r="A101" s="289" t="n"/>
      <c r="B101" s="290" t="n"/>
      <c r="C101" s="290" t="n"/>
      <c r="D101" s="291" t="n"/>
      <c r="E101" s="291" t="n"/>
      <c r="F101" s="291" t="n"/>
      <c r="G101" s="293" t="n"/>
      <c r="H101" s="293" t="n"/>
      <c r="I101" s="293" t="n"/>
      <c r="J101" s="293" t="n"/>
    </row>
    <row r="102" ht="13" customHeight="1" s="189">
      <c r="A102" s="289" t="n"/>
      <c r="B102" s="290" t="n"/>
      <c r="C102" s="290" t="n"/>
      <c r="D102" s="291" t="n"/>
      <c r="E102" s="291" t="n"/>
      <c r="F102" s="291" t="n"/>
      <c r="G102" s="293" t="n"/>
      <c r="H102" s="293" t="n"/>
      <c r="I102" s="293" t="n"/>
      <c r="J102" s="293" t="n"/>
    </row>
    <row r="103" ht="13" customHeight="1" s="189">
      <c r="A103" s="289" t="n"/>
      <c r="B103" s="290" t="n"/>
      <c r="C103" s="290" t="n"/>
      <c r="D103" s="291" t="n"/>
      <c r="E103" s="291" t="n"/>
      <c r="F103" s="291" t="n"/>
      <c r="G103" s="293" t="n"/>
      <c r="H103" s="293" t="n"/>
      <c r="I103" s="293" t="n"/>
      <c r="J103" s="293" t="n"/>
    </row>
    <row r="104" ht="13" customHeight="1" s="189">
      <c r="A104" s="289" t="n"/>
      <c r="B104" s="290" t="n"/>
      <c r="C104" s="290" t="n"/>
      <c r="D104" s="291" t="n"/>
      <c r="E104" s="291" t="n"/>
      <c r="F104" s="291" t="n"/>
      <c r="G104" s="293" t="n"/>
      <c r="H104" s="293" t="n"/>
      <c r="I104" s="293" t="n"/>
      <c r="J104" s="293" t="n"/>
    </row>
    <row r="105" ht="13" customHeight="1" s="189">
      <c r="A105" s="289" t="n"/>
      <c r="B105" s="290" t="n"/>
      <c r="C105" s="290" t="n"/>
      <c r="D105" s="291" t="n"/>
      <c r="E105" s="291" t="n"/>
      <c r="F105" s="291" t="n"/>
      <c r="G105" s="293" t="n"/>
      <c r="H105" s="293" t="n"/>
      <c r="I105" s="293" t="n"/>
      <c r="J105" s="293" t="n"/>
    </row>
    <row r="106" ht="13" customHeight="1" s="189">
      <c r="A106" s="289" t="n"/>
      <c r="B106" s="290" t="n"/>
      <c r="C106" s="290" t="n"/>
      <c r="D106" s="291" t="n"/>
      <c r="E106" s="291" t="n"/>
      <c r="F106" s="291" t="n"/>
      <c r="G106" s="293" t="n"/>
      <c r="H106" s="293" t="n"/>
      <c r="I106" s="293" t="n"/>
      <c r="J106" s="293" t="n"/>
    </row>
    <row r="107" ht="13" customHeight="1" s="189">
      <c r="A107" s="289" t="n"/>
      <c r="B107" s="290" t="n"/>
      <c r="C107" s="290" t="n"/>
      <c r="D107" s="291" t="n"/>
      <c r="E107" s="291" t="n"/>
      <c r="F107" s="291" t="n"/>
      <c r="G107" s="293" t="n"/>
      <c r="H107" s="293" t="n"/>
      <c r="I107" s="293" t="n"/>
      <c r="J107" s="293" t="n"/>
    </row>
    <row r="108" ht="13" customHeight="1" s="189">
      <c r="A108" s="289" t="n"/>
      <c r="B108" s="290" t="n"/>
      <c r="C108" s="290" t="n"/>
      <c r="D108" s="291" t="n"/>
      <c r="E108" s="291" t="n"/>
      <c r="F108" s="291" t="n"/>
      <c r="G108" s="293" t="n"/>
      <c r="H108" s="293" t="n"/>
      <c r="I108" s="293" t="n"/>
      <c r="J108" s="293" t="n"/>
    </row>
    <row r="109" ht="13" customHeight="1" s="189">
      <c r="A109" s="289" t="n"/>
      <c r="B109" s="290" t="n"/>
      <c r="C109" s="290" t="n"/>
      <c r="D109" s="291" t="n"/>
      <c r="E109" s="291" t="n"/>
      <c r="F109" s="291" t="n"/>
      <c r="G109" s="293" t="n"/>
      <c r="H109" s="293" t="n"/>
      <c r="I109" s="293" t="n"/>
      <c r="J109" s="293" t="n"/>
    </row>
    <row r="110" ht="13" customHeight="1" s="189">
      <c r="A110" s="289" t="n"/>
      <c r="B110" s="290" t="n"/>
      <c r="C110" s="290" t="n"/>
      <c r="D110" s="291" t="n"/>
      <c r="E110" s="291" t="n"/>
      <c r="F110" s="291" t="n"/>
      <c r="G110" s="293" t="n"/>
      <c r="H110" s="293" t="n"/>
      <c r="I110" s="293" t="n"/>
      <c r="J110" s="293" t="n"/>
    </row>
    <row r="111" ht="13" customHeight="1" s="189">
      <c r="A111" s="289" t="n"/>
      <c r="B111" s="290" t="n"/>
      <c r="C111" s="290" t="n"/>
      <c r="D111" s="291" t="n"/>
      <c r="E111" s="291" t="n"/>
      <c r="F111" s="291" t="n"/>
      <c r="G111" s="293" t="n"/>
      <c r="H111" s="293" t="n"/>
      <c r="I111" s="293" t="n"/>
      <c r="J111" s="293" t="n"/>
    </row>
    <row r="112" ht="13" customHeight="1" s="189">
      <c r="A112" s="289" t="n"/>
      <c r="B112" s="290" t="n"/>
      <c r="C112" s="290" t="n"/>
      <c r="D112" s="291" t="n"/>
      <c r="E112" s="291" t="n"/>
      <c r="F112" s="291" t="n"/>
      <c r="G112" s="293" t="n"/>
      <c r="H112" s="293" t="n"/>
      <c r="I112" s="293" t="n"/>
      <c r="J112" s="293" t="n"/>
    </row>
    <row r="113" ht="13" customHeight="1" s="189">
      <c r="A113" s="289" t="n"/>
      <c r="B113" s="290" t="n"/>
      <c r="C113" s="290" t="n"/>
      <c r="D113" s="291" t="n"/>
      <c r="E113" s="291" t="n"/>
      <c r="F113" s="291" t="n"/>
      <c r="G113" s="293" t="n"/>
      <c r="H113" s="293" t="n"/>
      <c r="I113" s="293" t="n"/>
      <c r="J113" s="293" t="n"/>
    </row>
    <row r="114" ht="13" customHeight="1" s="189">
      <c r="A114" s="289" t="n"/>
      <c r="B114" s="290" t="n"/>
      <c r="C114" s="290" t="n"/>
      <c r="D114" s="291" t="n"/>
      <c r="E114" s="291" t="n"/>
      <c r="F114" s="291" t="n"/>
      <c r="G114" s="293" t="n"/>
      <c r="H114" s="293" t="n"/>
      <c r="I114" s="293" t="n"/>
      <c r="J114" s="293" t="n"/>
    </row>
    <row r="115" ht="13" customHeight="1" s="189">
      <c r="A115" s="289" t="n"/>
      <c r="B115" s="290" t="n"/>
      <c r="C115" s="290" t="n"/>
      <c r="D115" s="291" t="n"/>
      <c r="E115" s="291" t="n"/>
      <c r="F115" s="291" t="n"/>
      <c r="G115" s="293" t="n"/>
      <c r="H115" s="293" t="n"/>
      <c r="I115" s="293" t="n"/>
      <c r="J115" s="293" t="n"/>
    </row>
    <row r="116" ht="13" customHeight="1" s="189">
      <c r="A116" s="289" t="n"/>
      <c r="B116" s="290" t="n"/>
      <c r="C116" s="290" t="n"/>
      <c r="D116" s="291" t="n"/>
      <c r="E116" s="291" t="n"/>
      <c r="F116" s="291" t="n"/>
      <c r="G116" s="293" t="n"/>
      <c r="H116" s="293" t="n"/>
      <c r="I116" s="293" t="n"/>
      <c r="J116" s="293" t="n"/>
    </row>
    <row r="117" ht="13" customHeight="1" s="189">
      <c r="A117" s="289" t="n"/>
      <c r="B117" s="290" t="n"/>
      <c r="C117" s="290" t="n"/>
      <c r="D117" s="291" t="n"/>
      <c r="E117" s="291" t="n"/>
      <c r="F117" s="291" t="n"/>
      <c r="G117" s="293" t="n"/>
      <c r="H117" s="293" t="n"/>
      <c r="I117" s="293" t="n"/>
      <c r="J117" s="293" t="n"/>
    </row>
    <row r="118" ht="13" customHeight="1" s="189">
      <c r="A118" s="289" t="n"/>
      <c r="B118" s="290" t="n"/>
      <c r="C118" s="290" t="n"/>
      <c r="D118" s="291" t="n"/>
      <c r="E118" s="291" t="n"/>
      <c r="F118" s="291" t="n"/>
      <c r="G118" s="293" t="n"/>
      <c r="H118" s="293" t="n"/>
      <c r="I118" s="293" t="n"/>
      <c r="J118" s="293" t="n"/>
    </row>
    <row r="119" ht="13" customHeight="1" s="189">
      <c r="A119" s="289" t="n"/>
      <c r="B119" s="290" t="n"/>
      <c r="C119" s="290" t="n"/>
      <c r="D119" s="291" t="n"/>
      <c r="E119" s="291" t="n"/>
      <c r="F119" s="291" t="n"/>
      <c r="G119" s="293" t="n"/>
      <c r="H119" s="293" t="n"/>
      <c r="I119" s="293" t="n"/>
      <c r="J119" s="293" t="n"/>
    </row>
    <row r="120" ht="13" customHeight="1" s="189">
      <c r="A120" s="289" t="n"/>
      <c r="B120" s="290" t="n"/>
      <c r="C120" s="290" t="n"/>
      <c r="D120" s="291" t="n"/>
      <c r="E120" s="291" t="n"/>
      <c r="F120" s="291" t="n"/>
      <c r="G120" s="293" t="n"/>
      <c r="H120" s="293" t="n"/>
      <c r="I120" s="293" t="n"/>
      <c r="J120" s="293" t="n"/>
    </row>
    <row r="121" ht="13" customHeight="1" s="189">
      <c r="A121" s="289" t="n"/>
      <c r="B121" s="290" t="n"/>
      <c r="C121" s="290" t="n"/>
      <c r="D121" s="291" t="n"/>
      <c r="E121" s="291" t="n"/>
      <c r="F121" s="291" t="n"/>
      <c r="G121" s="293" t="n"/>
      <c r="H121" s="293" t="n"/>
      <c r="I121" s="293" t="n"/>
      <c r="J121" s="293" t="n"/>
    </row>
    <row r="122" ht="13" customHeight="1" s="189">
      <c r="A122" s="289" t="n"/>
      <c r="B122" s="290" t="n"/>
      <c r="C122" s="290" t="n"/>
      <c r="D122" s="291" t="n"/>
      <c r="E122" s="291" t="n"/>
      <c r="F122" s="291" t="n"/>
      <c r="G122" s="293" t="n"/>
      <c r="H122" s="293" t="n"/>
      <c r="I122" s="293" t="n"/>
      <c r="J122" s="293" t="n"/>
    </row>
    <row r="123" ht="13" customHeight="1" s="189">
      <c r="A123" s="289" t="n"/>
      <c r="B123" s="290" t="n"/>
      <c r="C123" s="290" t="n"/>
      <c r="D123" s="291" t="n"/>
      <c r="E123" s="291" t="n"/>
      <c r="F123" s="291" t="n"/>
      <c r="G123" s="293" t="n"/>
      <c r="H123" s="293" t="n"/>
      <c r="I123" s="293" t="n"/>
      <c r="J123" s="293" t="n"/>
    </row>
    <row r="124" ht="13" customHeight="1" s="189">
      <c r="A124" s="289" t="n"/>
      <c r="B124" s="290" t="n"/>
      <c r="C124" s="290" t="n"/>
      <c r="D124" s="291" t="n"/>
      <c r="E124" s="291" t="n"/>
      <c r="F124" s="291" t="n"/>
      <c r="G124" s="293" t="n"/>
      <c r="H124" s="293" t="n"/>
      <c r="I124" s="293" t="n"/>
      <c r="J124" s="293" t="n"/>
    </row>
    <row r="125" ht="13" customHeight="1" s="189">
      <c r="A125" s="289" t="n"/>
      <c r="B125" s="290" t="n"/>
      <c r="C125" s="290" t="n"/>
      <c r="D125" s="291" t="n"/>
      <c r="E125" s="291" t="n"/>
      <c r="F125" s="291" t="n"/>
      <c r="G125" s="293" t="n"/>
      <c r="H125" s="293" t="n"/>
      <c r="I125" s="293" t="n"/>
      <c r="J125" s="293" t="n"/>
    </row>
    <row r="126" ht="13" customHeight="1" s="189">
      <c r="A126" s="289" t="n"/>
      <c r="B126" s="290" t="n"/>
      <c r="C126" s="290" t="n"/>
      <c r="D126" s="291" t="n"/>
      <c r="E126" s="291" t="n"/>
      <c r="F126" s="291" t="n"/>
      <c r="G126" s="293" t="n"/>
      <c r="H126" s="293" t="n"/>
      <c r="I126" s="293" t="n"/>
      <c r="J126" s="293" t="n"/>
    </row>
    <row r="127" ht="13" customHeight="1" s="189">
      <c r="A127" s="289" t="n"/>
      <c r="B127" s="290" t="n"/>
      <c r="C127" s="290" t="n"/>
      <c r="D127" s="291" t="n"/>
      <c r="E127" s="291" t="n"/>
      <c r="F127" s="291" t="n"/>
      <c r="G127" s="293" t="n"/>
      <c r="H127" s="293" t="n"/>
      <c r="I127" s="293" t="n"/>
      <c r="J127" s="293" t="n"/>
    </row>
    <row r="128" ht="13" customHeight="1" s="189">
      <c r="A128" s="289" t="n"/>
      <c r="B128" s="290" t="n"/>
      <c r="C128" s="290" t="n"/>
      <c r="D128" s="291" t="n"/>
      <c r="E128" s="291" t="n"/>
      <c r="F128" s="291" t="n"/>
      <c r="G128" s="293" t="n"/>
      <c r="H128" s="293" t="n"/>
      <c r="I128" s="293" t="n"/>
      <c r="J128" s="293" t="n"/>
    </row>
    <row r="129" ht="13" customHeight="1" s="189">
      <c r="A129" s="289" t="n"/>
      <c r="B129" s="290" t="n"/>
      <c r="C129" s="290" t="n"/>
      <c r="D129" s="291" t="n"/>
      <c r="E129" s="291" t="n"/>
      <c r="F129" s="291" t="n"/>
      <c r="G129" s="293" t="n"/>
      <c r="H129" s="293" t="n"/>
      <c r="I129" s="293" t="n"/>
      <c r="J129" s="293" t="n"/>
    </row>
    <row r="130" ht="13" customHeight="1" s="189">
      <c r="A130" s="289" t="n"/>
      <c r="B130" s="290" t="n"/>
      <c r="C130" s="290" t="n"/>
      <c r="D130" s="291" t="n"/>
      <c r="E130" s="291" t="n"/>
      <c r="F130" s="291" t="n"/>
      <c r="G130" s="293" t="n"/>
      <c r="H130" s="293" t="n"/>
      <c r="I130" s="293" t="n"/>
      <c r="J130" s="293" t="n"/>
    </row>
    <row r="131" ht="13" customHeight="1" s="189">
      <c r="A131" s="289" t="n"/>
      <c r="B131" s="290" t="n"/>
      <c r="C131" s="290" t="n"/>
      <c r="D131" s="291" t="n"/>
      <c r="E131" s="291" t="n"/>
      <c r="F131" s="291" t="n"/>
      <c r="G131" s="293" t="n"/>
      <c r="H131" s="293" t="n"/>
      <c r="I131" s="293" t="n"/>
      <c r="J131" s="293" t="n"/>
    </row>
    <row r="132" ht="13" customHeight="1" s="189">
      <c r="A132" s="289" t="n"/>
      <c r="B132" s="290" t="n"/>
      <c r="C132" s="290" t="n"/>
      <c r="D132" s="291" t="n"/>
      <c r="E132" s="291" t="n"/>
      <c r="F132" s="291" t="n"/>
      <c r="G132" s="293" t="n"/>
      <c r="H132" s="293" t="n"/>
      <c r="I132" s="293" t="n"/>
      <c r="J132" s="293" t="n"/>
    </row>
    <row r="133" ht="13" customHeight="1" s="189">
      <c r="A133" s="289" t="n"/>
      <c r="B133" s="290" t="n"/>
      <c r="C133" s="290" t="n"/>
      <c r="D133" s="291" t="n"/>
      <c r="E133" s="291" t="n"/>
      <c r="F133" s="291" t="n"/>
      <c r="G133" s="293" t="n"/>
      <c r="H133" s="293" t="n"/>
      <c r="I133" s="293" t="n"/>
      <c r="J133" s="293" t="n"/>
    </row>
    <row r="134" ht="13" customHeight="1" s="189">
      <c r="A134" s="289" t="n"/>
      <c r="B134" s="290" t="n"/>
      <c r="C134" s="290" t="n"/>
      <c r="D134" s="291" t="n"/>
      <c r="E134" s="291" t="n"/>
      <c r="F134" s="291" t="n"/>
      <c r="G134" s="293" t="n"/>
      <c r="H134" s="293" t="n"/>
      <c r="I134" s="293" t="n"/>
      <c r="J134" s="293" t="n"/>
    </row>
    <row r="135" ht="13" customHeight="1" s="189">
      <c r="A135" s="289" t="n"/>
      <c r="B135" s="290" t="n"/>
      <c r="C135" s="290" t="n"/>
      <c r="D135" s="291" t="n"/>
      <c r="E135" s="291" t="n"/>
      <c r="F135" s="291" t="n"/>
      <c r="G135" s="293" t="n"/>
      <c r="H135" s="293" t="n"/>
      <c r="I135" s="293" t="n"/>
      <c r="J135" s="293" t="n"/>
    </row>
    <row r="136" ht="13" customHeight="1" s="189">
      <c r="A136" s="289" t="n"/>
      <c r="B136" s="290" t="n"/>
      <c r="C136" s="290" t="n"/>
      <c r="D136" s="291" t="n"/>
      <c r="E136" s="291" t="n"/>
      <c r="F136" s="291" t="n"/>
      <c r="G136" s="293" t="n"/>
      <c r="H136" s="293" t="n"/>
      <c r="I136" s="293" t="n"/>
      <c r="J136" s="293" t="n"/>
    </row>
    <row r="137" ht="13" customHeight="1" s="189">
      <c r="A137" s="289" t="n"/>
      <c r="B137" s="290" t="n"/>
      <c r="C137" s="290" t="n"/>
      <c r="D137" s="291" t="n"/>
      <c r="E137" s="291" t="n"/>
      <c r="F137" s="291" t="n"/>
      <c r="G137" s="293" t="n"/>
      <c r="H137" s="293" t="n"/>
      <c r="I137" s="293" t="n"/>
      <c r="J137" s="293" t="n"/>
    </row>
    <row r="138" ht="13" customHeight="1" s="189">
      <c r="A138" s="289" t="n"/>
      <c r="B138" s="290" t="n"/>
      <c r="C138" s="290" t="n"/>
      <c r="D138" s="291" t="n"/>
      <c r="E138" s="291" t="n"/>
      <c r="F138" s="291" t="n"/>
      <c r="G138" s="293" t="n"/>
      <c r="H138" s="293" t="n"/>
      <c r="I138" s="293" t="n"/>
      <c r="J138" s="293" t="n"/>
    </row>
    <row r="139" ht="13" customHeight="1" s="189">
      <c r="A139" s="289" t="n"/>
      <c r="B139" s="290" t="n"/>
      <c r="C139" s="290" t="n"/>
      <c r="D139" s="291" t="n"/>
      <c r="E139" s="291" t="n"/>
      <c r="F139" s="291" t="n"/>
      <c r="G139" s="293" t="n"/>
      <c r="H139" s="293" t="n"/>
      <c r="I139" s="293" t="n"/>
      <c r="J139" s="293" t="n"/>
    </row>
    <row r="140" ht="13" customHeight="1" s="189">
      <c r="A140" s="289" t="n"/>
      <c r="B140" s="290" t="n"/>
      <c r="C140" s="290" t="n"/>
      <c r="D140" s="291" t="n"/>
      <c r="E140" s="291" t="n"/>
      <c r="F140" s="291" t="n"/>
      <c r="G140" s="293" t="n"/>
      <c r="H140" s="293" t="n"/>
      <c r="I140" s="293" t="n"/>
      <c r="J140" s="293" t="n"/>
    </row>
    <row r="141" ht="13" customHeight="1" s="189">
      <c r="A141" s="289" t="n"/>
      <c r="B141" s="290" t="n"/>
      <c r="C141" s="290" t="n"/>
      <c r="D141" s="291" t="n"/>
      <c r="E141" s="291" t="n"/>
      <c r="F141" s="291" t="n"/>
      <c r="G141" s="293" t="n"/>
      <c r="H141" s="293" t="n"/>
      <c r="I141" s="293" t="n"/>
      <c r="J141" s="293" t="n"/>
    </row>
    <row r="142" ht="13" customHeight="1" s="189">
      <c r="A142" s="289" t="n"/>
      <c r="B142" s="290" t="n"/>
      <c r="C142" s="290" t="n"/>
      <c r="D142" s="291" t="n"/>
      <c r="E142" s="291" t="n"/>
      <c r="F142" s="291" t="n"/>
      <c r="G142" s="293" t="n"/>
      <c r="H142" s="293" t="n"/>
      <c r="I142" s="293" t="n"/>
      <c r="J142" s="293" t="n"/>
    </row>
    <row r="143" ht="13" customHeight="1" s="189">
      <c r="A143" s="289" t="n"/>
      <c r="B143" s="290" t="n"/>
      <c r="C143" s="290" t="n"/>
      <c r="D143" s="291" t="n"/>
      <c r="E143" s="291" t="n"/>
      <c r="F143" s="291" t="n"/>
      <c r="G143" s="293" t="n"/>
      <c r="H143" s="293" t="n"/>
      <c r="I143" s="293" t="n"/>
      <c r="J143" s="293" t="n"/>
    </row>
    <row r="144" ht="13" customHeight="1" s="189">
      <c r="A144" s="289" t="n"/>
      <c r="B144" s="290" t="n"/>
      <c r="C144" s="290" t="n"/>
      <c r="D144" s="291" t="n"/>
      <c r="E144" s="291" t="n"/>
      <c r="F144" s="291" t="n"/>
      <c r="G144" s="293" t="n"/>
      <c r="H144" s="293" t="n"/>
      <c r="I144" s="293" t="n"/>
      <c r="J144" s="293" t="n"/>
    </row>
    <row r="145" ht="13" customHeight="1" s="189">
      <c r="A145" s="289" t="n"/>
      <c r="B145" s="290" t="n"/>
      <c r="C145" s="290" t="n"/>
      <c r="D145" s="291" t="n"/>
      <c r="E145" s="291" t="n"/>
      <c r="F145" s="291" t="n"/>
      <c r="G145" s="293" t="n"/>
      <c r="H145" s="293" t="n"/>
      <c r="I145" s="293" t="n"/>
      <c r="J145" s="293" t="n"/>
    </row>
    <row r="146" ht="13" customHeight="1" s="189">
      <c r="A146" s="289" t="n"/>
      <c r="B146" s="290" t="n"/>
      <c r="C146" s="290" t="n"/>
      <c r="D146" s="291" t="n"/>
      <c r="E146" s="291" t="n"/>
      <c r="F146" s="291" t="n"/>
      <c r="G146" s="293" t="n"/>
      <c r="H146" s="293" t="n"/>
      <c r="I146" s="293" t="n"/>
      <c r="J146" s="293" t="n"/>
    </row>
    <row r="147" ht="13" customHeight="1" s="189">
      <c r="A147" s="289" t="n"/>
      <c r="B147" s="290" t="n"/>
      <c r="C147" s="290" t="n"/>
      <c r="D147" s="291" t="n"/>
      <c r="E147" s="291" t="n"/>
      <c r="F147" s="291" t="n"/>
      <c r="G147" s="293" t="n"/>
      <c r="H147" s="293" t="n"/>
      <c r="I147" s="293" t="n"/>
      <c r="J147" s="293" t="n"/>
    </row>
    <row r="148" ht="13" customHeight="1" s="189">
      <c r="A148" s="289" t="n"/>
      <c r="B148" s="290" t="n"/>
      <c r="C148" s="290" t="n"/>
      <c r="D148" s="291" t="n"/>
      <c r="E148" s="291" t="n"/>
      <c r="F148" s="291" t="n"/>
      <c r="G148" s="293" t="n"/>
      <c r="H148" s="293" t="n"/>
      <c r="I148" s="293" t="n"/>
      <c r="J148" s="293" t="n"/>
    </row>
    <row r="149" ht="13" customHeight="1" s="189">
      <c r="A149" s="289" t="n"/>
      <c r="B149" s="290" t="n"/>
      <c r="C149" s="290" t="n"/>
      <c r="D149" s="291" t="n"/>
      <c r="E149" s="291" t="n"/>
      <c r="F149" s="291" t="n"/>
      <c r="G149" s="293" t="n"/>
      <c r="H149" s="293" t="n"/>
      <c r="I149" s="293" t="n"/>
      <c r="J149" s="293" t="n"/>
    </row>
    <row r="150" ht="13" customHeight="1" s="189">
      <c r="A150" s="289" t="n"/>
      <c r="B150" s="290" t="n"/>
      <c r="C150" s="290" t="n"/>
      <c r="D150" s="291" t="n"/>
      <c r="E150" s="291" t="n"/>
      <c r="F150" s="291" t="n"/>
      <c r="G150" s="293" t="n"/>
      <c r="H150" s="293" t="n"/>
      <c r="I150" s="293" t="n"/>
      <c r="J150" s="293" t="n"/>
    </row>
    <row r="151" ht="13" customHeight="1" s="189">
      <c r="A151" s="289" t="n"/>
      <c r="B151" s="290" t="n"/>
      <c r="C151" s="290" t="n"/>
      <c r="D151" s="291" t="n"/>
      <c r="E151" s="291" t="n"/>
      <c r="F151" s="291" t="n"/>
      <c r="G151" s="293" t="n"/>
      <c r="H151" s="293" t="n"/>
      <c r="I151" s="293" t="n"/>
      <c r="J151" s="293" t="n"/>
    </row>
    <row r="152" ht="13" customHeight="1" s="189">
      <c r="A152" s="289" t="n"/>
      <c r="B152" s="290" t="n"/>
      <c r="C152" s="290" t="n"/>
      <c r="D152" s="291" t="n"/>
      <c r="E152" s="291" t="n"/>
      <c r="F152" s="291" t="n"/>
      <c r="G152" s="293" t="n"/>
      <c r="H152" s="293" t="n"/>
      <c r="I152" s="293" t="n"/>
      <c r="J152" s="293" t="n"/>
    </row>
    <row r="153" ht="13" customHeight="1" s="189">
      <c r="A153" s="289" t="n"/>
      <c r="B153" s="290" t="n"/>
      <c r="C153" s="290" t="n"/>
      <c r="D153" s="291" t="n"/>
      <c r="E153" s="291" t="n"/>
      <c r="F153" s="291" t="n"/>
      <c r="G153" s="293" t="n"/>
      <c r="H153" s="293" t="n"/>
      <c r="I153" s="293" t="n"/>
      <c r="J153" s="293" t="n"/>
    </row>
    <row r="154" ht="13" customHeight="1" s="189">
      <c r="A154" s="289" t="n"/>
      <c r="B154" s="290" t="n"/>
      <c r="C154" s="290" t="n"/>
      <c r="D154" s="291" t="n"/>
      <c r="E154" s="291" t="n"/>
      <c r="F154" s="291" t="n"/>
      <c r="G154" s="293" t="n"/>
      <c r="H154" s="293" t="n"/>
      <c r="I154" s="293" t="n"/>
      <c r="J154" s="293" t="n"/>
    </row>
    <row r="155" ht="13" customHeight="1" s="189">
      <c r="A155" s="289" t="n"/>
      <c r="B155" s="290" t="n"/>
      <c r="C155" s="290" t="n"/>
      <c r="D155" s="291" t="n"/>
      <c r="E155" s="291" t="n"/>
      <c r="F155" s="291" t="n"/>
      <c r="G155" s="293" t="n"/>
      <c r="H155" s="293" t="n"/>
      <c r="I155" s="293" t="n"/>
      <c r="J155" s="293" t="n"/>
    </row>
    <row r="156" ht="13" customHeight="1" s="189">
      <c r="A156" s="289" t="n"/>
      <c r="B156" s="290" t="n"/>
      <c r="C156" s="290" t="n"/>
      <c r="D156" s="291" t="n"/>
      <c r="E156" s="291" t="n"/>
      <c r="F156" s="291" t="n"/>
      <c r="G156" s="293" t="n"/>
      <c r="H156" s="293" t="n"/>
      <c r="I156" s="293" t="n"/>
      <c r="J156" s="293" t="n"/>
    </row>
    <row r="157" ht="13" customHeight="1" s="189">
      <c r="A157" s="289" t="n"/>
      <c r="B157" s="290" t="n"/>
      <c r="C157" s="290" t="n"/>
      <c r="D157" s="291" t="n"/>
      <c r="E157" s="291" t="n"/>
      <c r="F157" s="291" t="n"/>
      <c r="G157" s="293" t="n"/>
      <c r="H157" s="293" t="n"/>
      <c r="I157" s="293" t="n"/>
      <c r="J157" s="293" t="n"/>
    </row>
    <row r="158" ht="13" customHeight="1" s="189">
      <c r="A158" s="289" t="n"/>
      <c r="B158" s="290" t="n"/>
      <c r="C158" s="290" t="n"/>
      <c r="D158" s="291" t="n"/>
      <c r="E158" s="291" t="n"/>
      <c r="F158" s="291" t="n"/>
      <c r="G158" s="293" t="n"/>
      <c r="H158" s="293" t="n"/>
      <c r="I158" s="293" t="n"/>
      <c r="J158" s="293" t="n"/>
    </row>
    <row r="159" ht="13" customHeight="1" s="189">
      <c r="A159" s="289" t="n"/>
      <c r="B159" s="290" t="n"/>
      <c r="C159" s="290" t="n"/>
      <c r="D159" s="291" t="n"/>
      <c r="E159" s="291" t="n"/>
      <c r="F159" s="291" t="n"/>
      <c r="G159" s="293" t="n"/>
      <c r="H159" s="293" t="n"/>
      <c r="I159" s="293" t="n"/>
      <c r="J159" s="293" t="n"/>
    </row>
    <row r="160" ht="13" customHeight="1" s="189">
      <c r="A160" s="289" t="n"/>
      <c r="B160" s="290" t="n"/>
      <c r="C160" s="290" t="n"/>
      <c r="D160" s="291" t="n"/>
      <c r="E160" s="291" t="n"/>
      <c r="F160" s="291" t="n"/>
      <c r="G160" s="293" t="n"/>
      <c r="H160" s="293" t="n"/>
      <c r="I160" s="293" t="n"/>
      <c r="J160" s="293" t="n"/>
    </row>
    <row r="161" ht="13" customHeight="1" s="189">
      <c r="A161" s="289" t="n"/>
      <c r="B161" s="290" t="n"/>
      <c r="C161" s="290" t="n"/>
      <c r="D161" s="291" t="n"/>
      <c r="E161" s="291" t="n"/>
      <c r="F161" s="291" t="n"/>
      <c r="G161" s="293" t="n"/>
      <c r="H161" s="293" t="n"/>
      <c r="I161" s="293" t="n"/>
      <c r="J161" s="293" t="n"/>
    </row>
    <row r="162" ht="13" customHeight="1" s="189">
      <c r="A162" s="289" t="n"/>
      <c r="B162" s="290" t="n"/>
      <c r="C162" s="290" t="n"/>
      <c r="D162" s="291" t="n"/>
      <c r="E162" s="291" t="n"/>
      <c r="F162" s="291" t="n"/>
      <c r="G162" s="293" t="n"/>
      <c r="H162" s="293" t="n"/>
      <c r="I162" s="293" t="n"/>
      <c r="J162" s="293" t="n"/>
    </row>
    <row r="163" ht="13" customHeight="1" s="189">
      <c r="A163" s="289" t="n"/>
      <c r="B163" s="290" t="n"/>
      <c r="C163" s="290" t="n"/>
      <c r="D163" s="291" t="n"/>
      <c r="E163" s="291" t="n"/>
      <c r="F163" s="291" t="n"/>
      <c r="G163" s="293" t="n"/>
      <c r="H163" s="293" t="n"/>
      <c r="I163" s="293" t="n"/>
      <c r="J163" s="293" t="n"/>
    </row>
    <row r="164" ht="13" customHeight="1" s="189">
      <c r="A164" s="289" t="n"/>
      <c r="B164" s="290" t="n"/>
      <c r="C164" s="290" t="n"/>
      <c r="D164" s="291" t="n"/>
      <c r="E164" s="291" t="n"/>
      <c r="F164" s="291" t="n"/>
      <c r="G164" s="293" t="n"/>
      <c r="H164" s="293" t="n"/>
      <c r="I164" s="293" t="n"/>
      <c r="J164" s="293" t="n"/>
    </row>
    <row r="165" ht="13" customHeight="1" s="189">
      <c r="A165" s="289" t="n"/>
      <c r="B165" s="290" t="n"/>
      <c r="C165" s="290" t="n"/>
      <c r="D165" s="291" t="n"/>
      <c r="E165" s="291" t="n"/>
      <c r="F165" s="291" t="n"/>
      <c r="G165" s="293" t="n"/>
      <c r="H165" s="293" t="n"/>
      <c r="I165" s="293" t="n"/>
      <c r="J165" s="293" t="n"/>
    </row>
    <row r="166" ht="13" customHeight="1" s="189">
      <c r="A166" s="289" t="n"/>
      <c r="B166" s="290" t="n"/>
      <c r="C166" s="290" t="n"/>
      <c r="D166" s="291" t="n"/>
      <c r="E166" s="291" t="n"/>
      <c r="F166" s="291" t="n"/>
      <c r="G166" s="293" t="n"/>
      <c r="H166" s="293" t="n"/>
      <c r="I166" s="293" t="n"/>
      <c r="J166" s="293" t="n"/>
    </row>
    <row r="167" ht="13" customHeight="1" s="189">
      <c r="A167" s="289" t="n"/>
      <c r="B167" s="290" t="n"/>
      <c r="C167" s="290" t="n"/>
      <c r="D167" s="291" t="n"/>
      <c r="E167" s="291" t="n"/>
      <c r="F167" s="291" t="n"/>
      <c r="G167" s="293" t="n"/>
      <c r="H167" s="293" t="n"/>
      <c r="I167" s="293" t="n"/>
      <c r="J167" s="293" t="n"/>
    </row>
    <row r="168" ht="13" customHeight="1" s="189">
      <c r="A168" s="289" t="n"/>
      <c r="B168" s="290" t="n"/>
      <c r="C168" s="290" t="n"/>
      <c r="D168" s="291" t="n"/>
      <c r="E168" s="291" t="n"/>
      <c r="F168" s="291" t="n"/>
      <c r="G168" s="293" t="n"/>
      <c r="H168" s="293" t="n"/>
      <c r="I168" s="293" t="n"/>
      <c r="J168" s="293" t="n"/>
    </row>
    <row r="169" ht="13" customHeight="1" s="189">
      <c r="A169" s="289" t="n"/>
      <c r="B169" s="290" t="n"/>
      <c r="C169" s="290" t="n"/>
      <c r="D169" s="291" t="n"/>
      <c r="E169" s="291" t="n"/>
      <c r="F169" s="291" t="n"/>
      <c r="G169" s="293" t="n"/>
      <c r="H169" s="293" t="n"/>
      <c r="I169" s="293" t="n"/>
      <c r="J169" s="293" t="n"/>
    </row>
    <row r="170" ht="13" customHeight="1" s="189">
      <c r="A170" s="289" t="n"/>
      <c r="B170" s="290" t="n"/>
      <c r="C170" s="290" t="n"/>
      <c r="D170" s="291" t="n"/>
      <c r="E170" s="291" t="n"/>
      <c r="F170" s="291" t="n"/>
      <c r="G170" s="293" t="n"/>
      <c r="H170" s="293" t="n"/>
      <c r="I170" s="293" t="n"/>
      <c r="J170" s="293" t="n"/>
    </row>
    <row r="171" ht="13" customHeight="1" s="189">
      <c r="A171" s="289" t="n"/>
      <c r="B171" s="290" t="n"/>
      <c r="C171" s="290" t="n"/>
      <c r="D171" s="291" t="n"/>
      <c r="E171" s="291" t="n"/>
      <c r="F171" s="291" t="n"/>
      <c r="G171" s="293" t="n"/>
      <c r="H171" s="293" t="n"/>
      <c r="I171" s="293" t="n"/>
      <c r="J171" s="293" t="n"/>
    </row>
    <row r="172" ht="13" customHeight="1" s="189">
      <c r="A172" s="289" t="n"/>
      <c r="B172" s="290" t="n"/>
      <c r="C172" s="290" t="n"/>
      <c r="D172" s="291" t="n"/>
      <c r="E172" s="291" t="n"/>
      <c r="F172" s="291" t="n"/>
      <c r="G172" s="293" t="n"/>
      <c r="H172" s="293" t="n"/>
      <c r="I172" s="293" t="n"/>
      <c r="J172" s="293" t="n"/>
    </row>
    <row r="173" ht="13" customHeight="1" s="189">
      <c r="A173" s="289" t="n"/>
      <c r="B173" s="290" t="n"/>
      <c r="C173" s="290" t="n"/>
      <c r="D173" s="291" t="n"/>
      <c r="E173" s="291" t="n"/>
      <c r="F173" s="291" t="n"/>
      <c r="G173" s="293" t="n"/>
      <c r="H173" s="293" t="n"/>
      <c r="I173" s="293" t="n"/>
      <c r="J173" s="293" t="n"/>
    </row>
    <row r="174" ht="13" customHeight="1" s="189">
      <c r="A174" s="289" t="n"/>
      <c r="B174" s="290" t="n"/>
      <c r="C174" s="290" t="n"/>
      <c r="D174" s="291" t="n"/>
      <c r="E174" s="291" t="n"/>
      <c r="F174" s="291" t="n"/>
      <c r="G174" s="293" t="n"/>
      <c r="H174" s="293" t="n"/>
      <c r="I174" s="293" t="n"/>
      <c r="J174" s="293" t="n"/>
    </row>
    <row r="175" ht="13" customHeight="1" s="189">
      <c r="A175" s="289" t="n"/>
      <c r="B175" s="290" t="n"/>
      <c r="C175" s="290" t="n"/>
      <c r="D175" s="291" t="n"/>
      <c r="E175" s="291" t="n"/>
      <c r="F175" s="291" t="n"/>
      <c r="G175" s="293" t="n"/>
      <c r="H175" s="293" t="n"/>
      <c r="I175" s="293" t="n"/>
      <c r="J175" s="293" t="n"/>
    </row>
    <row r="176" ht="13" customHeight="1" s="189">
      <c r="A176" s="289" t="n"/>
      <c r="B176" s="290" t="n"/>
      <c r="C176" s="290" t="n"/>
      <c r="D176" s="291" t="n"/>
      <c r="E176" s="291" t="n"/>
      <c r="F176" s="291" t="n"/>
      <c r="G176" s="293" t="n"/>
      <c r="H176" s="293" t="n"/>
      <c r="I176" s="293" t="n"/>
      <c r="J176" s="293" t="n"/>
    </row>
    <row r="177" ht="13" customHeight="1" s="189">
      <c r="A177" s="289" t="n"/>
      <c r="B177" s="290" t="n"/>
      <c r="C177" s="290" t="n"/>
      <c r="D177" s="291" t="n"/>
      <c r="E177" s="291" t="n"/>
      <c r="F177" s="291" t="n"/>
      <c r="G177" s="293" t="n"/>
      <c r="H177" s="293" t="n"/>
      <c r="I177" s="293" t="n"/>
      <c r="J177" s="293" t="n"/>
    </row>
    <row r="178" ht="13" customHeight="1" s="189">
      <c r="A178" s="289" t="n"/>
      <c r="B178" s="290" t="n"/>
      <c r="C178" s="290" t="n"/>
      <c r="D178" s="291" t="n"/>
      <c r="E178" s="291" t="n"/>
      <c r="F178" s="291" t="n"/>
      <c r="G178" s="293" t="n"/>
      <c r="H178" s="293" t="n"/>
      <c r="I178" s="293" t="n"/>
      <c r="J178" s="293" t="n"/>
    </row>
    <row r="179" ht="13" customHeight="1" s="189">
      <c r="A179" s="289" t="n"/>
      <c r="B179" s="290" t="n"/>
      <c r="C179" s="290" t="n"/>
      <c r="D179" s="291" t="n"/>
      <c r="E179" s="291" t="n"/>
      <c r="F179" s="291" t="n"/>
      <c r="G179" s="293" t="n"/>
      <c r="H179" s="293" t="n"/>
      <c r="I179" s="293" t="n"/>
      <c r="J179" s="293" t="n"/>
    </row>
    <row r="180" ht="13" customHeight="1" s="189">
      <c r="A180" s="289" t="n"/>
      <c r="B180" s="290" t="n"/>
      <c r="C180" s="290" t="n"/>
      <c r="D180" s="291" t="n"/>
      <c r="E180" s="291" t="n"/>
      <c r="F180" s="291" t="n"/>
      <c r="G180" s="293" t="n"/>
      <c r="H180" s="293" t="n"/>
      <c r="I180" s="293" t="n"/>
      <c r="J180" s="293" t="n"/>
    </row>
    <row r="181" ht="13" customHeight="1" s="189">
      <c r="A181" s="289" t="n"/>
      <c r="B181" s="290" t="n"/>
      <c r="C181" s="290" t="n"/>
      <c r="D181" s="291" t="n"/>
      <c r="E181" s="291" t="n"/>
      <c r="F181" s="291" t="n"/>
      <c r="G181" s="293" t="n"/>
      <c r="H181" s="293" t="n"/>
      <c r="I181" s="293" t="n"/>
      <c r="J181" s="293" t="n"/>
    </row>
    <row r="182" ht="13" customHeight="1" s="189">
      <c r="A182" s="289" t="n"/>
      <c r="B182" s="290" t="n"/>
      <c r="C182" s="290" t="n"/>
      <c r="D182" s="291" t="n"/>
      <c r="E182" s="291" t="n"/>
      <c r="F182" s="291" t="n"/>
      <c r="G182" s="293" t="n"/>
      <c r="H182" s="293" t="n"/>
      <c r="I182" s="293" t="n"/>
      <c r="J182" s="293" t="n"/>
    </row>
    <row r="183" ht="13" customHeight="1" s="189">
      <c r="A183" s="289" t="n"/>
      <c r="B183" s="290" t="n"/>
      <c r="C183" s="290" t="n"/>
      <c r="D183" s="291" t="n"/>
      <c r="E183" s="291" t="n"/>
      <c r="F183" s="291" t="n"/>
      <c r="G183" s="293" t="n"/>
      <c r="H183" s="293" t="n"/>
      <c r="I183" s="293" t="n"/>
      <c r="J183" s="293" t="n"/>
    </row>
    <row r="184" ht="13" customHeight="1" s="189">
      <c r="A184" s="289" t="n"/>
      <c r="B184" s="290" t="n"/>
      <c r="C184" s="290" t="n"/>
      <c r="D184" s="291" t="n"/>
      <c r="E184" s="291" t="n"/>
      <c r="F184" s="291" t="n"/>
      <c r="G184" s="293" t="n"/>
      <c r="H184" s="293" t="n"/>
      <c r="I184" s="293" t="n"/>
      <c r="J184" s="293" t="n"/>
    </row>
    <row r="185" ht="13" customHeight="1" s="189">
      <c r="A185" s="289" t="n"/>
      <c r="B185" s="290" t="n"/>
      <c r="C185" s="290" t="n"/>
      <c r="D185" s="291" t="n"/>
      <c r="E185" s="291" t="n"/>
      <c r="F185" s="291" t="n"/>
      <c r="G185" s="293" t="n"/>
      <c r="H185" s="293" t="n"/>
      <c r="I185" s="293" t="n"/>
      <c r="J185" s="293" t="n"/>
    </row>
    <row r="186" ht="13" customHeight="1" s="189">
      <c r="A186" s="289" t="n"/>
      <c r="B186" s="290" t="n"/>
      <c r="C186" s="290" t="n"/>
      <c r="D186" s="291" t="n"/>
      <c r="E186" s="291" t="n"/>
      <c r="F186" s="291" t="n"/>
      <c r="G186" s="293" t="n"/>
      <c r="H186" s="293" t="n"/>
      <c r="I186" s="293" t="n"/>
      <c r="J186" s="293" t="n"/>
    </row>
    <row r="187" ht="13" customHeight="1" s="189">
      <c r="A187" s="289" t="n"/>
      <c r="B187" s="290" t="n"/>
      <c r="C187" s="290" t="n"/>
      <c r="D187" s="291" t="n"/>
      <c r="E187" s="291" t="n"/>
      <c r="F187" s="291" t="n"/>
      <c r="G187" s="293" t="n"/>
      <c r="H187" s="293" t="n"/>
      <c r="I187" s="293" t="n"/>
      <c r="J187" s="293" t="n"/>
    </row>
    <row r="188" ht="13" customHeight="1" s="189">
      <c r="A188" s="289" t="n"/>
      <c r="B188" s="290" t="n"/>
      <c r="C188" s="290" t="n"/>
      <c r="D188" s="291" t="n"/>
      <c r="E188" s="291" t="n"/>
      <c r="F188" s="291" t="n"/>
      <c r="G188" s="293" t="n"/>
      <c r="H188" s="293" t="n"/>
      <c r="I188" s="293" t="n"/>
      <c r="J188" s="293" t="n"/>
    </row>
    <row r="189" ht="13" customHeight="1" s="189">
      <c r="A189" s="289" t="n"/>
      <c r="B189" s="290" t="n"/>
      <c r="C189" s="290" t="n"/>
      <c r="D189" s="291" t="n"/>
      <c r="E189" s="291" t="n"/>
      <c r="F189" s="291" t="n"/>
      <c r="G189" s="293" t="n"/>
      <c r="H189" s="293" t="n"/>
      <c r="I189" s="293" t="n"/>
      <c r="J189" s="293" t="n"/>
    </row>
    <row r="190" ht="13" customHeight="1" s="189">
      <c r="A190" s="289" t="n"/>
      <c r="B190" s="290" t="n"/>
      <c r="C190" s="290" t="n"/>
      <c r="D190" s="291" t="n"/>
      <c r="E190" s="291" t="n"/>
      <c r="F190" s="291" t="n"/>
      <c r="G190" s="293" t="n"/>
      <c r="H190" s="293" t="n"/>
      <c r="I190" s="293" t="n"/>
      <c r="J190" s="293" t="n"/>
    </row>
    <row r="191" ht="13" customHeight="1" s="189">
      <c r="A191" s="289" t="n"/>
      <c r="B191" s="290" t="n"/>
      <c r="C191" s="290" t="n"/>
      <c r="D191" s="291" t="n"/>
      <c r="E191" s="291" t="n"/>
      <c r="F191" s="291" t="n"/>
      <c r="G191" s="293" t="n"/>
      <c r="H191" s="293" t="n"/>
      <c r="I191" s="293" t="n"/>
      <c r="J191" s="293" t="n"/>
    </row>
    <row r="192" ht="13" customHeight="1" s="189">
      <c r="A192" s="289" t="n"/>
      <c r="B192" s="290" t="n"/>
      <c r="C192" s="290" t="n"/>
      <c r="D192" s="291" t="n"/>
      <c r="E192" s="291" t="n"/>
      <c r="F192" s="291" t="n"/>
      <c r="G192" s="293" t="n"/>
      <c r="H192" s="293" t="n"/>
      <c r="I192" s="293" t="n"/>
      <c r="J192" s="293" t="n"/>
    </row>
    <row r="193" ht="13" customHeight="1" s="189">
      <c r="A193" s="289" t="n"/>
      <c r="B193" s="290" t="n"/>
      <c r="C193" s="290" t="n"/>
      <c r="D193" s="291" t="n"/>
      <c r="E193" s="291" t="n"/>
      <c r="F193" s="291" t="n"/>
      <c r="G193" s="293" t="n"/>
      <c r="H193" s="293" t="n"/>
      <c r="I193" s="293" t="n"/>
      <c r="J193" s="293" t="n"/>
    </row>
    <row r="194" ht="13" customHeight="1" s="189">
      <c r="A194" s="289" t="n"/>
      <c r="B194" s="290" t="n"/>
      <c r="C194" s="290" t="n"/>
      <c r="D194" s="291" t="n"/>
      <c r="E194" s="291" t="n"/>
      <c r="F194" s="291" t="n"/>
      <c r="G194" s="293" t="n"/>
      <c r="H194" s="293" t="n"/>
      <c r="I194" s="293" t="n"/>
      <c r="J194" s="293" t="n"/>
    </row>
    <row r="195" ht="13" customHeight="1" s="189">
      <c r="A195" s="289" t="n"/>
      <c r="B195" s="290" t="n"/>
      <c r="C195" s="290" t="n"/>
      <c r="D195" s="291" t="n"/>
      <c r="E195" s="291" t="n"/>
      <c r="F195" s="291" t="n"/>
      <c r="G195" s="293" t="n"/>
      <c r="H195" s="293" t="n"/>
      <c r="I195" s="293" t="n"/>
      <c r="J195" s="293" t="n"/>
    </row>
    <row r="196" ht="13" customHeight="1" s="189">
      <c r="A196" s="289" t="n"/>
      <c r="B196" s="290" t="n"/>
      <c r="C196" s="290" t="n"/>
      <c r="D196" s="291" t="n"/>
      <c r="E196" s="291" t="n"/>
      <c r="F196" s="291" t="n"/>
      <c r="G196" s="293" t="n"/>
      <c r="H196" s="293" t="n"/>
      <c r="I196" s="293" t="n"/>
      <c r="J196" s="293" t="n"/>
    </row>
    <row r="197" ht="13" customHeight="1" s="189">
      <c r="A197" s="289" t="n"/>
      <c r="B197" s="290" t="n"/>
      <c r="C197" s="290" t="n"/>
      <c r="D197" s="291" t="n"/>
      <c r="E197" s="291" t="n"/>
      <c r="F197" s="291" t="n"/>
      <c r="G197" s="293" t="n"/>
      <c r="H197" s="293" t="n"/>
      <c r="I197" s="293" t="n"/>
      <c r="J197" s="293" t="n"/>
    </row>
    <row r="198" ht="13" customHeight="1" s="189">
      <c r="A198" s="289" t="n"/>
      <c r="B198" s="290" t="n"/>
      <c r="C198" s="290" t="n"/>
      <c r="D198" s="291" t="n"/>
      <c r="E198" s="291" t="n"/>
      <c r="F198" s="291" t="n"/>
      <c r="G198" s="293" t="n"/>
      <c r="H198" s="293" t="n"/>
      <c r="I198" s="293" t="n"/>
      <c r="J198" s="293" t="n"/>
    </row>
    <row r="199" ht="13" customHeight="1" s="189">
      <c r="A199" s="289" t="n"/>
      <c r="B199" s="290" t="n"/>
      <c r="C199" s="290" t="n"/>
      <c r="D199" s="291" t="n"/>
      <c r="E199" s="291" t="n"/>
      <c r="F199" s="291" t="n"/>
      <c r="G199" s="293" t="n"/>
      <c r="H199" s="293" t="n"/>
      <c r="I199" s="293" t="n"/>
      <c r="J199" s="293" t="n"/>
    </row>
    <row r="200" ht="13" customHeight="1" s="189">
      <c r="A200" s="289" t="n"/>
      <c r="B200" s="290" t="n"/>
      <c r="C200" s="290" t="n"/>
      <c r="D200" s="291" t="n"/>
      <c r="E200" s="291" t="n"/>
      <c r="F200" s="291" t="n"/>
      <c r="G200" s="293" t="n"/>
      <c r="H200" s="293" t="n"/>
      <c r="I200" s="293" t="n"/>
      <c r="J200" s="293" t="n"/>
    </row>
    <row r="201" ht="13" customHeight="1" s="189">
      <c r="A201" s="289" t="n"/>
      <c r="B201" s="290" t="n"/>
      <c r="C201" s="290" t="n"/>
      <c r="D201" s="291" t="n"/>
      <c r="E201" s="291" t="n"/>
      <c r="F201" s="291" t="n"/>
      <c r="G201" s="293" t="n"/>
      <c r="H201" s="293" t="n"/>
      <c r="I201" s="293" t="n"/>
      <c r="J201" s="293" t="n"/>
    </row>
    <row r="202" ht="13" customHeight="1" s="189">
      <c r="A202" s="289" t="n"/>
      <c r="B202" s="290" t="n"/>
      <c r="C202" s="290" t="n"/>
      <c r="D202" s="291" t="n"/>
      <c r="E202" s="291" t="n"/>
      <c r="F202" s="291" t="n"/>
      <c r="G202" s="293" t="n"/>
      <c r="H202" s="293" t="n"/>
      <c r="I202" s="293" t="n"/>
      <c r="J202" s="293" t="n"/>
    </row>
    <row r="203" ht="13" customHeight="1" s="189">
      <c r="A203" s="289" t="n"/>
      <c r="B203" s="290" t="n"/>
      <c r="C203" s="290" t="n"/>
      <c r="D203" s="291" t="n"/>
      <c r="E203" s="291" t="n"/>
      <c r="F203" s="291" t="n"/>
      <c r="G203" s="293" t="n"/>
      <c r="H203" s="293" t="n"/>
      <c r="I203" s="293" t="n"/>
      <c r="J203" s="293" t="n"/>
    </row>
    <row r="204" ht="13" customHeight="1" s="189">
      <c r="A204" s="289" t="n"/>
      <c r="B204" s="290" t="n"/>
      <c r="C204" s="290" t="n"/>
      <c r="D204" s="291" t="n"/>
      <c r="E204" s="291" t="n"/>
      <c r="F204" s="291" t="n"/>
      <c r="G204" s="293" t="n"/>
      <c r="H204" s="293" t="n"/>
      <c r="I204" s="293" t="n"/>
      <c r="J204" s="293" t="n"/>
    </row>
    <row r="205" ht="13" customHeight="1" s="189">
      <c r="A205" s="289" t="n"/>
      <c r="B205" s="290" t="n"/>
      <c r="C205" s="290" t="n"/>
      <c r="D205" s="291" t="n"/>
      <c r="E205" s="291" t="n"/>
      <c r="F205" s="291" t="n"/>
      <c r="G205" s="293" t="n"/>
      <c r="H205" s="293" t="n"/>
      <c r="I205" s="293" t="n"/>
      <c r="J205" s="293" t="n"/>
    </row>
    <row r="206" ht="13" customHeight="1" s="189">
      <c r="A206" s="289" t="n"/>
      <c r="B206" s="290" t="n"/>
      <c r="C206" s="290" t="n"/>
      <c r="D206" s="291" t="n"/>
      <c r="E206" s="291" t="n"/>
      <c r="F206" s="291" t="n"/>
      <c r="G206" s="293" t="n"/>
      <c r="H206" s="293" t="n"/>
      <c r="I206" s="293" t="n"/>
      <c r="J206" s="293" t="n"/>
    </row>
    <row r="207" ht="13" customHeight="1" s="189">
      <c r="A207" s="289" t="n"/>
      <c r="B207" s="290" t="n"/>
      <c r="C207" s="290" t="n"/>
      <c r="D207" s="291" t="n"/>
      <c r="E207" s="291" t="n"/>
      <c r="F207" s="291" t="n"/>
      <c r="G207" s="293" t="n"/>
      <c r="H207" s="293" t="n"/>
      <c r="I207" s="293" t="n"/>
      <c r="J207" s="293" t="n"/>
    </row>
    <row r="208" ht="13" customHeight="1" s="189">
      <c r="A208" s="289" t="n"/>
      <c r="B208" s="290" t="n"/>
      <c r="C208" s="290" t="n"/>
      <c r="D208" s="291" t="n"/>
      <c r="E208" s="291" t="n"/>
      <c r="F208" s="291" t="n"/>
      <c r="G208" s="293" t="n"/>
      <c r="H208" s="293" t="n"/>
      <c r="I208" s="293" t="n"/>
      <c r="J208" s="293" t="n"/>
    </row>
    <row r="209" ht="13" customHeight="1" s="189">
      <c r="A209" s="289" t="n"/>
      <c r="B209" s="290" t="n"/>
      <c r="C209" s="290" t="n"/>
      <c r="D209" s="291" t="n"/>
      <c r="E209" s="291" t="n"/>
      <c r="F209" s="291" t="n"/>
      <c r="G209" s="293" t="n"/>
      <c r="H209" s="293" t="n"/>
      <c r="I209" s="293" t="n"/>
      <c r="J209" s="293" t="n"/>
    </row>
    <row r="210" ht="13" customHeight="1" s="189">
      <c r="A210" s="289" t="n"/>
      <c r="B210" s="290" t="n"/>
      <c r="C210" s="290" t="n"/>
      <c r="D210" s="291" t="n"/>
      <c r="E210" s="291" t="n"/>
      <c r="F210" s="291" t="n"/>
      <c r="G210" s="293" t="n"/>
      <c r="H210" s="293" t="n"/>
      <c r="I210" s="293" t="n"/>
      <c r="J210" s="293" t="n"/>
    </row>
    <row r="211" ht="13" customHeight="1" s="189">
      <c r="A211" s="289" t="n"/>
      <c r="B211" s="290" t="n"/>
      <c r="C211" s="290" t="n"/>
      <c r="D211" s="291" t="n"/>
      <c r="E211" s="291" t="n"/>
      <c r="F211" s="291" t="n"/>
      <c r="G211" s="293" t="n"/>
      <c r="H211" s="293" t="n"/>
      <c r="I211" s="293" t="n"/>
      <c r="J211" s="293" t="n"/>
    </row>
    <row r="212" ht="13" customHeight="1" s="189">
      <c r="A212" s="289" t="n"/>
      <c r="B212" s="290" t="n"/>
      <c r="C212" s="290" t="n"/>
      <c r="D212" s="291" t="n"/>
      <c r="E212" s="291" t="n"/>
      <c r="F212" s="291" t="n"/>
      <c r="G212" s="293" t="n"/>
      <c r="H212" s="293" t="n"/>
      <c r="I212" s="293" t="n"/>
      <c r="J212" s="293" t="n"/>
    </row>
    <row r="213" ht="13" customHeight="1" s="189">
      <c r="A213" s="289" t="n"/>
      <c r="B213" s="290" t="n"/>
      <c r="C213" s="290" t="n"/>
      <c r="D213" s="291" t="n"/>
      <c r="E213" s="291" t="n"/>
      <c r="F213" s="291" t="n"/>
      <c r="G213" s="293" t="n"/>
      <c r="H213" s="293" t="n"/>
      <c r="I213" s="293" t="n"/>
      <c r="J213" s="293" t="n"/>
    </row>
    <row r="214" ht="13" customHeight="1" s="189">
      <c r="A214" s="289" t="n"/>
      <c r="B214" s="290" t="n"/>
      <c r="C214" s="290" t="n"/>
      <c r="D214" s="291" t="n"/>
      <c r="E214" s="291" t="n"/>
      <c r="F214" s="291" t="n"/>
      <c r="G214" s="293" t="n"/>
      <c r="H214" s="293" t="n"/>
      <c r="I214" s="293" t="n"/>
      <c r="J214" s="293" t="n"/>
    </row>
    <row r="215" ht="13" customHeight="1" s="189">
      <c r="A215" s="289" t="n"/>
      <c r="B215" s="290" t="n"/>
      <c r="C215" s="290" t="n"/>
      <c r="D215" s="291" t="n"/>
      <c r="E215" s="291" t="n"/>
      <c r="F215" s="291" t="n"/>
      <c r="G215" s="293" t="n"/>
      <c r="H215" s="293" t="n"/>
      <c r="I215" s="293" t="n"/>
      <c r="J215" s="293" t="n"/>
    </row>
    <row r="216" ht="13" customHeight="1" s="189">
      <c r="A216" s="289" t="n"/>
      <c r="B216" s="290" t="n"/>
      <c r="C216" s="290" t="n"/>
      <c r="D216" s="291" t="n"/>
      <c r="E216" s="291" t="n"/>
      <c r="F216" s="291" t="n"/>
      <c r="G216" s="293" t="n"/>
      <c r="H216" s="293" t="n"/>
      <c r="I216" s="293" t="n"/>
      <c r="J216" s="293" t="n"/>
    </row>
    <row r="217" ht="13" customHeight="1" s="189">
      <c r="A217" s="289" t="n"/>
      <c r="B217" s="290" t="n"/>
      <c r="C217" s="290" t="n"/>
      <c r="D217" s="291" t="n"/>
      <c r="E217" s="291" t="n"/>
      <c r="F217" s="291" t="n"/>
      <c r="G217" s="293" t="n"/>
      <c r="H217" s="293" t="n"/>
      <c r="I217" s="293" t="n"/>
      <c r="J217" s="293" t="n"/>
    </row>
    <row r="218" ht="13" customHeight="1" s="189">
      <c r="A218" s="289" t="n"/>
      <c r="B218" s="290" t="n"/>
      <c r="C218" s="290" t="n"/>
      <c r="D218" s="291" t="n"/>
      <c r="E218" s="291" t="n"/>
      <c r="F218" s="291" t="n"/>
      <c r="G218" s="293" t="n"/>
      <c r="H218" s="293" t="n"/>
      <c r="I218" s="293" t="n"/>
      <c r="J218" s="293" t="n"/>
    </row>
    <row r="219" ht="13" customHeight="1" s="189">
      <c r="A219" s="289" t="n"/>
      <c r="B219" s="290" t="n"/>
      <c r="C219" s="290" t="n"/>
      <c r="D219" s="291" t="n"/>
      <c r="E219" s="291" t="n"/>
      <c r="F219" s="291" t="n"/>
      <c r="G219" s="293" t="n"/>
      <c r="H219" s="293" t="n"/>
      <c r="I219" s="293" t="n"/>
      <c r="J219" s="293" t="n"/>
    </row>
    <row r="220" ht="13" customHeight="1" s="189">
      <c r="A220" s="289" t="n"/>
      <c r="B220" s="290" t="n"/>
      <c r="C220" s="290" t="n"/>
      <c r="D220" s="291" t="n"/>
      <c r="E220" s="291" t="n"/>
      <c r="F220" s="291" t="n"/>
      <c r="G220" s="293" t="n"/>
      <c r="H220" s="293" t="n"/>
      <c r="I220" s="293" t="n"/>
      <c r="J220" s="293" t="n"/>
    </row>
    <row r="221" ht="13" customHeight="1" s="189">
      <c r="A221" s="289" t="n"/>
      <c r="B221" s="290" t="n"/>
      <c r="C221" s="290" t="n"/>
      <c r="D221" s="291" t="n"/>
      <c r="E221" s="291" t="n"/>
      <c r="F221" s="291" t="n"/>
      <c r="G221" s="293" t="n"/>
      <c r="H221" s="293" t="n"/>
      <c r="I221" s="293" t="n"/>
      <c r="J221" s="293" t="n"/>
    </row>
    <row r="222" ht="13" customHeight="1" s="189">
      <c r="A222" s="289" t="n"/>
      <c r="B222" s="290" t="n"/>
      <c r="C222" s="290" t="n"/>
      <c r="D222" s="291" t="n"/>
      <c r="E222" s="291" t="n"/>
      <c r="F222" s="291" t="n"/>
      <c r="G222" s="293" t="n"/>
      <c r="H222" s="293" t="n"/>
      <c r="I222" s="293" t="n"/>
      <c r="J222" s="293" t="n"/>
    </row>
    <row r="223" ht="13" customHeight="1" s="189">
      <c r="A223" s="289" t="n"/>
      <c r="B223" s="290" t="n"/>
      <c r="C223" s="290" t="n"/>
      <c r="D223" s="291" t="n"/>
      <c r="E223" s="291" t="n"/>
      <c r="F223" s="291" t="n"/>
      <c r="G223" s="293" t="n"/>
      <c r="H223" s="293" t="n"/>
      <c r="I223" s="293" t="n"/>
      <c r="J223" s="293" t="n"/>
    </row>
    <row r="224" ht="13" customHeight="1" s="189">
      <c r="A224" s="289" t="n"/>
      <c r="B224" s="290" t="n"/>
      <c r="C224" s="290" t="n"/>
      <c r="D224" s="291" t="n"/>
      <c r="E224" s="291" t="n"/>
      <c r="F224" s="291" t="n"/>
      <c r="G224" s="293" t="n"/>
      <c r="H224" s="293" t="n"/>
      <c r="I224" s="293" t="n"/>
      <c r="J224" s="293" t="n"/>
    </row>
    <row r="225" ht="13" customHeight="1" s="189">
      <c r="A225" s="289" t="n"/>
      <c r="B225" s="290" t="n"/>
      <c r="C225" s="290" t="n"/>
      <c r="D225" s="291" t="n"/>
      <c r="E225" s="291" t="n"/>
      <c r="F225" s="291" t="n"/>
      <c r="G225" s="293" t="n"/>
      <c r="H225" s="293" t="n"/>
      <c r="I225" s="293" t="n"/>
      <c r="J225" s="293" t="n"/>
    </row>
    <row r="226" ht="13" customHeight="1" s="189">
      <c r="A226" s="289" t="n"/>
      <c r="B226" s="290" t="n"/>
      <c r="C226" s="290" t="n"/>
      <c r="D226" s="291" t="n"/>
      <c r="E226" s="291" t="n"/>
      <c r="F226" s="291" t="n"/>
      <c r="G226" s="293" t="n"/>
      <c r="H226" s="293" t="n"/>
      <c r="I226" s="293" t="n"/>
      <c r="J226" s="293" t="n"/>
    </row>
    <row r="227" ht="13" customHeight="1" s="189">
      <c r="A227" s="289" t="n"/>
      <c r="B227" s="290" t="n"/>
      <c r="C227" s="290" t="n"/>
      <c r="D227" s="291" t="n"/>
      <c r="E227" s="291" t="n"/>
      <c r="F227" s="291" t="n"/>
      <c r="G227" s="293" t="n"/>
      <c r="H227" s="293" t="n"/>
      <c r="I227" s="293" t="n"/>
      <c r="J227" s="293" t="n"/>
    </row>
    <row r="228" ht="13" customHeight="1" s="189">
      <c r="A228" s="289" t="n"/>
      <c r="B228" s="290" t="n"/>
      <c r="C228" s="290" t="n"/>
      <c r="D228" s="291" t="n"/>
      <c r="E228" s="291" t="n"/>
      <c r="F228" s="291" t="n"/>
      <c r="G228" s="293" t="n"/>
      <c r="H228" s="293" t="n"/>
      <c r="I228" s="293" t="n"/>
      <c r="J228" s="293" t="n"/>
    </row>
    <row r="229" ht="13" customHeight="1" s="189">
      <c r="A229" s="289" t="n"/>
      <c r="B229" s="290" t="n"/>
      <c r="C229" s="290" t="n"/>
      <c r="D229" s="291" t="n"/>
      <c r="E229" s="291" t="n"/>
      <c r="F229" s="291" t="n"/>
      <c r="G229" s="293" t="n"/>
      <c r="H229" s="293" t="n"/>
      <c r="I229" s="293" t="n"/>
      <c r="J229" s="293" t="n"/>
    </row>
    <row r="230" ht="13" customHeight="1" s="189">
      <c r="A230" s="289" t="n"/>
      <c r="B230" s="290" t="n"/>
      <c r="C230" s="290" t="n"/>
      <c r="D230" s="291" t="n"/>
      <c r="E230" s="291" t="n"/>
      <c r="F230" s="291" t="n"/>
      <c r="G230" s="293" t="n"/>
      <c r="H230" s="293" t="n"/>
      <c r="I230" s="293" t="n"/>
      <c r="J230" s="293" t="n"/>
    </row>
    <row r="231" ht="13" customHeight="1" s="189">
      <c r="A231" s="289" t="n"/>
      <c r="B231" s="290" t="n"/>
      <c r="C231" s="290" t="n"/>
      <c r="D231" s="291" t="n"/>
      <c r="E231" s="291" t="n"/>
      <c r="F231" s="291" t="n"/>
      <c r="G231" s="293" t="n"/>
      <c r="H231" s="293" t="n"/>
      <c r="I231" s="293" t="n"/>
      <c r="J231" s="293" t="n"/>
    </row>
    <row r="232" ht="13" customHeight="1" s="189">
      <c r="A232" s="289" t="n"/>
      <c r="B232" s="290" t="n"/>
      <c r="C232" s="290" t="n"/>
      <c r="D232" s="291" t="n"/>
      <c r="E232" s="291" t="n"/>
      <c r="F232" s="291" t="n"/>
      <c r="G232" s="293" t="n"/>
      <c r="H232" s="293" t="n"/>
      <c r="I232" s="293" t="n"/>
      <c r="J232" s="293" t="n"/>
    </row>
    <row r="233" ht="13" customHeight="1" s="189">
      <c r="A233" s="289" t="n"/>
      <c r="B233" s="290" t="n"/>
      <c r="C233" s="290" t="n"/>
      <c r="D233" s="291" t="n"/>
      <c r="E233" s="291" t="n"/>
      <c r="F233" s="291" t="n"/>
      <c r="G233" s="293" t="n"/>
      <c r="H233" s="293" t="n"/>
      <c r="I233" s="293" t="n"/>
      <c r="J233" s="293" t="n"/>
    </row>
    <row r="234" ht="13" customHeight="1" s="189">
      <c r="A234" s="289" t="n"/>
      <c r="B234" s="290" t="n"/>
      <c r="C234" s="290" t="n"/>
      <c r="D234" s="291" t="n"/>
      <c r="E234" s="291" t="n"/>
      <c r="F234" s="291" t="n"/>
      <c r="G234" s="293" t="n"/>
      <c r="H234" s="293" t="n"/>
      <c r="I234" s="293" t="n"/>
      <c r="J234" s="293" t="n"/>
    </row>
    <row r="235" ht="13" customHeight="1" s="189">
      <c r="A235" s="289" t="n"/>
      <c r="B235" s="290" t="n"/>
      <c r="C235" s="290" t="n"/>
      <c r="D235" s="291" t="n"/>
      <c r="E235" s="291" t="n"/>
      <c r="F235" s="291" t="n"/>
      <c r="G235" s="293" t="n"/>
      <c r="H235" s="293" t="n"/>
      <c r="I235" s="293" t="n"/>
      <c r="J235" s="293" t="n"/>
    </row>
    <row r="236" ht="13" customHeight="1" s="189">
      <c r="A236" s="289" t="n"/>
      <c r="B236" s="290" t="n"/>
      <c r="C236" s="290" t="n"/>
      <c r="D236" s="291" t="n"/>
      <c r="E236" s="291" t="n"/>
      <c r="F236" s="291" t="n"/>
      <c r="G236" s="293" t="n"/>
      <c r="H236" s="293" t="n"/>
      <c r="I236" s="293" t="n"/>
      <c r="J236" s="293" t="n"/>
    </row>
    <row r="237" ht="13" customHeight="1" s="189">
      <c r="A237" s="289" t="n"/>
      <c r="B237" s="290" t="n"/>
      <c r="C237" s="290" t="n"/>
      <c r="D237" s="291" t="n"/>
      <c r="E237" s="291" t="n"/>
      <c r="F237" s="291" t="n"/>
      <c r="G237" s="293" t="n"/>
      <c r="H237" s="293" t="n"/>
      <c r="I237" s="293" t="n"/>
      <c r="J237" s="293" t="n"/>
    </row>
    <row r="238" ht="13" customHeight="1" s="189">
      <c r="A238" s="289" t="n"/>
      <c r="B238" s="290" t="n"/>
      <c r="C238" s="290" t="n"/>
      <c r="D238" s="291" t="n"/>
      <c r="E238" s="291" t="n"/>
      <c r="F238" s="291" t="n"/>
      <c r="G238" s="293" t="n"/>
      <c r="H238" s="293" t="n"/>
      <c r="I238" s="293" t="n"/>
      <c r="J238" s="293" t="n"/>
    </row>
    <row r="239" ht="13" customHeight="1" s="189">
      <c r="A239" s="289" t="n"/>
      <c r="B239" s="290" t="n"/>
      <c r="C239" s="290" t="n"/>
      <c r="D239" s="291" t="n"/>
      <c r="E239" s="291" t="n"/>
      <c r="F239" s="291" t="n"/>
      <c r="G239" s="293" t="n"/>
      <c r="H239" s="293" t="n"/>
      <c r="I239" s="293" t="n"/>
      <c r="J239" s="293" t="n"/>
    </row>
    <row r="240" ht="13" customHeight="1" s="189">
      <c r="A240" s="289" t="n"/>
      <c r="B240" s="290" t="n"/>
      <c r="C240" s="290" t="n"/>
      <c r="D240" s="291" t="n"/>
      <c r="E240" s="291" t="n"/>
      <c r="F240" s="291" t="n"/>
      <c r="G240" s="293" t="n"/>
      <c r="H240" s="293" t="n"/>
      <c r="I240" s="293" t="n"/>
      <c r="J240" s="293" t="n"/>
    </row>
    <row r="241" ht="13" customHeight="1" s="189">
      <c r="A241" s="289" t="n"/>
      <c r="B241" s="290" t="n"/>
      <c r="C241" s="290" t="n"/>
      <c r="D241" s="291" t="n"/>
      <c r="E241" s="291" t="n"/>
      <c r="F241" s="291" t="n"/>
      <c r="G241" s="293" t="n"/>
      <c r="H241" s="293" t="n"/>
      <c r="I241" s="293" t="n"/>
      <c r="J241" s="293" t="n"/>
    </row>
    <row r="242" ht="13" customHeight="1" s="189">
      <c r="A242" s="289" t="n"/>
      <c r="B242" s="290" t="n"/>
      <c r="C242" s="290" t="n"/>
      <c r="D242" s="291" t="n"/>
      <c r="E242" s="291" t="n"/>
      <c r="F242" s="291" t="n"/>
      <c r="G242" s="293" t="n"/>
      <c r="H242" s="293" t="n"/>
      <c r="I242" s="293" t="n"/>
      <c r="J242" s="293" t="n"/>
    </row>
    <row r="243" ht="13" customHeight="1" s="189">
      <c r="A243" s="289" t="n"/>
      <c r="B243" s="290" t="n"/>
      <c r="C243" s="290" t="n"/>
      <c r="D243" s="291" t="n"/>
      <c r="E243" s="291" t="n"/>
      <c r="F243" s="291" t="n"/>
      <c r="G243" s="293" t="n"/>
      <c r="H243" s="293" t="n"/>
      <c r="I243" s="293" t="n"/>
      <c r="J243" s="293" t="n"/>
    </row>
    <row r="244" ht="13" customHeight="1" s="189">
      <c r="A244" s="289" t="n"/>
      <c r="B244" s="290" t="n"/>
      <c r="C244" s="290" t="n"/>
      <c r="D244" s="291" t="n"/>
      <c r="E244" s="291" t="n"/>
      <c r="F244" s="291" t="n"/>
      <c r="G244" s="293" t="n"/>
      <c r="H244" s="293" t="n"/>
      <c r="I244" s="293" t="n"/>
      <c r="J244" s="293" t="n"/>
    </row>
    <row r="245" ht="13" customHeight="1" s="189">
      <c r="A245" s="289" t="n"/>
      <c r="B245" s="290" t="n"/>
      <c r="C245" s="290" t="n"/>
      <c r="D245" s="291" t="n"/>
      <c r="E245" s="291" t="n"/>
      <c r="F245" s="291" t="n"/>
      <c r="G245" s="293" t="n"/>
      <c r="H245" s="293" t="n"/>
      <c r="I245" s="293" t="n"/>
      <c r="J245" s="293" t="n"/>
    </row>
    <row r="246" ht="13" customHeight="1" s="189">
      <c r="A246" s="289" t="n"/>
      <c r="B246" s="290" t="n"/>
      <c r="C246" s="290" t="n"/>
      <c r="D246" s="291" t="n"/>
      <c r="E246" s="291" t="n"/>
      <c r="F246" s="291" t="n"/>
      <c r="G246" s="293" t="n"/>
      <c r="H246" s="293" t="n"/>
      <c r="I246" s="293" t="n"/>
      <c r="J246" s="293" t="n"/>
    </row>
    <row r="247" ht="13" customHeight="1" s="189">
      <c r="A247" s="289" t="n"/>
      <c r="B247" s="290" t="n"/>
      <c r="C247" s="290" t="n"/>
      <c r="D247" s="291" t="n"/>
      <c r="E247" s="291" t="n"/>
      <c r="F247" s="291" t="n"/>
      <c r="G247" s="293" t="n"/>
      <c r="H247" s="293" t="n"/>
      <c r="I247" s="293" t="n"/>
      <c r="J247" s="293" t="n"/>
    </row>
    <row r="248" ht="13" customHeight="1" s="189">
      <c r="A248" s="289" t="n"/>
      <c r="B248" s="290" t="n"/>
      <c r="C248" s="290" t="n"/>
      <c r="D248" s="291" t="n"/>
      <c r="E248" s="291" t="n"/>
      <c r="F248" s="291" t="n"/>
      <c r="G248" s="293" t="n"/>
      <c r="H248" s="293" t="n"/>
      <c r="I248" s="293" t="n"/>
      <c r="J248" s="293" t="n"/>
    </row>
    <row r="249" ht="13" customHeight="1" s="189">
      <c r="A249" s="289" t="n"/>
      <c r="B249" s="290" t="n"/>
      <c r="C249" s="290" t="n"/>
      <c r="D249" s="291" t="n"/>
      <c r="E249" s="291" t="n"/>
      <c r="F249" s="291" t="n"/>
      <c r="G249" s="293" t="n"/>
      <c r="H249" s="293" t="n"/>
      <c r="I249" s="293" t="n"/>
      <c r="J249" s="293" t="n"/>
    </row>
    <row r="250" ht="13" customHeight="1" s="189">
      <c r="A250" s="289" t="n"/>
      <c r="B250" s="290" t="n"/>
      <c r="C250" s="290" t="n"/>
      <c r="D250" s="291" t="n"/>
      <c r="E250" s="291" t="n"/>
      <c r="F250" s="291" t="n"/>
      <c r="G250" s="293" t="n"/>
      <c r="H250" s="293" t="n"/>
      <c r="I250" s="293" t="n"/>
      <c r="J250" s="293" t="n"/>
    </row>
    <row r="251" ht="13" customHeight="1" s="189">
      <c r="A251" s="289" t="n"/>
      <c r="B251" s="290" t="n"/>
      <c r="C251" s="290" t="n"/>
      <c r="D251" s="291" t="n"/>
      <c r="E251" s="291" t="n"/>
      <c r="F251" s="291" t="n"/>
      <c r="G251" s="293" t="n"/>
      <c r="H251" s="293" t="n"/>
      <c r="I251" s="293" t="n"/>
      <c r="J251" s="293" t="n"/>
    </row>
    <row r="252" ht="13" customHeight="1" s="189">
      <c r="A252" s="289" t="n"/>
      <c r="B252" s="290" t="n"/>
      <c r="C252" s="290" t="n"/>
      <c r="D252" s="291" t="n"/>
      <c r="E252" s="291" t="n"/>
      <c r="F252" s="291" t="n"/>
      <c r="G252" s="293" t="n"/>
      <c r="H252" s="293" t="n"/>
      <c r="I252" s="293" t="n"/>
      <c r="J252" s="293" t="n"/>
    </row>
    <row r="253" ht="13" customHeight="1" s="189">
      <c r="A253" s="289" t="n"/>
      <c r="B253" s="290" t="n"/>
      <c r="C253" s="290" t="n"/>
      <c r="D253" s="291" t="n"/>
      <c r="E253" s="291" t="n"/>
      <c r="F253" s="291" t="n"/>
      <c r="G253" s="293" t="n"/>
      <c r="H253" s="293" t="n"/>
      <c r="I253" s="293" t="n"/>
      <c r="J253" s="293" t="n"/>
    </row>
    <row r="254" ht="13" customHeight="1" s="189">
      <c r="A254" s="289" t="n"/>
      <c r="B254" s="290" t="n"/>
      <c r="C254" s="290" t="n"/>
      <c r="D254" s="291" t="n"/>
      <c r="E254" s="291" t="n"/>
      <c r="F254" s="291" t="n"/>
      <c r="G254" s="293" t="n"/>
      <c r="H254" s="293" t="n"/>
      <c r="I254" s="293" t="n"/>
      <c r="J254" s="293" t="n"/>
    </row>
    <row r="255" ht="13" customHeight="1" s="189">
      <c r="A255" s="289" t="n"/>
      <c r="B255" s="290" t="n"/>
      <c r="C255" s="290" t="n"/>
      <c r="D255" s="291" t="n"/>
      <c r="E255" s="291" t="n"/>
      <c r="F255" s="291" t="n"/>
      <c r="G255" s="293" t="n"/>
      <c r="H255" s="293" t="n"/>
      <c r="I255" s="293" t="n"/>
      <c r="J255" s="293" t="n"/>
    </row>
    <row r="256" ht="13" customHeight="1" s="189">
      <c r="A256" s="289" t="n"/>
      <c r="B256" s="290" t="n"/>
      <c r="C256" s="290" t="n"/>
      <c r="D256" s="291" t="n"/>
      <c r="E256" s="291" t="n"/>
      <c r="F256" s="291" t="n"/>
      <c r="G256" s="293" t="n"/>
      <c r="H256" s="293" t="n"/>
      <c r="I256" s="293" t="n"/>
      <c r="J256" s="293" t="n"/>
    </row>
    <row r="257" ht="13" customHeight="1" s="189">
      <c r="A257" s="289" t="n"/>
      <c r="B257" s="290" t="n"/>
      <c r="C257" s="290" t="n"/>
      <c r="D257" s="291" t="n"/>
      <c r="E257" s="291" t="n"/>
      <c r="F257" s="291" t="n"/>
      <c r="G257" s="293" t="n"/>
      <c r="H257" s="293" t="n"/>
      <c r="I257" s="293" t="n"/>
      <c r="J257" s="293" t="n"/>
    </row>
    <row r="258" ht="13" customHeight="1" s="189">
      <c r="A258" s="289" t="n"/>
      <c r="B258" s="290" t="n"/>
      <c r="C258" s="290" t="n"/>
      <c r="D258" s="291" t="n"/>
      <c r="E258" s="291" t="n"/>
      <c r="F258" s="291" t="n"/>
      <c r="G258" s="293" t="n"/>
      <c r="H258" s="293" t="n"/>
      <c r="I258" s="293" t="n"/>
      <c r="J258" s="293" t="n"/>
    </row>
    <row r="259" ht="13" customHeight="1" s="189">
      <c r="A259" s="289" t="n"/>
      <c r="B259" s="290" t="n"/>
      <c r="C259" s="290" t="n"/>
      <c r="D259" s="291" t="n"/>
      <c r="E259" s="291" t="n"/>
      <c r="F259" s="291" t="n"/>
      <c r="G259" s="293" t="n"/>
      <c r="H259" s="293" t="n"/>
      <c r="I259" s="293" t="n"/>
      <c r="J259" s="293" t="n"/>
    </row>
    <row r="260" ht="13" customHeight="1" s="189">
      <c r="A260" s="289" t="n"/>
      <c r="B260" s="290" t="n"/>
      <c r="C260" s="290" t="n"/>
      <c r="D260" s="291" t="n"/>
      <c r="E260" s="291" t="n"/>
      <c r="F260" s="291" t="n"/>
      <c r="G260" s="293" t="n"/>
      <c r="H260" s="293" t="n"/>
      <c r="I260" s="293" t="n"/>
      <c r="J260" s="293" t="n"/>
    </row>
    <row r="261" ht="13" customHeight="1" s="189">
      <c r="A261" s="289" t="n"/>
      <c r="B261" s="290" t="n"/>
      <c r="C261" s="290" t="n"/>
      <c r="D261" s="291" t="n"/>
      <c r="E261" s="291" t="n"/>
      <c r="F261" s="291" t="n"/>
      <c r="G261" s="293" t="n"/>
      <c r="H261" s="293" t="n"/>
      <c r="I261" s="293" t="n"/>
      <c r="J261" s="293" t="n"/>
    </row>
    <row r="262" ht="13" customHeight="1" s="189">
      <c r="A262" s="289" t="n"/>
      <c r="B262" s="290" t="n"/>
      <c r="C262" s="290" t="n"/>
      <c r="D262" s="291" t="n"/>
      <c r="E262" s="291" t="n"/>
      <c r="F262" s="291" t="n"/>
      <c r="G262" s="293" t="n"/>
      <c r="H262" s="293" t="n"/>
      <c r="I262" s="293" t="n"/>
      <c r="J262" s="293" t="n"/>
    </row>
    <row r="263" ht="13" customHeight="1" s="189">
      <c r="A263" s="289" t="n"/>
      <c r="B263" s="290" t="n"/>
      <c r="C263" s="290" t="n"/>
      <c r="D263" s="291" t="n"/>
      <c r="E263" s="291" t="n"/>
      <c r="F263" s="291" t="n"/>
      <c r="G263" s="293" t="n"/>
      <c r="H263" s="293" t="n"/>
      <c r="I263" s="293" t="n"/>
      <c r="J263" s="293" t="n"/>
    </row>
    <row r="264" ht="13" customHeight="1" s="189">
      <c r="A264" s="289" t="n"/>
      <c r="B264" s="290" t="n"/>
      <c r="C264" s="290" t="n"/>
      <c r="D264" s="291" t="n"/>
      <c r="E264" s="291" t="n"/>
      <c r="F264" s="291" t="n"/>
      <c r="G264" s="293" t="n"/>
      <c r="H264" s="293" t="n"/>
      <c r="I264" s="293" t="n"/>
      <c r="J264" s="293" t="n"/>
    </row>
    <row r="265" ht="13" customHeight="1" s="189">
      <c r="A265" s="289" t="n"/>
      <c r="B265" s="290" t="n"/>
      <c r="C265" s="290" t="n"/>
      <c r="D265" s="291" t="n"/>
      <c r="E265" s="291" t="n"/>
      <c r="F265" s="291" t="n"/>
      <c r="G265" s="293" t="n"/>
      <c r="H265" s="293" t="n"/>
      <c r="I265" s="293" t="n"/>
      <c r="J265" s="293" t="n"/>
    </row>
    <row r="266" ht="13" customHeight="1" s="189">
      <c r="A266" s="289" t="n"/>
      <c r="B266" s="290" t="n"/>
      <c r="C266" s="290" t="n"/>
      <c r="D266" s="291" t="n"/>
      <c r="E266" s="291" t="n"/>
      <c r="F266" s="291" t="n"/>
      <c r="G266" s="293" t="n"/>
      <c r="H266" s="293" t="n"/>
      <c r="I266" s="293" t="n"/>
      <c r="J266" s="293" t="n"/>
    </row>
    <row r="267" ht="13" customHeight="1" s="189">
      <c r="A267" s="289" t="n"/>
      <c r="B267" s="290" t="n"/>
      <c r="C267" s="290" t="n"/>
      <c r="D267" s="291" t="n"/>
      <c r="E267" s="291" t="n"/>
      <c r="F267" s="291" t="n"/>
      <c r="G267" s="293" t="n"/>
      <c r="H267" s="293" t="n"/>
      <c r="I267" s="293" t="n"/>
      <c r="J267" s="293" t="n"/>
    </row>
    <row r="268" ht="13" customHeight="1" s="189">
      <c r="A268" s="289" t="n"/>
      <c r="B268" s="290" t="n"/>
      <c r="C268" s="290" t="n"/>
      <c r="D268" s="291" t="n"/>
      <c r="E268" s="291" t="n"/>
      <c r="F268" s="291" t="n"/>
      <c r="G268" s="293" t="n"/>
      <c r="H268" s="293" t="n"/>
      <c r="I268" s="293" t="n"/>
      <c r="J268" s="293" t="n"/>
    </row>
    <row r="269" ht="13" customHeight="1" s="189">
      <c r="A269" s="289" t="n"/>
      <c r="B269" s="290" t="n"/>
      <c r="C269" s="290" t="n"/>
      <c r="D269" s="291" t="n"/>
      <c r="E269" s="291" t="n"/>
      <c r="F269" s="291" t="n"/>
      <c r="G269" s="293" t="n"/>
      <c r="H269" s="293" t="n"/>
      <c r="I269" s="293" t="n"/>
      <c r="J269" s="293" t="n"/>
    </row>
    <row r="270" ht="13" customHeight="1" s="189">
      <c r="A270" s="289" t="n"/>
      <c r="B270" s="290" t="n"/>
      <c r="C270" s="290" t="n"/>
      <c r="D270" s="291" t="n"/>
      <c r="E270" s="291" t="n"/>
      <c r="F270" s="291" t="n"/>
      <c r="G270" s="293" t="n"/>
      <c r="H270" s="293" t="n"/>
      <c r="I270" s="293" t="n"/>
      <c r="J270" s="293" t="n"/>
    </row>
    <row r="271" ht="13" customHeight="1" s="189">
      <c r="A271" s="289" t="n"/>
      <c r="B271" s="290" t="n"/>
      <c r="C271" s="290" t="n"/>
      <c r="D271" s="291" t="n"/>
      <c r="E271" s="291" t="n"/>
      <c r="F271" s="291" t="n"/>
      <c r="G271" s="293" t="n"/>
      <c r="H271" s="293" t="n"/>
      <c r="I271" s="293" t="n"/>
      <c r="J271" s="293" t="n"/>
    </row>
    <row r="272" ht="13" customHeight="1" s="189">
      <c r="A272" s="289" t="n"/>
      <c r="B272" s="290" t="n"/>
      <c r="C272" s="290" t="n"/>
      <c r="D272" s="291" t="n"/>
      <c r="E272" s="291" t="n"/>
      <c r="F272" s="291" t="n"/>
      <c r="G272" s="293" t="n"/>
      <c r="H272" s="293" t="n"/>
      <c r="I272" s="293" t="n"/>
      <c r="J272" s="293" t="n"/>
    </row>
    <row r="273" ht="13" customHeight="1" s="189">
      <c r="A273" s="289" t="n"/>
      <c r="B273" s="290" t="n"/>
      <c r="C273" s="290" t="n"/>
      <c r="D273" s="291" t="n"/>
      <c r="E273" s="291" t="n"/>
      <c r="F273" s="291" t="n"/>
      <c r="G273" s="293" t="n"/>
      <c r="H273" s="293" t="n"/>
      <c r="I273" s="293" t="n"/>
      <c r="J273" s="293" t="n"/>
    </row>
    <row r="274" ht="13" customHeight="1" s="189">
      <c r="A274" s="289" t="n"/>
      <c r="B274" s="290" t="n"/>
      <c r="C274" s="290" t="n"/>
      <c r="D274" s="291" t="n"/>
      <c r="E274" s="291" t="n"/>
      <c r="F274" s="291" t="n"/>
      <c r="G274" s="293" t="n"/>
      <c r="H274" s="293" t="n"/>
      <c r="I274" s="293" t="n"/>
      <c r="J274" s="293" t="n"/>
    </row>
    <row r="275" ht="13" customHeight="1" s="189">
      <c r="A275" s="289" t="n"/>
      <c r="B275" s="290" t="n"/>
      <c r="C275" s="290" t="n"/>
      <c r="D275" s="291" t="n"/>
      <c r="E275" s="291" t="n"/>
      <c r="F275" s="291" t="n"/>
      <c r="G275" s="293" t="n"/>
      <c r="H275" s="293" t="n"/>
      <c r="I275" s="293" t="n"/>
      <c r="J275" s="293" t="n"/>
    </row>
    <row r="276" ht="13" customHeight="1" s="189">
      <c r="A276" s="289" t="n"/>
      <c r="B276" s="290" t="n"/>
      <c r="C276" s="290" t="n"/>
      <c r="D276" s="291" t="n"/>
      <c r="E276" s="291" t="n"/>
      <c r="F276" s="291" t="n"/>
      <c r="G276" s="293" t="n"/>
      <c r="H276" s="293" t="n"/>
      <c r="I276" s="293" t="n"/>
      <c r="J276" s="293" t="n"/>
    </row>
    <row r="277" ht="13" customHeight="1" s="189">
      <c r="A277" s="289" t="n"/>
      <c r="B277" s="290" t="n"/>
      <c r="C277" s="290" t="n"/>
      <c r="D277" s="291" t="n"/>
      <c r="E277" s="291" t="n"/>
      <c r="F277" s="291" t="n"/>
      <c r="G277" s="293" t="n"/>
      <c r="H277" s="293" t="n"/>
      <c r="I277" s="293" t="n"/>
      <c r="J277" s="293" t="n"/>
    </row>
    <row r="278" ht="13" customHeight="1" s="189">
      <c r="A278" s="289" t="n"/>
      <c r="B278" s="290" t="n"/>
      <c r="C278" s="290" t="n"/>
      <c r="D278" s="291" t="n"/>
      <c r="E278" s="291" t="n"/>
      <c r="F278" s="291" t="n"/>
      <c r="G278" s="293" t="n"/>
      <c r="H278" s="293" t="n"/>
      <c r="I278" s="293" t="n"/>
      <c r="J278" s="293" t="n"/>
    </row>
    <row r="279" ht="13" customHeight="1" s="189">
      <c r="A279" s="289" t="n"/>
      <c r="B279" s="290" t="n"/>
      <c r="C279" s="290" t="n"/>
      <c r="D279" s="291" t="n"/>
      <c r="E279" s="291" t="n"/>
      <c r="F279" s="291" t="n"/>
      <c r="G279" s="293" t="n"/>
      <c r="H279" s="293" t="n"/>
      <c r="I279" s="293" t="n"/>
      <c r="J279" s="293" t="n"/>
    </row>
    <row r="280" ht="13" customHeight="1" s="189">
      <c r="A280" s="289" t="n"/>
      <c r="B280" s="290" t="n"/>
      <c r="C280" s="290" t="n"/>
      <c r="D280" s="291" t="n"/>
      <c r="E280" s="291" t="n"/>
      <c r="F280" s="291" t="n"/>
      <c r="G280" s="293" t="n"/>
      <c r="H280" s="293" t="n"/>
      <c r="I280" s="293" t="n"/>
      <c r="J280" s="293" t="n"/>
    </row>
    <row r="281" ht="13" customHeight="1" s="189">
      <c r="A281" s="289" t="n"/>
      <c r="B281" s="290" t="n"/>
      <c r="C281" s="290" t="n"/>
      <c r="D281" s="291" t="n"/>
      <c r="E281" s="291" t="n"/>
      <c r="F281" s="291" t="n"/>
      <c r="G281" s="293" t="n"/>
      <c r="H281" s="293" t="n"/>
      <c r="I281" s="293" t="n"/>
      <c r="J281" s="293" t="n"/>
    </row>
    <row r="282" ht="13" customHeight="1" s="189">
      <c r="A282" s="289" t="n"/>
      <c r="B282" s="290" t="n"/>
      <c r="C282" s="290" t="n"/>
      <c r="D282" s="291" t="n"/>
      <c r="E282" s="291" t="n"/>
      <c r="F282" s="291" t="n"/>
      <c r="G282" s="293" t="n"/>
      <c r="H282" s="293" t="n"/>
      <c r="I282" s="293" t="n"/>
      <c r="J282" s="293" t="n"/>
    </row>
    <row r="283" ht="13" customHeight="1" s="189">
      <c r="A283" s="289" t="n"/>
      <c r="B283" s="290" t="n"/>
      <c r="C283" s="290" t="n"/>
      <c r="D283" s="291" t="n"/>
      <c r="E283" s="291" t="n"/>
      <c r="F283" s="291" t="n"/>
      <c r="G283" s="293" t="n"/>
      <c r="H283" s="293" t="n"/>
      <c r="I283" s="293" t="n"/>
      <c r="J283" s="293" t="n"/>
    </row>
    <row r="284" ht="13" customHeight="1" s="189">
      <c r="A284" s="289" t="n"/>
      <c r="B284" s="290" t="n"/>
      <c r="C284" s="290" t="n"/>
      <c r="D284" s="291" t="n"/>
      <c r="E284" s="291" t="n"/>
      <c r="F284" s="291" t="n"/>
      <c r="G284" s="293" t="n"/>
      <c r="H284" s="293" t="n"/>
      <c r="I284" s="293" t="n"/>
      <c r="J284" s="293" t="n"/>
    </row>
    <row r="285" ht="13" customHeight="1" s="189">
      <c r="A285" s="289" t="n"/>
      <c r="B285" s="290" t="n"/>
      <c r="C285" s="290" t="n"/>
      <c r="D285" s="291" t="n"/>
      <c r="E285" s="291" t="n"/>
      <c r="F285" s="291" t="n"/>
      <c r="G285" s="293" t="n"/>
      <c r="H285" s="293" t="n"/>
      <c r="I285" s="293" t="n"/>
      <c r="J285" s="293" t="n"/>
    </row>
    <row r="286" ht="13" customHeight="1" s="189">
      <c r="A286" s="289" t="n"/>
      <c r="B286" s="290" t="n"/>
      <c r="C286" s="290" t="n"/>
      <c r="D286" s="291" t="n"/>
      <c r="E286" s="291" t="n"/>
      <c r="F286" s="291" t="n"/>
      <c r="G286" s="293" t="n"/>
      <c r="H286" s="293" t="n"/>
      <c r="I286" s="293" t="n"/>
      <c r="J286" s="293" t="n"/>
    </row>
    <row r="287" ht="13" customHeight="1" s="189">
      <c r="A287" s="289" t="n"/>
      <c r="B287" s="290" t="n"/>
      <c r="C287" s="290" t="n"/>
      <c r="D287" s="291" t="n"/>
      <c r="E287" s="291" t="n"/>
      <c r="F287" s="291" t="n"/>
      <c r="G287" s="293" t="n"/>
      <c r="H287" s="293" t="n"/>
      <c r="I287" s="293" t="n"/>
      <c r="J287" s="293" t="n"/>
    </row>
    <row r="288" ht="13" customHeight="1" s="189">
      <c r="A288" s="289" t="n"/>
      <c r="B288" s="290" t="n"/>
      <c r="C288" s="290" t="n"/>
      <c r="D288" s="291" t="n"/>
      <c r="E288" s="291" t="n"/>
      <c r="F288" s="291" t="n"/>
      <c r="G288" s="293" t="n"/>
      <c r="H288" s="293" t="n"/>
      <c r="I288" s="293" t="n"/>
      <c r="J288" s="293" t="n"/>
    </row>
    <row r="289" ht="13" customHeight="1" s="189">
      <c r="A289" s="289" t="n"/>
      <c r="B289" s="290" t="n"/>
      <c r="C289" s="290" t="n"/>
      <c r="D289" s="291" t="n"/>
      <c r="E289" s="291" t="n"/>
      <c r="F289" s="291" t="n"/>
      <c r="G289" s="293" t="n"/>
      <c r="H289" s="293" t="n"/>
      <c r="I289" s="293" t="n"/>
      <c r="J289" s="293" t="n"/>
    </row>
    <row r="290" ht="13" customHeight="1" s="189">
      <c r="A290" s="289" t="n"/>
      <c r="B290" s="290" t="n"/>
      <c r="C290" s="290" t="n"/>
      <c r="D290" s="291" t="n"/>
      <c r="E290" s="291" t="n"/>
      <c r="F290" s="291" t="n"/>
      <c r="G290" s="293" t="n"/>
      <c r="H290" s="293" t="n"/>
      <c r="I290" s="293" t="n"/>
      <c r="J290" s="293" t="n"/>
    </row>
    <row r="291" ht="13" customHeight="1" s="189">
      <c r="A291" s="289" t="n"/>
      <c r="B291" s="290" t="n"/>
      <c r="C291" s="290" t="n"/>
      <c r="D291" s="291" t="n"/>
      <c r="E291" s="291" t="n"/>
      <c r="F291" s="291" t="n"/>
      <c r="G291" s="293" t="n"/>
      <c r="H291" s="293" t="n"/>
      <c r="I291" s="293" t="n"/>
      <c r="J291" s="293" t="n"/>
    </row>
    <row r="292" ht="13" customHeight="1" s="189">
      <c r="A292" s="289" t="n"/>
      <c r="B292" s="290" t="n"/>
      <c r="C292" s="290" t="n"/>
      <c r="D292" s="291" t="n"/>
      <c r="E292" s="291" t="n"/>
      <c r="F292" s="291" t="n"/>
      <c r="G292" s="293" t="n"/>
      <c r="H292" s="293" t="n"/>
      <c r="I292" s="293" t="n"/>
      <c r="J292" s="293" t="n"/>
    </row>
    <row r="293" ht="13" customHeight="1" s="189">
      <c r="A293" s="289" t="n"/>
      <c r="B293" s="290" t="n"/>
      <c r="C293" s="290" t="n"/>
      <c r="D293" s="291" t="n"/>
      <c r="E293" s="291" t="n"/>
      <c r="F293" s="291" t="n"/>
      <c r="G293" s="293" t="n"/>
      <c r="H293" s="293" t="n"/>
      <c r="I293" s="293" t="n"/>
      <c r="J293" s="293" t="n"/>
    </row>
    <row r="294" ht="13" customHeight="1" s="189">
      <c r="A294" s="289" t="n"/>
      <c r="B294" s="290" t="n"/>
      <c r="C294" s="290" t="n"/>
      <c r="D294" s="291" t="n"/>
      <c r="E294" s="291" t="n"/>
      <c r="F294" s="291" t="n"/>
      <c r="G294" s="293" t="n"/>
      <c r="H294" s="293" t="n"/>
      <c r="I294" s="293" t="n"/>
      <c r="J294" s="293" t="n"/>
    </row>
    <row r="295" ht="13" customHeight="1" s="189">
      <c r="A295" s="289" t="n"/>
      <c r="B295" s="290" t="n"/>
      <c r="C295" s="290" t="n"/>
      <c r="D295" s="291" t="n"/>
      <c r="E295" s="291" t="n"/>
      <c r="F295" s="291" t="n"/>
      <c r="G295" s="293" t="n"/>
      <c r="H295" s="293" t="n"/>
      <c r="I295" s="293" t="n"/>
      <c r="J295" s="293" t="n"/>
    </row>
    <row r="296" ht="13" customHeight="1" s="189">
      <c r="A296" s="289" t="n"/>
      <c r="B296" s="290" t="n"/>
      <c r="C296" s="290" t="n"/>
      <c r="D296" s="291" t="n"/>
      <c r="E296" s="291" t="n"/>
      <c r="F296" s="291" t="n"/>
      <c r="G296" s="293" t="n"/>
      <c r="H296" s="293" t="n"/>
      <c r="I296" s="293" t="n"/>
      <c r="J296" s="293" t="n"/>
    </row>
    <row r="297" ht="13" customHeight="1" s="189">
      <c r="A297" s="289" t="n"/>
      <c r="B297" s="290" t="n"/>
      <c r="C297" s="290" t="n"/>
      <c r="D297" s="291" t="n"/>
      <c r="E297" s="291" t="n"/>
      <c r="F297" s="291" t="n"/>
      <c r="G297" s="293" t="n"/>
      <c r="H297" s="293" t="n"/>
      <c r="I297" s="293" t="n"/>
      <c r="J297" s="293" t="n"/>
    </row>
    <row r="298" ht="13" customHeight="1" s="189">
      <c r="A298" s="289" t="n"/>
      <c r="B298" s="290" t="n"/>
      <c r="C298" s="290" t="n"/>
      <c r="D298" s="291" t="n"/>
      <c r="E298" s="291" t="n"/>
      <c r="F298" s="291" t="n"/>
      <c r="G298" s="293" t="n"/>
      <c r="H298" s="293" t="n"/>
      <c r="I298" s="293" t="n"/>
      <c r="J298" s="293" t="n"/>
    </row>
    <row r="299" ht="13" customHeight="1" s="189">
      <c r="A299" s="289" t="n"/>
      <c r="B299" s="290" t="n"/>
      <c r="C299" s="290" t="n"/>
      <c r="D299" s="291" t="n"/>
      <c r="E299" s="291" t="n"/>
      <c r="F299" s="291" t="n"/>
      <c r="G299" s="293" t="n"/>
      <c r="H299" s="293" t="n"/>
      <c r="I299" s="293" t="n"/>
      <c r="J299" s="293" t="n"/>
    </row>
    <row r="300" ht="13" customHeight="1" s="189">
      <c r="A300" s="289" t="n"/>
      <c r="B300" s="290" t="n"/>
      <c r="C300" s="290" t="n"/>
      <c r="D300" s="291" t="n"/>
      <c r="E300" s="291" t="n"/>
      <c r="F300" s="291" t="n"/>
      <c r="G300" s="293" t="n"/>
      <c r="H300" s="293" t="n"/>
      <c r="I300" s="293" t="n"/>
      <c r="J300" s="293" t="n"/>
    </row>
    <row r="301" ht="13" customHeight="1" s="189">
      <c r="A301" s="289" t="n"/>
      <c r="B301" s="290" t="n"/>
      <c r="C301" s="290" t="n"/>
      <c r="D301" s="291" t="n"/>
      <c r="E301" s="291" t="n"/>
      <c r="F301" s="291" t="n"/>
      <c r="G301" s="293" t="n"/>
      <c r="H301" s="293" t="n"/>
      <c r="I301" s="293" t="n"/>
      <c r="J301" s="293" t="n"/>
    </row>
    <row r="302" ht="13" customHeight="1" s="189">
      <c r="A302" s="289" t="n"/>
      <c r="B302" s="290" t="n"/>
      <c r="C302" s="290" t="n"/>
      <c r="D302" s="291" t="n"/>
      <c r="E302" s="291" t="n"/>
      <c r="F302" s="291" t="n"/>
      <c r="G302" s="293" t="n"/>
      <c r="H302" s="293" t="n"/>
      <c r="I302" s="293" t="n"/>
      <c r="J302" s="293" t="n"/>
    </row>
    <row r="303" ht="13" customHeight="1" s="189">
      <c r="A303" s="289" t="n"/>
      <c r="B303" s="290" t="n"/>
      <c r="C303" s="290" t="n"/>
      <c r="D303" s="291" t="n"/>
      <c r="E303" s="291" t="n"/>
      <c r="F303" s="291" t="n"/>
      <c r="G303" s="293" t="n"/>
      <c r="H303" s="293" t="n"/>
      <c r="I303" s="293" t="n"/>
      <c r="J303" s="293" t="n"/>
    </row>
    <row r="304" ht="13" customHeight="1" s="189">
      <c r="A304" s="289" t="n"/>
      <c r="B304" s="290" t="n"/>
      <c r="C304" s="290" t="n"/>
      <c r="D304" s="291" t="n"/>
      <c r="E304" s="291" t="n"/>
      <c r="F304" s="291" t="n"/>
      <c r="G304" s="293" t="n"/>
      <c r="H304" s="293" t="n"/>
      <c r="I304" s="293" t="n"/>
      <c r="J304" s="293" t="n"/>
    </row>
    <row r="305" ht="13" customHeight="1" s="189">
      <c r="A305" s="289" t="n"/>
      <c r="B305" s="290" t="n"/>
      <c r="C305" s="290" t="n"/>
      <c r="D305" s="291" t="n"/>
      <c r="E305" s="291" t="n"/>
      <c r="F305" s="291" t="n"/>
      <c r="G305" s="293" t="n"/>
      <c r="H305" s="293" t="n"/>
      <c r="I305" s="293" t="n"/>
      <c r="J305" s="293" t="n"/>
    </row>
    <row r="306" ht="13" customHeight="1" s="189">
      <c r="A306" s="289" t="n"/>
      <c r="B306" s="290" t="n"/>
      <c r="C306" s="290" t="n"/>
      <c r="D306" s="291" t="n"/>
      <c r="E306" s="291" t="n"/>
      <c r="F306" s="291" t="n"/>
      <c r="G306" s="293" t="n"/>
      <c r="H306" s="293" t="n"/>
      <c r="I306" s="293" t="n"/>
      <c r="J306" s="293" t="n"/>
    </row>
    <row r="307" ht="13" customHeight="1" s="189">
      <c r="A307" s="289" t="n"/>
      <c r="B307" s="290" t="n"/>
      <c r="C307" s="290" t="n"/>
      <c r="D307" s="291" t="n"/>
      <c r="E307" s="291" t="n"/>
      <c r="F307" s="291" t="n"/>
      <c r="G307" s="293" t="n"/>
      <c r="H307" s="293" t="n"/>
      <c r="I307" s="293" t="n"/>
      <c r="J307" s="293" t="n"/>
    </row>
    <row r="308" ht="13" customHeight="1" s="189">
      <c r="A308" s="289" t="n"/>
      <c r="B308" s="290" t="n"/>
      <c r="C308" s="290" t="n"/>
      <c r="D308" s="291" t="n"/>
      <c r="E308" s="291" t="n"/>
      <c r="F308" s="291" t="n"/>
      <c r="G308" s="293" t="n"/>
      <c r="H308" s="293" t="n"/>
      <c r="I308" s="293" t="n"/>
      <c r="J308" s="293" t="n"/>
    </row>
    <row r="309" ht="13" customHeight="1" s="189">
      <c r="A309" s="289" t="n"/>
      <c r="B309" s="290" t="n"/>
      <c r="C309" s="290" t="n"/>
      <c r="D309" s="291" t="n"/>
      <c r="E309" s="291" t="n"/>
      <c r="F309" s="291" t="n"/>
      <c r="G309" s="293" t="n"/>
      <c r="H309" s="293" t="n"/>
      <c r="I309" s="293" t="n"/>
      <c r="J309" s="293" t="n"/>
    </row>
    <row r="310" ht="13" customHeight="1" s="189">
      <c r="A310" s="289" t="n"/>
      <c r="B310" s="290" t="n"/>
      <c r="C310" s="290" t="n"/>
      <c r="D310" s="291" t="n"/>
      <c r="E310" s="291" t="n"/>
      <c r="F310" s="291" t="n"/>
      <c r="G310" s="293" t="n"/>
      <c r="H310" s="293" t="n"/>
      <c r="I310" s="293" t="n"/>
      <c r="J310" s="293" t="n"/>
    </row>
    <row r="311" ht="13" customHeight="1" s="189">
      <c r="A311" s="289" t="n"/>
      <c r="B311" s="290" t="n"/>
      <c r="C311" s="290" t="n"/>
      <c r="D311" s="291" t="n"/>
      <c r="E311" s="291" t="n"/>
      <c r="F311" s="291" t="n"/>
      <c r="G311" s="293" t="n"/>
      <c r="H311" s="293" t="n"/>
      <c r="I311" s="293" t="n"/>
      <c r="J311" s="293" t="n"/>
    </row>
    <row r="312" ht="13" customHeight="1" s="189">
      <c r="A312" s="289" t="n"/>
      <c r="B312" s="290" t="n"/>
      <c r="C312" s="290" t="n"/>
      <c r="D312" s="291" t="n"/>
      <c r="E312" s="291" t="n"/>
      <c r="F312" s="291" t="n"/>
      <c r="G312" s="293" t="n"/>
      <c r="H312" s="293" t="n"/>
      <c r="I312" s="293" t="n"/>
      <c r="J312" s="293" t="n"/>
    </row>
    <row r="313" ht="13" customHeight="1" s="189">
      <c r="A313" s="289" t="n"/>
      <c r="B313" s="290" t="n"/>
      <c r="C313" s="290" t="n"/>
      <c r="D313" s="291" t="n"/>
      <c r="E313" s="291" t="n"/>
      <c r="F313" s="291" t="n"/>
      <c r="G313" s="293" t="n"/>
      <c r="H313" s="293" t="n"/>
      <c r="I313" s="293" t="n"/>
      <c r="J313" s="293" t="n"/>
    </row>
    <row r="314" ht="13" customHeight="1" s="189">
      <c r="A314" s="289" t="n"/>
      <c r="B314" s="290" t="n"/>
      <c r="C314" s="290" t="n"/>
      <c r="D314" s="291" t="n"/>
      <c r="E314" s="291" t="n"/>
      <c r="F314" s="291" t="n"/>
      <c r="G314" s="293" t="n"/>
      <c r="H314" s="293" t="n"/>
      <c r="I314" s="293" t="n"/>
      <c r="J314" s="293" t="n"/>
    </row>
    <row r="315" ht="13" customHeight="1" s="189">
      <c r="A315" s="289" t="n"/>
      <c r="B315" s="290" t="n"/>
      <c r="C315" s="290" t="n"/>
      <c r="D315" s="291" t="n"/>
      <c r="E315" s="291" t="n"/>
      <c r="F315" s="291" t="n"/>
      <c r="G315" s="293" t="n"/>
      <c r="H315" s="293" t="n"/>
      <c r="I315" s="293" t="n"/>
      <c r="J315" s="293" t="n"/>
    </row>
    <row r="316" ht="13" customHeight="1" s="189">
      <c r="A316" s="289" t="n"/>
      <c r="B316" s="290" t="n"/>
      <c r="C316" s="290" t="n"/>
      <c r="D316" s="291" t="n"/>
      <c r="E316" s="291" t="n"/>
      <c r="F316" s="291" t="n"/>
      <c r="G316" s="293" t="n"/>
      <c r="H316" s="293" t="n"/>
      <c r="I316" s="293" t="n"/>
      <c r="J316" s="293" t="n"/>
    </row>
    <row r="317" ht="13" customHeight="1" s="189">
      <c r="A317" s="289" t="n"/>
      <c r="B317" s="290" t="n"/>
      <c r="C317" s="290" t="n"/>
      <c r="D317" s="291" t="n"/>
      <c r="E317" s="291" t="n"/>
      <c r="F317" s="291" t="n"/>
      <c r="G317" s="293" t="n"/>
      <c r="H317" s="293" t="n"/>
      <c r="I317" s="293" t="n"/>
      <c r="J317" s="293" t="n"/>
    </row>
    <row r="318" ht="13" customHeight="1" s="189">
      <c r="A318" s="289" t="n"/>
      <c r="B318" s="290" t="n"/>
      <c r="C318" s="290" t="n"/>
      <c r="D318" s="291" t="n"/>
      <c r="E318" s="291" t="n"/>
      <c r="F318" s="291" t="n"/>
      <c r="G318" s="293" t="n"/>
      <c r="H318" s="293" t="n"/>
      <c r="I318" s="293" t="n"/>
      <c r="J318" s="293" t="n"/>
    </row>
    <row r="319" ht="13" customHeight="1" s="189">
      <c r="A319" s="289" t="n"/>
      <c r="B319" s="290" t="n"/>
      <c r="C319" s="290" t="n"/>
      <c r="D319" s="291" t="n"/>
      <c r="E319" s="291" t="n"/>
      <c r="F319" s="291" t="n"/>
      <c r="G319" s="293" t="n"/>
      <c r="H319" s="293" t="n"/>
      <c r="I319" s="293" t="n"/>
      <c r="J319" s="293" t="n"/>
    </row>
    <row r="320" ht="13" customHeight="1" s="189">
      <c r="A320" s="289" t="n"/>
      <c r="B320" s="290" t="n"/>
      <c r="C320" s="290" t="n"/>
      <c r="D320" s="291" t="n"/>
      <c r="E320" s="291" t="n"/>
      <c r="F320" s="291" t="n"/>
      <c r="G320" s="293" t="n"/>
      <c r="H320" s="293" t="n"/>
      <c r="I320" s="293" t="n"/>
      <c r="J320" s="293" t="n"/>
    </row>
    <row r="321" ht="13" customHeight="1" s="189">
      <c r="A321" s="289" t="n"/>
      <c r="B321" s="290" t="n"/>
      <c r="C321" s="290" t="n"/>
      <c r="D321" s="291" t="n"/>
      <c r="E321" s="291" t="n"/>
      <c r="F321" s="291" t="n"/>
      <c r="G321" s="293" t="n"/>
      <c r="H321" s="293" t="n"/>
      <c r="I321" s="293" t="n"/>
      <c r="J321" s="293" t="n"/>
    </row>
    <row r="322" ht="13" customHeight="1" s="189">
      <c r="A322" s="289" t="n"/>
      <c r="B322" s="290" t="n"/>
      <c r="C322" s="290" t="n"/>
      <c r="D322" s="291" t="n"/>
      <c r="E322" s="291" t="n"/>
      <c r="F322" s="291" t="n"/>
      <c r="G322" s="293" t="n"/>
      <c r="H322" s="293" t="n"/>
      <c r="I322" s="293" t="n"/>
      <c r="J322" s="293" t="n"/>
    </row>
    <row r="323" ht="13" customHeight="1" s="189">
      <c r="A323" s="289" t="n"/>
      <c r="B323" s="290" t="n"/>
      <c r="C323" s="290" t="n"/>
      <c r="D323" s="291" t="n"/>
      <c r="E323" s="291" t="n"/>
      <c r="F323" s="291" t="n"/>
      <c r="G323" s="293" t="n"/>
      <c r="H323" s="293" t="n"/>
      <c r="I323" s="293" t="n"/>
      <c r="J323" s="293" t="n"/>
    </row>
    <row r="324" ht="13" customHeight="1" s="189">
      <c r="A324" s="289" t="n"/>
      <c r="B324" s="290" t="n"/>
      <c r="C324" s="290" t="n"/>
      <c r="D324" s="291" t="n"/>
      <c r="E324" s="291" t="n"/>
      <c r="F324" s="291" t="n"/>
      <c r="G324" s="293" t="n"/>
      <c r="H324" s="293" t="n"/>
      <c r="I324" s="293" t="n"/>
      <c r="J324" s="293" t="n"/>
    </row>
    <row r="325" ht="13" customHeight="1" s="189">
      <c r="A325" s="289" t="n"/>
      <c r="B325" s="290" t="n"/>
      <c r="C325" s="290" t="n"/>
      <c r="D325" s="291" t="n"/>
      <c r="E325" s="291" t="n"/>
      <c r="F325" s="291" t="n"/>
      <c r="G325" s="293" t="n"/>
      <c r="H325" s="293" t="n"/>
      <c r="I325" s="293" t="n"/>
      <c r="J325" s="293" t="n"/>
    </row>
    <row r="326" ht="13" customHeight="1" s="189">
      <c r="A326" s="289" t="n"/>
      <c r="B326" s="290" t="n"/>
      <c r="C326" s="290" t="n"/>
      <c r="D326" s="291" t="n"/>
      <c r="E326" s="291" t="n"/>
      <c r="F326" s="291" t="n"/>
      <c r="G326" s="293" t="n"/>
      <c r="H326" s="293" t="n"/>
      <c r="I326" s="293" t="n"/>
      <c r="J326" s="293" t="n"/>
    </row>
    <row r="327" ht="13" customHeight="1" s="189">
      <c r="A327" s="289" t="n"/>
      <c r="B327" s="290" t="n"/>
      <c r="C327" s="290" t="n"/>
      <c r="D327" s="291" t="n"/>
      <c r="E327" s="291" t="n"/>
      <c r="F327" s="291" t="n"/>
      <c r="G327" s="293" t="n"/>
      <c r="H327" s="293" t="n"/>
      <c r="I327" s="293" t="n"/>
      <c r="J327" s="293" t="n"/>
    </row>
    <row r="328" ht="13" customHeight="1" s="189">
      <c r="A328" s="289" t="n"/>
      <c r="B328" s="290" t="n"/>
      <c r="C328" s="290" t="n"/>
      <c r="D328" s="291" t="n"/>
      <c r="E328" s="291" t="n"/>
      <c r="F328" s="291" t="n"/>
      <c r="G328" s="293" t="n"/>
      <c r="H328" s="293" t="n"/>
      <c r="I328" s="293" t="n"/>
      <c r="J328" s="293" t="n"/>
    </row>
    <row r="329" ht="13" customHeight="1" s="189">
      <c r="A329" s="289" t="n"/>
      <c r="B329" s="290" t="n"/>
      <c r="C329" s="290" t="n"/>
      <c r="D329" s="291" t="n"/>
      <c r="E329" s="291" t="n"/>
      <c r="F329" s="291" t="n"/>
      <c r="G329" s="293" t="n"/>
      <c r="H329" s="293" t="n"/>
      <c r="I329" s="293" t="n"/>
      <c r="J329" s="293" t="n"/>
    </row>
    <row r="330" ht="13" customHeight="1" s="189">
      <c r="A330" s="289" t="n"/>
      <c r="B330" s="290" t="n"/>
      <c r="C330" s="290" t="n"/>
      <c r="D330" s="291" t="n"/>
      <c r="E330" s="291" t="n"/>
      <c r="F330" s="291" t="n"/>
      <c r="G330" s="293" t="n"/>
      <c r="H330" s="293" t="n"/>
      <c r="I330" s="293" t="n"/>
      <c r="J330" s="293" t="n"/>
    </row>
    <row r="331" ht="13" customHeight="1" s="189">
      <c r="A331" s="289" t="n"/>
      <c r="B331" s="290" t="n"/>
      <c r="C331" s="290" t="n"/>
      <c r="D331" s="291" t="n"/>
      <c r="E331" s="291" t="n"/>
      <c r="F331" s="291" t="n"/>
      <c r="G331" s="293" t="n"/>
      <c r="H331" s="293" t="n"/>
      <c r="I331" s="293" t="n"/>
      <c r="J331" s="293" t="n"/>
    </row>
    <row r="332" ht="13" customHeight="1" s="189">
      <c r="A332" s="289" t="n"/>
      <c r="B332" s="290" t="n"/>
      <c r="C332" s="290" t="n"/>
      <c r="D332" s="291" t="n"/>
      <c r="E332" s="291" t="n"/>
      <c r="F332" s="291" t="n"/>
      <c r="G332" s="293" t="n"/>
      <c r="H332" s="293" t="n"/>
      <c r="I332" s="293" t="n"/>
      <c r="J332" s="293" t="n"/>
    </row>
    <row r="333" ht="13" customHeight="1" s="189">
      <c r="A333" s="289" t="n"/>
      <c r="B333" s="290" t="n"/>
      <c r="C333" s="290" t="n"/>
      <c r="D333" s="291" t="n"/>
      <c r="E333" s="291" t="n"/>
      <c r="F333" s="291" t="n"/>
      <c r="G333" s="293" t="n"/>
      <c r="H333" s="293" t="n"/>
      <c r="I333" s="293" t="n"/>
      <c r="J333" s="293" t="n"/>
    </row>
    <row r="334" ht="13" customHeight="1" s="189">
      <c r="A334" s="289" t="n"/>
      <c r="B334" s="290" t="n"/>
      <c r="C334" s="290" t="n"/>
      <c r="D334" s="291" t="n"/>
      <c r="E334" s="291" t="n"/>
      <c r="F334" s="291" t="n"/>
      <c r="G334" s="293" t="n"/>
      <c r="H334" s="293" t="n"/>
      <c r="I334" s="293" t="n"/>
      <c r="J334" s="293" t="n"/>
    </row>
    <row r="335" ht="13" customHeight="1" s="189">
      <c r="A335" s="289" t="n"/>
      <c r="B335" s="290" t="n"/>
      <c r="C335" s="290" t="n"/>
      <c r="D335" s="291" t="n"/>
      <c r="E335" s="291" t="n"/>
      <c r="F335" s="291" t="n"/>
      <c r="G335" s="293" t="n"/>
      <c r="H335" s="293" t="n"/>
      <c r="I335" s="293" t="n"/>
      <c r="J335" s="293" t="n"/>
    </row>
    <row r="336" ht="13" customHeight="1" s="189">
      <c r="A336" s="289" t="n"/>
      <c r="B336" s="290" t="n"/>
      <c r="C336" s="290" t="n"/>
      <c r="D336" s="291" t="n"/>
      <c r="E336" s="291" t="n"/>
      <c r="F336" s="291" t="n"/>
      <c r="G336" s="293" t="n"/>
      <c r="H336" s="293" t="n"/>
      <c r="I336" s="293" t="n"/>
      <c r="J336" s="293" t="n"/>
    </row>
    <row r="337" ht="13" customHeight="1" s="189">
      <c r="A337" s="289" t="n"/>
      <c r="B337" s="290" t="n"/>
      <c r="C337" s="290" t="n"/>
      <c r="D337" s="291" t="n"/>
      <c r="E337" s="291" t="n"/>
      <c r="F337" s="291" t="n"/>
      <c r="G337" s="293" t="n"/>
      <c r="H337" s="293" t="n"/>
      <c r="I337" s="293" t="n"/>
      <c r="J337" s="293" t="n"/>
    </row>
    <row r="338" ht="13" customHeight="1" s="189">
      <c r="A338" s="289" t="n"/>
      <c r="B338" s="290" t="n"/>
      <c r="C338" s="290" t="n"/>
      <c r="D338" s="291" t="n"/>
      <c r="E338" s="291" t="n"/>
      <c r="F338" s="291" t="n"/>
      <c r="G338" s="293" t="n"/>
      <c r="H338" s="293" t="n"/>
      <c r="I338" s="293" t="n"/>
      <c r="J338" s="293" t="n"/>
    </row>
    <row r="339" ht="13" customHeight="1" s="189">
      <c r="A339" s="289" t="n"/>
      <c r="B339" s="290" t="n"/>
      <c r="C339" s="290" t="n"/>
      <c r="D339" s="291" t="n"/>
      <c r="E339" s="291" t="n"/>
      <c r="F339" s="291" t="n"/>
      <c r="G339" s="293" t="n"/>
      <c r="H339" s="293" t="n"/>
      <c r="I339" s="293" t="n"/>
      <c r="J339" s="293" t="n"/>
    </row>
    <row r="340" ht="13" customHeight="1" s="189">
      <c r="A340" s="289" t="n"/>
      <c r="B340" s="290" t="n"/>
      <c r="C340" s="290" t="n"/>
      <c r="D340" s="291" t="n"/>
      <c r="E340" s="291" t="n"/>
      <c r="F340" s="291" t="n"/>
      <c r="G340" s="293" t="n"/>
      <c r="H340" s="293" t="n"/>
      <c r="I340" s="293" t="n"/>
      <c r="J340" s="293" t="n"/>
    </row>
    <row r="341" ht="13" customHeight="1" s="189">
      <c r="A341" s="289" t="n"/>
      <c r="B341" s="290" t="n"/>
      <c r="C341" s="290" t="n"/>
      <c r="D341" s="291" t="n"/>
      <c r="E341" s="291" t="n"/>
      <c r="F341" s="291" t="n"/>
      <c r="G341" s="293" t="n"/>
      <c r="H341" s="293" t="n"/>
      <c r="I341" s="293" t="n"/>
      <c r="J341" s="293" t="n"/>
    </row>
    <row r="342" ht="13" customHeight="1" s="189">
      <c r="A342" s="289" t="n"/>
      <c r="B342" s="290" t="n"/>
      <c r="C342" s="290" t="n"/>
      <c r="D342" s="291" t="n"/>
      <c r="E342" s="291" t="n"/>
      <c r="F342" s="291" t="n"/>
      <c r="G342" s="293" t="n"/>
      <c r="H342" s="293" t="n"/>
      <c r="I342" s="293" t="n"/>
      <c r="J342" s="293" t="n"/>
    </row>
    <row r="343" ht="13" customHeight="1" s="189">
      <c r="A343" s="289" t="n"/>
      <c r="B343" s="290" t="n"/>
      <c r="C343" s="290" t="n"/>
      <c r="D343" s="291" t="n"/>
      <c r="E343" s="291" t="n"/>
      <c r="F343" s="291" t="n"/>
      <c r="G343" s="293" t="n"/>
      <c r="H343" s="293" t="n"/>
      <c r="I343" s="293" t="n"/>
      <c r="J343" s="293" t="n"/>
    </row>
    <row r="344" ht="13" customHeight="1" s="189">
      <c r="A344" s="289" t="n"/>
      <c r="B344" s="290" t="n"/>
      <c r="C344" s="290" t="n"/>
      <c r="D344" s="291" t="n"/>
      <c r="E344" s="291" t="n"/>
      <c r="F344" s="291" t="n"/>
      <c r="G344" s="293" t="n"/>
      <c r="H344" s="293" t="n"/>
      <c r="I344" s="293" t="n"/>
      <c r="J344" s="293" t="n"/>
    </row>
    <row r="345" ht="13" customHeight="1" s="189">
      <c r="A345" s="289" t="n"/>
      <c r="B345" s="290" t="n"/>
      <c r="C345" s="290" t="n"/>
      <c r="D345" s="291" t="n"/>
      <c r="E345" s="291" t="n"/>
      <c r="F345" s="291" t="n"/>
      <c r="G345" s="293" t="n"/>
      <c r="H345" s="293" t="n"/>
      <c r="I345" s="293" t="n"/>
      <c r="J345" s="293" t="n"/>
    </row>
    <row r="346" ht="13" customHeight="1" s="189">
      <c r="A346" s="289" t="n"/>
      <c r="B346" s="290" t="n"/>
      <c r="C346" s="290" t="n"/>
      <c r="D346" s="291" t="n"/>
      <c r="E346" s="291" t="n"/>
      <c r="F346" s="291" t="n"/>
      <c r="G346" s="293" t="n"/>
      <c r="H346" s="293" t="n"/>
      <c r="I346" s="293" t="n"/>
      <c r="J346" s="293" t="n"/>
    </row>
    <row r="347" ht="13" customHeight="1" s="189">
      <c r="A347" s="289" t="n"/>
      <c r="B347" s="290" t="n"/>
      <c r="C347" s="290" t="n"/>
      <c r="D347" s="291" t="n"/>
      <c r="E347" s="291" t="n"/>
      <c r="F347" s="291" t="n"/>
      <c r="G347" s="293" t="n"/>
      <c r="H347" s="293" t="n"/>
      <c r="I347" s="293" t="n"/>
      <c r="J347" s="293" t="n"/>
    </row>
    <row r="348" ht="13" customHeight="1" s="189">
      <c r="A348" s="289" t="n"/>
      <c r="B348" s="290" t="n"/>
      <c r="C348" s="290" t="n"/>
      <c r="D348" s="291" t="n"/>
      <c r="E348" s="291" t="n"/>
      <c r="F348" s="291" t="n"/>
      <c r="G348" s="293" t="n"/>
      <c r="H348" s="293" t="n"/>
      <c r="I348" s="293" t="n"/>
      <c r="J348" s="293" t="n"/>
    </row>
    <row r="349" ht="13" customHeight="1" s="189">
      <c r="A349" s="289" t="n"/>
      <c r="B349" s="290" t="n"/>
      <c r="C349" s="290" t="n"/>
      <c r="D349" s="291" t="n"/>
      <c r="E349" s="291" t="n"/>
      <c r="F349" s="291" t="n"/>
      <c r="G349" s="293" t="n"/>
      <c r="H349" s="293" t="n"/>
      <c r="I349" s="293" t="n"/>
      <c r="J349" s="293" t="n"/>
    </row>
    <row r="350" ht="13" customHeight="1" s="189">
      <c r="A350" s="289" t="n"/>
      <c r="B350" s="290" t="n"/>
      <c r="C350" s="290" t="n"/>
      <c r="D350" s="291" t="n"/>
      <c r="E350" s="291" t="n"/>
      <c r="F350" s="291" t="n"/>
      <c r="G350" s="293" t="n"/>
      <c r="H350" s="293" t="n"/>
      <c r="I350" s="293" t="n"/>
      <c r="J350" s="293" t="n"/>
    </row>
    <row r="351" ht="13" customHeight="1" s="189">
      <c r="A351" s="289" t="n"/>
      <c r="B351" s="290" t="n"/>
      <c r="C351" s="290" t="n"/>
      <c r="D351" s="291" t="n"/>
      <c r="E351" s="291" t="n"/>
      <c r="F351" s="291" t="n"/>
      <c r="G351" s="293" t="n"/>
      <c r="H351" s="293" t="n"/>
      <c r="I351" s="293" t="n"/>
      <c r="J351" s="293" t="n"/>
    </row>
    <row r="352" ht="13" customHeight="1" s="189">
      <c r="A352" s="289" t="n"/>
      <c r="B352" s="290" t="n"/>
      <c r="C352" s="290" t="n"/>
      <c r="D352" s="291" t="n"/>
      <c r="E352" s="291" t="n"/>
      <c r="F352" s="291" t="n"/>
      <c r="G352" s="293" t="n"/>
      <c r="H352" s="293" t="n"/>
      <c r="I352" s="293" t="n"/>
      <c r="J352" s="293" t="n"/>
    </row>
    <row r="353" ht="13" customHeight="1" s="189">
      <c r="A353" s="289" t="n"/>
      <c r="B353" s="290" t="n"/>
      <c r="C353" s="290" t="n"/>
      <c r="D353" s="291" t="n"/>
      <c r="E353" s="291" t="n"/>
      <c r="F353" s="291" t="n"/>
      <c r="G353" s="293" t="n"/>
      <c r="H353" s="293" t="n"/>
      <c r="I353" s="293" t="n"/>
      <c r="J353" s="293" t="n"/>
    </row>
    <row r="354" ht="13" customHeight="1" s="189">
      <c r="A354" s="289" t="n"/>
      <c r="B354" s="290" t="n"/>
      <c r="C354" s="290" t="n"/>
      <c r="D354" s="291" t="n"/>
      <c r="E354" s="291" t="n"/>
      <c r="F354" s="291" t="n"/>
      <c r="G354" s="293" t="n"/>
      <c r="H354" s="293" t="n"/>
      <c r="I354" s="293" t="n"/>
      <c r="J354" s="293" t="n"/>
    </row>
    <row r="355" ht="13" customHeight="1" s="189">
      <c r="A355" s="289" t="n"/>
      <c r="B355" s="290" t="n"/>
      <c r="C355" s="290" t="n"/>
      <c r="D355" s="291" t="n"/>
      <c r="E355" s="291" t="n"/>
      <c r="F355" s="291" t="n"/>
      <c r="G355" s="293" t="n"/>
      <c r="H355" s="293" t="n"/>
      <c r="I355" s="293" t="n"/>
      <c r="J355" s="293" t="n"/>
    </row>
    <row r="356" ht="13" customHeight="1" s="189">
      <c r="A356" s="289" t="n"/>
      <c r="B356" s="290" t="n"/>
      <c r="C356" s="290" t="n"/>
      <c r="D356" s="291" t="n"/>
      <c r="E356" s="291" t="n"/>
      <c r="F356" s="291" t="n"/>
      <c r="G356" s="293" t="n"/>
      <c r="H356" s="293" t="n"/>
      <c r="I356" s="293" t="n"/>
      <c r="J356" s="293" t="n"/>
    </row>
    <row r="357" ht="13" customHeight="1" s="189">
      <c r="A357" s="289" t="n"/>
      <c r="B357" s="290" t="n"/>
      <c r="C357" s="290" t="n"/>
      <c r="D357" s="291" t="n"/>
      <c r="E357" s="291" t="n"/>
      <c r="F357" s="291" t="n"/>
      <c r="G357" s="293" t="n"/>
      <c r="H357" s="293" t="n"/>
      <c r="I357" s="293" t="n"/>
      <c r="J357" s="293" t="n"/>
    </row>
    <row r="358" ht="13" customHeight="1" s="189">
      <c r="A358" s="289" t="n"/>
      <c r="B358" s="290" t="n"/>
      <c r="C358" s="290" t="n"/>
      <c r="D358" s="291" t="n"/>
      <c r="E358" s="291" t="n"/>
      <c r="F358" s="291" t="n"/>
      <c r="G358" s="293" t="n"/>
      <c r="H358" s="293" t="n"/>
      <c r="I358" s="293" t="n"/>
      <c r="J358" s="293" t="n"/>
    </row>
    <row r="359" ht="13" customHeight="1" s="189">
      <c r="A359" s="289" t="n"/>
      <c r="B359" s="290" t="n"/>
      <c r="C359" s="290" t="n"/>
      <c r="D359" s="291" t="n"/>
      <c r="E359" s="291" t="n"/>
      <c r="F359" s="291" t="n"/>
      <c r="G359" s="293" t="n"/>
      <c r="H359" s="293" t="n"/>
      <c r="I359" s="293" t="n"/>
      <c r="J359" s="293" t="n"/>
    </row>
    <row r="360" ht="13" customHeight="1" s="189">
      <c r="A360" s="289" t="n"/>
      <c r="B360" s="290" t="n"/>
      <c r="C360" s="290" t="n"/>
      <c r="D360" s="291" t="n"/>
      <c r="E360" s="291" t="n"/>
      <c r="F360" s="291" t="n"/>
      <c r="G360" s="293" t="n"/>
      <c r="H360" s="293" t="n"/>
      <c r="I360" s="293" t="n"/>
      <c r="J360" s="293" t="n"/>
    </row>
    <row r="361" ht="13" customHeight="1" s="189">
      <c r="A361" s="289" t="n"/>
      <c r="B361" s="290" t="n"/>
      <c r="C361" s="290" t="n"/>
      <c r="D361" s="291" t="n"/>
      <c r="E361" s="291" t="n"/>
      <c r="F361" s="291" t="n"/>
      <c r="G361" s="293" t="n"/>
      <c r="H361" s="293" t="n"/>
      <c r="I361" s="293" t="n"/>
      <c r="J361" s="293" t="n"/>
    </row>
    <row r="362" ht="13" customHeight="1" s="189">
      <c r="A362" s="289" t="n"/>
      <c r="B362" s="290" t="n"/>
      <c r="C362" s="290" t="n"/>
      <c r="D362" s="291" t="n"/>
      <c r="E362" s="291" t="n"/>
      <c r="F362" s="291" t="n"/>
      <c r="G362" s="293" t="n"/>
      <c r="H362" s="293" t="n"/>
      <c r="I362" s="293" t="n"/>
      <c r="J362" s="293" t="n"/>
    </row>
    <row r="363" ht="13" customHeight="1" s="189">
      <c r="A363" s="289" t="n"/>
      <c r="B363" s="290" t="n"/>
      <c r="C363" s="290" t="n"/>
      <c r="D363" s="291" t="n"/>
      <c r="E363" s="291" t="n"/>
      <c r="F363" s="291" t="n"/>
      <c r="G363" s="293" t="n"/>
      <c r="H363" s="293" t="n"/>
      <c r="I363" s="293" t="n"/>
      <c r="J363" s="293" t="n"/>
    </row>
    <row r="364" ht="13" customHeight="1" s="189">
      <c r="A364" s="289" t="n"/>
      <c r="B364" s="290" t="n"/>
      <c r="C364" s="290" t="n"/>
      <c r="D364" s="291" t="n"/>
      <c r="E364" s="291" t="n"/>
      <c r="F364" s="291" t="n"/>
      <c r="G364" s="293" t="n"/>
      <c r="H364" s="293" t="n"/>
      <c r="I364" s="293" t="n"/>
      <c r="J364" s="293" t="n"/>
    </row>
    <row r="365" ht="13" customHeight="1" s="189">
      <c r="A365" s="289" t="n"/>
      <c r="B365" s="290" t="n"/>
      <c r="C365" s="290" t="n"/>
      <c r="D365" s="291" t="n"/>
      <c r="E365" s="291" t="n"/>
      <c r="F365" s="291" t="n"/>
      <c r="G365" s="293" t="n"/>
      <c r="H365" s="293" t="n"/>
      <c r="I365" s="293" t="n"/>
      <c r="J365" s="293" t="n"/>
    </row>
    <row r="366" ht="13" customHeight="1" s="189">
      <c r="A366" s="289" t="n"/>
      <c r="B366" s="290" t="n"/>
      <c r="C366" s="290" t="n"/>
      <c r="D366" s="291" t="n"/>
      <c r="E366" s="291" t="n"/>
      <c r="F366" s="291" t="n"/>
      <c r="G366" s="293" t="n"/>
      <c r="H366" s="293" t="n"/>
      <c r="I366" s="293" t="n"/>
      <c r="J366" s="293" t="n"/>
    </row>
    <row r="367" ht="13" customHeight="1" s="189">
      <c r="A367" s="289" t="n"/>
      <c r="B367" s="290" t="n"/>
      <c r="C367" s="290" t="n"/>
      <c r="D367" s="291" t="n"/>
      <c r="E367" s="291" t="n"/>
      <c r="F367" s="291" t="n"/>
      <c r="G367" s="293" t="n"/>
      <c r="H367" s="293" t="n"/>
      <c r="I367" s="293" t="n"/>
      <c r="J367" s="293" t="n"/>
    </row>
    <row r="368" ht="13" customHeight="1" s="189">
      <c r="A368" s="289" t="n"/>
      <c r="B368" s="290" t="n"/>
      <c r="C368" s="290" t="n"/>
      <c r="D368" s="291" t="n"/>
      <c r="E368" s="291" t="n"/>
      <c r="F368" s="291" t="n"/>
      <c r="G368" s="293" t="n"/>
      <c r="H368" s="293" t="n"/>
      <c r="I368" s="293" t="n"/>
      <c r="J368" s="293" t="n"/>
    </row>
    <row r="369" ht="13" customHeight="1" s="189">
      <c r="A369" s="289" t="n"/>
      <c r="B369" s="290" t="n"/>
      <c r="C369" s="290" t="n"/>
      <c r="D369" s="291" t="n"/>
      <c r="E369" s="291" t="n"/>
      <c r="F369" s="291" t="n"/>
      <c r="G369" s="293" t="n"/>
      <c r="H369" s="293" t="n"/>
      <c r="I369" s="293" t="n"/>
      <c r="J369" s="293" t="n"/>
    </row>
    <row r="370" ht="13" customHeight="1" s="189">
      <c r="A370" s="289" t="n"/>
      <c r="B370" s="290" t="n"/>
      <c r="C370" s="290" t="n"/>
      <c r="D370" s="291" t="n"/>
      <c r="E370" s="291" t="n"/>
      <c r="F370" s="291" t="n"/>
      <c r="G370" s="293" t="n"/>
      <c r="H370" s="293" t="n"/>
      <c r="I370" s="293" t="n"/>
      <c r="J370" s="293" t="n"/>
    </row>
    <row r="371" ht="13" customHeight="1" s="189">
      <c r="A371" s="289" t="n"/>
      <c r="B371" s="290" t="n"/>
      <c r="C371" s="290" t="n"/>
      <c r="D371" s="291" t="n"/>
      <c r="E371" s="291" t="n"/>
      <c r="F371" s="291" t="n"/>
      <c r="G371" s="293" t="n"/>
      <c r="H371" s="293" t="n"/>
      <c r="I371" s="293" t="n"/>
      <c r="J371" s="293" t="n"/>
    </row>
    <row r="372" ht="13" customHeight="1" s="189">
      <c r="A372" s="289" t="n"/>
      <c r="B372" s="290" t="n"/>
      <c r="C372" s="290" t="n"/>
      <c r="D372" s="291" t="n"/>
      <c r="E372" s="291" t="n"/>
      <c r="F372" s="291" t="n"/>
      <c r="G372" s="293" t="n"/>
      <c r="H372" s="293" t="n"/>
      <c r="I372" s="293" t="n"/>
      <c r="J372" s="293" t="n"/>
    </row>
    <row r="373" ht="13" customHeight="1" s="189">
      <c r="A373" s="289" t="n"/>
      <c r="B373" s="290" t="n"/>
      <c r="C373" s="290" t="n"/>
      <c r="D373" s="291" t="n"/>
      <c r="E373" s="291" t="n"/>
      <c r="F373" s="291" t="n"/>
      <c r="G373" s="293" t="n"/>
      <c r="H373" s="293" t="n"/>
      <c r="I373" s="293" t="n"/>
      <c r="J373" s="293" t="n"/>
    </row>
    <row r="374" ht="13" customHeight="1" s="189">
      <c r="A374" s="289" t="n"/>
      <c r="B374" s="290" t="n"/>
      <c r="C374" s="290" t="n"/>
      <c r="D374" s="291" t="n"/>
      <c r="E374" s="291" t="n"/>
      <c r="F374" s="291" t="n"/>
      <c r="G374" s="293" t="n"/>
      <c r="H374" s="293" t="n"/>
      <c r="I374" s="293" t="n"/>
      <c r="J374" s="293" t="n"/>
    </row>
    <row r="375" ht="13" customHeight="1" s="189">
      <c r="A375" s="289" t="n"/>
      <c r="B375" s="290" t="n"/>
      <c r="C375" s="290" t="n"/>
      <c r="D375" s="291" t="n"/>
      <c r="E375" s="291" t="n"/>
      <c r="F375" s="291" t="n"/>
      <c r="G375" s="293" t="n"/>
      <c r="H375" s="293" t="n"/>
      <c r="I375" s="293" t="n"/>
      <c r="J375" s="293" t="n"/>
    </row>
    <row r="376" ht="13" customHeight="1" s="189">
      <c r="A376" s="289" t="n"/>
      <c r="B376" s="290" t="n"/>
      <c r="C376" s="290" t="n"/>
      <c r="D376" s="291" t="n"/>
      <c r="E376" s="291" t="n"/>
      <c r="F376" s="291" t="n"/>
      <c r="G376" s="293" t="n"/>
      <c r="H376" s="293" t="n"/>
      <c r="I376" s="293" t="n"/>
      <c r="J376" s="293" t="n"/>
    </row>
    <row r="377" ht="13" customHeight="1" s="189">
      <c r="A377" s="289" t="n"/>
      <c r="B377" s="290" t="n"/>
      <c r="C377" s="290" t="n"/>
      <c r="D377" s="291" t="n"/>
      <c r="E377" s="291" t="n"/>
      <c r="F377" s="291" t="n"/>
      <c r="G377" s="293" t="n"/>
      <c r="H377" s="293" t="n"/>
      <c r="I377" s="293" t="n"/>
      <c r="J377" s="293" t="n"/>
    </row>
    <row r="378" ht="13" customHeight="1" s="189">
      <c r="A378" s="289" t="n"/>
      <c r="B378" s="290" t="n"/>
      <c r="C378" s="290" t="n"/>
      <c r="D378" s="291" t="n"/>
      <c r="E378" s="291" t="n"/>
      <c r="F378" s="291" t="n"/>
      <c r="G378" s="293" t="n"/>
      <c r="H378" s="293" t="n"/>
      <c r="I378" s="293" t="n"/>
      <c r="J378" s="293" t="n"/>
    </row>
    <row r="379" ht="13" customHeight="1" s="189">
      <c r="A379" s="289" t="n"/>
      <c r="B379" s="290" t="n"/>
      <c r="C379" s="290" t="n"/>
      <c r="D379" s="291" t="n"/>
      <c r="E379" s="291" t="n"/>
      <c r="F379" s="291" t="n"/>
      <c r="G379" s="293" t="n"/>
      <c r="H379" s="293" t="n"/>
      <c r="I379" s="293" t="n"/>
      <c r="J379" s="293" t="n"/>
    </row>
    <row r="380" ht="13" customHeight="1" s="189">
      <c r="A380" s="289" t="n"/>
      <c r="B380" s="290" t="n"/>
      <c r="C380" s="290" t="n"/>
      <c r="D380" s="291" t="n"/>
      <c r="E380" s="291" t="n"/>
      <c r="F380" s="291" t="n"/>
      <c r="G380" s="293" t="n"/>
      <c r="H380" s="293" t="n"/>
      <c r="I380" s="293" t="n"/>
      <c r="J380" s="293" t="n"/>
    </row>
    <row r="381" ht="13" customHeight="1" s="189">
      <c r="A381" s="289" t="n"/>
      <c r="B381" s="290" t="n"/>
      <c r="C381" s="290" t="n"/>
      <c r="D381" s="291" t="n"/>
      <c r="E381" s="291" t="n"/>
      <c r="F381" s="291" t="n"/>
      <c r="G381" s="293" t="n"/>
      <c r="H381" s="293" t="n"/>
      <c r="I381" s="293" t="n"/>
      <c r="J381" s="293" t="n"/>
    </row>
    <row r="382" ht="13" customHeight="1" s="189">
      <c r="A382" s="289" t="n"/>
      <c r="B382" s="290" t="n"/>
      <c r="C382" s="290" t="n"/>
      <c r="D382" s="291" t="n"/>
      <c r="E382" s="291" t="n"/>
      <c r="F382" s="291" t="n"/>
      <c r="G382" s="293" t="n"/>
      <c r="H382" s="293" t="n"/>
      <c r="I382" s="293" t="n"/>
      <c r="J382" s="293" t="n"/>
    </row>
    <row r="383" ht="13" customHeight="1" s="189">
      <c r="A383" s="289" t="n"/>
      <c r="B383" s="290" t="n"/>
      <c r="C383" s="290" t="n"/>
      <c r="D383" s="291" t="n"/>
      <c r="E383" s="291" t="n"/>
      <c r="F383" s="291" t="n"/>
      <c r="G383" s="293" t="n"/>
      <c r="H383" s="293" t="n"/>
      <c r="I383" s="293" t="n"/>
      <c r="J383" s="293" t="n"/>
    </row>
    <row r="384" ht="13" customHeight="1" s="189">
      <c r="A384" s="289" t="n"/>
      <c r="B384" s="290" t="n"/>
      <c r="C384" s="290" t="n"/>
      <c r="D384" s="291" t="n"/>
      <c r="E384" s="291" t="n"/>
      <c r="F384" s="291" t="n"/>
      <c r="G384" s="293" t="n"/>
      <c r="H384" s="293" t="n"/>
      <c r="I384" s="293" t="n"/>
      <c r="J384" s="293" t="n"/>
    </row>
    <row r="385" ht="13" customHeight="1" s="189">
      <c r="A385" s="289" t="n"/>
      <c r="B385" s="290" t="n"/>
      <c r="C385" s="290" t="n"/>
      <c r="D385" s="291" t="n"/>
      <c r="E385" s="291" t="n"/>
      <c r="F385" s="291" t="n"/>
      <c r="G385" s="293" t="n"/>
      <c r="H385" s="293" t="n"/>
      <c r="I385" s="293" t="n"/>
      <c r="J385" s="293" t="n"/>
    </row>
    <row r="386" ht="13" customHeight="1" s="189">
      <c r="A386" s="289" t="n"/>
      <c r="B386" s="290" t="n"/>
      <c r="C386" s="290" t="n"/>
      <c r="D386" s="291" t="n"/>
      <c r="E386" s="291" t="n"/>
      <c r="F386" s="291" t="n"/>
      <c r="G386" s="293" t="n"/>
      <c r="H386" s="293" t="n"/>
      <c r="I386" s="293" t="n"/>
      <c r="J386" s="293" t="n"/>
    </row>
    <row r="387" ht="13" customHeight="1" s="189">
      <c r="A387" s="289" t="n"/>
      <c r="B387" s="290" t="n"/>
      <c r="C387" s="290" t="n"/>
      <c r="D387" s="291" t="n"/>
      <c r="E387" s="291" t="n"/>
      <c r="F387" s="291" t="n"/>
      <c r="G387" s="293" t="n"/>
      <c r="H387" s="293" t="n"/>
      <c r="I387" s="293" t="n"/>
      <c r="J387" s="293" t="n"/>
    </row>
    <row r="388" ht="13" customHeight="1" s="189">
      <c r="A388" s="289" t="n"/>
      <c r="B388" s="290" t="n"/>
      <c r="C388" s="290" t="n"/>
      <c r="D388" s="291" t="n"/>
      <c r="E388" s="291" t="n"/>
      <c r="F388" s="291" t="n"/>
      <c r="G388" s="293" t="n"/>
      <c r="H388" s="293" t="n"/>
      <c r="I388" s="293" t="n"/>
      <c r="J388" s="293" t="n"/>
    </row>
    <row r="389" ht="13" customHeight="1" s="189">
      <c r="A389" s="289" t="n"/>
      <c r="B389" s="290" t="n"/>
      <c r="C389" s="290" t="n"/>
      <c r="D389" s="291" t="n"/>
      <c r="E389" s="291" t="n"/>
      <c r="F389" s="291" t="n"/>
      <c r="G389" s="293" t="n"/>
      <c r="H389" s="293" t="n"/>
      <c r="I389" s="293" t="n"/>
      <c r="J389" s="293" t="n"/>
    </row>
    <row r="390" ht="13" customHeight="1" s="189">
      <c r="A390" s="289" t="n"/>
      <c r="B390" s="290" t="n"/>
      <c r="C390" s="290" t="n"/>
      <c r="D390" s="291" t="n"/>
      <c r="E390" s="291" t="n"/>
      <c r="F390" s="291" t="n"/>
      <c r="G390" s="293" t="n"/>
      <c r="H390" s="293" t="n"/>
      <c r="I390" s="293" t="n"/>
      <c r="J390" s="293" t="n"/>
    </row>
    <row r="391" ht="13" customHeight="1" s="189">
      <c r="A391" s="289" t="n"/>
      <c r="B391" s="290" t="n"/>
      <c r="C391" s="290" t="n"/>
      <c r="D391" s="291" t="n"/>
      <c r="E391" s="291" t="n"/>
      <c r="F391" s="291" t="n"/>
      <c r="G391" s="293" t="n"/>
      <c r="H391" s="293" t="n"/>
      <c r="I391" s="293" t="n"/>
      <c r="J391" s="293" t="n"/>
    </row>
    <row r="392" ht="13" customHeight="1" s="189">
      <c r="A392" s="289" t="n"/>
      <c r="B392" s="290" t="n"/>
      <c r="C392" s="290" t="n"/>
      <c r="D392" s="291" t="n"/>
      <c r="E392" s="291" t="n"/>
      <c r="F392" s="291" t="n"/>
      <c r="G392" s="293" t="n"/>
      <c r="H392" s="293" t="n"/>
      <c r="I392" s="293" t="n"/>
      <c r="J392" s="293" t="n"/>
    </row>
    <row r="393" ht="13" customHeight="1" s="189">
      <c r="A393" s="289" t="n"/>
      <c r="B393" s="290" t="n"/>
      <c r="C393" s="290" t="n"/>
      <c r="D393" s="291" t="n"/>
      <c r="E393" s="291" t="n"/>
      <c r="F393" s="291" t="n"/>
      <c r="G393" s="293" t="n"/>
      <c r="H393" s="293" t="n"/>
      <c r="I393" s="293" t="n"/>
      <c r="J393" s="293" t="n"/>
    </row>
    <row r="394" ht="13" customHeight="1" s="189">
      <c r="A394" s="289" t="n"/>
      <c r="B394" s="290" t="n"/>
      <c r="C394" s="290" t="n"/>
      <c r="D394" s="291" t="n"/>
      <c r="E394" s="291" t="n"/>
      <c r="F394" s="291" t="n"/>
      <c r="G394" s="293" t="n"/>
      <c r="H394" s="293" t="n"/>
      <c r="I394" s="293" t="n"/>
      <c r="J394" s="293" t="n"/>
    </row>
    <row r="395" ht="13" customHeight="1" s="189">
      <c r="A395" s="289" t="n"/>
      <c r="B395" s="290" t="n"/>
      <c r="C395" s="290" t="n"/>
      <c r="D395" s="291" t="n"/>
      <c r="E395" s="291" t="n"/>
      <c r="F395" s="291" t="n"/>
      <c r="G395" s="293" t="n"/>
      <c r="H395" s="293" t="n"/>
      <c r="I395" s="293" t="n"/>
      <c r="J395" s="293" t="n"/>
    </row>
    <row r="396" ht="13" customHeight="1" s="189">
      <c r="A396" s="289" t="n"/>
      <c r="B396" s="290" t="n"/>
      <c r="C396" s="290" t="n"/>
      <c r="D396" s="291" t="n"/>
      <c r="E396" s="291" t="n"/>
      <c r="F396" s="291" t="n"/>
      <c r="G396" s="293" t="n"/>
      <c r="H396" s="293" t="n"/>
      <c r="I396" s="293" t="n"/>
      <c r="J396" s="293" t="n"/>
    </row>
    <row r="397" ht="13" customHeight="1" s="189">
      <c r="A397" s="289" t="n"/>
      <c r="B397" s="290" t="n"/>
      <c r="C397" s="290" t="n"/>
      <c r="D397" s="291" t="n"/>
      <c r="E397" s="291" t="n"/>
      <c r="F397" s="291" t="n"/>
      <c r="G397" s="293" t="n"/>
      <c r="H397" s="293" t="n"/>
      <c r="I397" s="293" t="n"/>
      <c r="J397" s="293" t="n"/>
    </row>
    <row r="398" ht="13" customHeight="1" s="189">
      <c r="A398" s="289" t="n"/>
      <c r="B398" s="290" t="n"/>
      <c r="C398" s="290" t="n"/>
      <c r="D398" s="291" t="n"/>
      <c r="E398" s="291" t="n"/>
      <c r="F398" s="291" t="n"/>
      <c r="G398" s="293" t="n"/>
      <c r="H398" s="293" t="n"/>
      <c r="I398" s="293" t="n"/>
      <c r="J398" s="293" t="n"/>
    </row>
    <row r="399" ht="13" customHeight="1" s="189">
      <c r="A399" s="289" t="n"/>
      <c r="B399" s="290" t="n"/>
      <c r="C399" s="290" t="n"/>
      <c r="D399" s="291" t="n"/>
      <c r="E399" s="291" t="n"/>
      <c r="F399" s="291" t="n"/>
      <c r="G399" s="293" t="n"/>
      <c r="H399" s="293" t="n"/>
      <c r="I399" s="293" t="n"/>
      <c r="J399" s="293" t="n"/>
    </row>
    <row r="400" ht="13" customHeight="1" s="189">
      <c r="A400" s="289" t="n"/>
      <c r="B400" s="290" t="n"/>
      <c r="C400" s="290" t="n"/>
      <c r="D400" s="291" t="n"/>
      <c r="E400" s="291" t="n"/>
      <c r="F400" s="291" t="n"/>
      <c r="G400" s="293" t="n"/>
      <c r="H400" s="293" t="n"/>
      <c r="I400" s="293" t="n"/>
      <c r="J400" s="293" t="n"/>
    </row>
    <row r="401" ht="13" customHeight="1" s="189">
      <c r="A401" s="289" t="n"/>
      <c r="B401" s="290" t="n"/>
      <c r="C401" s="290" t="n"/>
      <c r="D401" s="291" t="n"/>
      <c r="E401" s="291" t="n"/>
      <c r="F401" s="291" t="n"/>
      <c r="G401" s="293" t="n"/>
      <c r="H401" s="293" t="n"/>
      <c r="I401" s="293" t="n"/>
      <c r="J401" s="293" t="n"/>
    </row>
    <row r="402" ht="13" customHeight="1" s="189">
      <c r="A402" s="289" t="n"/>
      <c r="B402" s="290" t="n"/>
      <c r="C402" s="290" t="n"/>
      <c r="D402" s="291" t="n"/>
      <c r="E402" s="291" t="n"/>
      <c r="F402" s="291" t="n"/>
      <c r="G402" s="293" t="n"/>
      <c r="H402" s="293" t="n"/>
      <c r="I402" s="293" t="n"/>
      <c r="J402" s="293" t="n"/>
    </row>
    <row r="403" ht="13" customHeight="1" s="189">
      <c r="A403" s="289" t="n"/>
      <c r="B403" s="290" t="n"/>
      <c r="C403" s="290" t="n"/>
      <c r="D403" s="291" t="n"/>
      <c r="E403" s="291" t="n"/>
      <c r="F403" s="291" t="n"/>
      <c r="G403" s="293" t="n"/>
      <c r="H403" s="293" t="n"/>
      <c r="I403" s="293" t="n"/>
      <c r="J403" s="293" t="n"/>
    </row>
    <row r="404" ht="13" customHeight="1" s="189">
      <c r="A404" s="289" t="n"/>
      <c r="B404" s="290" t="n"/>
      <c r="C404" s="290" t="n"/>
      <c r="D404" s="291" t="n"/>
      <c r="E404" s="291" t="n"/>
      <c r="F404" s="291" t="n"/>
      <c r="G404" s="293" t="n"/>
      <c r="H404" s="293" t="n"/>
      <c r="I404" s="293" t="n"/>
      <c r="J404" s="293" t="n"/>
    </row>
    <row r="405" ht="13" customHeight="1" s="189">
      <c r="A405" s="289" t="n"/>
      <c r="B405" s="290" t="n"/>
      <c r="C405" s="290" t="n"/>
      <c r="D405" s="291" t="n"/>
      <c r="E405" s="291" t="n"/>
      <c r="F405" s="291" t="n"/>
      <c r="G405" s="293" t="n"/>
      <c r="H405" s="293" t="n"/>
      <c r="I405" s="293" t="n"/>
      <c r="J405" s="293" t="n"/>
    </row>
    <row r="406" ht="13" customHeight="1" s="189">
      <c r="A406" s="289" t="n"/>
      <c r="B406" s="290" t="n"/>
      <c r="C406" s="290" t="n"/>
      <c r="D406" s="291" t="n"/>
      <c r="E406" s="291" t="n"/>
      <c r="F406" s="291" t="n"/>
      <c r="G406" s="293" t="n"/>
      <c r="H406" s="293" t="n"/>
      <c r="I406" s="293" t="n"/>
      <c r="J406" s="293" t="n"/>
    </row>
    <row r="407" ht="13" customHeight="1" s="189">
      <c r="A407" s="289" t="n"/>
      <c r="B407" s="290" t="n"/>
      <c r="C407" s="290" t="n"/>
      <c r="D407" s="291" t="n"/>
      <c r="E407" s="291" t="n"/>
      <c r="F407" s="291" t="n"/>
      <c r="G407" s="293" t="n"/>
      <c r="H407" s="293" t="n"/>
      <c r="I407" s="293" t="n"/>
      <c r="J407" s="293" t="n"/>
    </row>
    <row r="408" ht="13" customHeight="1" s="189">
      <c r="A408" s="289" t="n"/>
      <c r="B408" s="290" t="n"/>
      <c r="C408" s="290" t="n"/>
      <c r="D408" s="291" t="n"/>
      <c r="E408" s="291" t="n"/>
      <c r="F408" s="291" t="n"/>
      <c r="G408" s="293" t="n"/>
      <c r="H408" s="293" t="n"/>
      <c r="I408" s="293" t="n"/>
      <c r="J408" s="293" t="n"/>
    </row>
    <row r="409" ht="13" customHeight="1" s="189">
      <c r="A409" s="289" t="n"/>
      <c r="B409" s="290" t="n"/>
      <c r="C409" s="290" t="n"/>
      <c r="D409" s="291" t="n"/>
      <c r="E409" s="291" t="n"/>
      <c r="F409" s="291" t="n"/>
      <c r="G409" s="293" t="n"/>
      <c r="H409" s="293" t="n"/>
      <c r="I409" s="293" t="n"/>
      <c r="J409" s="293" t="n"/>
    </row>
    <row r="410" ht="13" customHeight="1" s="189">
      <c r="A410" s="289" t="n"/>
      <c r="B410" s="290" t="n"/>
      <c r="C410" s="290" t="n"/>
      <c r="D410" s="291" t="n"/>
      <c r="E410" s="291" t="n"/>
      <c r="F410" s="291" t="n"/>
      <c r="G410" s="293" t="n"/>
      <c r="H410" s="293" t="n"/>
      <c r="I410" s="293" t="n"/>
      <c r="J410" s="293" t="n"/>
    </row>
    <row r="411" ht="13" customHeight="1" s="189">
      <c r="A411" s="289" t="n"/>
      <c r="B411" s="290" t="n"/>
      <c r="C411" s="290" t="n"/>
      <c r="D411" s="291" t="n"/>
      <c r="E411" s="291" t="n"/>
      <c r="F411" s="291" t="n"/>
      <c r="G411" s="293" t="n"/>
      <c r="H411" s="293" t="n"/>
      <c r="I411" s="293" t="n"/>
      <c r="J411" s="293" t="n"/>
    </row>
    <row r="412" ht="13" customHeight="1" s="189">
      <c r="A412" s="289" t="n"/>
      <c r="B412" s="290" t="n"/>
      <c r="C412" s="290" t="n"/>
      <c r="D412" s="291" t="n"/>
      <c r="E412" s="291" t="n"/>
      <c r="F412" s="291" t="n"/>
      <c r="G412" s="293" t="n"/>
      <c r="H412" s="293" t="n"/>
      <c r="I412" s="293" t="n"/>
      <c r="J412" s="293" t="n"/>
    </row>
    <row r="413" ht="13" customHeight="1" s="189">
      <c r="A413" s="289" t="n"/>
      <c r="B413" s="290" t="n"/>
      <c r="C413" s="290" t="n"/>
      <c r="D413" s="291" t="n"/>
      <c r="E413" s="291" t="n"/>
      <c r="F413" s="291" t="n"/>
      <c r="G413" s="293" t="n"/>
      <c r="H413" s="293" t="n"/>
      <c r="I413" s="293" t="n"/>
      <c r="J413" s="293" t="n"/>
    </row>
    <row r="414" ht="13" customHeight="1" s="189">
      <c r="A414" s="289" t="n"/>
      <c r="B414" s="290" t="n"/>
      <c r="C414" s="290" t="n"/>
      <c r="D414" s="291" t="n"/>
      <c r="E414" s="291" t="n"/>
      <c r="F414" s="291" t="n"/>
      <c r="G414" s="293" t="n"/>
      <c r="H414" s="293" t="n"/>
      <c r="I414" s="293" t="n"/>
      <c r="J414" s="293" t="n"/>
    </row>
    <row r="415" ht="13" customHeight="1" s="189">
      <c r="A415" s="289" t="n"/>
      <c r="B415" s="290" t="n"/>
      <c r="C415" s="290" t="n"/>
      <c r="D415" s="291" t="n"/>
      <c r="E415" s="291" t="n"/>
      <c r="F415" s="291" t="n"/>
      <c r="G415" s="293" t="n"/>
      <c r="H415" s="293" t="n"/>
      <c r="I415" s="293" t="n"/>
      <c r="J415" s="293" t="n"/>
    </row>
    <row r="416" ht="13" customHeight="1" s="189">
      <c r="A416" s="289" t="n"/>
      <c r="B416" s="290" t="n"/>
      <c r="C416" s="290" t="n"/>
      <c r="D416" s="291" t="n"/>
      <c r="E416" s="291" t="n"/>
      <c r="F416" s="291" t="n"/>
      <c r="G416" s="293" t="n"/>
      <c r="H416" s="293" t="n"/>
      <c r="I416" s="293" t="n"/>
      <c r="J416" s="293" t="n"/>
    </row>
    <row r="417" ht="13" customHeight="1" s="189">
      <c r="A417" s="289" t="n"/>
      <c r="B417" s="290" t="n"/>
      <c r="C417" s="290" t="n"/>
      <c r="D417" s="291" t="n"/>
      <c r="E417" s="291" t="n"/>
      <c r="F417" s="291" t="n"/>
      <c r="G417" s="293" t="n"/>
      <c r="H417" s="293" t="n"/>
      <c r="I417" s="293" t="n"/>
      <c r="J417" s="293" t="n"/>
    </row>
    <row r="418" ht="13" customHeight="1" s="189">
      <c r="A418" s="289" t="n"/>
      <c r="B418" s="290" t="n"/>
      <c r="C418" s="290" t="n"/>
      <c r="D418" s="291" t="n"/>
      <c r="E418" s="291" t="n"/>
      <c r="F418" s="291" t="n"/>
      <c r="G418" s="293" t="n"/>
      <c r="H418" s="293" t="n"/>
      <c r="I418" s="293" t="n"/>
      <c r="J418" s="293" t="n"/>
    </row>
    <row r="419" ht="13" customHeight="1" s="189">
      <c r="A419" s="289" t="n"/>
      <c r="B419" s="290" t="n"/>
      <c r="C419" s="290" t="n"/>
      <c r="D419" s="291" t="n"/>
      <c r="E419" s="291" t="n"/>
      <c r="F419" s="291" t="n"/>
      <c r="G419" s="293" t="n"/>
      <c r="H419" s="293" t="n"/>
      <c r="I419" s="293" t="n"/>
      <c r="J419" s="293" t="n"/>
    </row>
    <row r="420" ht="13" customHeight="1" s="189">
      <c r="A420" s="289" t="n"/>
      <c r="B420" s="290" t="n"/>
      <c r="C420" s="290" t="n"/>
      <c r="D420" s="291" t="n"/>
      <c r="E420" s="291" t="n"/>
      <c r="F420" s="291" t="n"/>
      <c r="G420" s="293" t="n"/>
      <c r="H420" s="293" t="n"/>
      <c r="I420" s="293" t="n"/>
      <c r="J420" s="293" t="n"/>
    </row>
    <row r="421" ht="13" customHeight="1" s="189">
      <c r="A421" s="289" t="n"/>
      <c r="B421" s="290" t="n"/>
      <c r="C421" s="290" t="n"/>
      <c r="D421" s="291" t="n"/>
      <c r="E421" s="291" t="n"/>
      <c r="F421" s="291" t="n"/>
      <c r="G421" s="293" t="n"/>
      <c r="H421" s="293" t="n"/>
      <c r="I421" s="293" t="n"/>
      <c r="J421" s="293" t="n"/>
    </row>
    <row r="422" ht="13" customHeight="1" s="189">
      <c r="A422" s="289" t="n"/>
      <c r="B422" s="290" t="n"/>
      <c r="C422" s="290" t="n"/>
      <c r="D422" s="291" t="n"/>
      <c r="E422" s="291" t="n"/>
      <c r="F422" s="291" t="n"/>
      <c r="G422" s="293" t="n"/>
      <c r="H422" s="293" t="n"/>
      <c r="I422" s="293" t="n"/>
      <c r="J422" s="293" t="n"/>
    </row>
    <row r="423" ht="13" customHeight="1" s="189">
      <c r="A423" s="289" t="n"/>
      <c r="B423" s="290" t="n"/>
      <c r="C423" s="290" t="n"/>
      <c r="D423" s="291" t="n"/>
      <c r="E423" s="291" t="n"/>
      <c r="F423" s="291" t="n"/>
      <c r="G423" s="293" t="n"/>
      <c r="H423" s="293" t="n"/>
      <c r="I423" s="293" t="n"/>
      <c r="J423" s="293" t="n"/>
    </row>
    <row r="424" ht="13" customHeight="1" s="189">
      <c r="A424" s="289" t="n"/>
      <c r="B424" s="290" t="n"/>
      <c r="C424" s="290" t="n"/>
      <c r="D424" s="291" t="n"/>
      <c r="E424" s="291" t="n"/>
      <c r="F424" s="291" t="n"/>
      <c r="G424" s="293" t="n"/>
      <c r="H424" s="293" t="n"/>
      <c r="I424" s="293" t="n"/>
      <c r="J424" s="293" t="n"/>
    </row>
    <row r="425" ht="13" customHeight="1" s="189">
      <c r="A425" s="289" t="n"/>
      <c r="B425" s="290" t="n"/>
      <c r="C425" s="290" t="n"/>
      <c r="D425" s="291" t="n"/>
      <c r="E425" s="291" t="n"/>
      <c r="F425" s="291" t="n"/>
      <c r="G425" s="293" t="n"/>
      <c r="H425" s="293" t="n"/>
      <c r="I425" s="293" t="n"/>
      <c r="J425" s="293" t="n"/>
    </row>
    <row r="426" ht="13" customHeight="1" s="189">
      <c r="A426" s="289" t="n"/>
      <c r="B426" s="290" t="n"/>
      <c r="C426" s="290" t="n"/>
      <c r="D426" s="291" t="n"/>
      <c r="E426" s="291" t="n"/>
      <c r="F426" s="291" t="n"/>
      <c r="G426" s="293" t="n"/>
      <c r="H426" s="293" t="n"/>
      <c r="I426" s="293" t="n"/>
      <c r="J426" s="293" t="n"/>
    </row>
    <row r="427" ht="13" customHeight="1" s="189">
      <c r="A427" s="289" t="n"/>
      <c r="B427" s="290" t="n"/>
      <c r="C427" s="290" t="n"/>
      <c r="D427" s="291" t="n"/>
      <c r="E427" s="291" t="n"/>
      <c r="F427" s="291" t="n"/>
      <c r="G427" s="293" t="n"/>
      <c r="H427" s="293" t="n"/>
      <c r="I427" s="293" t="n"/>
      <c r="J427" s="293" t="n"/>
    </row>
    <row r="428" ht="13" customHeight="1" s="189">
      <c r="A428" s="289" t="n"/>
      <c r="B428" s="290" t="n"/>
      <c r="C428" s="290" t="n"/>
      <c r="D428" s="291" t="n"/>
      <c r="E428" s="291" t="n"/>
      <c r="F428" s="291" t="n"/>
      <c r="G428" s="293" t="n"/>
      <c r="H428" s="293" t="n"/>
      <c r="I428" s="293" t="n"/>
      <c r="J428" s="293" t="n"/>
    </row>
    <row r="429" ht="13" customHeight="1" s="189">
      <c r="A429" s="289" t="n"/>
      <c r="B429" s="290" t="n"/>
      <c r="C429" s="290" t="n"/>
      <c r="D429" s="291" t="n"/>
      <c r="E429" s="291" t="n"/>
      <c r="F429" s="291" t="n"/>
      <c r="G429" s="293" t="n"/>
      <c r="H429" s="293" t="n"/>
      <c r="I429" s="293" t="n"/>
      <c r="J429" s="293" t="n"/>
    </row>
    <row r="430" ht="13" customHeight="1" s="189">
      <c r="A430" s="289" t="n"/>
      <c r="B430" s="290" t="n"/>
      <c r="C430" s="290" t="n"/>
      <c r="D430" s="291" t="n"/>
      <c r="E430" s="291" t="n"/>
      <c r="F430" s="291" t="n"/>
      <c r="G430" s="293" t="n"/>
      <c r="H430" s="293" t="n"/>
      <c r="I430" s="293" t="n"/>
      <c r="J430" s="293" t="n"/>
    </row>
    <row r="431" ht="13" customHeight="1" s="189">
      <c r="A431" s="289" t="n"/>
      <c r="B431" s="290" t="n"/>
      <c r="C431" s="290" t="n"/>
      <c r="D431" s="291" t="n"/>
      <c r="E431" s="291" t="n"/>
      <c r="F431" s="291" t="n"/>
      <c r="G431" s="293" t="n"/>
      <c r="H431" s="293" t="n"/>
      <c r="I431" s="293" t="n"/>
      <c r="J431" s="293" t="n"/>
    </row>
    <row r="432" ht="13" customHeight="1" s="189">
      <c r="A432" s="289" t="n"/>
      <c r="B432" s="290" t="n"/>
      <c r="C432" s="290" t="n"/>
      <c r="D432" s="291" t="n"/>
      <c r="E432" s="291" t="n"/>
      <c r="F432" s="291" t="n"/>
      <c r="G432" s="293" t="n"/>
      <c r="H432" s="293" t="n"/>
      <c r="I432" s="293" t="n"/>
      <c r="J432" s="293" t="n"/>
    </row>
    <row r="433" ht="13" customHeight="1" s="189">
      <c r="A433" s="289" t="n"/>
      <c r="B433" s="290" t="n"/>
      <c r="C433" s="290" t="n"/>
      <c r="D433" s="291" t="n"/>
      <c r="E433" s="291" t="n"/>
      <c r="F433" s="291" t="n"/>
      <c r="G433" s="293" t="n"/>
      <c r="H433" s="293" t="n"/>
      <c r="I433" s="293" t="n"/>
      <c r="J433" s="293" t="n"/>
    </row>
    <row r="434" ht="13" customHeight="1" s="189">
      <c r="A434" s="289" t="n"/>
      <c r="B434" s="290" t="n"/>
      <c r="C434" s="290" t="n"/>
      <c r="D434" s="291" t="n"/>
      <c r="E434" s="291" t="n"/>
      <c r="F434" s="291" t="n"/>
      <c r="G434" s="293" t="n"/>
      <c r="H434" s="293" t="n"/>
      <c r="I434" s="293" t="n"/>
      <c r="J434" s="293" t="n"/>
    </row>
    <row r="435" ht="13" customHeight="1" s="189">
      <c r="A435" s="289" t="n"/>
      <c r="B435" s="290" t="n"/>
      <c r="C435" s="290" t="n"/>
      <c r="D435" s="291" t="n"/>
      <c r="E435" s="291" t="n"/>
      <c r="F435" s="291" t="n"/>
      <c r="G435" s="293" t="n"/>
      <c r="H435" s="293" t="n"/>
      <c r="I435" s="293" t="n"/>
      <c r="J435" s="293" t="n"/>
    </row>
    <row r="436" ht="13" customHeight="1" s="189">
      <c r="A436" s="289" t="n"/>
      <c r="B436" s="290" t="n"/>
      <c r="C436" s="290" t="n"/>
      <c r="D436" s="291" t="n"/>
      <c r="E436" s="291" t="n"/>
      <c r="F436" s="291" t="n"/>
      <c r="G436" s="293" t="n"/>
      <c r="H436" s="293" t="n"/>
      <c r="I436" s="293" t="n"/>
      <c r="J436" s="293" t="n"/>
    </row>
    <row r="437" ht="13" customHeight="1" s="189">
      <c r="A437" s="289" t="n"/>
      <c r="B437" s="290" t="n"/>
      <c r="C437" s="290" t="n"/>
      <c r="D437" s="291" t="n"/>
      <c r="E437" s="291" t="n"/>
      <c r="F437" s="291" t="n"/>
      <c r="G437" s="293" t="n"/>
      <c r="H437" s="293" t="n"/>
      <c r="I437" s="293" t="n"/>
      <c r="J437" s="293" t="n"/>
    </row>
    <row r="438" ht="13" customHeight="1" s="189">
      <c r="A438" s="289" t="n"/>
      <c r="B438" s="290" t="n"/>
      <c r="C438" s="290" t="n"/>
      <c r="D438" s="291" t="n"/>
      <c r="E438" s="291" t="n"/>
      <c r="F438" s="291" t="n"/>
      <c r="G438" s="293" t="n"/>
      <c r="H438" s="293" t="n"/>
      <c r="I438" s="293" t="n"/>
      <c r="J438" s="293" t="n"/>
    </row>
    <row r="439" ht="13" customHeight="1" s="189">
      <c r="A439" s="289" t="n"/>
      <c r="B439" s="290" t="n"/>
      <c r="C439" s="290" t="n"/>
      <c r="D439" s="291" t="n"/>
      <c r="E439" s="291" t="n"/>
      <c r="F439" s="291" t="n"/>
      <c r="G439" s="293" t="n"/>
      <c r="H439" s="293" t="n"/>
      <c r="I439" s="293" t="n"/>
      <c r="J439" s="293" t="n"/>
    </row>
    <row r="440" ht="13" customHeight="1" s="189">
      <c r="A440" s="289" t="n"/>
      <c r="B440" s="290" t="n"/>
      <c r="C440" s="290" t="n"/>
      <c r="D440" s="291" t="n"/>
      <c r="E440" s="291" t="n"/>
      <c r="F440" s="291" t="n"/>
      <c r="G440" s="293" t="n"/>
      <c r="H440" s="293" t="n"/>
      <c r="I440" s="293" t="n"/>
      <c r="J440" s="293" t="n"/>
    </row>
    <row r="441" ht="13" customHeight="1" s="189">
      <c r="A441" s="289" t="n"/>
      <c r="B441" s="290" t="n"/>
      <c r="C441" s="290" t="n"/>
      <c r="D441" s="291" t="n"/>
      <c r="E441" s="291" t="n"/>
      <c r="F441" s="291" t="n"/>
      <c r="G441" s="293" t="n"/>
      <c r="H441" s="293" t="n"/>
      <c r="I441" s="293" t="n"/>
      <c r="J441" s="293" t="n"/>
    </row>
    <row r="442" ht="13" customHeight="1" s="189">
      <c r="A442" s="289" t="n"/>
      <c r="B442" s="290" t="n"/>
      <c r="C442" s="290" t="n"/>
      <c r="D442" s="291" t="n"/>
      <c r="E442" s="291" t="n"/>
      <c r="F442" s="291" t="n"/>
      <c r="G442" s="293" t="n"/>
      <c r="H442" s="293" t="n"/>
      <c r="I442" s="293" t="n"/>
      <c r="J442" s="293" t="n"/>
    </row>
    <row r="443" ht="13" customHeight="1" s="189">
      <c r="A443" s="289" t="n"/>
      <c r="B443" s="290" t="n"/>
      <c r="C443" s="290" t="n"/>
      <c r="D443" s="291" t="n"/>
      <c r="E443" s="291" t="n"/>
      <c r="F443" s="291" t="n"/>
      <c r="G443" s="293" t="n"/>
      <c r="H443" s="293" t="n"/>
      <c r="I443" s="293" t="n"/>
      <c r="J443" s="293" t="n"/>
    </row>
    <row r="444" ht="13" customHeight="1" s="189">
      <c r="A444" s="289" t="n"/>
      <c r="B444" s="290" t="n"/>
      <c r="C444" s="290" t="n"/>
      <c r="D444" s="291" t="n"/>
      <c r="E444" s="291" t="n"/>
      <c r="F444" s="291" t="n"/>
      <c r="G444" s="293" t="n"/>
      <c r="H444" s="293" t="n"/>
      <c r="I444" s="293" t="n"/>
      <c r="J444" s="293" t="n"/>
    </row>
    <row r="445" ht="13" customHeight="1" s="189">
      <c r="A445" s="289" t="n"/>
      <c r="B445" s="290" t="n"/>
      <c r="C445" s="290" t="n"/>
      <c r="D445" s="291" t="n"/>
      <c r="E445" s="291" t="n"/>
      <c r="F445" s="291" t="n"/>
      <c r="G445" s="293" t="n"/>
      <c r="H445" s="293" t="n"/>
      <c r="I445" s="293" t="n"/>
      <c r="J445" s="293" t="n"/>
    </row>
    <row r="446" ht="13" customHeight="1" s="189">
      <c r="A446" s="289" t="n"/>
      <c r="B446" s="290" t="n"/>
      <c r="C446" s="290" t="n"/>
      <c r="D446" s="291" t="n"/>
      <c r="E446" s="291" t="n"/>
      <c r="F446" s="291" t="n"/>
      <c r="G446" s="293" t="n"/>
      <c r="H446" s="293" t="n"/>
      <c r="I446" s="293" t="n"/>
      <c r="J446" s="293" t="n"/>
    </row>
    <row r="447" ht="13" customHeight="1" s="189">
      <c r="A447" s="289" t="n"/>
      <c r="B447" s="290" t="n"/>
      <c r="C447" s="290" t="n"/>
      <c r="D447" s="291" t="n"/>
      <c r="E447" s="291" t="n"/>
      <c r="F447" s="291" t="n"/>
      <c r="G447" s="293" t="n"/>
      <c r="H447" s="293" t="n"/>
      <c r="I447" s="293" t="n"/>
      <c r="J447" s="293" t="n"/>
    </row>
    <row r="448" ht="13" customHeight="1" s="189">
      <c r="A448" s="289" t="n"/>
      <c r="B448" s="290" t="n"/>
      <c r="C448" s="290" t="n"/>
      <c r="D448" s="291" t="n"/>
      <c r="E448" s="291" t="n"/>
      <c r="F448" s="291" t="n"/>
      <c r="G448" s="293" t="n"/>
      <c r="H448" s="293" t="n"/>
      <c r="I448" s="293" t="n"/>
      <c r="J448" s="293" t="n"/>
    </row>
    <row r="449" ht="13" customHeight="1" s="189">
      <c r="A449" s="289" t="n"/>
      <c r="B449" s="290" t="n"/>
      <c r="C449" s="290" t="n"/>
      <c r="D449" s="291" t="n"/>
      <c r="E449" s="291" t="n"/>
      <c r="F449" s="291" t="n"/>
      <c r="G449" s="293" t="n"/>
      <c r="H449" s="293" t="n"/>
      <c r="I449" s="293" t="n"/>
      <c r="J449" s="293" t="n"/>
    </row>
    <row r="450" ht="13" customHeight="1" s="189">
      <c r="A450" s="289" t="n"/>
      <c r="B450" s="290" t="n"/>
      <c r="C450" s="290" t="n"/>
      <c r="D450" s="291" t="n"/>
      <c r="E450" s="291" t="n"/>
      <c r="F450" s="291" t="n"/>
      <c r="G450" s="293" t="n"/>
      <c r="H450" s="293" t="n"/>
      <c r="I450" s="293" t="n"/>
      <c r="J450" s="293" t="n"/>
    </row>
    <row r="451" ht="13" customHeight="1" s="189">
      <c r="A451" s="289" t="n"/>
      <c r="B451" s="290" t="n"/>
      <c r="C451" s="290" t="n"/>
      <c r="D451" s="291" t="n"/>
      <c r="E451" s="291" t="n"/>
      <c r="F451" s="291" t="n"/>
      <c r="G451" s="293" t="n"/>
      <c r="H451" s="293" t="n"/>
      <c r="I451" s="293" t="n"/>
      <c r="J451" s="293" t="n"/>
    </row>
    <row r="452" ht="13" customHeight="1" s="189">
      <c r="A452" s="289" t="n"/>
      <c r="B452" s="290" t="n"/>
      <c r="C452" s="290" t="n"/>
      <c r="D452" s="291" t="n"/>
      <c r="E452" s="291" t="n"/>
      <c r="F452" s="291" t="n"/>
      <c r="G452" s="293" t="n"/>
      <c r="H452" s="293" t="n"/>
      <c r="I452" s="293" t="n"/>
      <c r="J452" s="293" t="n"/>
    </row>
    <row r="453" ht="13" customHeight="1" s="189">
      <c r="A453" s="289" t="n"/>
      <c r="B453" s="290" t="n"/>
      <c r="C453" s="290" t="n"/>
      <c r="D453" s="291" t="n"/>
      <c r="E453" s="291" t="n"/>
      <c r="F453" s="291" t="n"/>
      <c r="G453" s="293" t="n"/>
      <c r="H453" s="293" t="n"/>
      <c r="I453" s="293" t="n"/>
      <c r="J453" s="293" t="n"/>
    </row>
    <row r="454" ht="13" customHeight="1" s="189">
      <c r="A454" s="289" t="n"/>
      <c r="B454" s="290" t="n"/>
      <c r="C454" s="290" t="n"/>
      <c r="D454" s="291" t="n"/>
      <c r="E454" s="291" t="n"/>
      <c r="F454" s="291" t="n"/>
      <c r="G454" s="293" t="n"/>
      <c r="H454" s="293" t="n"/>
      <c r="I454" s="293" t="n"/>
      <c r="J454" s="293" t="n"/>
    </row>
    <row r="455" ht="13" customHeight="1" s="189">
      <c r="A455" s="289" t="n"/>
      <c r="B455" s="290" t="n"/>
      <c r="C455" s="290" t="n"/>
      <c r="D455" s="291" t="n"/>
      <c r="E455" s="291" t="n"/>
      <c r="F455" s="291" t="n"/>
      <c r="G455" s="293" t="n"/>
      <c r="H455" s="293" t="n"/>
      <c r="I455" s="293" t="n"/>
      <c r="J455" s="293" t="n"/>
    </row>
    <row r="456" ht="13" customHeight="1" s="189">
      <c r="A456" s="289" t="n"/>
      <c r="B456" s="290" t="n"/>
      <c r="C456" s="290" t="n"/>
      <c r="D456" s="291" t="n"/>
      <c r="E456" s="291" t="n"/>
      <c r="F456" s="291" t="n"/>
      <c r="G456" s="293" t="n"/>
      <c r="H456" s="293" t="n"/>
      <c r="I456" s="293" t="n"/>
      <c r="J456" s="293" t="n"/>
    </row>
    <row r="457" ht="13" customHeight="1" s="189">
      <c r="A457" s="289" t="n"/>
      <c r="B457" s="290" t="n"/>
      <c r="C457" s="290" t="n"/>
      <c r="D457" s="291" t="n"/>
      <c r="E457" s="291" t="n"/>
      <c r="F457" s="291" t="n"/>
      <c r="G457" s="293" t="n"/>
      <c r="H457" s="293" t="n"/>
      <c r="I457" s="293" t="n"/>
      <c r="J457" s="293" t="n"/>
    </row>
    <row r="458" ht="13" customHeight="1" s="189">
      <c r="A458" s="289" t="n"/>
      <c r="B458" s="290" t="n"/>
      <c r="C458" s="290" t="n"/>
      <c r="D458" s="291" t="n"/>
      <c r="E458" s="291" t="n"/>
      <c r="F458" s="291" t="n"/>
      <c r="G458" s="293" t="n"/>
      <c r="H458" s="293" t="n"/>
      <c r="I458" s="293" t="n"/>
      <c r="J458" s="293" t="n"/>
    </row>
    <row r="459" ht="13" customHeight="1" s="189">
      <c r="A459" s="289" t="n"/>
      <c r="B459" s="290" t="n"/>
      <c r="C459" s="290" t="n"/>
      <c r="D459" s="291" t="n"/>
      <c r="E459" s="291" t="n"/>
      <c r="F459" s="291" t="n"/>
      <c r="G459" s="293" t="n"/>
      <c r="H459" s="293" t="n"/>
      <c r="I459" s="293" t="n"/>
      <c r="J459" s="293" t="n"/>
    </row>
    <row r="460" ht="13" customHeight="1" s="189">
      <c r="A460" s="289" t="n"/>
      <c r="B460" s="290" t="n"/>
      <c r="C460" s="290" t="n"/>
      <c r="D460" s="291" t="n"/>
      <c r="E460" s="291" t="n"/>
      <c r="F460" s="291" t="n"/>
      <c r="G460" s="293" t="n"/>
      <c r="H460" s="293" t="n"/>
      <c r="I460" s="293" t="n"/>
      <c r="J460" s="293" t="n"/>
    </row>
    <row r="461" ht="13" customHeight="1" s="189">
      <c r="A461" s="289" t="n"/>
      <c r="B461" s="290" t="n"/>
      <c r="C461" s="290" t="n"/>
      <c r="D461" s="291" t="n"/>
      <c r="E461" s="291" t="n"/>
      <c r="F461" s="291" t="n"/>
      <c r="G461" s="293" t="n"/>
      <c r="H461" s="293" t="n"/>
      <c r="I461" s="293" t="n"/>
      <c r="J461" s="293" t="n"/>
    </row>
    <row r="462" ht="13" customHeight="1" s="189">
      <c r="A462" s="289" t="n"/>
      <c r="B462" s="290" t="n"/>
      <c r="C462" s="290" t="n"/>
      <c r="D462" s="291" t="n"/>
      <c r="E462" s="291" t="n"/>
      <c r="F462" s="291" t="n"/>
      <c r="G462" s="293" t="n"/>
      <c r="H462" s="293" t="n"/>
      <c r="I462" s="293" t="n"/>
      <c r="J462" s="293" t="n"/>
    </row>
    <row r="463" ht="13" customHeight="1" s="189">
      <c r="A463" s="289" t="n"/>
      <c r="B463" s="290" t="n"/>
      <c r="C463" s="290" t="n"/>
      <c r="D463" s="291" t="n"/>
      <c r="E463" s="291" t="n"/>
      <c r="F463" s="291" t="n"/>
      <c r="G463" s="293" t="n"/>
      <c r="H463" s="293" t="n"/>
      <c r="I463" s="293" t="n"/>
      <c r="J463" s="293" t="n"/>
    </row>
    <row r="464" ht="13" customHeight="1" s="189">
      <c r="A464" s="289" t="n"/>
      <c r="B464" s="290" t="n"/>
      <c r="C464" s="290" t="n"/>
      <c r="D464" s="291" t="n"/>
      <c r="E464" s="291" t="n"/>
      <c r="F464" s="291" t="n"/>
      <c r="G464" s="293" t="n"/>
      <c r="H464" s="293" t="n"/>
      <c r="I464" s="293" t="n"/>
      <c r="J464" s="293" t="n"/>
    </row>
    <row r="465" ht="13" customHeight="1" s="189">
      <c r="A465" s="289" t="n"/>
      <c r="B465" s="290" t="n"/>
      <c r="C465" s="290" t="n"/>
      <c r="D465" s="291" t="n"/>
      <c r="E465" s="291" t="n"/>
      <c r="F465" s="291" t="n"/>
      <c r="G465" s="293" t="n"/>
      <c r="H465" s="293" t="n"/>
      <c r="I465" s="293" t="n"/>
      <c r="J465" s="293" t="n"/>
    </row>
    <row r="466" ht="13" customHeight="1" s="189">
      <c r="A466" s="289" t="n"/>
      <c r="B466" s="290" t="n"/>
      <c r="C466" s="290" t="n"/>
      <c r="D466" s="291" t="n"/>
      <c r="E466" s="291" t="n"/>
      <c r="F466" s="291" t="n"/>
      <c r="G466" s="293" t="n"/>
      <c r="H466" s="293" t="n"/>
      <c r="I466" s="293" t="n"/>
      <c r="J466" s="293" t="n"/>
    </row>
    <row r="467" ht="13" customHeight="1" s="189">
      <c r="A467" s="289" t="n"/>
      <c r="B467" s="290" t="n"/>
      <c r="C467" s="290" t="n"/>
      <c r="D467" s="291" t="n"/>
      <c r="E467" s="291" t="n"/>
      <c r="F467" s="291" t="n"/>
      <c r="G467" s="293" t="n"/>
      <c r="H467" s="293" t="n"/>
      <c r="I467" s="293" t="n"/>
      <c r="J467" s="293" t="n"/>
    </row>
    <row r="468" ht="13" customHeight="1" s="189">
      <c r="A468" s="289" t="n"/>
      <c r="B468" s="290" t="n"/>
      <c r="C468" s="290" t="n"/>
      <c r="D468" s="291" t="n"/>
      <c r="E468" s="291" t="n"/>
      <c r="F468" s="291" t="n"/>
      <c r="G468" s="293" t="n"/>
      <c r="H468" s="293" t="n"/>
      <c r="I468" s="293" t="n"/>
      <c r="J468" s="293" t="n"/>
    </row>
    <row r="469" ht="13" customHeight="1" s="189">
      <c r="A469" s="289" t="n"/>
      <c r="B469" s="290" t="n"/>
      <c r="C469" s="290" t="n"/>
      <c r="D469" s="291" t="n"/>
      <c r="E469" s="291" t="n"/>
      <c r="F469" s="291" t="n"/>
      <c r="G469" s="293" t="n"/>
      <c r="H469" s="293" t="n"/>
      <c r="I469" s="293" t="n"/>
      <c r="J469" s="293" t="n"/>
    </row>
    <row r="470" ht="13" customHeight="1" s="189">
      <c r="A470" s="289" t="n"/>
      <c r="B470" s="290" t="n"/>
      <c r="C470" s="290" t="n"/>
      <c r="D470" s="291" t="n"/>
      <c r="E470" s="291" t="n"/>
      <c r="F470" s="291" t="n"/>
      <c r="G470" s="293" t="n"/>
      <c r="H470" s="293" t="n"/>
      <c r="I470" s="293" t="n"/>
      <c r="J470" s="293" t="n"/>
    </row>
    <row r="471" ht="13" customHeight="1" s="189">
      <c r="A471" s="289" t="n"/>
      <c r="B471" s="290" t="n"/>
      <c r="C471" s="290" t="n"/>
      <c r="D471" s="291" t="n"/>
      <c r="E471" s="291" t="n"/>
      <c r="F471" s="291" t="n"/>
      <c r="G471" s="293" t="n"/>
      <c r="H471" s="293" t="n"/>
      <c r="I471" s="293" t="n"/>
      <c r="J471" s="293" t="n"/>
    </row>
    <row r="472" ht="13" customHeight="1" s="189">
      <c r="A472" s="289" t="n"/>
      <c r="B472" s="290" t="n"/>
      <c r="C472" s="290" t="n"/>
      <c r="D472" s="291" t="n"/>
      <c r="E472" s="291" t="n"/>
      <c r="F472" s="291" t="n"/>
      <c r="G472" s="293" t="n"/>
      <c r="H472" s="293" t="n"/>
      <c r="I472" s="293" t="n"/>
      <c r="J472" s="293" t="n"/>
    </row>
    <row r="473" ht="13" customHeight="1" s="189">
      <c r="A473" s="289" t="n"/>
      <c r="B473" s="290" t="n"/>
      <c r="C473" s="290" t="n"/>
      <c r="D473" s="291" t="n"/>
      <c r="E473" s="291" t="n"/>
      <c r="F473" s="291" t="n"/>
      <c r="G473" s="293" t="n"/>
      <c r="H473" s="293" t="n"/>
      <c r="I473" s="293" t="n"/>
      <c r="J473" s="293" t="n"/>
    </row>
    <row r="474" ht="13" customHeight="1" s="189">
      <c r="A474" s="289" t="n"/>
      <c r="B474" s="290" t="n"/>
      <c r="C474" s="290" t="n"/>
      <c r="D474" s="291" t="n"/>
      <c r="E474" s="291" t="n"/>
      <c r="F474" s="291" t="n"/>
      <c r="G474" s="293" t="n"/>
      <c r="H474" s="293" t="n"/>
      <c r="I474" s="293" t="n"/>
      <c r="J474" s="293" t="n"/>
    </row>
    <row r="475" ht="13" customHeight="1" s="189">
      <c r="A475" s="289" t="n"/>
      <c r="B475" s="290" t="n"/>
      <c r="C475" s="290" t="n"/>
      <c r="D475" s="291" t="n"/>
      <c r="E475" s="291" t="n"/>
      <c r="F475" s="291" t="n"/>
      <c r="G475" s="293" t="n"/>
      <c r="H475" s="293" t="n"/>
      <c r="I475" s="293" t="n"/>
      <c r="J475" s="293" t="n"/>
    </row>
    <row r="476" ht="13" customHeight="1" s="189">
      <c r="A476" s="289" t="n"/>
      <c r="B476" s="290" t="n"/>
      <c r="C476" s="290" t="n"/>
      <c r="D476" s="291" t="n"/>
      <c r="E476" s="291" t="n"/>
      <c r="F476" s="291" t="n"/>
      <c r="G476" s="293" t="n"/>
      <c r="H476" s="293" t="n"/>
      <c r="I476" s="293" t="n"/>
      <c r="J476" s="293" t="n"/>
    </row>
    <row r="477" ht="13" customHeight="1" s="189">
      <c r="A477" s="289" t="n"/>
      <c r="B477" s="290" t="n"/>
      <c r="C477" s="290" t="n"/>
      <c r="D477" s="291" t="n"/>
      <c r="E477" s="291" t="n"/>
      <c r="F477" s="291" t="n"/>
      <c r="G477" s="293" t="n"/>
      <c r="H477" s="293" t="n"/>
      <c r="I477" s="293" t="n"/>
      <c r="J477" s="293" t="n"/>
    </row>
    <row r="478" ht="13" customHeight="1" s="189">
      <c r="A478" s="289" t="n"/>
      <c r="B478" s="290" t="n"/>
      <c r="C478" s="290" t="n"/>
      <c r="D478" s="291" t="n"/>
      <c r="E478" s="291" t="n"/>
      <c r="F478" s="291" t="n"/>
      <c r="G478" s="293" t="n"/>
      <c r="H478" s="293" t="n"/>
      <c r="I478" s="293" t="n"/>
      <c r="J478" s="293" t="n"/>
    </row>
    <row r="479" ht="13" customHeight="1" s="189">
      <c r="A479" s="289" t="n"/>
      <c r="B479" s="290" t="n"/>
      <c r="C479" s="290" t="n"/>
      <c r="D479" s="291" t="n"/>
      <c r="E479" s="291" t="n"/>
      <c r="F479" s="291" t="n"/>
      <c r="G479" s="293" t="n"/>
      <c r="H479" s="293" t="n"/>
      <c r="I479" s="293" t="n"/>
      <c r="J479" s="293" t="n"/>
    </row>
    <row r="480" ht="13" customHeight="1" s="189">
      <c r="A480" s="289" t="n"/>
      <c r="B480" s="290" t="n"/>
      <c r="C480" s="290" t="n"/>
      <c r="D480" s="291" t="n"/>
      <c r="E480" s="291" t="n"/>
      <c r="F480" s="291" t="n"/>
      <c r="G480" s="293" t="n"/>
      <c r="H480" s="293" t="n"/>
      <c r="I480" s="293" t="n"/>
      <c r="J480" s="293" t="n"/>
    </row>
    <row r="481" ht="13" customHeight="1" s="189">
      <c r="A481" s="289" t="n"/>
      <c r="B481" s="290" t="n"/>
      <c r="C481" s="290" t="n"/>
      <c r="D481" s="291" t="n"/>
      <c r="E481" s="291" t="n"/>
      <c r="F481" s="291" t="n"/>
      <c r="G481" s="293" t="n"/>
      <c r="H481" s="293" t="n"/>
      <c r="I481" s="293" t="n"/>
      <c r="J481" s="293" t="n"/>
    </row>
    <row r="482" ht="13" customHeight="1" s="189">
      <c r="A482" s="289" t="n"/>
      <c r="B482" s="290" t="n"/>
      <c r="C482" s="290" t="n"/>
      <c r="D482" s="291" t="n"/>
      <c r="E482" s="291" t="n"/>
      <c r="F482" s="291" t="n"/>
      <c r="G482" s="293" t="n"/>
      <c r="H482" s="293" t="n"/>
      <c r="I482" s="293" t="n"/>
      <c r="J482" s="293" t="n"/>
    </row>
    <row r="483" ht="13" customHeight="1" s="189">
      <c r="A483" s="289" t="n"/>
      <c r="B483" s="290" t="n"/>
      <c r="C483" s="290" t="n"/>
      <c r="D483" s="291" t="n"/>
      <c r="E483" s="291" t="n"/>
      <c r="F483" s="291" t="n"/>
      <c r="G483" s="293" t="n"/>
      <c r="H483" s="293" t="n"/>
      <c r="I483" s="293" t="n"/>
      <c r="J483" s="293" t="n"/>
    </row>
    <row r="484" ht="13" customHeight="1" s="189">
      <c r="A484" s="289" t="n"/>
      <c r="B484" s="290" t="n"/>
      <c r="C484" s="290" t="n"/>
      <c r="D484" s="291" t="n"/>
      <c r="E484" s="291" t="n"/>
      <c r="F484" s="291" t="n"/>
      <c r="G484" s="293" t="n"/>
      <c r="H484" s="293" t="n"/>
      <c r="I484" s="293" t="n"/>
      <c r="J484" s="293" t="n"/>
    </row>
    <row r="485" ht="13" customHeight="1" s="189">
      <c r="A485" s="289" t="n"/>
      <c r="B485" s="290" t="n"/>
      <c r="C485" s="290" t="n"/>
      <c r="D485" s="291" t="n"/>
      <c r="E485" s="291" t="n"/>
      <c r="F485" s="291" t="n"/>
      <c r="G485" s="293" t="n"/>
      <c r="H485" s="293" t="n"/>
      <c r="I485" s="293" t="n"/>
      <c r="J485" s="293" t="n"/>
    </row>
    <row r="486" ht="13" customHeight="1" s="189">
      <c r="A486" s="289" t="n"/>
      <c r="B486" s="290" t="n"/>
      <c r="C486" s="290" t="n"/>
      <c r="D486" s="291" t="n"/>
      <c r="E486" s="291" t="n"/>
      <c r="F486" s="291" t="n"/>
      <c r="G486" s="293" t="n"/>
      <c r="H486" s="293" t="n"/>
      <c r="I486" s="293" t="n"/>
      <c r="J486" s="293" t="n"/>
    </row>
    <row r="487" ht="13" customHeight="1" s="189">
      <c r="A487" s="289" t="n"/>
      <c r="B487" s="290" t="n"/>
      <c r="C487" s="290" t="n"/>
      <c r="D487" s="291" t="n"/>
      <c r="E487" s="291" t="n"/>
      <c r="F487" s="291" t="n"/>
      <c r="G487" s="293" t="n"/>
      <c r="H487" s="293" t="n"/>
      <c r="I487" s="293" t="n"/>
      <c r="J487" s="293" t="n"/>
    </row>
    <row r="488" ht="13" customHeight="1" s="189">
      <c r="A488" s="289" t="n"/>
      <c r="B488" s="290" t="n"/>
      <c r="C488" s="290" t="n"/>
      <c r="D488" s="291" t="n"/>
      <c r="E488" s="291" t="n"/>
      <c r="F488" s="291" t="n"/>
      <c r="G488" s="293" t="n"/>
      <c r="H488" s="293" t="n"/>
      <c r="I488" s="293" t="n"/>
      <c r="J488" s="293" t="n"/>
    </row>
    <row r="489" ht="13" customHeight="1" s="189">
      <c r="A489" s="289" t="n"/>
      <c r="B489" s="290" t="n"/>
      <c r="C489" s="290" t="n"/>
      <c r="D489" s="291" t="n"/>
      <c r="E489" s="291" t="n"/>
      <c r="F489" s="291" t="n"/>
      <c r="G489" s="293" t="n"/>
      <c r="H489" s="293" t="n"/>
      <c r="I489" s="293" t="n"/>
      <c r="J489" s="293" t="n"/>
    </row>
    <row r="490" ht="13" customHeight="1" s="189">
      <c r="A490" s="289" t="n"/>
      <c r="B490" s="290" t="n"/>
      <c r="C490" s="290" t="n"/>
      <c r="D490" s="291" t="n"/>
      <c r="E490" s="291" t="n"/>
      <c r="F490" s="291" t="n"/>
      <c r="G490" s="293" t="n"/>
      <c r="H490" s="293" t="n"/>
      <c r="I490" s="293" t="n"/>
      <c r="J490" s="293" t="n"/>
    </row>
    <row r="491" ht="13" customHeight="1" s="189">
      <c r="A491" s="289" t="n"/>
      <c r="B491" s="290" t="n"/>
      <c r="C491" s="290" t="n"/>
      <c r="D491" s="291" t="n"/>
      <c r="E491" s="291" t="n"/>
      <c r="F491" s="291" t="n"/>
      <c r="G491" s="293" t="n"/>
      <c r="H491" s="293" t="n"/>
      <c r="I491" s="293" t="n"/>
      <c r="J491" s="293" t="n"/>
    </row>
    <row r="492" ht="13" customHeight="1" s="189">
      <c r="A492" s="289" t="n"/>
      <c r="B492" s="290" t="n"/>
      <c r="C492" s="290" t="n"/>
      <c r="D492" s="291" t="n"/>
      <c r="E492" s="291" t="n"/>
      <c r="F492" s="291" t="n"/>
      <c r="G492" s="293" t="n"/>
      <c r="H492" s="293" t="n"/>
      <c r="I492" s="293" t="n"/>
      <c r="J492" s="293" t="n"/>
    </row>
    <row r="493" ht="13" customHeight="1" s="189">
      <c r="A493" s="289" t="n"/>
      <c r="B493" s="290" t="n"/>
      <c r="C493" s="290" t="n"/>
      <c r="D493" s="291" t="n"/>
      <c r="E493" s="291" t="n"/>
      <c r="F493" s="291" t="n"/>
      <c r="G493" s="293" t="n"/>
      <c r="H493" s="293" t="n"/>
      <c r="I493" s="293" t="n"/>
      <c r="J493" s="293" t="n"/>
    </row>
    <row r="494" ht="13" customHeight="1" s="189">
      <c r="A494" s="289" t="n"/>
      <c r="B494" s="290" t="n"/>
      <c r="C494" s="290" t="n"/>
      <c r="D494" s="291" t="n"/>
      <c r="E494" s="291" t="n"/>
      <c r="F494" s="291" t="n"/>
      <c r="G494" s="293" t="n"/>
      <c r="H494" s="293" t="n"/>
      <c r="I494" s="293" t="n"/>
      <c r="J494" s="293" t="n"/>
    </row>
    <row r="495" ht="13" customHeight="1" s="189">
      <c r="A495" s="289" t="n"/>
      <c r="B495" s="290" t="n"/>
      <c r="C495" s="290" t="n"/>
      <c r="D495" s="291" t="n"/>
      <c r="E495" s="291" t="n"/>
      <c r="F495" s="291" t="n"/>
      <c r="G495" s="293" t="n"/>
      <c r="H495" s="293" t="n"/>
      <c r="I495" s="293" t="n"/>
      <c r="J495" s="293" t="n"/>
    </row>
    <row r="496" ht="13" customHeight="1" s="189">
      <c r="A496" s="289" t="n"/>
      <c r="B496" s="290" t="n"/>
      <c r="C496" s="290" t="n"/>
      <c r="D496" s="291" t="n"/>
      <c r="E496" s="291" t="n"/>
      <c r="F496" s="291" t="n"/>
      <c r="G496" s="293" t="n"/>
      <c r="H496" s="293" t="n"/>
      <c r="I496" s="293" t="n"/>
      <c r="J496" s="293" t="n"/>
    </row>
    <row r="497" ht="13" customHeight="1" s="189">
      <c r="A497" s="289" t="n"/>
      <c r="B497" s="290" t="n"/>
      <c r="C497" s="290" t="n"/>
      <c r="D497" s="291" t="n"/>
      <c r="E497" s="291" t="n"/>
      <c r="F497" s="291" t="n"/>
      <c r="G497" s="293" t="n"/>
      <c r="H497" s="293" t="n"/>
      <c r="I497" s="293" t="n"/>
      <c r="J497" s="293" t="n"/>
    </row>
    <row r="498" ht="13" customHeight="1" s="189">
      <c r="A498" s="289" t="n"/>
      <c r="B498" s="290" t="n"/>
      <c r="C498" s="290" t="n"/>
      <c r="D498" s="291" t="n"/>
      <c r="E498" s="291" t="n"/>
      <c r="F498" s="291" t="n"/>
      <c r="G498" s="293" t="n"/>
      <c r="H498" s="293" t="n"/>
      <c r="I498" s="293" t="n"/>
      <c r="J498" s="293" t="n"/>
    </row>
    <row r="499" ht="13" customHeight="1" s="189">
      <c r="A499" s="289" t="n"/>
      <c r="B499" s="290" t="n"/>
      <c r="C499" s="290" t="n"/>
      <c r="D499" s="291" t="n"/>
      <c r="E499" s="291" t="n"/>
      <c r="F499" s="291" t="n"/>
      <c r="G499" s="293" t="n"/>
      <c r="H499" s="293" t="n"/>
      <c r="I499" s="293" t="n"/>
      <c r="J499" s="293" t="n"/>
    </row>
    <row r="500" ht="13" customHeight="1" s="189">
      <c r="A500" s="289" t="n"/>
      <c r="B500" s="290" t="n"/>
      <c r="C500" s="290" t="n"/>
      <c r="D500" s="291" t="n"/>
      <c r="E500" s="291" t="n"/>
      <c r="F500" s="291" t="n"/>
      <c r="G500" s="293" t="n"/>
      <c r="H500" s="293" t="n"/>
      <c r="I500" s="293" t="n"/>
      <c r="J500" s="293" t="n"/>
    </row>
    <row r="501" ht="13" customHeight="1" s="189">
      <c r="A501" s="289" t="n"/>
      <c r="B501" s="290" t="n"/>
      <c r="C501" s="290" t="n"/>
      <c r="D501" s="291" t="n"/>
      <c r="E501" s="291" t="n"/>
      <c r="F501" s="291" t="n"/>
      <c r="G501" s="293" t="n"/>
      <c r="H501" s="293" t="n"/>
      <c r="I501" s="293" t="n"/>
      <c r="J501" s="293" t="n"/>
    </row>
    <row r="502" ht="13" customHeight="1" s="189">
      <c r="A502" s="289" t="n"/>
      <c r="B502" s="290" t="n"/>
      <c r="C502" s="290" t="n"/>
      <c r="D502" s="291" t="n"/>
      <c r="E502" s="291" t="n"/>
      <c r="F502" s="291" t="n"/>
      <c r="G502" s="293" t="n"/>
      <c r="H502" s="293" t="n"/>
      <c r="I502" s="293" t="n"/>
      <c r="J502" s="293" t="n"/>
    </row>
    <row r="503" ht="13" customHeight="1" s="189">
      <c r="A503" s="289" t="n"/>
      <c r="B503" s="290" t="n"/>
      <c r="C503" s="290" t="n"/>
      <c r="D503" s="291" t="n"/>
      <c r="E503" s="291" t="n"/>
      <c r="F503" s="291" t="n"/>
      <c r="G503" s="293" t="n"/>
      <c r="H503" s="293" t="n"/>
      <c r="I503" s="293" t="n"/>
      <c r="J503" s="293" t="n"/>
    </row>
    <row r="504" ht="13" customHeight="1" s="189">
      <c r="A504" s="289" t="n"/>
      <c r="B504" s="290" t="n"/>
      <c r="C504" s="290" t="n"/>
      <c r="D504" s="291" t="n"/>
      <c r="E504" s="291" t="n"/>
      <c r="F504" s="291" t="n"/>
      <c r="G504" s="293" t="n"/>
      <c r="H504" s="293" t="n"/>
      <c r="I504" s="293" t="n"/>
      <c r="J504" s="293" t="n"/>
    </row>
    <row r="505" ht="13" customHeight="1" s="189">
      <c r="A505" s="289" t="n"/>
      <c r="B505" s="290" t="n"/>
      <c r="C505" s="290" t="n"/>
      <c r="D505" s="291" t="n"/>
      <c r="E505" s="291" t="n"/>
      <c r="F505" s="291" t="n"/>
      <c r="G505" s="293" t="n"/>
      <c r="H505" s="293" t="n"/>
      <c r="I505" s="293" t="n"/>
      <c r="J505" s="293" t="n"/>
    </row>
    <row r="506" ht="13" customHeight="1" s="189">
      <c r="A506" s="289" t="n"/>
      <c r="B506" s="290" t="n"/>
      <c r="C506" s="290" t="n"/>
      <c r="D506" s="291" t="n"/>
      <c r="E506" s="291" t="n"/>
      <c r="F506" s="291" t="n"/>
      <c r="G506" s="293" t="n"/>
      <c r="H506" s="293" t="n"/>
      <c r="I506" s="293" t="n"/>
      <c r="J506" s="293" t="n"/>
    </row>
    <row r="507" ht="13" customHeight="1" s="189">
      <c r="A507" s="289" t="n"/>
      <c r="B507" s="290" t="n"/>
      <c r="C507" s="290" t="n"/>
      <c r="D507" s="291" t="n"/>
      <c r="E507" s="291" t="n"/>
      <c r="F507" s="291" t="n"/>
      <c r="G507" s="293" t="n"/>
      <c r="H507" s="293" t="n"/>
      <c r="I507" s="293" t="n"/>
      <c r="J507" s="293" t="n"/>
    </row>
    <row r="508" ht="13" customHeight="1" s="189">
      <c r="A508" s="289" t="n"/>
      <c r="B508" s="290" t="n"/>
      <c r="C508" s="290" t="n"/>
      <c r="D508" s="291" t="n"/>
      <c r="E508" s="291" t="n"/>
      <c r="F508" s="291" t="n"/>
      <c r="G508" s="293" t="n"/>
      <c r="H508" s="293" t="n"/>
      <c r="I508" s="293" t="n"/>
      <c r="J508" s="293" t="n"/>
    </row>
    <row r="509" ht="13" customHeight="1" s="189">
      <c r="A509" s="289" t="n"/>
      <c r="B509" s="290" t="n"/>
      <c r="C509" s="290" t="n"/>
      <c r="D509" s="291" t="n"/>
      <c r="E509" s="291" t="n"/>
      <c r="F509" s="291" t="n"/>
      <c r="G509" s="293" t="n"/>
      <c r="H509" s="293" t="n"/>
      <c r="I509" s="293" t="n"/>
      <c r="J509" s="293" t="n"/>
    </row>
    <row r="510" ht="13" customHeight="1" s="189">
      <c r="A510" s="289" t="n"/>
      <c r="B510" s="290" t="n"/>
      <c r="C510" s="290" t="n"/>
      <c r="D510" s="291" t="n"/>
      <c r="E510" s="291" t="n"/>
      <c r="F510" s="291" t="n"/>
      <c r="G510" s="293" t="n"/>
      <c r="H510" s="293" t="n"/>
      <c r="I510" s="293" t="n"/>
      <c r="J510" s="293" t="n"/>
    </row>
    <row r="511" ht="13" customHeight="1" s="189">
      <c r="A511" s="289" t="n"/>
      <c r="B511" s="290" t="n"/>
      <c r="C511" s="290" t="n"/>
      <c r="D511" s="291" t="n"/>
      <c r="E511" s="291" t="n"/>
      <c r="F511" s="291" t="n"/>
      <c r="G511" s="293" t="n"/>
      <c r="H511" s="293" t="n"/>
      <c r="I511" s="293" t="n"/>
      <c r="J511" s="293" t="n"/>
    </row>
    <row r="512" ht="13" customHeight="1" s="189">
      <c r="A512" s="289" t="n"/>
      <c r="B512" s="290" t="n"/>
      <c r="C512" s="290" t="n"/>
      <c r="D512" s="291" t="n"/>
      <c r="E512" s="291" t="n"/>
      <c r="F512" s="291" t="n"/>
      <c r="G512" s="293" t="n"/>
      <c r="H512" s="293" t="n"/>
      <c r="I512" s="293" t="n"/>
      <c r="J512" s="293" t="n"/>
    </row>
    <row r="513" ht="13" customHeight="1" s="189">
      <c r="A513" s="289" t="n"/>
      <c r="B513" s="290" t="n"/>
      <c r="C513" s="290" t="n"/>
      <c r="D513" s="291" t="n"/>
      <c r="E513" s="291" t="n"/>
      <c r="F513" s="291" t="n"/>
      <c r="G513" s="293" t="n"/>
      <c r="H513" s="293" t="n"/>
      <c r="I513" s="293" t="n"/>
      <c r="J513" s="293" t="n"/>
    </row>
    <row r="514" ht="13" customHeight="1" s="189">
      <c r="A514" s="289" t="n"/>
      <c r="B514" s="290" t="n"/>
      <c r="C514" s="290" t="n"/>
      <c r="D514" s="291" t="n"/>
      <c r="E514" s="291" t="n"/>
      <c r="F514" s="291" t="n"/>
      <c r="G514" s="293" t="n"/>
      <c r="H514" s="293" t="n"/>
      <c r="I514" s="293" t="n"/>
      <c r="J514" s="293" t="n"/>
    </row>
    <row r="515" ht="13" customHeight="1" s="189">
      <c r="A515" s="289" t="n"/>
      <c r="B515" s="290" t="n"/>
      <c r="C515" s="290" t="n"/>
      <c r="D515" s="291" t="n"/>
      <c r="E515" s="291" t="n"/>
      <c r="F515" s="291" t="n"/>
      <c r="G515" s="293" t="n"/>
      <c r="H515" s="293" t="n"/>
      <c r="I515" s="293" t="n"/>
      <c r="J515" s="293" t="n"/>
    </row>
    <row r="516" ht="13" customHeight="1" s="189">
      <c r="A516" s="289" t="n"/>
      <c r="B516" s="290" t="n"/>
      <c r="C516" s="290" t="n"/>
      <c r="D516" s="291" t="n"/>
      <c r="E516" s="291" t="n"/>
      <c r="F516" s="291" t="n"/>
      <c r="G516" s="293" t="n"/>
      <c r="H516" s="293" t="n"/>
      <c r="I516" s="293" t="n"/>
      <c r="J516" s="293" t="n"/>
    </row>
    <row r="517" ht="13" customHeight="1" s="189">
      <c r="A517" s="289" t="n"/>
      <c r="B517" s="290" t="n"/>
      <c r="C517" s="290" t="n"/>
      <c r="D517" s="291" t="n"/>
      <c r="E517" s="291" t="n"/>
      <c r="F517" s="291" t="n"/>
      <c r="G517" s="293" t="n"/>
      <c r="H517" s="293" t="n"/>
      <c r="I517" s="293" t="n"/>
      <c r="J517" s="293" t="n"/>
    </row>
    <row r="518" ht="13" customHeight="1" s="189">
      <c r="A518" s="289" t="n"/>
      <c r="B518" s="290" t="n"/>
      <c r="C518" s="290" t="n"/>
      <c r="D518" s="291" t="n"/>
      <c r="E518" s="291" t="n"/>
      <c r="F518" s="291" t="n"/>
      <c r="G518" s="293" t="n"/>
      <c r="H518" s="293" t="n"/>
      <c r="I518" s="293" t="n"/>
      <c r="J518" s="293" t="n"/>
    </row>
    <row r="519" ht="13" customHeight="1" s="189">
      <c r="A519" s="289" t="n"/>
      <c r="B519" s="290" t="n"/>
      <c r="C519" s="290" t="n"/>
      <c r="D519" s="291" t="n"/>
      <c r="E519" s="291" t="n"/>
      <c r="F519" s="291" t="n"/>
      <c r="G519" s="293" t="n"/>
      <c r="H519" s="293" t="n"/>
      <c r="I519" s="293" t="n"/>
      <c r="J519" s="293" t="n"/>
    </row>
    <row r="520" ht="13" customHeight="1" s="189">
      <c r="A520" s="289" t="n"/>
      <c r="B520" s="290" t="n"/>
      <c r="C520" s="290" t="n"/>
      <c r="D520" s="291" t="n"/>
      <c r="E520" s="291" t="n"/>
      <c r="F520" s="291" t="n"/>
      <c r="G520" s="293" t="n"/>
      <c r="H520" s="293" t="n"/>
      <c r="I520" s="293" t="n"/>
      <c r="J520" s="293" t="n"/>
    </row>
    <row r="521" ht="13" customHeight="1" s="189">
      <c r="A521" s="289" t="n"/>
      <c r="B521" s="290" t="n"/>
      <c r="C521" s="290" t="n"/>
      <c r="D521" s="291" t="n"/>
      <c r="E521" s="291" t="n"/>
      <c r="F521" s="291" t="n"/>
      <c r="G521" s="293" t="n"/>
      <c r="H521" s="293" t="n"/>
      <c r="I521" s="293" t="n"/>
      <c r="J521" s="293" t="n"/>
    </row>
    <row r="522" ht="13" customHeight="1" s="189">
      <c r="A522" s="289" t="n"/>
      <c r="B522" s="290" t="n"/>
      <c r="C522" s="290" t="n"/>
      <c r="D522" s="291" t="n"/>
      <c r="E522" s="291" t="n"/>
      <c r="F522" s="291" t="n"/>
      <c r="G522" s="293" t="n"/>
      <c r="H522" s="293" t="n"/>
      <c r="I522" s="293" t="n"/>
      <c r="J522" s="293" t="n"/>
    </row>
    <row r="523" ht="13" customHeight="1" s="189">
      <c r="A523" s="289" t="n"/>
      <c r="B523" s="290" t="n"/>
      <c r="C523" s="290" t="n"/>
      <c r="D523" s="291" t="n"/>
      <c r="E523" s="291" t="n"/>
      <c r="F523" s="291" t="n"/>
      <c r="G523" s="293" t="n"/>
      <c r="H523" s="293" t="n"/>
      <c r="I523" s="293" t="n"/>
      <c r="J523" s="293" t="n"/>
    </row>
    <row r="524" ht="13" customHeight="1" s="189">
      <c r="A524" s="289" t="n"/>
      <c r="B524" s="290" t="n"/>
      <c r="C524" s="290" t="n"/>
      <c r="D524" s="291" t="n"/>
      <c r="E524" s="291" t="n"/>
      <c r="F524" s="291" t="n"/>
      <c r="G524" s="293" t="n"/>
      <c r="H524" s="293" t="n"/>
      <c r="I524" s="293" t="n"/>
      <c r="J524" s="293" t="n"/>
    </row>
    <row r="525" ht="13" customHeight="1" s="189">
      <c r="A525" s="289" t="n"/>
      <c r="B525" s="290" t="n"/>
      <c r="C525" s="290" t="n"/>
      <c r="D525" s="291" t="n"/>
      <c r="E525" s="291" t="n"/>
      <c r="F525" s="291" t="n"/>
      <c r="G525" s="293" t="n"/>
      <c r="H525" s="293" t="n"/>
      <c r="I525" s="293" t="n"/>
      <c r="J525" s="293" t="n"/>
    </row>
    <row r="526" ht="13" customHeight="1" s="189">
      <c r="A526" s="289" t="n"/>
      <c r="B526" s="290" t="n"/>
      <c r="C526" s="290" t="n"/>
      <c r="D526" s="291" t="n"/>
      <c r="E526" s="291" t="n"/>
      <c r="F526" s="291" t="n"/>
      <c r="G526" s="293" t="n"/>
      <c r="H526" s="293" t="n"/>
      <c r="I526" s="293" t="n"/>
      <c r="J526" s="293" t="n"/>
    </row>
    <row r="527" ht="13" customHeight="1" s="189">
      <c r="A527" s="289" t="n"/>
      <c r="B527" s="290" t="n"/>
      <c r="C527" s="290" t="n"/>
      <c r="D527" s="291" t="n"/>
      <c r="E527" s="291" t="n"/>
      <c r="F527" s="291" t="n"/>
      <c r="G527" s="293" t="n"/>
      <c r="H527" s="293" t="n"/>
      <c r="I527" s="293" t="n"/>
      <c r="J527" s="293" t="n"/>
    </row>
    <row r="528" ht="13" customHeight="1" s="189">
      <c r="A528" s="289" t="n"/>
      <c r="B528" s="290" t="n"/>
      <c r="C528" s="290" t="n"/>
      <c r="D528" s="291" t="n"/>
      <c r="E528" s="291" t="n"/>
      <c r="F528" s="291" t="n"/>
      <c r="G528" s="293" t="n"/>
      <c r="H528" s="293" t="n"/>
      <c r="I528" s="293" t="n"/>
      <c r="J528" s="293" t="n"/>
    </row>
    <row r="529" ht="13" customHeight="1" s="189">
      <c r="A529" s="289" t="n"/>
      <c r="B529" s="290" t="n"/>
      <c r="C529" s="290" t="n"/>
      <c r="D529" s="291" t="n"/>
      <c r="E529" s="291" t="n"/>
      <c r="F529" s="291" t="n"/>
      <c r="G529" s="293" t="n"/>
      <c r="H529" s="293" t="n"/>
      <c r="I529" s="293" t="n"/>
      <c r="J529" s="293" t="n"/>
    </row>
    <row r="530" ht="13" customHeight="1" s="189">
      <c r="A530" s="289" t="n"/>
      <c r="B530" s="290" t="n"/>
      <c r="C530" s="290" t="n"/>
      <c r="D530" s="291" t="n"/>
      <c r="E530" s="291" t="n"/>
      <c r="F530" s="291" t="n"/>
      <c r="G530" s="293" t="n"/>
      <c r="H530" s="293" t="n"/>
      <c r="I530" s="293" t="n"/>
      <c r="J530" s="293" t="n"/>
    </row>
    <row r="531" ht="13" customHeight="1" s="189">
      <c r="A531" s="289" t="n"/>
      <c r="B531" s="290" t="n"/>
      <c r="C531" s="290" t="n"/>
      <c r="D531" s="291" t="n"/>
      <c r="E531" s="291" t="n"/>
      <c r="F531" s="291" t="n"/>
      <c r="G531" s="293" t="n"/>
      <c r="H531" s="293" t="n"/>
      <c r="I531" s="293" t="n"/>
      <c r="J531" s="293" t="n"/>
    </row>
    <row r="532" ht="13" customHeight="1" s="189">
      <c r="A532" s="289" t="n"/>
      <c r="B532" s="290" t="n"/>
      <c r="C532" s="290" t="n"/>
      <c r="D532" s="291" t="n"/>
      <c r="E532" s="291" t="n"/>
      <c r="F532" s="291" t="n"/>
      <c r="G532" s="293" t="n"/>
      <c r="H532" s="293" t="n"/>
      <c r="I532" s="293" t="n"/>
      <c r="J532" s="293" t="n"/>
    </row>
    <row r="533" ht="13" customHeight="1" s="189">
      <c r="A533" s="289" t="n"/>
      <c r="B533" s="290" t="n"/>
      <c r="C533" s="290" t="n"/>
      <c r="D533" s="291" t="n"/>
      <c r="E533" s="291" t="n"/>
      <c r="F533" s="291" t="n"/>
      <c r="G533" s="293" t="n"/>
      <c r="H533" s="293" t="n"/>
      <c r="I533" s="293" t="n"/>
      <c r="J533" s="293" t="n"/>
    </row>
    <row r="534" ht="13" customHeight="1" s="189">
      <c r="A534" s="289" t="n"/>
      <c r="B534" s="290" t="n"/>
      <c r="C534" s="290" t="n"/>
      <c r="D534" s="291" t="n"/>
      <c r="E534" s="291" t="n"/>
      <c r="F534" s="291" t="n"/>
      <c r="G534" s="293" t="n"/>
      <c r="H534" s="293" t="n"/>
      <c r="I534" s="293" t="n"/>
      <c r="J534" s="293" t="n"/>
    </row>
    <row r="535" ht="13" customHeight="1" s="189">
      <c r="A535" s="289" t="n"/>
      <c r="B535" s="290" t="n"/>
      <c r="C535" s="290" t="n"/>
      <c r="D535" s="291" t="n"/>
      <c r="E535" s="291" t="n"/>
      <c r="F535" s="291" t="n"/>
      <c r="G535" s="293" t="n"/>
      <c r="H535" s="293" t="n"/>
      <c r="I535" s="293" t="n"/>
      <c r="J535" s="293" t="n"/>
    </row>
    <row r="536" ht="13" customHeight="1" s="189">
      <c r="A536" s="289" t="n"/>
      <c r="B536" s="290" t="n"/>
      <c r="C536" s="290" t="n"/>
      <c r="D536" s="291" t="n"/>
      <c r="E536" s="291" t="n"/>
      <c r="F536" s="291" t="n"/>
      <c r="G536" s="293" t="n"/>
      <c r="H536" s="293" t="n"/>
      <c r="I536" s="293" t="n"/>
      <c r="J536" s="293" t="n"/>
    </row>
    <row r="537" ht="13" customHeight="1" s="189">
      <c r="A537" s="289" t="n"/>
      <c r="B537" s="290" t="n"/>
      <c r="C537" s="290" t="n"/>
      <c r="D537" s="291" t="n"/>
      <c r="E537" s="291" t="n"/>
      <c r="F537" s="291" t="n"/>
      <c r="G537" s="293" t="n"/>
      <c r="H537" s="293" t="n"/>
      <c r="I537" s="293" t="n"/>
      <c r="J537" s="293" t="n"/>
    </row>
    <row r="538" ht="13" customHeight="1" s="189">
      <c r="A538" s="289" t="n"/>
      <c r="B538" s="290" t="n"/>
      <c r="C538" s="290" t="n"/>
      <c r="D538" s="291" t="n"/>
      <c r="E538" s="291" t="n"/>
      <c r="F538" s="291" t="n"/>
      <c r="G538" s="293" t="n"/>
      <c r="H538" s="293" t="n"/>
      <c r="I538" s="293" t="n"/>
      <c r="J538" s="293" t="n"/>
    </row>
    <row r="539" ht="13" customHeight="1" s="189">
      <c r="A539" s="289" t="n"/>
      <c r="B539" s="290" t="n"/>
      <c r="C539" s="290" t="n"/>
      <c r="D539" s="291" t="n"/>
      <c r="E539" s="291" t="n"/>
      <c r="F539" s="291" t="n"/>
      <c r="G539" s="293" t="n"/>
      <c r="H539" s="293" t="n"/>
      <c r="I539" s="293" t="n"/>
      <c r="J539" s="293" t="n"/>
    </row>
    <row r="540" ht="13" customHeight="1" s="189">
      <c r="A540" s="289" t="n"/>
      <c r="B540" s="290" t="n"/>
      <c r="C540" s="290" t="n"/>
      <c r="D540" s="291" t="n"/>
      <c r="E540" s="291" t="n"/>
      <c r="F540" s="291" t="n"/>
      <c r="G540" s="293" t="n"/>
      <c r="H540" s="293" t="n"/>
      <c r="I540" s="293" t="n"/>
      <c r="J540" s="293" t="n"/>
    </row>
    <row r="541" ht="13" customHeight="1" s="189">
      <c r="A541" s="289" t="n"/>
      <c r="B541" s="290" t="n"/>
      <c r="C541" s="290" t="n"/>
      <c r="D541" s="291" t="n"/>
      <c r="E541" s="291" t="n"/>
      <c r="F541" s="291" t="n"/>
      <c r="G541" s="293" t="n"/>
      <c r="H541" s="293" t="n"/>
      <c r="I541" s="293" t="n"/>
      <c r="J541" s="293" t="n"/>
    </row>
    <row r="542" ht="13" customHeight="1" s="189">
      <c r="A542" s="289" t="n"/>
      <c r="B542" s="290" t="n"/>
      <c r="C542" s="290" t="n"/>
      <c r="D542" s="291" t="n"/>
      <c r="E542" s="291" t="n"/>
      <c r="F542" s="291" t="n"/>
      <c r="G542" s="293" t="n"/>
      <c r="H542" s="293" t="n"/>
      <c r="I542" s="293" t="n"/>
      <c r="J542" s="293" t="n"/>
    </row>
    <row r="543" ht="13" customHeight="1" s="189">
      <c r="A543" s="289" t="n"/>
      <c r="B543" s="290" t="n"/>
      <c r="C543" s="290" t="n"/>
      <c r="D543" s="291" t="n"/>
      <c r="E543" s="291" t="n"/>
      <c r="F543" s="291" t="n"/>
      <c r="G543" s="293" t="n"/>
      <c r="H543" s="293" t="n"/>
      <c r="I543" s="293" t="n"/>
      <c r="J543" s="293" t="n"/>
    </row>
    <row r="544" ht="13" customHeight="1" s="189">
      <c r="A544" s="289" t="n"/>
      <c r="B544" s="290" t="n"/>
      <c r="C544" s="290" t="n"/>
      <c r="D544" s="291" t="n"/>
      <c r="E544" s="291" t="n"/>
      <c r="F544" s="291" t="n"/>
      <c r="G544" s="293" t="n"/>
      <c r="H544" s="293" t="n"/>
      <c r="I544" s="293" t="n"/>
      <c r="J544" s="293" t="n"/>
    </row>
    <row r="545" ht="13" customHeight="1" s="189">
      <c r="A545" s="289" t="n"/>
      <c r="B545" s="290" t="n"/>
      <c r="C545" s="290" t="n"/>
      <c r="D545" s="291" t="n"/>
      <c r="E545" s="291" t="n"/>
      <c r="F545" s="291" t="n"/>
      <c r="G545" s="293" t="n"/>
      <c r="H545" s="293" t="n"/>
      <c r="I545" s="293" t="n"/>
      <c r="J545" s="293" t="n"/>
    </row>
    <row r="546" ht="13" customHeight="1" s="189">
      <c r="A546" s="289" t="n"/>
      <c r="B546" s="290" t="n"/>
      <c r="C546" s="290" t="n"/>
      <c r="D546" s="291" t="n"/>
      <c r="E546" s="291" t="n"/>
      <c r="F546" s="291" t="n"/>
      <c r="G546" s="293" t="n"/>
      <c r="H546" s="293" t="n"/>
      <c r="I546" s="293" t="n"/>
      <c r="J546" s="293" t="n"/>
    </row>
    <row r="547" ht="13" customHeight="1" s="189">
      <c r="A547" s="289" t="n"/>
      <c r="B547" s="290" t="n"/>
      <c r="C547" s="290" t="n"/>
      <c r="D547" s="291" t="n"/>
      <c r="E547" s="291" t="n"/>
      <c r="F547" s="291" t="n"/>
      <c r="G547" s="293" t="n"/>
      <c r="H547" s="293" t="n"/>
      <c r="I547" s="293" t="n"/>
      <c r="J547" s="293" t="n"/>
    </row>
    <row r="548" ht="13" customHeight="1" s="189">
      <c r="A548" s="289" t="n"/>
      <c r="B548" s="290" t="n"/>
      <c r="C548" s="290" t="n"/>
      <c r="D548" s="291" t="n"/>
      <c r="E548" s="291" t="n"/>
      <c r="F548" s="291" t="n"/>
      <c r="G548" s="293" t="n"/>
      <c r="H548" s="293" t="n"/>
      <c r="I548" s="293" t="n"/>
      <c r="J548" s="293" t="n"/>
    </row>
    <row r="549" ht="13" customHeight="1" s="189">
      <c r="A549" s="289" t="n"/>
      <c r="B549" s="290" t="n"/>
      <c r="C549" s="290" t="n"/>
      <c r="D549" s="291" t="n"/>
      <c r="E549" s="291" t="n"/>
      <c r="F549" s="291" t="n"/>
      <c r="G549" s="293" t="n"/>
      <c r="H549" s="293" t="n"/>
      <c r="I549" s="293" t="n"/>
      <c r="J549" s="293" t="n"/>
    </row>
    <row r="550" ht="13" customHeight="1" s="189">
      <c r="A550" s="289" t="n"/>
      <c r="B550" s="290" t="n"/>
      <c r="C550" s="290" t="n"/>
      <c r="D550" s="291" t="n"/>
      <c r="E550" s="291" t="n"/>
      <c r="F550" s="291" t="n"/>
      <c r="G550" s="293" t="n"/>
      <c r="H550" s="293" t="n"/>
      <c r="I550" s="293" t="n"/>
      <c r="J550" s="293" t="n"/>
    </row>
    <row r="551" ht="13" customHeight="1" s="189">
      <c r="A551" s="289" t="n"/>
      <c r="B551" s="290" t="n"/>
      <c r="C551" s="290" t="n"/>
      <c r="D551" s="291" t="n"/>
      <c r="E551" s="291" t="n"/>
      <c r="F551" s="291" t="n"/>
      <c r="G551" s="293" t="n"/>
      <c r="H551" s="293" t="n"/>
      <c r="I551" s="293" t="n"/>
      <c r="J551" s="293" t="n"/>
    </row>
    <row r="552" ht="13" customHeight="1" s="189">
      <c r="A552" s="289" t="n"/>
      <c r="B552" s="290" t="n"/>
      <c r="C552" s="290" t="n"/>
      <c r="D552" s="291" t="n"/>
      <c r="E552" s="291" t="n"/>
      <c r="F552" s="291" t="n"/>
      <c r="G552" s="293" t="n"/>
      <c r="H552" s="293" t="n"/>
      <c r="I552" s="293" t="n"/>
      <c r="J552" s="293" t="n"/>
    </row>
    <row r="553" ht="13" customHeight="1" s="189">
      <c r="A553" s="289" t="n"/>
      <c r="B553" s="290" t="n"/>
      <c r="C553" s="290" t="n"/>
      <c r="D553" s="291" t="n"/>
      <c r="E553" s="291" t="n"/>
      <c r="F553" s="291" t="n"/>
      <c r="G553" s="293" t="n"/>
      <c r="H553" s="293" t="n"/>
      <c r="I553" s="293" t="n"/>
      <c r="J553" s="293" t="n"/>
    </row>
    <row r="554" ht="13" customHeight="1" s="189">
      <c r="A554" s="289" t="n"/>
      <c r="B554" s="290" t="n"/>
      <c r="C554" s="290" t="n"/>
      <c r="D554" s="291" t="n"/>
      <c r="E554" s="291" t="n"/>
      <c r="F554" s="291" t="n"/>
      <c r="G554" s="293" t="n"/>
      <c r="H554" s="293" t="n"/>
      <c r="I554" s="293" t="n"/>
      <c r="J554" s="293" t="n"/>
    </row>
    <row r="555" ht="13" customHeight="1" s="189">
      <c r="A555" s="289" t="n"/>
      <c r="B555" s="290" t="n"/>
      <c r="C555" s="290" t="n"/>
      <c r="D555" s="291" t="n"/>
      <c r="E555" s="291" t="n"/>
      <c r="F555" s="291" t="n"/>
      <c r="G555" s="293" t="n"/>
      <c r="H555" s="293" t="n"/>
      <c r="I555" s="293" t="n"/>
      <c r="J555" s="293" t="n"/>
    </row>
    <row r="556" ht="13" customHeight="1" s="189">
      <c r="A556" s="289" t="n"/>
      <c r="B556" s="290" t="n"/>
      <c r="C556" s="290" t="n"/>
      <c r="D556" s="291" t="n"/>
      <c r="E556" s="291" t="n"/>
      <c r="F556" s="291" t="n"/>
      <c r="G556" s="293" t="n"/>
      <c r="H556" s="293" t="n"/>
      <c r="I556" s="293" t="n"/>
      <c r="J556" s="293" t="n"/>
    </row>
    <row r="557" ht="13" customHeight="1" s="189">
      <c r="A557" s="289" t="n"/>
      <c r="B557" s="290" t="n"/>
      <c r="C557" s="290" t="n"/>
      <c r="D557" s="291" t="n"/>
      <c r="E557" s="291" t="n"/>
      <c r="F557" s="291" t="n"/>
      <c r="G557" s="293" t="n"/>
      <c r="H557" s="293" t="n"/>
      <c r="I557" s="293" t="n"/>
      <c r="J557" s="293" t="n"/>
    </row>
    <row r="558" ht="13" customHeight="1" s="189">
      <c r="A558" s="289" t="n"/>
      <c r="B558" s="290" t="n"/>
      <c r="C558" s="290" t="n"/>
      <c r="D558" s="291" t="n"/>
      <c r="E558" s="291" t="n"/>
      <c r="F558" s="291" t="n"/>
      <c r="G558" s="293" t="n"/>
      <c r="H558" s="293" t="n"/>
      <c r="I558" s="293" t="n"/>
      <c r="J558" s="293" t="n"/>
    </row>
    <row r="559" ht="13" customHeight="1" s="189">
      <c r="A559" s="289" t="n"/>
      <c r="B559" s="290" t="n"/>
      <c r="C559" s="290" t="n"/>
      <c r="D559" s="291" t="n"/>
      <c r="E559" s="291" t="n"/>
      <c r="F559" s="291" t="n"/>
      <c r="G559" s="293" t="n"/>
      <c r="H559" s="293" t="n"/>
      <c r="I559" s="293" t="n"/>
      <c r="J559" s="293" t="n"/>
    </row>
    <row r="560" ht="13" customHeight="1" s="189">
      <c r="A560" s="289" t="n"/>
      <c r="B560" s="290" t="n"/>
      <c r="C560" s="290" t="n"/>
      <c r="D560" s="291" t="n"/>
      <c r="E560" s="291" t="n"/>
      <c r="F560" s="291" t="n"/>
      <c r="G560" s="293" t="n"/>
      <c r="H560" s="293" t="n"/>
      <c r="I560" s="293" t="n"/>
      <c r="J560" s="293" t="n"/>
    </row>
    <row r="561" ht="13" customHeight="1" s="189">
      <c r="A561" s="289" t="n"/>
      <c r="B561" s="290" t="n"/>
      <c r="C561" s="290" t="n"/>
      <c r="D561" s="291" t="n"/>
      <c r="E561" s="291" t="n"/>
      <c r="F561" s="291" t="n"/>
      <c r="G561" s="293" t="n"/>
      <c r="H561" s="293" t="n"/>
      <c r="I561" s="293" t="n"/>
      <c r="J561" s="293" t="n"/>
    </row>
    <row r="562" ht="13" customHeight="1" s="189">
      <c r="A562" s="289" t="n"/>
      <c r="B562" s="290" t="n"/>
      <c r="C562" s="290" t="n"/>
      <c r="D562" s="291" t="n"/>
      <c r="E562" s="291" t="n"/>
      <c r="F562" s="291" t="n"/>
      <c r="G562" s="293" t="n"/>
      <c r="H562" s="293" t="n"/>
      <c r="I562" s="293" t="n"/>
      <c r="J562" s="293" t="n"/>
    </row>
    <row r="563" ht="13" customHeight="1" s="189">
      <c r="A563" s="289" t="n"/>
      <c r="B563" s="290" t="n"/>
      <c r="C563" s="290" t="n"/>
      <c r="D563" s="291" t="n"/>
      <c r="E563" s="291" t="n"/>
      <c r="F563" s="291" t="n"/>
      <c r="G563" s="293" t="n"/>
      <c r="H563" s="293" t="n"/>
      <c r="I563" s="293" t="n"/>
      <c r="J563" s="293" t="n"/>
    </row>
    <row r="564" ht="13" customHeight="1" s="189">
      <c r="A564" s="289" t="n"/>
      <c r="B564" s="290" t="n"/>
      <c r="C564" s="290" t="n"/>
      <c r="D564" s="291" t="n"/>
      <c r="E564" s="291" t="n"/>
      <c r="F564" s="291" t="n"/>
      <c r="G564" s="293" t="n"/>
      <c r="H564" s="293" t="n"/>
      <c r="I564" s="293" t="n"/>
      <c r="J564" s="293" t="n"/>
    </row>
    <row r="565" ht="13" customHeight="1" s="189">
      <c r="A565" s="289" t="n"/>
      <c r="B565" s="290" t="n"/>
      <c r="C565" s="290" t="n"/>
      <c r="D565" s="291" t="n"/>
      <c r="E565" s="291" t="n"/>
      <c r="F565" s="291" t="n"/>
      <c r="G565" s="293" t="n"/>
      <c r="H565" s="293" t="n"/>
      <c r="I565" s="293" t="n"/>
      <c r="J565" s="293" t="n"/>
    </row>
    <row r="566" ht="13" customHeight="1" s="189">
      <c r="A566" s="289" t="n"/>
      <c r="B566" s="290" t="n"/>
      <c r="C566" s="290" t="n"/>
      <c r="D566" s="291" t="n"/>
      <c r="E566" s="291" t="n"/>
      <c r="F566" s="291" t="n"/>
      <c r="G566" s="293" t="n"/>
      <c r="H566" s="293" t="n"/>
      <c r="I566" s="293" t="n"/>
      <c r="J566" s="293" t="n"/>
    </row>
    <row r="567" ht="13" customHeight="1" s="189">
      <c r="A567" s="289" t="n"/>
      <c r="B567" s="290" t="n"/>
      <c r="C567" s="290" t="n"/>
      <c r="D567" s="291" t="n"/>
      <c r="E567" s="291" t="n"/>
      <c r="F567" s="291" t="n"/>
      <c r="G567" s="293" t="n"/>
      <c r="H567" s="293" t="n"/>
      <c r="I567" s="293" t="n"/>
      <c r="J567" s="293" t="n"/>
    </row>
    <row r="568" ht="13" customHeight="1" s="189">
      <c r="A568" s="289" t="n"/>
      <c r="B568" s="290" t="n"/>
      <c r="C568" s="290" t="n"/>
      <c r="D568" s="291" t="n"/>
      <c r="E568" s="291" t="n"/>
      <c r="F568" s="291" t="n"/>
      <c r="G568" s="293" t="n"/>
      <c r="H568" s="293" t="n"/>
      <c r="I568" s="293" t="n"/>
      <c r="J568" s="293" t="n"/>
    </row>
    <row r="569" ht="13" customHeight="1" s="189">
      <c r="A569" s="289" t="n"/>
      <c r="B569" s="290" t="n"/>
      <c r="C569" s="290" t="n"/>
      <c r="D569" s="291" t="n"/>
      <c r="E569" s="291" t="n"/>
      <c r="F569" s="291" t="n"/>
      <c r="G569" s="293" t="n"/>
      <c r="H569" s="293" t="n"/>
      <c r="I569" s="293" t="n"/>
      <c r="J569" s="293" t="n"/>
    </row>
    <row r="570" ht="13" customHeight="1" s="189">
      <c r="A570" s="289" t="n"/>
      <c r="B570" s="290" t="n"/>
      <c r="C570" s="290" t="n"/>
      <c r="D570" s="291" t="n"/>
      <c r="E570" s="291" t="n"/>
      <c r="F570" s="291" t="n"/>
      <c r="G570" s="293" t="n"/>
      <c r="H570" s="293" t="n"/>
      <c r="I570" s="293" t="n"/>
      <c r="J570" s="293" t="n"/>
    </row>
    <row r="571" ht="13" customHeight="1" s="189">
      <c r="A571" s="289" t="n"/>
      <c r="B571" s="290" t="n"/>
      <c r="C571" s="290" t="n"/>
      <c r="D571" s="291" t="n"/>
      <c r="E571" s="291" t="n"/>
      <c r="F571" s="291" t="n"/>
      <c r="G571" s="293" t="n"/>
      <c r="H571" s="293" t="n"/>
      <c r="I571" s="293" t="n"/>
      <c r="J571" s="293" t="n"/>
    </row>
    <row r="572" ht="13" customHeight="1" s="189">
      <c r="A572" s="289" t="n"/>
      <c r="B572" s="290" t="n"/>
      <c r="C572" s="290" t="n"/>
      <c r="D572" s="291" t="n"/>
      <c r="E572" s="291" t="n"/>
      <c r="F572" s="291" t="n"/>
      <c r="G572" s="293" t="n"/>
      <c r="H572" s="293" t="n"/>
      <c r="I572" s="293" t="n"/>
      <c r="J572" s="293" t="n"/>
    </row>
    <row r="573" ht="13" customHeight="1" s="189">
      <c r="A573" s="289" t="n"/>
      <c r="B573" s="290" t="n"/>
      <c r="C573" s="290" t="n"/>
      <c r="D573" s="291" t="n"/>
      <c r="E573" s="291" t="n"/>
      <c r="F573" s="291" t="n"/>
      <c r="G573" s="293" t="n"/>
      <c r="H573" s="293" t="n"/>
      <c r="I573" s="293" t="n"/>
      <c r="J573" s="293" t="n"/>
    </row>
    <row r="574" ht="13" customHeight="1" s="189">
      <c r="A574" s="289" t="n"/>
      <c r="B574" s="290" t="n"/>
      <c r="C574" s="290" t="n"/>
      <c r="D574" s="291" t="n"/>
      <c r="E574" s="291" t="n"/>
      <c r="F574" s="291" t="n"/>
      <c r="G574" s="293" t="n"/>
      <c r="H574" s="293" t="n"/>
      <c r="I574" s="293" t="n"/>
      <c r="J574" s="293" t="n"/>
    </row>
    <row r="575" ht="13" customHeight="1" s="189">
      <c r="A575" s="289" t="n"/>
      <c r="B575" s="290" t="n"/>
      <c r="C575" s="290" t="n"/>
      <c r="D575" s="291" t="n"/>
      <c r="E575" s="291" t="n"/>
      <c r="F575" s="291" t="n"/>
      <c r="G575" s="293" t="n"/>
      <c r="H575" s="293" t="n"/>
      <c r="I575" s="293" t="n"/>
      <c r="J575" s="293" t="n"/>
    </row>
    <row r="576" ht="13" customHeight="1" s="189">
      <c r="A576" s="289" t="n"/>
      <c r="B576" s="290" t="n"/>
      <c r="C576" s="290" t="n"/>
      <c r="D576" s="291" t="n"/>
      <c r="E576" s="291" t="n"/>
      <c r="F576" s="291" t="n"/>
      <c r="G576" s="293" t="n"/>
      <c r="H576" s="293" t="n"/>
      <c r="I576" s="293" t="n"/>
      <c r="J576" s="293" t="n"/>
    </row>
    <row r="577" ht="13" customHeight="1" s="189">
      <c r="A577" s="289" t="n"/>
      <c r="B577" s="290" t="n"/>
      <c r="C577" s="290" t="n"/>
      <c r="D577" s="291" t="n"/>
      <c r="E577" s="291" t="n"/>
      <c r="F577" s="291" t="n"/>
      <c r="G577" s="293" t="n"/>
      <c r="H577" s="293" t="n"/>
      <c r="I577" s="293" t="n"/>
      <c r="J577" s="293" t="n"/>
    </row>
    <row r="578" ht="13" customHeight="1" s="189">
      <c r="A578" s="289" t="n"/>
      <c r="B578" s="290" t="n"/>
      <c r="C578" s="290" t="n"/>
      <c r="D578" s="291" t="n"/>
      <c r="E578" s="291" t="n"/>
      <c r="F578" s="291" t="n"/>
      <c r="G578" s="293" t="n"/>
      <c r="H578" s="293" t="n"/>
      <c r="I578" s="293" t="n"/>
      <c r="J578" s="293" t="n"/>
    </row>
    <row r="579" ht="13" customHeight="1" s="189">
      <c r="A579" s="289" t="n"/>
      <c r="B579" s="290" t="n"/>
      <c r="C579" s="290" t="n"/>
      <c r="D579" s="291" t="n"/>
      <c r="E579" s="291" t="n"/>
      <c r="F579" s="291" t="n"/>
      <c r="G579" s="293" t="n"/>
      <c r="H579" s="293" t="n"/>
      <c r="I579" s="293" t="n"/>
      <c r="J579" s="293" t="n"/>
    </row>
    <row r="580" ht="13" customHeight="1" s="189">
      <c r="A580" s="289" t="n"/>
      <c r="B580" s="290" t="n"/>
      <c r="C580" s="290" t="n"/>
      <c r="D580" s="291" t="n"/>
      <c r="E580" s="291" t="n"/>
      <c r="F580" s="291" t="n"/>
      <c r="G580" s="293" t="n"/>
      <c r="H580" s="293" t="n"/>
      <c r="I580" s="293" t="n"/>
      <c r="J580" s="293" t="n"/>
    </row>
    <row r="581" ht="13" customHeight="1" s="189">
      <c r="A581" s="289" t="n"/>
      <c r="B581" s="290" t="n"/>
      <c r="C581" s="290" t="n"/>
      <c r="D581" s="291" t="n"/>
      <c r="E581" s="291" t="n"/>
      <c r="F581" s="291" t="n"/>
      <c r="G581" s="293" t="n"/>
      <c r="H581" s="293" t="n"/>
      <c r="I581" s="293" t="n"/>
      <c r="J581" s="293" t="n"/>
    </row>
    <row r="582" ht="13" customHeight="1" s="189">
      <c r="A582" s="289" t="n"/>
      <c r="B582" s="290" t="n"/>
      <c r="C582" s="290" t="n"/>
      <c r="D582" s="291" t="n"/>
      <c r="E582" s="291" t="n"/>
      <c r="F582" s="291" t="n"/>
      <c r="G582" s="293" t="n"/>
      <c r="H582" s="293" t="n"/>
      <c r="I582" s="293" t="n"/>
      <c r="J582" s="293" t="n"/>
    </row>
    <row r="583" ht="13" customHeight="1" s="189">
      <c r="A583" s="289" t="n"/>
      <c r="B583" s="290" t="n"/>
      <c r="C583" s="290" t="n"/>
      <c r="D583" s="291" t="n"/>
      <c r="E583" s="291" t="n"/>
      <c r="F583" s="291" t="n"/>
      <c r="G583" s="293" t="n"/>
      <c r="H583" s="293" t="n"/>
      <c r="I583" s="293" t="n"/>
      <c r="J583" s="293" t="n"/>
    </row>
    <row r="584" ht="13" customHeight="1" s="189">
      <c r="A584" s="289" t="n"/>
      <c r="B584" s="290" t="n"/>
      <c r="C584" s="290" t="n"/>
      <c r="D584" s="291" t="n"/>
      <c r="E584" s="291" t="n"/>
      <c r="F584" s="291" t="n"/>
      <c r="G584" s="293" t="n"/>
      <c r="H584" s="293" t="n"/>
      <c r="I584" s="293" t="n"/>
      <c r="J584" s="293" t="n"/>
    </row>
    <row r="585" ht="13" customHeight="1" s="189">
      <c r="A585" s="289" t="n"/>
      <c r="B585" s="290" t="n"/>
      <c r="C585" s="290" t="n"/>
      <c r="D585" s="291" t="n"/>
      <c r="E585" s="291" t="n"/>
      <c r="F585" s="291" t="n"/>
      <c r="G585" s="293" t="n"/>
      <c r="H585" s="293" t="n"/>
      <c r="I585" s="293" t="n"/>
      <c r="J585" s="293" t="n"/>
    </row>
    <row r="586" ht="13" customHeight="1" s="189">
      <c r="A586" s="289" t="n"/>
      <c r="B586" s="290" t="n"/>
      <c r="C586" s="290" t="n"/>
      <c r="D586" s="291" t="n"/>
      <c r="E586" s="291" t="n"/>
      <c r="F586" s="291" t="n"/>
      <c r="G586" s="293" t="n"/>
      <c r="H586" s="293" t="n"/>
      <c r="I586" s="293" t="n"/>
      <c r="J586" s="293" t="n"/>
    </row>
    <row r="587" ht="13" customHeight="1" s="189">
      <c r="A587" s="289" t="n"/>
      <c r="B587" s="290" t="n"/>
      <c r="C587" s="290" t="n"/>
      <c r="D587" s="291" t="n"/>
      <c r="E587" s="291" t="n"/>
      <c r="F587" s="291" t="n"/>
      <c r="G587" s="293" t="n"/>
      <c r="H587" s="293" t="n"/>
      <c r="I587" s="293" t="n"/>
      <c r="J587" s="293" t="n"/>
    </row>
    <row r="588" ht="13" customHeight="1" s="189">
      <c r="A588" s="289" t="n"/>
      <c r="B588" s="290" t="n"/>
      <c r="C588" s="290" t="n"/>
      <c r="D588" s="291" t="n"/>
      <c r="E588" s="291" t="n"/>
      <c r="F588" s="291" t="n"/>
      <c r="G588" s="293" t="n"/>
      <c r="H588" s="293" t="n"/>
      <c r="I588" s="293" t="n"/>
      <c r="J588" s="293" t="n"/>
    </row>
    <row r="589" ht="13" customHeight="1" s="189">
      <c r="A589" s="289" t="n"/>
      <c r="B589" s="290" t="n"/>
      <c r="C589" s="290" t="n"/>
      <c r="D589" s="291" t="n"/>
      <c r="E589" s="291" t="n"/>
      <c r="F589" s="291" t="n"/>
      <c r="G589" s="293" t="n"/>
      <c r="H589" s="293" t="n"/>
      <c r="I589" s="293" t="n"/>
      <c r="J589" s="293" t="n"/>
    </row>
    <row r="590" ht="13" customHeight="1" s="189">
      <c r="A590" s="289" t="n"/>
      <c r="B590" s="290" t="n"/>
      <c r="C590" s="290" t="n"/>
      <c r="D590" s="291" t="n"/>
      <c r="E590" s="291" t="n"/>
      <c r="F590" s="291" t="n"/>
      <c r="G590" s="293" t="n"/>
      <c r="H590" s="293" t="n"/>
      <c r="I590" s="293" t="n"/>
      <c r="J590" s="293" t="n"/>
    </row>
    <row r="591" ht="13" customHeight="1" s="189">
      <c r="A591" s="289" t="n"/>
      <c r="B591" s="290" t="n"/>
      <c r="C591" s="290" t="n"/>
      <c r="D591" s="291" t="n"/>
      <c r="E591" s="291" t="n"/>
      <c r="F591" s="291" t="n"/>
      <c r="G591" s="293" t="n"/>
      <c r="H591" s="293" t="n"/>
      <c r="I591" s="293" t="n"/>
      <c r="J591" s="293" t="n"/>
    </row>
    <row r="592" ht="13" customHeight="1" s="189">
      <c r="A592" s="289" t="n"/>
      <c r="B592" s="290" t="n"/>
      <c r="C592" s="290" t="n"/>
      <c r="D592" s="291" t="n"/>
      <c r="E592" s="291" t="n"/>
      <c r="F592" s="291" t="n"/>
      <c r="G592" s="293" t="n"/>
      <c r="H592" s="293" t="n"/>
      <c r="I592" s="293" t="n"/>
      <c r="J592" s="293" t="n"/>
    </row>
    <row r="593" ht="13" customHeight="1" s="189">
      <c r="A593" s="289" t="n"/>
      <c r="B593" s="290" t="n"/>
      <c r="C593" s="290" t="n"/>
      <c r="D593" s="291" t="n"/>
      <c r="E593" s="291" t="n"/>
      <c r="F593" s="291" t="n"/>
      <c r="G593" s="293" t="n"/>
      <c r="H593" s="293" t="n"/>
      <c r="I593" s="293" t="n"/>
      <c r="J593" s="293" t="n"/>
    </row>
    <row r="594" ht="13" customHeight="1" s="189">
      <c r="A594" s="289" t="n"/>
      <c r="B594" s="290" t="n"/>
      <c r="C594" s="290" t="n"/>
      <c r="D594" s="291" t="n"/>
      <c r="E594" s="291" t="n"/>
      <c r="F594" s="291" t="n"/>
      <c r="G594" s="293" t="n"/>
      <c r="H594" s="293" t="n"/>
      <c r="I594" s="293" t="n"/>
      <c r="J594" s="293" t="n"/>
    </row>
    <row r="595" ht="13" customHeight="1" s="189">
      <c r="A595" s="289" t="n"/>
      <c r="B595" s="290" t="n"/>
      <c r="C595" s="290" t="n"/>
      <c r="D595" s="291" t="n"/>
      <c r="E595" s="291" t="n"/>
      <c r="F595" s="291" t="n"/>
      <c r="G595" s="293" t="n"/>
      <c r="H595" s="293" t="n"/>
      <c r="I595" s="293" t="n"/>
      <c r="J595" s="293" t="n"/>
    </row>
    <row r="596" ht="13" customHeight="1" s="189">
      <c r="A596" s="289" t="n"/>
      <c r="B596" s="290" t="n"/>
      <c r="C596" s="290" t="n"/>
      <c r="D596" s="291" t="n"/>
      <c r="E596" s="291" t="n"/>
      <c r="F596" s="291" t="n"/>
      <c r="G596" s="293" t="n"/>
      <c r="H596" s="293" t="n"/>
      <c r="I596" s="293" t="n"/>
      <c r="J596" s="293" t="n"/>
    </row>
    <row r="597" ht="13" customHeight="1" s="189">
      <c r="A597" s="289" t="n"/>
      <c r="B597" s="290" t="n"/>
      <c r="C597" s="290" t="n"/>
      <c r="D597" s="291" t="n"/>
      <c r="E597" s="291" t="n"/>
      <c r="F597" s="291" t="n"/>
      <c r="G597" s="293" t="n"/>
      <c r="H597" s="293" t="n"/>
      <c r="I597" s="293" t="n"/>
      <c r="J597" s="293" t="n"/>
    </row>
    <row r="598" ht="13" customHeight="1" s="189">
      <c r="A598" s="289" t="n"/>
      <c r="B598" s="290" t="n"/>
      <c r="C598" s="290" t="n"/>
      <c r="D598" s="291" t="n"/>
      <c r="E598" s="291" t="n"/>
      <c r="F598" s="291" t="n"/>
      <c r="G598" s="293" t="n"/>
      <c r="H598" s="293" t="n"/>
      <c r="I598" s="293" t="n"/>
      <c r="J598" s="293" t="n"/>
    </row>
    <row r="599" ht="13" customHeight="1" s="189">
      <c r="A599" s="289" t="n"/>
      <c r="B599" s="290" t="n"/>
      <c r="C599" s="290" t="n"/>
      <c r="D599" s="291" t="n"/>
      <c r="E599" s="291" t="n"/>
      <c r="F599" s="291" t="n"/>
      <c r="G599" s="293" t="n"/>
      <c r="H599" s="293" t="n"/>
      <c r="I599" s="293" t="n"/>
      <c r="J599" s="293" t="n"/>
    </row>
    <row r="600" ht="13" customHeight="1" s="189">
      <c r="A600" s="289" t="n"/>
      <c r="B600" s="290" t="n"/>
      <c r="C600" s="290" t="n"/>
      <c r="D600" s="291" t="n"/>
      <c r="E600" s="291" t="n"/>
      <c r="F600" s="291" t="n"/>
      <c r="G600" s="293" t="n"/>
      <c r="H600" s="293" t="n"/>
      <c r="I600" s="293" t="n"/>
      <c r="J600" s="293" t="n"/>
    </row>
    <row r="601" ht="13" customHeight="1" s="189">
      <c r="A601" s="289" t="n"/>
      <c r="B601" s="290" t="n"/>
      <c r="C601" s="290" t="n"/>
      <c r="D601" s="291" t="n"/>
      <c r="E601" s="291" t="n"/>
      <c r="F601" s="291" t="n"/>
      <c r="G601" s="293" t="n"/>
      <c r="H601" s="293" t="n"/>
      <c r="I601" s="293" t="n"/>
      <c r="J601" s="293" t="n"/>
    </row>
    <row r="602" ht="13" customHeight="1" s="189">
      <c r="A602" s="289" t="n"/>
      <c r="B602" s="290" t="n"/>
      <c r="C602" s="290" t="n"/>
      <c r="D602" s="291" t="n"/>
      <c r="E602" s="291" t="n"/>
      <c r="F602" s="291" t="n"/>
      <c r="G602" s="293" t="n"/>
      <c r="H602" s="293" t="n"/>
      <c r="I602" s="293" t="n"/>
      <c r="J602" s="293" t="n"/>
    </row>
    <row r="603" ht="13" customHeight="1" s="189">
      <c r="A603" s="289" t="n"/>
      <c r="B603" s="290" t="n"/>
      <c r="C603" s="290" t="n"/>
      <c r="D603" s="291" t="n"/>
      <c r="E603" s="291" t="n"/>
      <c r="F603" s="291" t="n"/>
      <c r="G603" s="293" t="n"/>
      <c r="H603" s="293" t="n"/>
      <c r="I603" s="293" t="n"/>
      <c r="J603" s="293" t="n"/>
    </row>
    <row r="604" ht="13" customHeight="1" s="189">
      <c r="A604" s="289" t="n"/>
      <c r="B604" s="290" t="n"/>
      <c r="C604" s="290" t="n"/>
      <c r="D604" s="291" t="n"/>
      <c r="E604" s="291" t="n"/>
      <c r="F604" s="291" t="n"/>
      <c r="G604" s="293" t="n"/>
      <c r="H604" s="293" t="n"/>
      <c r="I604" s="293" t="n"/>
      <c r="J604" s="293" t="n"/>
    </row>
    <row r="605" ht="13" customHeight="1" s="189">
      <c r="A605" s="289" t="n"/>
      <c r="B605" s="290" t="n"/>
      <c r="C605" s="290" t="n"/>
      <c r="D605" s="291" t="n"/>
      <c r="E605" s="291" t="n"/>
      <c r="F605" s="291" t="n"/>
      <c r="G605" s="293" t="n"/>
      <c r="H605" s="293" t="n"/>
      <c r="I605" s="293" t="n"/>
      <c r="J605" s="293" t="n"/>
    </row>
    <row r="606" ht="13" customHeight="1" s="189">
      <c r="A606" s="289" t="n"/>
      <c r="B606" s="290" t="n"/>
      <c r="C606" s="290" t="n"/>
      <c r="D606" s="291" t="n"/>
      <c r="E606" s="291" t="n"/>
      <c r="F606" s="291" t="n"/>
      <c r="G606" s="293" t="n"/>
      <c r="H606" s="293" t="n"/>
      <c r="I606" s="293" t="n"/>
      <c r="J606" s="293" t="n"/>
    </row>
    <row r="607" ht="13" customHeight="1" s="189">
      <c r="A607" s="289" t="n"/>
      <c r="B607" s="290" t="n"/>
      <c r="C607" s="290" t="n"/>
      <c r="D607" s="291" t="n"/>
      <c r="E607" s="291" t="n"/>
      <c r="F607" s="291" t="n"/>
      <c r="G607" s="293" t="n"/>
      <c r="H607" s="293" t="n"/>
      <c r="I607" s="293" t="n"/>
      <c r="J607" s="293" t="n"/>
    </row>
    <row r="608" ht="13" customHeight="1" s="189">
      <c r="A608" s="289" t="n"/>
      <c r="B608" s="290" t="n"/>
      <c r="C608" s="290" t="n"/>
      <c r="D608" s="291" t="n"/>
      <c r="E608" s="291" t="n"/>
      <c r="F608" s="291" t="n"/>
      <c r="G608" s="293" t="n"/>
      <c r="H608" s="293" t="n"/>
      <c r="I608" s="293" t="n"/>
      <c r="J608" s="293" t="n"/>
    </row>
    <row r="609" ht="13" customHeight="1" s="189">
      <c r="A609" s="289" t="n"/>
      <c r="B609" s="290" t="n"/>
      <c r="C609" s="290" t="n"/>
      <c r="D609" s="291" t="n"/>
      <c r="E609" s="291" t="n"/>
      <c r="F609" s="291" t="n"/>
      <c r="G609" s="293" t="n"/>
      <c r="H609" s="293" t="n"/>
      <c r="I609" s="293" t="n"/>
      <c r="J609" s="293" t="n"/>
    </row>
    <row r="610" ht="13" customHeight="1" s="189">
      <c r="A610" s="289" t="n"/>
      <c r="B610" s="290" t="n"/>
      <c r="C610" s="290" t="n"/>
      <c r="D610" s="291" t="n"/>
      <c r="E610" s="291" t="n"/>
      <c r="F610" s="291" t="n"/>
      <c r="G610" s="293" t="n"/>
      <c r="H610" s="293" t="n"/>
      <c r="I610" s="293" t="n"/>
      <c r="J610" s="293" t="n"/>
    </row>
    <row r="611" ht="13" customHeight="1" s="189">
      <c r="A611" s="289" t="n"/>
      <c r="B611" s="290" t="n"/>
      <c r="C611" s="290" t="n"/>
      <c r="D611" s="291" t="n"/>
      <c r="E611" s="291" t="n"/>
      <c r="F611" s="291" t="n"/>
      <c r="G611" s="293" t="n"/>
      <c r="H611" s="293" t="n"/>
      <c r="I611" s="293" t="n"/>
      <c r="J611" s="293" t="n"/>
    </row>
    <row r="612" ht="13" customHeight="1" s="189">
      <c r="A612" s="289" t="n"/>
      <c r="B612" s="290" t="n"/>
      <c r="C612" s="290" t="n"/>
      <c r="D612" s="291" t="n"/>
      <c r="E612" s="291" t="n"/>
      <c r="F612" s="291" t="n"/>
      <c r="G612" s="293" t="n"/>
      <c r="H612" s="293" t="n"/>
      <c r="I612" s="293" t="n"/>
      <c r="J612" s="293" t="n"/>
    </row>
    <row r="613" ht="13" customHeight="1" s="189">
      <c r="A613" s="289" t="n"/>
      <c r="B613" s="290" t="n"/>
      <c r="C613" s="290" t="n"/>
      <c r="D613" s="291" t="n"/>
      <c r="E613" s="291" t="n"/>
      <c r="F613" s="291" t="n"/>
      <c r="G613" s="293" t="n"/>
      <c r="H613" s="293" t="n"/>
      <c r="I613" s="293" t="n"/>
      <c r="J613" s="293" t="n"/>
    </row>
    <row r="614" ht="13" customHeight="1" s="189">
      <c r="A614" s="289" t="n"/>
      <c r="B614" s="290" t="n"/>
      <c r="C614" s="290" t="n"/>
      <c r="D614" s="291" t="n"/>
      <c r="E614" s="291" t="n"/>
      <c r="F614" s="291" t="n"/>
      <c r="G614" s="293" t="n"/>
      <c r="H614" s="293" t="n"/>
      <c r="I614" s="293" t="n"/>
      <c r="J614" s="293" t="n"/>
    </row>
    <row r="615" ht="13" customHeight="1" s="189">
      <c r="A615" s="289" t="n"/>
      <c r="B615" s="290" t="n"/>
      <c r="C615" s="290" t="n"/>
      <c r="D615" s="291" t="n"/>
      <c r="E615" s="291" t="n"/>
      <c r="F615" s="291" t="n"/>
      <c r="G615" s="293" t="n"/>
      <c r="H615" s="293" t="n"/>
      <c r="I615" s="293" t="n"/>
      <c r="J615" s="293" t="n"/>
    </row>
    <row r="616" ht="13" customHeight="1" s="189">
      <c r="A616" s="289" t="n"/>
      <c r="B616" s="290" t="n"/>
      <c r="C616" s="290" t="n"/>
      <c r="D616" s="291" t="n"/>
      <c r="E616" s="291" t="n"/>
      <c r="F616" s="291" t="n"/>
      <c r="G616" s="293" t="n"/>
      <c r="H616" s="293" t="n"/>
      <c r="I616" s="293" t="n"/>
      <c r="J616" s="293" t="n"/>
    </row>
    <row r="617" ht="13" customHeight="1" s="189">
      <c r="A617" s="289" t="n"/>
      <c r="B617" s="290" t="n"/>
      <c r="C617" s="290" t="n"/>
      <c r="D617" s="291" t="n"/>
      <c r="E617" s="291" t="n"/>
      <c r="F617" s="291" t="n"/>
      <c r="G617" s="293" t="n"/>
      <c r="H617" s="293" t="n"/>
      <c r="I617" s="293" t="n"/>
      <c r="J617" s="293" t="n"/>
    </row>
    <row r="618" ht="13" customHeight="1" s="189">
      <c r="A618" s="289" t="n"/>
      <c r="B618" s="290" t="n"/>
      <c r="C618" s="290" t="n"/>
      <c r="D618" s="291" t="n"/>
      <c r="E618" s="291" t="n"/>
      <c r="F618" s="291" t="n"/>
      <c r="G618" s="293" t="n"/>
      <c r="H618" s="293" t="n"/>
      <c r="I618" s="293" t="n"/>
      <c r="J618" s="293" t="n"/>
    </row>
    <row r="619" ht="13" customHeight="1" s="189">
      <c r="A619" s="289" t="n"/>
      <c r="B619" s="290" t="n"/>
      <c r="C619" s="290" t="n"/>
      <c r="D619" s="291" t="n"/>
      <c r="E619" s="291" t="n"/>
      <c r="F619" s="291" t="n"/>
      <c r="G619" s="293" t="n"/>
      <c r="H619" s="293" t="n"/>
      <c r="I619" s="293" t="n"/>
      <c r="J619" s="293" t="n"/>
    </row>
    <row r="620" ht="13" customHeight="1" s="189">
      <c r="A620" s="289" t="n"/>
      <c r="B620" s="290" t="n"/>
      <c r="C620" s="290" t="n"/>
      <c r="D620" s="291" t="n"/>
      <c r="E620" s="291" t="n"/>
      <c r="F620" s="291" t="n"/>
      <c r="G620" s="293" t="n"/>
      <c r="H620" s="293" t="n"/>
      <c r="I620" s="293" t="n"/>
      <c r="J620" s="293" t="n"/>
    </row>
    <row r="621" ht="13" customHeight="1" s="189">
      <c r="A621" s="289" t="n"/>
      <c r="B621" s="290" t="n"/>
      <c r="C621" s="290" t="n"/>
      <c r="D621" s="291" t="n"/>
      <c r="E621" s="291" t="n"/>
      <c r="F621" s="291" t="n"/>
      <c r="G621" s="293" t="n"/>
      <c r="H621" s="293" t="n"/>
      <c r="I621" s="293" t="n"/>
      <c r="J621" s="293" t="n"/>
    </row>
    <row r="622" ht="13" customHeight="1" s="189">
      <c r="A622" s="289" t="n"/>
      <c r="B622" s="290" t="n"/>
      <c r="C622" s="290" t="n"/>
      <c r="D622" s="291" t="n"/>
      <c r="E622" s="291" t="n"/>
      <c r="F622" s="291" t="n"/>
      <c r="G622" s="293" t="n"/>
      <c r="H622" s="293" t="n"/>
      <c r="I622" s="293" t="n"/>
      <c r="J622" s="293" t="n"/>
    </row>
    <row r="623" ht="13" customHeight="1" s="189">
      <c r="A623" s="289" t="n"/>
      <c r="B623" s="290" t="n"/>
      <c r="C623" s="290" t="n"/>
      <c r="D623" s="291" t="n"/>
      <c r="E623" s="291" t="n"/>
      <c r="F623" s="291" t="n"/>
      <c r="G623" s="293" t="n"/>
      <c r="H623" s="293" t="n"/>
      <c r="I623" s="293" t="n"/>
      <c r="J623" s="293" t="n"/>
    </row>
    <row r="624" ht="13" customHeight="1" s="189">
      <c r="A624" s="289" t="n"/>
      <c r="B624" s="290" t="n"/>
      <c r="C624" s="290" t="n"/>
      <c r="D624" s="291" t="n"/>
      <c r="E624" s="291" t="n"/>
      <c r="F624" s="291" t="n"/>
      <c r="G624" s="293" t="n"/>
      <c r="H624" s="293" t="n"/>
      <c r="I624" s="293" t="n"/>
      <c r="J624" s="293" t="n"/>
    </row>
    <row r="625" ht="13" customHeight="1" s="189">
      <c r="A625" s="289" t="n"/>
      <c r="B625" s="290" t="n"/>
      <c r="C625" s="290" t="n"/>
      <c r="D625" s="291" t="n"/>
      <c r="E625" s="291" t="n"/>
      <c r="F625" s="291" t="n"/>
      <c r="G625" s="293" t="n"/>
      <c r="H625" s="293" t="n"/>
      <c r="I625" s="293" t="n"/>
      <c r="J625" s="293" t="n"/>
    </row>
    <row r="626" ht="13" customHeight="1" s="189">
      <c r="A626" s="289" t="n"/>
      <c r="B626" s="290" t="n"/>
      <c r="C626" s="290" t="n"/>
      <c r="D626" s="291" t="n"/>
      <c r="E626" s="291" t="n"/>
      <c r="F626" s="291" t="n"/>
      <c r="G626" s="293" t="n"/>
      <c r="H626" s="293" t="n"/>
      <c r="I626" s="293" t="n"/>
      <c r="J626" s="293" t="n"/>
    </row>
    <row r="627" ht="13" customHeight="1" s="189">
      <c r="A627" s="289" t="n"/>
      <c r="B627" s="290" t="n"/>
      <c r="C627" s="290" t="n"/>
      <c r="D627" s="291" t="n"/>
      <c r="E627" s="291" t="n"/>
      <c r="F627" s="291" t="n"/>
      <c r="G627" s="293" t="n"/>
      <c r="H627" s="293" t="n"/>
      <c r="I627" s="293" t="n"/>
      <c r="J627" s="293" t="n"/>
    </row>
    <row r="628" ht="13" customHeight="1" s="189">
      <c r="A628" s="289" t="n"/>
      <c r="B628" s="290" t="n"/>
      <c r="C628" s="290" t="n"/>
      <c r="D628" s="291" t="n"/>
      <c r="E628" s="291" t="n"/>
      <c r="F628" s="291" t="n"/>
      <c r="G628" s="293" t="n"/>
      <c r="H628" s="293" t="n"/>
      <c r="I628" s="293" t="n"/>
      <c r="J628" s="293" t="n"/>
    </row>
    <row r="629" ht="13" customHeight="1" s="189">
      <c r="A629" s="289" t="n"/>
      <c r="B629" s="290" t="n"/>
      <c r="C629" s="290" t="n"/>
      <c r="D629" s="291" t="n"/>
      <c r="E629" s="291" t="n"/>
      <c r="F629" s="291" t="n"/>
      <c r="G629" s="293" t="n"/>
      <c r="H629" s="293" t="n"/>
      <c r="I629" s="293" t="n"/>
      <c r="J629" s="293" t="n"/>
    </row>
    <row r="630" ht="13" customHeight="1" s="189">
      <c r="A630" s="289" t="n"/>
      <c r="B630" s="290" t="n"/>
      <c r="C630" s="290" t="n"/>
      <c r="D630" s="291" t="n"/>
      <c r="E630" s="291" t="n"/>
      <c r="F630" s="291" t="n"/>
      <c r="G630" s="293" t="n"/>
      <c r="H630" s="293" t="n"/>
      <c r="I630" s="293" t="n"/>
      <c r="J630" s="293" t="n"/>
    </row>
    <row r="631" ht="13" customHeight="1" s="189">
      <c r="A631" s="289" t="n"/>
      <c r="B631" s="290" t="n"/>
      <c r="C631" s="290" t="n"/>
      <c r="D631" s="291" t="n"/>
      <c r="E631" s="291" t="n"/>
      <c r="F631" s="291" t="n"/>
      <c r="G631" s="293" t="n"/>
      <c r="H631" s="293" t="n"/>
      <c r="I631" s="293" t="n"/>
      <c r="J631" s="293" t="n"/>
    </row>
    <row r="632" ht="13" customHeight="1" s="189">
      <c r="A632" s="289" t="n"/>
      <c r="B632" s="290" t="n"/>
      <c r="C632" s="290" t="n"/>
      <c r="D632" s="291" t="n"/>
      <c r="E632" s="291" t="n"/>
      <c r="F632" s="291" t="n"/>
      <c r="G632" s="293" t="n"/>
      <c r="H632" s="293" t="n"/>
      <c r="I632" s="293" t="n"/>
      <c r="J632" s="293" t="n"/>
    </row>
    <row r="633" ht="13" customHeight="1" s="189">
      <c r="A633" s="289" t="n"/>
      <c r="B633" s="290" t="n"/>
      <c r="C633" s="290" t="n"/>
      <c r="D633" s="291" t="n"/>
      <c r="E633" s="291" t="n"/>
      <c r="F633" s="291" t="n"/>
      <c r="G633" s="293" t="n"/>
      <c r="H633" s="293" t="n"/>
      <c r="I633" s="293" t="n"/>
      <c r="J633" s="293" t="n"/>
    </row>
    <row r="634" ht="13" customHeight="1" s="189">
      <c r="A634" s="289" t="n"/>
      <c r="B634" s="290" t="n"/>
      <c r="C634" s="290" t="n"/>
      <c r="D634" s="291" t="n"/>
      <c r="E634" s="291" t="n"/>
      <c r="F634" s="291" t="n"/>
      <c r="G634" s="293" t="n"/>
      <c r="H634" s="293" t="n"/>
      <c r="I634" s="293" t="n"/>
      <c r="J634" s="293" t="n"/>
    </row>
    <row r="635" ht="13" customHeight="1" s="189">
      <c r="A635" s="289" t="n"/>
      <c r="B635" s="290" t="n"/>
      <c r="C635" s="290" t="n"/>
      <c r="D635" s="291" t="n"/>
      <c r="E635" s="291" t="n"/>
      <c r="F635" s="291" t="n"/>
      <c r="G635" s="293" t="n"/>
      <c r="H635" s="293" t="n"/>
      <c r="I635" s="293" t="n"/>
      <c r="J635" s="293" t="n"/>
    </row>
    <row r="636" ht="13" customHeight="1" s="189">
      <c r="A636" s="289" t="n"/>
      <c r="B636" s="290" t="n"/>
      <c r="C636" s="290" t="n"/>
      <c r="D636" s="291" t="n"/>
      <c r="E636" s="291" t="n"/>
      <c r="F636" s="291" t="n"/>
      <c r="G636" s="293" t="n"/>
      <c r="H636" s="293" t="n"/>
      <c r="I636" s="293" t="n"/>
      <c r="J636" s="293" t="n"/>
    </row>
    <row r="637" ht="13" customHeight="1" s="189">
      <c r="A637" s="289" t="n"/>
      <c r="B637" s="290" t="n"/>
      <c r="C637" s="290" t="n"/>
      <c r="D637" s="291" t="n"/>
      <c r="E637" s="291" t="n"/>
      <c r="F637" s="291" t="n"/>
      <c r="G637" s="293" t="n"/>
      <c r="H637" s="293" t="n"/>
      <c r="I637" s="293" t="n"/>
      <c r="J637" s="293" t="n"/>
    </row>
    <row r="638" ht="13" customHeight="1" s="189">
      <c r="A638" s="289" t="n"/>
      <c r="B638" s="290" t="n"/>
      <c r="C638" s="290" t="n"/>
      <c r="D638" s="291" t="n"/>
      <c r="E638" s="291" t="n"/>
      <c r="F638" s="291" t="n"/>
      <c r="G638" s="293" t="n"/>
      <c r="H638" s="293" t="n"/>
      <c r="I638" s="293" t="n"/>
      <c r="J638" s="293" t="n"/>
    </row>
    <row r="639" ht="13" customHeight="1" s="189">
      <c r="A639" s="289" t="n"/>
      <c r="B639" s="290" t="n"/>
      <c r="C639" s="290" t="n"/>
      <c r="D639" s="291" t="n"/>
      <c r="E639" s="291" t="n"/>
      <c r="F639" s="291" t="n"/>
      <c r="G639" s="293" t="n"/>
      <c r="H639" s="293" t="n"/>
      <c r="I639" s="293" t="n"/>
      <c r="J639" s="293" t="n"/>
    </row>
    <row r="640" ht="13" customHeight="1" s="189">
      <c r="A640" s="289" t="n"/>
      <c r="B640" s="290" t="n"/>
      <c r="C640" s="290" t="n"/>
      <c r="D640" s="291" t="n"/>
      <c r="E640" s="291" t="n"/>
      <c r="F640" s="291" t="n"/>
      <c r="G640" s="293" t="n"/>
      <c r="H640" s="293" t="n"/>
      <c r="I640" s="293" t="n"/>
      <c r="J640" s="293" t="n"/>
    </row>
    <row r="641" ht="13" customHeight="1" s="189">
      <c r="A641" s="289" t="n"/>
      <c r="B641" s="290" t="n"/>
      <c r="C641" s="290" t="n"/>
      <c r="D641" s="291" t="n"/>
      <c r="E641" s="291" t="n"/>
      <c r="F641" s="291" t="n"/>
      <c r="G641" s="293" t="n"/>
      <c r="H641" s="293" t="n"/>
      <c r="I641" s="293" t="n"/>
      <c r="J641" s="293" t="n"/>
    </row>
    <row r="642" ht="13" customHeight="1" s="189">
      <c r="A642" s="289" t="n"/>
      <c r="B642" s="290" t="n"/>
      <c r="C642" s="290" t="n"/>
      <c r="D642" s="291" t="n"/>
      <c r="E642" s="291" t="n"/>
      <c r="F642" s="291" t="n"/>
      <c r="G642" s="293" t="n"/>
      <c r="H642" s="293" t="n"/>
      <c r="I642" s="293" t="n"/>
      <c r="J642" s="293" t="n"/>
    </row>
    <row r="643" ht="13" customHeight="1" s="189">
      <c r="A643" s="289" t="n"/>
      <c r="B643" s="290" t="n"/>
      <c r="C643" s="290" t="n"/>
      <c r="D643" s="291" t="n"/>
      <c r="E643" s="291" t="n"/>
      <c r="F643" s="291" t="n"/>
      <c r="G643" s="293" t="n"/>
      <c r="H643" s="293" t="n"/>
      <c r="I643" s="293" t="n"/>
      <c r="J643" s="293" t="n"/>
    </row>
    <row r="644" ht="13" customHeight="1" s="189">
      <c r="A644" s="289" t="n"/>
      <c r="B644" s="290" t="n"/>
      <c r="C644" s="290" t="n"/>
      <c r="D644" s="291" t="n"/>
      <c r="E644" s="291" t="n"/>
      <c r="F644" s="291" t="n"/>
      <c r="G644" s="293" t="n"/>
      <c r="H644" s="293" t="n"/>
      <c r="I644" s="293" t="n"/>
      <c r="J644" s="293" t="n"/>
    </row>
    <row r="645" ht="13" customHeight="1" s="189">
      <c r="A645" s="289" t="n"/>
      <c r="B645" s="290" t="n"/>
      <c r="C645" s="290" t="n"/>
      <c r="D645" s="291" t="n"/>
      <c r="E645" s="291" t="n"/>
      <c r="F645" s="291" t="n"/>
      <c r="G645" s="293" t="n"/>
      <c r="H645" s="293" t="n"/>
      <c r="I645" s="293" t="n"/>
      <c r="J645" s="293" t="n"/>
    </row>
    <row r="646" ht="13" customHeight="1" s="189">
      <c r="A646" s="289" t="n"/>
      <c r="B646" s="290" t="n"/>
      <c r="C646" s="290" t="n"/>
      <c r="D646" s="291" t="n"/>
      <c r="E646" s="291" t="n"/>
      <c r="F646" s="291" t="n"/>
      <c r="G646" s="293" t="n"/>
      <c r="H646" s="293" t="n"/>
      <c r="I646" s="293" t="n"/>
      <c r="J646" s="293" t="n"/>
    </row>
    <row r="647" ht="13" customHeight="1" s="189">
      <c r="A647" s="289" t="n"/>
      <c r="B647" s="290" t="n"/>
      <c r="C647" s="290" t="n"/>
      <c r="D647" s="291" t="n"/>
      <c r="E647" s="291" t="n"/>
      <c r="F647" s="291" t="n"/>
      <c r="G647" s="293" t="n"/>
      <c r="H647" s="293" t="n"/>
      <c r="I647" s="293" t="n"/>
      <c r="J647" s="293" t="n"/>
    </row>
    <row r="648" ht="13" customHeight="1" s="189">
      <c r="A648" s="289" t="n"/>
      <c r="B648" s="290" t="n"/>
      <c r="C648" s="290" t="n"/>
      <c r="D648" s="291" t="n"/>
      <c r="E648" s="291" t="n"/>
      <c r="F648" s="291" t="n"/>
      <c r="G648" s="293" t="n"/>
      <c r="H648" s="293" t="n"/>
      <c r="I648" s="293" t="n"/>
      <c r="J648" s="293" t="n"/>
    </row>
    <row r="649" ht="13" customHeight="1" s="189">
      <c r="A649" s="289" t="n"/>
      <c r="B649" s="290" t="n"/>
      <c r="C649" s="290" t="n"/>
      <c r="D649" s="291" t="n"/>
      <c r="E649" s="291" t="n"/>
      <c r="F649" s="291" t="n"/>
      <c r="G649" s="293" t="n"/>
      <c r="H649" s="293" t="n"/>
      <c r="I649" s="293" t="n"/>
      <c r="J649" s="293" t="n"/>
    </row>
    <row r="650" ht="13" customHeight="1" s="189">
      <c r="A650" s="289" t="n"/>
      <c r="B650" s="290" t="n"/>
      <c r="C650" s="290" t="n"/>
      <c r="D650" s="291" t="n"/>
      <c r="E650" s="291" t="n"/>
      <c r="F650" s="291" t="n"/>
      <c r="G650" s="293" t="n"/>
      <c r="H650" s="293" t="n"/>
      <c r="I650" s="293" t="n"/>
      <c r="J650" s="293" t="n"/>
    </row>
    <row r="651" ht="13" customHeight="1" s="189">
      <c r="A651" s="289" t="n"/>
      <c r="B651" s="290" t="n"/>
      <c r="C651" s="290" t="n"/>
      <c r="D651" s="291" t="n"/>
      <c r="E651" s="291" t="n"/>
      <c r="F651" s="291" t="n"/>
      <c r="G651" s="293" t="n"/>
      <c r="H651" s="293" t="n"/>
      <c r="I651" s="293" t="n"/>
      <c r="J651" s="293" t="n"/>
    </row>
    <row r="652" ht="13" customHeight="1" s="189">
      <c r="A652" s="289" t="n"/>
      <c r="B652" s="290" t="n"/>
      <c r="C652" s="290" t="n"/>
      <c r="D652" s="291" t="n"/>
      <c r="E652" s="291" t="n"/>
      <c r="F652" s="291" t="n"/>
      <c r="G652" s="293" t="n"/>
      <c r="H652" s="293" t="n"/>
      <c r="I652" s="293" t="n"/>
      <c r="J652" s="293" t="n"/>
    </row>
    <row r="653" ht="13" customHeight="1" s="189">
      <c r="A653" s="289" t="n"/>
      <c r="B653" s="290" t="n"/>
      <c r="C653" s="290" t="n"/>
      <c r="D653" s="291" t="n"/>
      <c r="E653" s="291" t="n"/>
      <c r="F653" s="291" t="n"/>
      <c r="G653" s="293" t="n"/>
      <c r="H653" s="293" t="n"/>
      <c r="I653" s="293" t="n"/>
      <c r="J653" s="293" t="n"/>
    </row>
    <row r="654" ht="13" customHeight="1" s="189">
      <c r="A654" s="289" t="n"/>
      <c r="B654" s="290" t="n"/>
      <c r="C654" s="290" t="n"/>
      <c r="D654" s="291" t="n"/>
      <c r="E654" s="291" t="n"/>
      <c r="F654" s="291" t="n"/>
      <c r="G654" s="293" t="n"/>
      <c r="H654" s="293" t="n"/>
      <c r="I654" s="293" t="n"/>
      <c r="J654" s="293" t="n"/>
    </row>
    <row r="655" ht="13" customHeight="1" s="189">
      <c r="A655" s="289" t="n"/>
      <c r="B655" s="290" t="n"/>
      <c r="C655" s="290" t="n"/>
      <c r="D655" s="291" t="n"/>
      <c r="E655" s="291" t="n"/>
      <c r="F655" s="291" t="n"/>
      <c r="G655" s="293" t="n"/>
      <c r="H655" s="293" t="n"/>
      <c r="I655" s="293" t="n"/>
      <c r="J655" s="293" t="n"/>
    </row>
    <row r="656" ht="13" customHeight="1" s="189">
      <c r="A656" s="289" t="n"/>
      <c r="B656" s="290" t="n"/>
      <c r="C656" s="290" t="n"/>
      <c r="D656" s="291" t="n"/>
      <c r="E656" s="291" t="n"/>
      <c r="F656" s="291" t="n"/>
      <c r="G656" s="293" t="n"/>
      <c r="H656" s="293" t="n"/>
      <c r="I656" s="293" t="n"/>
      <c r="J656" s="293" t="n"/>
    </row>
    <row r="657" ht="13" customHeight="1" s="189">
      <c r="A657" s="289" t="n"/>
      <c r="B657" s="290" t="n"/>
      <c r="C657" s="290" t="n"/>
      <c r="D657" s="291" t="n"/>
      <c r="E657" s="291" t="n"/>
      <c r="F657" s="291" t="n"/>
      <c r="G657" s="293" t="n"/>
      <c r="H657" s="293" t="n"/>
      <c r="I657" s="293" t="n"/>
      <c r="J657" s="293" t="n"/>
    </row>
    <row r="658" ht="13" customHeight="1" s="189">
      <c r="A658" s="289" t="n"/>
      <c r="B658" s="290" t="n"/>
      <c r="C658" s="290" t="n"/>
      <c r="D658" s="291" t="n"/>
      <c r="E658" s="291" t="n"/>
      <c r="F658" s="291" t="n"/>
      <c r="G658" s="293" t="n"/>
      <c r="H658" s="293" t="n"/>
      <c r="I658" s="293" t="n"/>
      <c r="J658" s="293" t="n"/>
    </row>
    <row r="659" ht="13" customHeight="1" s="189">
      <c r="A659" s="289" t="n"/>
      <c r="B659" s="290" t="n"/>
      <c r="C659" s="290" t="n"/>
      <c r="D659" s="291" t="n"/>
      <c r="E659" s="291" t="n"/>
      <c r="F659" s="291" t="n"/>
      <c r="G659" s="293" t="n"/>
      <c r="H659" s="293" t="n"/>
      <c r="I659" s="293" t="n"/>
      <c r="J659" s="293" t="n"/>
    </row>
    <row r="660" ht="13" customHeight="1" s="189">
      <c r="A660" s="289" t="n"/>
      <c r="B660" s="290" t="n"/>
      <c r="C660" s="290" t="n"/>
      <c r="D660" s="291" t="n"/>
      <c r="E660" s="291" t="n"/>
      <c r="F660" s="291" t="n"/>
      <c r="G660" s="293" t="n"/>
      <c r="H660" s="293" t="n"/>
      <c r="I660" s="293" t="n"/>
      <c r="J660" s="293" t="n"/>
    </row>
    <row r="661" ht="13" customHeight="1" s="189">
      <c r="A661" s="289" t="n"/>
      <c r="B661" s="290" t="n"/>
      <c r="C661" s="290" t="n"/>
      <c r="D661" s="291" t="n"/>
      <c r="E661" s="291" t="n"/>
      <c r="F661" s="291" t="n"/>
      <c r="G661" s="293" t="n"/>
      <c r="H661" s="293" t="n"/>
      <c r="I661" s="293" t="n"/>
      <c r="J661" s="293" t="n"/>
    </row>
    <row r="662" ht="13" customHeight="1" s="189">
      <c r="A662" s="289" t="n"/>
      <c r="B662" s="290" t="n"/>
      <c r="C662" s="290" t="n"/>
      <c r="D662" s="291" t="n"/>
      <c r="E662" s="291" t="n"/>
      <c r="F662" s="291" t="n"/>
      <c r="G662" s="293" t="n"/>
      <c r="H662" s="293" t="n"/>
      <c r="I662" s="293" t="n"/>
      <c r="J662" s="293" t="n"/>
    </row>
    <row r="663" ht="13" customHeight="1" s="189">
      <c r="A663" s="289" t="n"/>
      <c r="B663" s="290" t="n"/>
      <c r="C663" s="290" t="n"/>
      <c r="D663" s="291" t="n"/>
      <c r="E663" s="291" t="n"/>
      <c r="F663" s="291" t="n"/>
      <c r="G663" s="293" t="n"/>
      <c r="H663" s="293" t="n"/>
      <c r="I663" s="293" t="n"/>
      <c r="J663" s="293" t="n"/>
    </row>
    <row r="664" ht="13" customHeight="1" s="189">
      <c r="A664" s="289" t="n"/>
      <c r="B664" s="290" t="n"/>
      <c r="C664" s="290" t="n"/>
      <c r="D664" s="291" t="n"/>
      <c r="E664" s="291" t="n"/>
      <c r="F664" s="291" t="n"/>
      <c r="G664" s="293" t="n"/>
      <c r="H664" s="293" t="n"/>
      <c r="I664" s="293" t="n"/>
      <c r="J664" s="293" t="n"/>
    </row>
    <row r="665" ht="13" customHeight="1" s="189">
      <c r="A665" s="289" t="n"/>
      <c r="B665" s="290" t="n"/>
      <c r="C665" s="290" t="n"/>
      <c r="D665" s="291" t="n"/>
      <c r="E665" s="291" t="n"/>
      <c r="F665" s="291" t="n"/>
      <c r="G665" s="293" t="n"/>
      <c r="H665" s="293" t="n"/>
      <c r="I665" s="293" t="n"/>
      <c r="J665" s="293" t="n"/>
    </row>
    <row r="666" ht="13" customHeight="1" s="189">
      <c r="A666" s="289" t="n"/>
      <c r="B666" s="290" t="n"/>
      <c r="C666" s="290" t="n"/>
      <c r="D666" s="291" t="n"/>
      <c r="E666" s="291" t="n"/>
      <c r="F666" s="291" t="n"/>
      <c r="G666" s="293" t="n"/>
      <c r="H666" s="293" t="n"/>
      <c r="I666" s="293" t="n"/>
      <c r="J666" s="293" t="n"/>
    </row>
    <row r="667" ht="13" customHeight="1" s="189">
      <c r="A667" s="289" t="n"/>
      <c r="B667" s="290" t="n"/>
      <c r="C667" s="290" t="n"/>
      <c r="D667" s="291" t="n"/>
      <c r="E667" s="291" t="n"/>
      <c r="F667" s="291" t="n"/>
      <c r="G667" s="293" t="n"/>
      <c r="H667" s="293" t="n"/>
      <c r="I667" s="293" t="n"/>
      <c r="J667" s="293" t="n"/>
    </row>
    <row r="668" ht="13" customHeight="1" s="189">
      <c r="A668" s="289" t="n"/>
      <c r="B668" s="290" t="n"/>
      <c r="C668" s="290" t="n"/>
      <c r="D668" s="291" t="n"/>
      <c r="E668" s="291" t="n"/>
      <c r="F668" s="291" t="n"/>
      <c r="G668" s="293" t="n"/>
      <c r="H668" s="293" t="n"/>
      <c r="I668" s="293" t="n"/>
      <c r="J668" s="293" t="n"/>
    </row>
    <row r="669" ht="13" customHeight="1" s="189">
      <c r="A669" s="289" t="n"/>
      <c r="B669" s="290" t="n"/>
      <c r="C669" s="290" t="n"/>
      <c r="D669" s="291" t="n"/>
      <c r="E669" s="291" t="n"/>
      <c r="F669" s="291" t="n"/>
      <c r="G669" s="293" t="n"/>
      <c r="H669" s="293" t="n"/>
      <c r="I669" s="293" t="n"/>
      <c r="J669" s="293" t="n"/>
    </row>
    <row r="670" ht="13" customHeight="1" s="189">
      <c r="A670" s="289" t="n"/>
      <c r="B670" s="290" t="n"/>
      <c r="C670" s="290" t="n"/>
      <c r="D670" s="291" t="n"/>
      <c r="E670" s="291" t="n"/>
      <c r="F670" s="291" t="n"/>
      <c r="G670" s="293" t="n"/>
      <c r="H670" s="293" t="n"/>
      <c r="I670" s="293" t="n"/>
      <c r="J670" s="293" t="n"/>
    </row>
    <row r="671" ht="13" customHeight="1" s="189">
      <c r="A671" s="289" t="n"/>
      <c r="B671" s="290" t="n"/>
      <c r="C671" s="290" t="n"/>
      <c r="D671" s="291" t="n"/>
      <c r="E671" s="291" t="n"/>
      <c r="F671" s="291" t="n"/>
      <c r="G671" s="293" t="n"/>
      <c r="H671" s="293" t="n"/>
      <c r="I671" s="293" t="n"/>
      <c r="J671" s="293" t="n"/>
    </row>
    <row r="672" ht="13" customHeight="1" s="189">
      <c r="A672" s="289" t="n"/>
      <c r="B672" s="290" t="n"/>
      <c r="C672" s="290" t="n"/>
      <c r="D672" s="291" t="n"/>
      <c r="E672" s="291" t="n"/>
      <c r="F672" s="291" t="n"/>
      <c r="G672" s="293" t="n"/>
      <c r="H672" s="293" t="n"/>
      <c r="I672" s="293" t="n"/>
      <c r="J672" s="293" t="n"/>
    </row>
    <row r="673" ht="13" customHeight="1" s="189">
      <c r="A673" s="289" t="n"/>
      <c r="B673" s="290" t="n"/>
      <c r="C673" s="290" t="n"/>
      <c r="D673" s="291" t="n"/>
      <c r="E673" s="291" t="n"/>
      <c r="F673" s="291" t="n"/>
      <c r="G673" s="293" t="n"/>
      <c r="H673" s="293" t="n"/>
      <c r="I673" s="293" t="n"/>
      <c r="J673" s="293" t="n"/>
    </row>
    <row r="674" ht="13" customHeight="1" s="189">
      <c r="A674" s="289" t="n"/>
      <c r="B674" s="290" t="n"/>
      <c r="C674" s="290" t="n"/>
      <c r="D674" s="291" t="n"/>
      <c r="E674" s="291" t="n"/>
      <c r="F674" s="291" t="n"/>
      <c r="G674" s="293" t="n"/>
      <c r="H674" s="293" t="n"/>
      <c r="I674" s="293" t="n"/>
      <c r="J674" s="293" t="n"/>
    </row>
    <row r="675" ht="13" customHeight="1" s="189">
      <c r="A675" s="289" t="n"/>
      <c r="B675" s="290" t="n"/>
      <c r="C675" s="290" t="n"/>
      <c r="D675" s="291" t="n"/>
      <c r="E675" s="291" t="n"/>
      <c r="F675" s="291" t="n"/>
      <c r="G675" s="293" t="n"/>
      <c r="H675" s="293" t="n"/>
      <c r="I675" s="293" t="n"/>
      <c r="J675" s="293" t="n"/>
    </row>
    <row r="676" ht="13" customHeight="1" s="189">
      <c r="A676" s="289" t="n"/>
      <c r="B676" s="290" t="n"/>
      <c r="C676" s="290" t="n"/>
      <c r="D676" s="291" t="n"/>
      <c r="E676" s="291" t="n"/>
      <c r="F676" s="291" t="n"/>
      <c r="G676" s="293" t="n"/>
      <c r="H676" s="293" t="n"/>
      <c r="I676" s="293" t="n"/>
      <c r="J676" s="293" t="n"/>
    </row>
    <row r="677" ht="13" customHeight="1" s="189">
      <c r="A677" s="289" t="n"/>
      <c r="B677" s="290" t="n"/>
      <c r="C677" s="290" t="n"/>
      <c r="D677" s="291" t="n"/>
      <c r="E677" s="291" t="n"/>
      <c r="F677" s="291" t="n"/>
      <c r="G677" s="293" t="n"/>
      <c r="H677" s="293" t="n"/>
      <c r="I677" s="293" t="n"/>
      <c r="J677" s="293" t="n"/>
    </row>
    <row r="678" ht="13" customHeight="1" s="189">
      <c r="A678" s="289" t="n"/>
      <c r="B678" s="290" t="n"/>
      <c r="C678" s="290" t="n"/>
      <c r="D678" s="291" t="n"/>
      <c r="E678" s="291" t="n"/>
      <c r="F678" s="291" t="n"/>
      <c r="G678" s="293" t="n"/>
      <c r="H678" s="293" t="n"/>
      <c r="I678" s="293" t="n"/>
      <c r="J678" s="293" t="n"/>
    </row>
    <row r="679" ht="13" customHeight="1" s="189">
      <c r="A679" s="289" t="n"/>
      <c r="B679" s="290" t="n"/>
      <c r="C679" s="290" t="n"/>
      <c r="D679" s="291" t="n"/>
      <c r="E679" s="291" t="n"/>
      <c r="F679" s="291" t="n"/>
      <c r="G679" s="293" t="n"/>
      <c r="H679" s="293" t="n"/>
      <c r="I679" s="293" t="n"/>
      <c r="J679" s="293" t="n"/>
    </row>
    <row r="680" ht="13" customHeight="1" s="189">
      <c r="A680" s="289" t="n"/>
      <c r="B680" s="290" t="n"/>
      <c r="C680" s="290" t="n"/>
      <c r="D680" s="291" t="n"/>
      <c r="E680" s="291" t="n"/>
      <c r="F680" s="291" t="n"/>
      <c r="G680" s="293" t="n"/>
      <c r="H680" s="293" t="n"/>
      <c r="I680" s="293" t="n"/>
      <c r="J680" s="293" t="n"/>
    </row>
    <row r="681" ht="13" customHeight="1" s="189">
      <c r="A681" s="289" t="n"/>
      <c r="B681" s="290" t="n"/>
      <c r="C681" s="290" t="n"/>
      <c r="D681" s="291" t="n"/>
      <c r="E681" s="291" t="n"/>
      <c r="F681" s="291" t="n"/>
      <c r="G681" s="293" t="n"/>
      <c r="H681" s="293" t="n"/>
      <c r="I681" s="293" t="n"/>
      <c r="J681" s="293" t="n"/>
    </row>
    <row r="682" ht="13" customHeight="1" s="189">
      <c r="A682" s="289" t="n"/>
      <c r="B682" s="290" t="n"/>
      <c r="C682" s="290" t="n"/>
      <c r="D682" s="291" t="n"/>
      <c r="E682" s="291" t="n"/>
      <c r="F682" s="291" t="n"/>
      <c r="G682" s="293" t="n"/>
      <c r="H682" s="293" t="n"/>
      <c r="I682" s="293" t="n"/>
      <c r="J682" s="293" t="n"/>
    </row>
    <row r="683" ht="13" customHeight="1" s="189">
      <c r="A683" s="289" t="n"/>
      <c r="B683" s="290" t="n"/>
      <c r="C683" s="290" t="n"/>
      <c r="D683" s="291" t="n"/>
      <c r="E683" s="291" t="n"/>
      <c r="F683" s="291" t="n"/>
      <c r="G683" s="293" t="n"/>
      <c r="H683" s="293" t="n"/>
      <c r="I683" s="293" t="n"/>
      <c r="J683" s="293" t="n"/>
    </row>
    <row r="684" ht="13" customHeight="1" s="189">
      <c r="A684" s="289" t="n"/>
      <c r="B684" s="290" t="n"/>
      <c r="C684" s="290" t="n"/>
      <c r="D684" s="291" t="n"/>
      <c r="E684" s="291" t="n"/>
      <c r="F684" s="291" t="n"/>
      <c r="G684" s="293" t="n"/>
      <c r="H684" s="293" t="n"/>
      <c r="I684" s="293" t="n"/>
      <c r="J684" s="293" t="n"/>
    </row>
    <row r="685" ht="13" customHeight="1" s="189">
      <c r="A685" s="289" t="n"/>
      <c r="B685" s="290" t="n"/>
      <c r="C685" s="290" t="n"/>
      <c r="D685" s="291" t="n"/>
      <c r="E685" s="291" t="n"/>
      <c r="F685" s="291" t="n"/>
      <c r="G685" s="293" t="n"/>
      <c r="H685" s="293" t="n"/>
      <c r="I685" s="293" t="n"/>
      <c r="J685" s="293" t="n"/>
    </row>
    <row r="686" ht="13" customHeight="1" s="189">
      <c r="A686" s="289" t="n"/>
      <c r="B686" s="290" t="n"/>
      <c r="C686" s="290" t="n"/>
      <c r="D686" s="291" t="n"/>
      <c r="E686" s="291" t="n"/>
      <c r="F686" s="291" t="n"/>
      <c r="G686" s="293" t="n"/>
      <c r="H686" s="293" t="n"/>
      <c r="I686" s="293" t="n"/>
      <c r="J686" s="293" t="n"/>
    </row>
    <row r="687" ht="13" customHeight="1" s="189">
      <c r="A687" s="289" t="n"/>
      <c r="B687" s="290" t="n"/>
      <c r="C687" s="290" t="n"/>
      <c r="D687" s="291" t="n"/>
      <c r="E687" s="291" t="n"/>
      <c r="F687" s="291" t="n"/>
      <c r="G687" s="293" t="n"/>
      <c r="H687" s="293" t="n"/>
      <c r="I687" s="293" t="n"/>
      <c r="J687" s="293" t="n"/>
    </row>
    <row r="688" ht="13" customHeight="1" s="189">
      <c r="A688" s="289" t="n"/>
      <c r="B688" s="290" t="n"/>
      <c r="C688" s="290" t="n"/>
      <c r="D688" s="291" t="n"/>
      <c r="E688" s="291" t="n"/>
      <c r="F688" s="291" t="n"/>
      <c r="G688" s="293" t="n"/>
      <c r="H688" s="293" t="n"/>
      <c r="I688" s="293" t="n"/>
      <c r="J688" s="293" t="n"/>
    </row>
    <row r="689" ht="13" customHeight="1" s="189">
      <c r="A689" s="289" t="n"/>
      <c r="B689" s="290" t="n"/>
      <c r="C689" s="290" t="n"/>
      <c r="D689" s="291" t="n"/>
      <c r="E689" s="291" t="n"/>
      <c r="F689" s="291" t="n"/>
      <c r="G689" s="293" t="n"/>
      <c r="H689" s="293" t="n"/>
      <c r="I689" s="293" t="n"/>
      <c r="J689" s="293" t="n"/>
    </row>
    <row r="690" ht="13" customHeight="1" s="189">
      <c r="A690" s="289" t="n"/>
      <c r="B690" s="290" t="n"/>
      <c r="C690" s="290" t="n"/>
      <c r="D690" s="291" t="n"/>
      <c r="E690" s="291" t="n"/>
      <c r="F690" s="291" t="n"/>
      <c r="G690" s="293" t="n"/>
      <c r="H690" s="293" t="n"/>
      <c r="I690" s="293" t="n"/>
      <c r="J690" s="293" t="n"/>
    </row>
    <row r="691" ht="13" customHeight="1" s="189">
      <c r="A691" s="289" t="n"/>
      <c r="B691" s="290" t="n"/>
      <c r="C691" s="290" t="n"/>
      <c r="D691" s="291" t="n"/>
      <c r="E691" s="291" t="n"/>
      <c r="F691" s="291" t="n"/>
      <c r="G691" s="293" t="n"/>
      <c r="H691" s="293" t="n"/>
      <c r="I691" s="293" t="n"/>
      <c r="J691" s="293" t="n"/>
    </row>
    <row r="692" ht="13" customHeight="1" s="189">
      <c r="A692" s="289" t="n"/>
      <c r="B692" s="290" t="n"/>
      <c r="C692" s="290" t="n"/>
      <c r="D692" s="291" t="n"/>
      <c r="E692" s="291" t="n"/>
      <c r="F692" s="291" t="n"/>
      <c r="G692" s="293" t="n"/>
      <c r="H692" s="293" t="n"/>
      <c r="I692" s="293" t="n"/>
      <c r="J692" s="293" t="n"/>
    </row>
    <row r="693" ht="13" customHeight="1" s="189">
      <c r="A693" s="289" t="n"/>
      <c r="B693" s="290" t="n"/>
      <c r="C693" s="290" t="n"/>
      <c r="D693" s="291" t="n"/>
      <c r="E693" s="291" t="n"/>
      <c r="F693" s="291" t="n"/>
      <c r="G693" s="293" t="n"/>
      <c r="H693" s="293" t="n"/>
      <c r="I693" s="293" t="n"/>
      <c r="J693" s="293" t="n"/>
    </row>
    <row r="694" ht="13" customHeight="1" s="189">
      <c r="A694" s="289" t="n"/>
      <c r="B694" s="290" t="n"/>
      <c r="C694" s="290" t="n"/>
      <c r="D694" s="291" t="n"/>
      <c r="E694" s="291" t="n"/>
      <c r="F694" s="291" t="n"/>
      <c r="G694" s="293" t="n"/>
      <c r="H694" s="293" t="n"/>
      <c r="I694" s="293" t="n"/>
      <c r="J694" s="293" t="n"/>
    </row>
    <row r="695" ht="13" customHeight="1" s="189">
      <c r="A695" s="289" t="n"/>
      <c r="B695" s="290" t="n"/>
      <c r="C695" s="290" t="n"/>
      <c r="D695" s="291" t="n"/>
      <c r="E695" s="291" t="n"/>
      <c r="F695" s="291" t="n"/>
      <c r="G695" s="293" t="n"/>
      <c r="H695" s="293" t="n"/>
      <c r="I695" s="293" t="n"/>
      <c r="J695" s="293" t="n"/>
    </row>
    <row r="696" ht="13" customHeight="1" s="189">
      <c r="A696" s="289" t="n"/>
      <c r="B696" s="290" t="n"/>
      <c r="C696" s="290" t="n"/>
      <c r="D696" s="291" t="n"/>
      <c r="E696" s="291" t="n"/>
      <c r="F696" s="291" t="n"/>
      <c r="G696" s="293" t="n"/>
      <c r="H696" s="293" t="n"/>
      <c r="I696" s="293" t="n"/>
      <c r="J696" s="293" t="n"/>
    </row>
    <row r="697" ht="13" customHeight="1" s="189">
      <c r="A697" s="289" t="n"/>
      <c r="B697" s="290" t="n"/>
      <c r="C697" s="290" t="n"/>
      <c r="D697" s="291" t="n"/>
      <c r="E697" s="291" t="n"/>
      <c r="F697" s="291" t="n"/>
      <c r="G697" s="293" t="n"/>
      <c r="H697" s="293" t="n"/>
      <c r="I697" s="293" t="n"/>
      <c r="J697" s="293" t="n"/>
    </row>
    <row r="698" ht="13" customHeight="1" s="189">
      <c r="A698" s="289" t="n"/>
      <c r="B698" s="290" t="n"/>
      <c r="C698" s="290" t="n"/>
      <c r="D698" s="291" t="n"/>
      <c r="E698" s="291" t="n"/>
      <c r="F698" s="291" t="n"/>
      <c r="G698" s="293" t="n"/>
      <c r="H698" s="293" t="n"/>
      <c r="I698" s="293" t="n"/>
      <c r="J698" s="293" t="n"/>
    </row>
    <row r="699" ht="13" customHeight="1" s="189">
      <c r="A699" s="289" t="n"/>
      <c r="B699" s="290" t="n"/>
      <c r="C699" s="290" t="n"/>
      <c r="D699" s="291" t="n"/>
      <c r="E699" s="291" t="n"/>
      <c r="F699" s="291" t="n"/>
      <c r="G699" s="293" t="n"/>
      <c r="H699" s="293" t="n"/>
      <c r="I699" s="293" t="n"/>
      <c r="J699" s="293" t="n"/>
    </row>
    <row r="700" ht="13" customHeight="1" s="189">
      <c r="A700" s="289" t="n"/>
      <c r="B700" s="290" t="n"/>
      <c r="C700" s="290" t="n"/>
      <c r="D700" s="291" t="n"/>
      <c r="E700" s="291" t="n"/>
      <c r="F700" s="291" t="n"/>
      <c r="G700" s="293" t="n"/>
      <c r="H700" s="293" t="n"/>
      <c r="I700" s="293" t="n"/>
      <c r="J700" s="293" t="n"/>
    </row>
    <row r="701" ht="13" customHeight="1" s="189">
      <c r="A701" s="289" t="n"/>
      <c r="B701" s="290" t="n"/>
      <c r="C701" s="290" t="n"/>
      <c r="D701" s="291" t="n"/>
      <c r="E701" s="291" t="n"/>
      <c r="F701" s="291" t="n"/>
      <c r="G701" s="293" t="n"/>
      <c r="H701" s="293" t="n"/>
      <c r="I701" s="293" t="n"/>
      <c r="J701" s="293" t="n"/>
    </row>
    <row r="702" ht="13" customHeight="1" s="189">
      <c r="A702" s="289" t="n"/>
      <c r="B702" s="290" t="n"/>
      <c r="C702" s="290" t="n"/>
      <c r="D702" s="291" t="n"/>
      <c r="E702" s="291" t="n"/>
      <c r="F702" s="291" t="n"/>
      <c r="G702" s="293" t="n"/>
      <c r="H702" s="293" t="n"/>
      <c r="I702" s="293" t="n"/>
      <c r="J702" s="293" t="n"/>
    </row>
    <row r="703" ht="13" customHeight="1" s="189">
      <c r="A703" s="289" t="n"/>
      <c r="B703" s="290" t="n"/>
      <c r="C703" s="290" t="n"/>
      <c r="D703" s="291" t="n"/>
      <c r="E703" s="291" t="n"/>
      <c r="F703" s="291" t="n"/>
      <c r="G703" s="293" t="n"/>
      <c r="H703" s="293" t="n"/>
      <c r="I703" s="293" t="n"/>
      <c r="J703" s="293" t="n"/>
    </row>
    <row r="704" ht="13" customHeight="1" s="189">
      <c r="A704" s="289" t="n"/>
      <c r="B704" s="290" t="n"/>
      <c r="C704" s="290" t="n"/>
      <c r="D704" s="291" t="n"/>
      <c r="E704" s="291" t="n"/>
      <c r="F704" s="291" t="n"/>
      <c r="G704" s="293" t="n"/>
      <c r="H704" s="293" t="n"/>
      <c r="I704" s="293" t="n"/>
      <c r="J704" s="293" t="n"/>
    </row>
    <row r="705" ht="13" customHeight="1" s="189">
      <c r="A705" s="289" t="n"/>
      <c r="B705" s="290" t="n"/>
      <c r="C705" s="290" t="n"/>
      <c r="D705" s="291" t="n"/>
      <c r="E705" s="291" t="n"/>
      <c r="F705" s="291" t="n"/>
      <c r="G705" s="293" t="n"/>
      <c r="H705" s="293" t="n"/>
      <c r="I705" s="293" t="n"/>
      <c r="J705" s="293" t="n"/>
    </row>
    <row r="706" ht="13" customHeight="1" s="189">
      <c r="A706" s="289" t="n"/>
      <c r="B706" s="290" t="n"/>
      <c r="C706" s="290" t="n"/>
      <c r="D706" s="291" t="n"/>
      <c r="E706" s="291" t="n"/>
      <c r="F706" s="291" t="n"/>
      <c r="G706" s="293" t="n"/>
      <c r="H706" s="293" t="n"/>
      <c r="I706" s="293" t="n"/>
      <c r="J706" s="293" t="n"/>
    </row>
    <row r="707" ht="13" customHeight="1" s="189">
      <c r="A707" s="289" t="n"/>
      <c r="B707" s="290" t="n"/>
      <c r="C707" s="290" t="n"/>
      <c r="D707" s="291" t="n"/>
      <c r="E707" s="291" t="n"/>
      <c r="F707" s="291" t="n"/>
      <c r="G707" s="293" t="n"/>
      <c r="H707" s="293" t="n"/>
      <c r="I707" s="293" t="n"/>
      <c r="J707" s="293" t="n"/>
    </row>
    <row r="708" ht="13" customHeight="1" s="189">
      <c r="A708" s="289" t="n"/>
      <c r="B708" s="290" t="n"/>
      <c r="C708" s="290" t="n"/>
      <c r="D708" s="291" t="n"/>
      <c r="E708" s="291" t="n"/>
      <c r="F708" s="291" t="n"/>
      <c r="G708" s="293" t="n"/>
      <c r="H708" s="293" t="n"/>
      <c r="I708" s="293" t="n"/>
      <c r="J708" s="293" t="n"/>
    </row>
    <row r="709" ht="13" customHeight="1" s="189">
      <c r="A709" s="289" t="n"/>
      <c r="B709" s="290" t="n"/>
      <c r="C709" s="290" t="n"/>
      <c r="D709" s="291" t="n"/>
      <c r="E709" s="291" t="n"/>
      <c r="F709" s="291" t="n"/>
      <c r="G709" s="293" t="n"/>
      <c r="H709" s="293" t="n"/>
      <c r="I709" s="293" t="n"/>
      <c r="J709" s="293" t="n"/>
    </row>
    <row r="710" ht="13" customHeight="1" s="189">
      <c r="A710" s="289" t="n"/>
      <c r="B710" s="290" t="n"/>
      <c r="C710" s="290" t="n"/>
      <c r="D710" s="291" t="n"/>
      <c r="E710" s="291" t="n"/>
      <c r="F710" s="291" t="n"/>
      <c r="G710" s="293" t="n"/>
      <c r="H710" s="293" t="n"/>
      <c r="I710" s="293" t="n"/>
      <c r="J710" s="293" t="n"/>
    </row>
    <row r="711" ht="13" customHeight="1" s="189">
      <c r="A711" s="289" t="n"/>
      <c r="B711" s="290" t="n"/>
      <c r="C711" s="290" t="n"/>
      <c r="D711" s="291" t="n"/>
      <c r="E711" s="291" t="n"/>
      <c r="F711" s="291" t="n"/>
      <c r="G711" s="293" t="n"/>
      <c r="H711" s="293" t="n"/>
      <c r="I711" s="293" t="n"/>
      <c r="J711" s="293" t="n"/>
    </row>
    <row r="712" ht="13" customHeight="1" s="189">
      <c r="A712" s="289" t="n"/>
      <c r="B712" s="290" t="n"/>
      <c r="C712" s="290" t="n"/>
      <c r="D712" s="291" t="n"/>
      <c r="E712" s="291" t="n"/>
      <c r="F712" s="291" t="n"/>
      <c r="G712" s="293" t="n"/>
      <c r="H712" s="293" t="n"/>
      <c r="I712" s="293" t="n"/>
      <c r="J712" s="293" t="n"/>
    </row>
    <row r="713" ht="13" customHeight="1" s="189">
      <c r="A713" s="289" t="n"/>
      <c r="B713" s="290" t="n"/>
      <c r="C713" s="290" t="n"/>
      <c r="D713" s="291" t="n"/>
      <c r="E713" s="291" t="n"/>
      <c r="F713" s="291" t="n"/>
      <c r="G713" s="293" t="n"/>
      <c r="H713" s="293" t="n"/>
      <c r="I713" s="293" t="n"/>
      <c r="J713" s="293" t="n"/>
    </row>
    <row r="714" ht="13" customHeight="1" s="189">
      <c r="A714" s="289" t="n"/>
      <c r="B714" s="290" t="n"/>
      <c r="C714" s="290" t="n"/>
      <c r="D714" s="291" t="n"/>
      <c r="E714" s="291" t="n"/>
      <c r="F714" s="291" t="n"/>
      <c r="G714" s="293" t="n"/>
      <c r="H714" s="293" t="n"/>
      <c r="I714" s="293" t="n"/>
      <c r="J714" s="293" t="n"/>
    </row>
    <row r="715" ht="13" customHeight="1" s="189">
      <c r="A715" s="289" t="n"/>
      <c r="B715" s="290" t="n"/>
      <c r="C715" s="290" t="n"/>
      <c r="D715" s="291" t="n"/>
      <c r="E715" s="291" t="n"/>
      <c r="F715" s="291" t="n"/>
      <c r="G715" s="293" t="n"/>
      <c r="H715" s="293" t="n"/>
      <c r="I715" s="293" t="n"/>
      <c r="J715" s="293" t="n"/>
    </row>
    <row r="716" ht="13" customHeight="1" s="189">
      <c r="A716" s="289" t="n"/>
      <c r="B716" s="290" t="n"/>
      <c r="C716" s="290" t="n"/>
      <c r="D716" s="291" t="n"/>
      <c r="E716" s="291" t="n"/>
      <c r="F716" s="291" t="n"/>
      <c r="G716" s="293" t="n"/>
      <c r="H716" s="293" t="n"/>
      <c r="I716" s="293" t="n"/>
      <c r="J716" s="293" t="n"/>
    </row>
    <row r="717" ht="13" customHeight="1" s="189">
      <c r="A717" s="289" t="n"/>
      <c r="B717" s="290" t="n"/>
      <c r="C717" s="290" t="n"/>
      <c r="D717" s="291" t="n"/>
      <c r="E717" s="291" t="n"/>
      <c r="F717" s="291" t="n"/>
      <c r="G717" s="293" t="n"/>
      <c r="H717" s="293" t="n"/>
      <c r="I717" s="293" t="n"/>
      <c r="J717" s="293" t="n"/>
    </row>
    <row r="718" ht="13" customHeight="1" s="189">
      <c r="A718" s="289" t="n"/>
      <c r="B718" s="290" t="n"/>
      <c r="C718" s="290" t="n"/>
      <c r="D718" s="291" t="n"/>
      <c r="E718" s="291" t="n"/>
      <c r="F718" s="291" t="n"/>
      <c r="G718" s="293" t="n"/>
      <c r="H718" s="293" t="n"/>
      <c r="I718" s="293" t="n"/>
      <c r="J718" s="293" t="n"/>
    </row>
    <row r="719" ht="13" customHeight="1" s="189">
      <c r="A719" s="289" t="n"/>
      <c r="B719" s="290" t="n"/>
      <c r="C719" s="290" t="n"/>
      <c r="D719" s="291" t="n"/>
      <c r="E719" s="291" t="n"/>
      <c r="F719" s="291" t="n"/>
      <c r="G719" s="293" t="n"/>
      <c r="H719" s="293" t="n"/>
      <c r="I719" s="293" t="n"/>
      <c r="J719" s="293" t="n"/>
    </row>
    <row r="720" ht="13" customHeight="1" s="189">
      <c r="A720" s="289" t="n"/>
      <c r="B720" s="290" t="n"/>
      <c r="C720" s="290" t="n"/>
      <c r="D720" s="291" t="n"/>
      <c r="E720" s="291" t="n"/>
      <c r="F720" s="291" t="n"/>
      <c r="G720" s="293" t="n"/>
      <c r="H720" s="293" t="n"/>
      <c r="I720" s="293" t="n"/>
      <c r="J720" s="293" t="n"/>
    </row>
    <row r="721" ht="13" customHeight="1" s="189">
      <c r="A721" s="289" t="n"/>
      <c r="B721" s="290" t="n"/>
      <c r="C721" s="290" t="n"/>
      <c r="D721" s="291" t="n"/>
      <c r="E721" s="291" t="n"/>
      <c r="F721" s="291" t="n"/>
      <c r="G721" s="293" t="n"/>
      <c r="H721" s="293" t="n"/>
      <c r="I721" s="293" t="n"/>
      <c r="J721" s="293" t="n"/>
    </row>
    <row r="722" ht="13" customHeight="1" s="189">
      <c r="A722" s="289" t="n"/>
      <c r="B722" s="290" t="n"/>
      <c r="C722" s="290" t="n"/>
      <c r="D722" s="291" t="n"/>
      <c r="E722" s="291" t="n"/>
      <c r="F722" s="291" t="n"/>
      <c r="G722" s="293" t="n"/>
      <c r="H722" s="293" t="n"/>
      <c r="I722" s="293" t="n"/>
      <c r="J722" s="293" t="n"/>
    </row>
    <row r="723" ht="13" customHeight="1" s="189">
      <c r="A723" s="289" t="n"/>
      <c r="B723" s="290" t="n"/>
      <c r="C723" s="290" t="n"/>
      <c r="D723" s="291" t="n"/>
      <c r="E723" s="291" t="n"/>
      <c r="F723" s="291" t="n"/>
      <c r="G723" s="293" t="n"/>
      <c r="H723" s="293" t="n"/>
      <c r="I723" s="293" t="n"/>
      <c r="J723" s="293" t="n"/>
    </row>
    <row r="724" ht="13" customHeight="1" s="189">
      <c r="A724" s="289" t="n"/>
      <c r="B724" s="290" t="n"/>
      <c r="C724" s="290" t="n"/>
      <c r="D724" s="291" t="n"/>
      <c r="E724" s="291" t="n"/>
      <c r="F724" s="291" t="n"/>
      <c r="G724" s="293" t="n"/>
      <c r="H724" s="293" t="n"/>
      <c r="I724" s="293" t="n"/>
      <c r="J724" s="293" t="n"/>
    </row>
    <row r="725" ht="13" customHeight="1" s="189">
      <c r="A725" s="289" t="n"/>
      <c r="B725" s="290" t="n"/>
      <c r="C725" s="290" t="n"/>
      <c r="D725" s="291" t="n"/>
      <c r="E725" s="291" t="n"/>
      <c r="F725" s="291" t="n"/>
      <c r="G725" s="293" t="n"/>
      <c r="H725" s="293" t="n"/>
      <c r="I725" s="293" t="n"/>
      <c r="J725" s="293" t="n"/>
    </row>
    <row r="726" ht="13" customHeight="1" s="189">
      <c r="A726" s="289" t="n"/>
      <c r="B726" s="290" t="n"/>
      <c r="C726" s="290" t="n"/>
      <c r="D726" s="291" t="n"/>
      <c r="E726" s="291" t="n"/>
      <c r="F726" s="291" t="n"/>
      <c r="G726" s="293" t="n"/>
      <c r="H726" s="293" t="n"/>
      <c r="I726" s="293" t="n"/>
      <c r="J726" s="293" t="n"/>
    </row>
    <row r="727" ht="13" customHeight="1" s="189">
      <c r="A727" s="289" t="n"/>
      <c r="B727" s="290" t="n"/>
      <c r="C727" s="290" t="n"/>
      <c r="D727" s="291" t="n"/>
      <c r="E727" s="291" t="n"/>
      <c r="F727" s="291" t="n"/>
      <c r="G727" s="293" t="n"/>
      <c r="H727" s="293" t="n"/>
      <c r="I727" s="293" t="n"/>
      <c r="J727" s="293" t="n"/>
    </row>
    <row r="728" ht="13" customHeight="1" s="189">
      <c r="A728" s="289" t="n"/>
      <c r="B728" s="290" t="n"/>
      <c r="C728" s="290" t="n"/>
      <c r="D728" s="291" t="n"/>
      <c r="E728" s="291" t="n"/>
      <c r="F728" s="291" t="n"/>
      <c r="G728" s="293" t="n"/>
      <c r="H728" s="293" t="n"/>
      <c r="I728" s="293" t="n"/>
      <c r="J728" s="293" t="n"/>
    </row>
    <row r="729" ht="13" customHeight="1" s="189">
      <c r="A729" s="289" t="n"/>
      <c r="B729" s="290" t="n"/>
      <c r="C729" s="290" t="n"/>
      <c r="D729" s="291" t="n"/>
      <c r="E729" s="291" t="n"/>
      <c r="F729" s="291" t="n"/>
      <c r="G729" s="293" t="n"/>
      <c r="H729" s="293" t="n"/>
      <c r="I729" s="293" t="n"/>
      <c r="J729" s="293" t="n"/>
    </row>
    <row r="730" ht="13" customHeight="1" s="189">
      <c r="A730" s="289" t="n"/>
      <c r="B730" s="290" t="n"/>
      <c r="C730" s="290" t="n"/>
      <c r="D730" s="291" t="n"/>
      <c r="E730" s="291" t="n"/>
      <c r="F730" s="291" t="n"/>
      <c r="G730" s="293" t="n"/>
      <c r="H730" s="293" t="n"/>
      <c r="I730" s="293" t="n"/>
      <c r="J730" s="293" t="n"/>
    </row>
    <row r="731" ht="13" customHeight="1" s="189">
      <c r="A731" s="289" t="n"/>
      <c r="B731" s="290" t="n"/>
      <c r="C731" s="290" t="n"/>
      <c r="D731" s="291" t="n"/>
      <c r="E731" s="291" t="n"/>
      <c r="F731" s="291" t="n"/>
      <c r="G731" s="293" t="n"/>
      <c r="H731" s="293" t="n"/>
      <c r="I731" s="293" t="n"/>
      <c r="J731" s="293" t="n"/>
    </row>
    <row r="732" ht="13" customHeight="1" s="189">
      <c r="A732" s="289" t="n"/>
      <c r="B732" s="290" t="n"/>
      <c r="C732" s="290" t="n"/>
      <c r="D732" s="291" t="n"/>
      <c r="E732" s="291" t="n"/>
      <c r="F732" s="291" t="n"/>
      <c r="G732" s="293" t="n"/>
      <c r="H732" s="293" t="n"/>
      <c r="I732" s="293" t="n"/>
      <c r="J732" s="293" t="n"/>
    </row>
    <row r="733" ht="13" customHeight="1" s="189">
      <c r="A733" s="289" t="n"/>
      <c r="B733" s="290" t="n"/>
      <c r="C733" s="290" t="n"/>
      <c r="D733" s="291" t="n"/>
      <c r="E733" s="291" t="n"/>
      <c r="F733" s="291" t="n"/>
      <c r="G733" s="293" t="n"/>
      <c r="H733" s="293" t="n"/>
      <c r="I733" s="293" t="n"/>
      <c r="J733" s="293" t="n"/>
    </row>
    <row r="734" ht="13" customHeight="1" s="189">
      <c r="A734" s="289" t="n"/>
      <c r="B734" s="290" t="n"/>
      <c r="C734" s="290" t="n"/>
      <c r="D734" s="291" t="n"/>
      <c r="E734" s="291" t="n"/>
      <c r="F734" s="291" t="n"/>
      <c r="G734" s="293" t="n"/>
      <c r="H734" s="293" t="n"/>
      <c r="I734" s="293" t="n"/>
      <c r="J734" s="293" t="n"/>
    </row>
    <row r="735" ht="13" customHeight="1" s="189">
      <c r="A735" s="289" t="n"/>
      <c r="B735" s="290" t="n"/>
      <c r="C735" s="290" t="n"/>
      <c r="D735" s="291" t="n"/>
      <c r="E735" s="291" t="n"/>
      <c r="F735" s="291" t="n"/>
      <c r="G735" s="293" t="n"/>
      <c r="H735" s="293" t="n"/>
      <c r="I735" s="293" t="n"/>
      <c r="J735" s="293" t="n"/>
    </row>
    <row r="736" ht="13" customHeight="1" s="189">
      <c r="A736" s="289" t="n"/>
      <c r="B736" s="290" t="n"/>
      <c r="C736" s="290" t="n"/>
      <c r="D736" s="291" t="n"/>
      <c r="E736" s="291" t="n"/>
      <c r="F736" s="291" t="n"/>
      <c r="G736" s="293" t="n"/>
      <c r="H736" s="293" t="n"/>
      <c r="I736" s="293" t="n"/>
      <c r="J736" s="293" t="n"/>
    </row>
    <row r="737" ht="13" customHeight="1" s="189">
      <c r="A737" s="289" t="n"/>
      <c r="B737" s="290" t="n"/>
      <c r="C737" s="290" t="n"/>
      <c r="D737" s="291" t="n"/>
      <c r="E737" s="291" t="n"/>
      <c r="F737" s="291" t="n"/>
      <c r="G737" s="293" t="n"/>
      <c r="H737" s="293" t="n"/>
      <c r="I737" s="293" t="n"/>
      <c r="J737" s="293" t="n"/>
    </row>
    <row r="738" ht="13" customHeight="1" s="189">
      <c r="A738" s="289" t="n"/>
      <c r="B738" s="290" t="n"/>
      <c r="C738" s="290" t="n"/>
      <c r="D738" s="291" t="n"/>
      <c r="E738" s="291" t="n"/>
      <c r="F738" s="291" t="n"/>
      <c r="G738" s="293" t="n"/>
      <c r="H738" s="293" t="n"/>
      <c r="I738" s="293" t="n"/>
      <c r="J738" s="293" t="n"/>
    </row>
    <row r="739" ht="13" customHeight="1" s="189">
      <c r="A739" s="289" t="n"/>
      <c r="B739" s="290" t="n"/>
      <c r="C739" s="290" t="n"/>
      <c r="D739" s="291" t="n"/>
      <c r="E739" s="291" t="n"/>
      <c r="F739" s="291" t="n"/>
      <c r="G739" s="293" t="n"/>
      <c r="H739" s="293" t="n"/>
      <c r="I739" s="293" t="n"/>
      <c r="J739" s="293" t="n"/>
    </row>
    <row r="740" ht="13" customHeight="1" s="189">
      <c r="A740" s="289" t="n"/>
      <c r="B740" s="290" t="n"/>
      <c r="C740" s="290" t="n"/>
      <c r="D740" s="291" t="n"/>
      <c r="E740" s="291" t="n"/>
      <c r="F740" s="291" t="n"/>
      <c r="G740" s="293" t="n"/>
      <c r="H740" s="293" t="n"/>
      <c r="I740" s="293" t="n"/>
      <c r="J740" s="293" t="n"/>
    </row>
    <row r="741" ht="13" customHeight="1" s="189">
      <c r="A741" s="289" t="n"/>
      <c r="B741" s="290" t="n"/>
      <c r="C741" s="290" t="n"/>
      <c r="D741" s="291" t="n"/>
      <c r="E741" s="291" t="n"/>
      <c r="F741" s="291" t="n"/>
      <c r="G741" s="293" t="n"/>
      <c r="H741" s="293" t="n"/>
      <c r="I741" s="293" t="n"/>
      <c r="J741" s="293" t="n"/>
    </row>
    <row r="742" ht="13" customHeight="1" s="189">
      <c r="A742" s="289" t="n"/>
      <c r="B742" s="290" t="n"/>
      <c r="C742" s="290" t="n"/>
      <c r="D742" s="291" t="n"/>
      <c r="E742" s="291" t="n"/>
      <c r="F742" s="291" t="n"/>
      <c r="G742" s="293" t="n"/>
      <c r="H742" s="293" t="n"/>
      <c r="I742" s="293" t="n"/>
      <c r="J742" s="293" t="n"/>
    </row>
    <row r="743" ht="13" customHeight="1" s="189">
      <c r="A743" s="289" t="n"/>
      <c r="B743" s="290" t="n"/>
      <c r="C743" s="290" t="n"/>
      <c r="D743" s="291" t="n"/>
      <c r="E743" s="291" t="n"/>
      <c r="F743" s="291" t="n"/>
      <c r="G743" s="293" t="n"/>
      <c r="H743" s="293" t="n"/>
      <c r="I743" s="293" t="n"/>
      <c r="J743" s="293" t="n"/>
    </row>
    <row r="744" ht="13" customHeight="1" s="189">
      <c r="A744" s="289" t="n"/>
      <c r="B744" s="290" t="n"/>
      <c r="C744" s="290" t="n"/>
      <c r="D744" s="291" t="n"/>
      <c r="E744" s="291" t="n"/>
      <c r="F744" s="291" t="n"/>
      <c r="G744" s="293" t="n"/>
      <c r="H744" s="293" t="n"/>
      <c r="I744" s="293" t="n"/>
      <c r="J744" s="293" t="n"/>
    </row>
    <row r="745" ht="13" customHeight="1" s="189">
      <c r="A745" s="289" t="n"/>
      <c r="B745" s="290" t="n"/>
      <c r="C745" s="290" t="n"/>
      <c r="D745" s="291" t="n"/>
      <c r="E745" s="291" t="n"/>
      <c r="F745" s="291" t="n"/>
      <c r="G745" s="293" t="n"/>
      <c r="H745" s="293" t="n"/>
      <c r="I745" s="293" t="n"/>
      <c r="J745" s="293" t="n"/>
    </row>
    <row r="746" ht="13" customHeight="1" s="189">
      <c r="A746" s="289" t="n"/>
      <c r="B746" s="290" t="n"/>
      <c r="C746" s="290" t="n"/>
      <c r="D746" s="291" t="n"/>
      <c r="E746" s="291" t="n"/>
      <c r="F746" s="291" t="n"/>
      <c r="G746" s="293" t="n"/>
      <c r="H746" s="293" t="n"/>
      <c r="I746" s="293" t="n"/>
      <c r="J746" s="293" t="n"/>
    </row>
    <row r="747" ht="13" customHeight="1" s="189">
      <c r="A747" s="289" t="n"/>
      <c r="B747" s="290" t="n"/>
      <c r="C747" s="290" t="n"/>
      <c r="D747" s="291" t="n"/>
      <c r="E747" s="291" t="n"/>
      <c r="F747" s="291" t="n"/>
      <c r="G747" s="293" t="n"/>
      <c r="H747" s="293" t="n"/>
      <c r="I747" s="293" t="n"/>
      <c r="J747" s="293" t="n"/>
    </row>
    <row r="748" ht="13" customHeight="1" s="189">
      <c r="A748" s="289" t="n"/>
      <c r="B748" s="290" t="n"/>
      <c r="C748" s="290" t="n"/>
      <c r="D748" s="291" t="n"/>
      <c r="E748" s="291" t="n"/>
      <c r="F748" s="291" t="n"/>
      <c r="G748" s="293" t="n"/>
      <c r="H748" s="293" t="n"/>
      <c r="I748" s="293" t="n"/>
      <c r="J748" s="293" t="n"/>
    </row>
    <row r="749" ht="13" customHeight="1" s="189">
      <c r="A749" s="289" t="n"/>
      <c r="B749" s="290" t="n"/>
      <c r="C749" s="290" t="n"/>
      <c r="D749" s="291" t="n"/>
      <c r="E749" s="291" t="n"/>
      <c r="F749" s="291" t="n"/>
      <c r="G749" s="293" t="n"/>
      <c r="H749" s="293" t="n"/>
      <c r="I749" s="293" t="n"/>
      <c r="J749" s="293" t="n"/>
    </row>
    <row r="750" ht="13" customHeight="1" s="189">
      <c r="A750" s="289" t="n"/>
      <c r="B750" s="290" t="n"/>
      <c r="C750" s="290" t="n"/>
      <c r="D750" s="291" t="n"/>
      <c r="E750" s="291" t="n"/>
      <c r="F750" s="291" t="n"/>
      <c r="G750" s="293" t="n"/>
      <c r="H750" s="293" t="n"/>
      <c r="I750" s="293" t="n"/>
      <c r="J750" s="293" t="n"/>
    </row>
    <row r="751" ht="13" customHeight="1" s="189">
      <c r="A751" s="289" t="n"/>
      <c r="B751" s="290" t="n"/>
      <c r="C751" s="290" t="n"/>
      <c r="D751" s="291" t="n"/>
      <c r="E751" s="291" t="n"/>
      <c r="F751" s="291" t="n"/>
      <c r="G751" s="293" t="n"/>
      <c r="H751" s="293" t="n"/>
      <c r="I751" s="293" t="n"/>
      <c r="J751" s="293" t="n"/>
    </row>
    <row r="752" ht="13" customHeight="1" s="189">
      <c r="A752" s="289" t="n"/>
      <c r="B752" s="290" t="n"/>
      <c r="C752" s="290" t="n"/>
      <c r="D752" s="291" t="n"/>
      <c r="E752" s="291" t="n"/>
      <c r="F752" s="291" t="n"/>
      <c r="G752" s="293" t="n"/>
      <c r="H752" s="293" t="n"/>
      <c r="I752" s="293" t="n"/>
      <c r="J752" s="293" t="n"/>
    </row>
    <row r="753" ht="13" customHeight="1" s="189">
      <c r="A753" s="289" t="n"/>
      <c r="B753" s="290" t="n"/>
      <c r="C753" s="290" t="n"/>
      <c r="D753" s="291" t="n"/>
      <c r="E753" s="291" t="n"/>
      <c r="F753" s="291" t="n"/>
      <c r="G753" s="293" t="n"/>
      <c r="H753" s="293" t="n"/>
      <c r="I753" s="293" t="n"/>
      <c r="J753" s="293" t="n"/>
    </row>
    <row r="754" ht="13" customHeight="1" s="189">
      <c r="A754" s="289" t="n"/>
      <c r="B754" s="290" t="n"/>
      <c r="C754" s="290" t="n"/>
      <c r="D754" s="291" t="n"/>
      <c r="E754" s="291" t="n"/>
      <c r="F754" s="291" t="n"/>
      <c r="G754" s="293" t="n"/>
      <c r="H754" s="293" t="n"/>
      <c r="I754" s="293" t="n"/>
      <c r="J754" s="293" t="n"/>
    </row>
    <row r="755" ht="13" customHeight="1" s="189">
      <c r="A755" s="289" t="n"/>
      <c r="B755" s="290" t="n"/>
      <c r="C755" s="290" t="n"/>
      <c r="D755" s="291" t="n"/>
      <c r="E755" s="291" t="n"/>
      <c r="F755" s="291" t="n"/>
      <c r="G755" s="293" t="n"/>
      <c r="H755" s="293" t="n"/>
      <c r="I755" s="293" t="n"/>
      <c r="J755" s="293" t="n"/>
    </row>
    <row r="756" ht="13" customHeight="1" s="189">
      <c r="A756" s="289" t="n"/>
      <c r="B756" s="290" t="n"/>
      <c r="C756" s="290" t="n"/>
      <c r="D756" s="291" t="n"/>
      <c r="E756" s="291" t="n"/>
      <c r="F756" s="291" t="n"/>
      <c r="G756" s="293" t="n"/>
      <c r="H756" s="293" t="n"/>
      <c r="I756" s="293" t="n"/>
      <c r="J756" s="293" t="n"/>
    </row>
    <row r="757" ht="13" customHeight="1" s="189">
      <c r="A757" s="289" t="n"/>
      <c r="B757" s="290" t="n"/>
      <c r="C757" s="290" t="n"/>
      <c r="D757" s="291" t="n"/>
      <c r="E757" s="291" t="n"/>
      <c r="F757" s="291" t="n"/>
      <c r="G757" s="293" t="n"/>
      <c r="H757" s="293" t="n"/>
      <c r="I757" s="293" t="n"/>
      <c r="J757" s="293" t="n"/>
    </row>
    <row r="758" ht="13" customHeight="1" s="189">
      <c r="A758" s="289" t="n"/>
      <c r="B758" s="290" t="n"/>
      <c r="C758" s="290" t="n"/>
      <c r="D758" s="291" t="n"/>
      <c r="E758" s="291" t="n"/>
      <c r="F758" s="291" t="n"/>
      <c r="G758" s="293" t="n"/>
      <c r="H758" s="293" t="n"/>
      <c r="I758" s="293" t="n"/>
      <c r="J758" s="293" t="n"/>
    </row>
    <row r="759" ht="13" customHeight="1" s="189">
      <c r="A759" s="289" t="n"/>
      <c r="B759" s="290" t="n"/>
      <c r="C759" s="290" t="n"/>
      <c r="D759" s="291" t="n"/>
      <c r="E759" s="291" t="n"/>
      <c r="F759" s="291" t="n"/>
      <c r="G759" s="293" t="n"/>
      <c r="H759" s="293" t="n"/>
      <c r="I759" s="293" t="n"/>
      <c r="J759" s="293" t="n"/>
    </row>
    <row r="760" ht="13" customHeight="1" s="189">
      <c r="A760" s="289" t="n"/>
      <c r="B760" s="290" t="n"/>
      <c r="C760" s="290" t="n"/>
      <c r="D760" s="291" t="n"/>
      <c r="E760" s="291" t="n"/>
      <c r="F760" s="291" t="n"/>
      <c r="G760" s="293" t="n"/>
      <c r="H760" s="293" t="n"/>
      <c r="I760" s="293" t="n"/>
      <c r="J760" s="293" t="n"/>
    </row>
    <row r="761" ht="13" customHeight="1" s="189">
      <c r="A761" s="289" t="n"/>
      <c r="B761" s="290" t="n"/>
      <c r="C761" s="290" t="n"/>
      <c r="D761" s="291" t="n"/>
      <c r="E761" s="291" t="n"/>
      <c r="F761" s="291" t="n"/>
      <c r="G761" s="293" t="n"/>
      <c r="H761" s="293" t="n"/>
      <c r="I761" s="293" t="n"/>
      <c r="J761" s="293" t="n"/>
    </row>
    <row r="762" ht="13" customHeight="1" s="189">
      <c r="A762" s="289" t="n"/>
      <c r="B762" s="290" t="n"/>
      <c r="C762" s="290" t="n"/>
      <c r="D762" s="291" t="n"/>
      <c r="E762" s="291" t="n"/>
      <c r="F762" s="291" t="n"/>
      <c r="G762" s="293" t="n"/>
      <c r="H762" s="293" t="n"/>
      <c r="I762" s="293" t="n"/>
      <c r="J762" s="293" t="n"/>
    </row>
    <row r="763" ht="13" customHeight="1" s="189">
      <c r="A763" s="289" t="n"/>
      <c r="B763" s="290" t="n"/>
      <c r="C763" s="290" t="n"/>
      <c r="D763" s="291" t="n"/>
      <c r="E763" s="291" t="n"/>
      <c r="F763" s="291" t="n"/>
      <c r="G763" s="293" t="n"/>
      <c r="H763" s="293" t="n"/>
      <c r="I763" s="293" t="n"/>
      <c r="J763" s="293" t="n"/>
    </row>
    <row r="764" ht="13" customHeight="1" s="189">
      <c r="A764" s="289" t="n"/>
      <c r="B764" s="290" t="n"/>
      <c r="C764" s="290" t="n"/>
      <c r="D764" s="291" t="n"/>
      <c r="E764" s="291" t="n"/>
      <c r="F764" s="291" t="n"/>
      <c r="G764" s="293" t="n"/>
      <c r="H764" s="293" t="n"/>
      <c r="I764" s="293" t="n"/>
      <c r="J764" s="293" t="n"/>
    </row>
    <row r="765" ht="13" customHeight="1" s="189">
      <c r="A765" s="289" t="n"/>
      <c r="B765" s="290" t="n"/>
      <c r="C765" s="290" t="n"/>
      <c r="D765" s="291" t="n"/>
      <c r="E765" s="291" t="n"/>
      <c r="F765" s="291" t="n"/>
      <c r="G765" s="293" t="n"/>
      <c r="H765" s="293" t="n"/>
      <c r="I765" s="293" t="n"/>
      <c r="J765" s="293" t="n"/>
    </row>
    <row r="766" ht="13" customHeight="1" s="189">
      <c r="A766" s="289" t="n"/>
      <c r="B766" s="290" t="n"/>
      <c r="C766" s="290" t="n"/>
      <c r="D766" s="291" t="n"/>
      <c r="E766" s="291" t="n"/>
      <c r="F766" s="291" t="n"/>
      <c r="G766" s="293" t="n"/>
      <c r="H766" s="293" t="n"/>
      <c r="I766" s="293" t="n"/>
      <c r="J766" s="293" t="n"/>
    </row>
    <row r="767" ht="13" customHeight="1" s="189">
      <c r="A767" s="289" t="n"/>
      <c r="B767" s="290" t="n"/>
      <c r="C767" s="290" t="n"/>
      <c r="D767" s="291" t="n"/>
      <c r="E767" s="291" t="n"/>
      <c r="F767" s="291" t="n"/>
      <c r="G767" s="293" t="n"/>
      <c r="H767" s="293" t="n"/>
      <c r="I767" s="293" t="n"/>
      <c r="J767" s="293" t="n"/>
    </row>
    <row r="768" ht="13" customHeight="1" s="189">
      <c r="A768" s="289" t="n"/>
      <c r="B768" s="290" t="n"/>
      <c r="C768" s="290" t="n"/>
      <c r="D768" s="291" t="n"/>
      <c r="E768" s="291" t="n"/>
      <c r="F768" s="291" t="n"/>
      <c r="G768" s="293" t="n"/>
      <c r="H768" s="293" t="n"/>
      <c r="I768" s="293" t="n"/>
      <c r="J768" s="293" t="n"/>
    </row>
    <row r="769" ht="13" customHeight="1" s="189">
      <c r="A769" s="289" t="n"/>
      <c r="B769" s="290" t="n"/>
      <c r="C769" s="290" t="n"/>
      <c r="D769" s="291" t="n"/>
      <c r="E769" s="291" t="n"/>
      <c r="F769" s="291" t="n"/>
      <c r="G769" s="293" t="n"/>
      <c r="H769" s="293" t="n"/>
      <c r="I769" s="293" t="n"/>
      <c r="J769" s="293" t="n"/>
    </row>
    <row r="770" ht="13" customHeight="1" s="189">
      <c r="A770" s="289" t="n"/>
      <c r="B770" s="290" t="n"/>
      <c r="C770" s="290" t="n"/>
      <c r="D770" s="291" t="n"/>
      <c r="E770" s="291" t="n"/>
      <c r="F770" s="291" t="n"/>
      <c r="G770" s="293" t="n"/>
      <c r="H770" s="293" t="n"/>
      <c r="I770" s="293" t="n"/>
      <c r="J770" s="293" t="n"/>
    </row>
    <row r="771" ht="13" customHeight="1" s="189">
      <c r="A771" s="289" t="n"/>
      <c r="B771" s="290" t="n"/>
      <c r="C771" s="290" t="n"/>
      <c r="D771" s="291" t="n"/>
      <c r="E771" s="291" t="n"/>
      <c r="F771" s="291" t="n"/>
      <c r="G771" s="293" t="n"/>
      <c r="H771" s="293" t="n"/>
      <c r="I771" s="293" t="n"/>
      <c r="J771" s="293" t="n"/>
    </row>
    <row r="772" ht="13" customHeight="1" s="189">
      <c r="A772" s="289" t="n"/>
      <c r="B772" s="290" t="n"/>
      <c r="C772" s="290" t="n"/>
      <c r="D772" s="291" t="n"/>
      <c r="E772" s="291" t="n"/>
      <c r="F772" s="291" t="n"/>
      <c r="G772" s="293" t="n"/>
      <c r="H772" s="293" t="n"/>
      <c r="I772" s="293" t="n"/>
      <c r="J772" s="293" t="n"/>
    </row>
    <row r="773" ht="13" customHeight="1" s="189">
      <c r="A773" s="289" t="n"/>
      <c r="B773" s="290" t="n"/>
      <c r="C773" s="290" t="n"/>
      <c r="D773" s="291" t="n"/>
      <c r="E773" s="291" t="n"/>
      <c r="F773" s="291" t="n"/>
      <c r="G773" s="293" t="n"/>
      <c r="H773" s="293" t="n"/>
      <c r="I773" s="293" t="n"/>
      <c r="J773" s="293" t="n"/>
    </row>
    <row r="774" ht="13" customHeight="1" s="189">
      <c r="A774" s="289" t="n"/>
      <c r="B774" s="290" t="n"/>
      <c r="C774" s="290" t="n"/>
      <c r="D774" s="291" t="n"/>
      <c r="E774" s="291" t="n"/>
      <c r="F774" s="291" t="n"/>
      <c r="G774" s="293" t="n"/>
      <c r="H774" s="293" t="n"/>
      <c r="I774" s="293" t="n"/>
      <c r="J774" s="293" t="n"/>
    </row>
    <row r="775" ht="13" customHeight="1" s="189">
      <c r="A775" s="289" t="n"/>
      <c r="B775" s="290" t="n"/>
      <c r="C775" s="290" t="n"/>
      <c r="D775" s="291" t="n"/>
      <c r="E775" s="291" t="n"/>
      <c r="F775" s="291" t="n"/>
      <c r="G775" s="293" t="n"/>
      <c r="H775" s="293" t="n"/>
      <c r="I775" s="293" t="n"/>
      <c r="J775" s="293" t="n"/>
    </row>
    <row r="776" ht="13" customHeight="1" s="189">
      <c r="A776" s="289" t="n"/>
      <c r="B776" s="290" t="n"/>
      <c r="C776" s="290" t="n"/>
      <c r="D776" s="291" t="n"/>
      <c r="E776" s="291" t="n"/>
      <c r="F776" s="291" t="n"/>
      <c r="G776" s="293" t="n"/>
      <c r="H776" s="293" t="n"/>
      <c r="I776" s="293" t="n"/>
      <c r="J776" s="293" t="n"/>
    </row>
    <row r="777" ht="13" customHeight="1" s="189">
      <c r="A777" s="289" t="n"/>
      <c r="B777" s="290" t="n"/>
      <c r="C777" s="290" t="n"/>
      <c r="D777" s="291" t="n"/>
      <c r="E777" s="291" t="n"/>
      <c r="F777" s="291" t="n"/>
      <c r="G777" s="293" t="n"/>
      <c r="H777" s="293" t="n"/>
      <c r="I777" s="293" t="n"/>
      <c r="J777" s="293" t="n"/>
    </row>
    <row r="778" ht="13" customHeight="1" s="189">
      <c r="A778" s="289" t="n"/>
      <c r="B778" s="290" t="n"/>
      <c r="C778" s="290" t="n"/>
      <c r="D778" s="291" t="n"/>
      <c r="E778" s="291" t="n"/>
      <c r="F778" s="291" t="n"/>
      <c r="G778" s="293" t="n"/>
      <c r="H778" s="293" t="n"/>
      <c r="I778" s="293" t="n"/>
      <c r="J778" s="293" t="n"/>
    </row>
    <row r="779" ht="13" customHeight="1" s="189">
      <c r="A779" s="289" t="n"/>
      <c r="B779" s="290" t="n"/>
      <c r="C779" s="290" t="n"/>
      <c r="D779" s="291" t="n"/>
      <c r="E779" s="291" t="n"/>
      <c r="F779" s="291" t="n"/>
      <c r="G779" s="293" t="n"/>
      <c r="H779" s="293" t="n"/>
      <c r="I779" s="293" t="n"/>
      <c r="J779" s="293" t="n"/>
    </row>
    <row r="780" ht="13" customHeight="1" s="189">
      <c r="A780" s="289" t="n"/>
      <c r="B780" s="290" t="n"/>
      <c r="C780" s="290" t="n"/>
      <c r="D780" s="291" t="n"/>
      <c r="E780" s="291" t="n"/>
      <c r="F780" s="291" t="n"/>
      <c r="G780" s="293" t="n"/>
      <c r="H780" s="293" t="n"/>
      <c r="I780" s="293" t="n"/>
      <c r="J780" s="293" t="n"/>
    </row>
    <row r="781" ht="13" customHeight="1" s="189">
      <c r="A781" s="289" t="n"/>
      <c r="B781" s="290" t="n"/>
      <c r="C781" s="290" t="n"/>
      <c r="D781" s="291" t="n"/>
      <c r="E781" s="291" t="n"/>
      <c r="F781" s="291" t="n"/>
      <c r="G781" s="293" t="n"/>
      <c r="H781" s="293" t="n"/>
      <c r="I781" s="293" t="n"/>
      <c r="J781" s="293" t="n"/>
    </row>
    <row r="782" ht="13" customHeight="1" s="189">
      <c r="A782" s="289" t="n"/>
      <c r="B782" s="290" t="n"/>
      <c r="C782" s="290" t="n"/>
      <c r="D782" s="291" t="n"/>
      <c r="E782" s="291" t="n"/>
      <c r="F782" s="291" t="n"/>
      <c r="G782" s="293" t="n"/>
      <c r="H782" s="293" t="n"/>
      <c r="I782" s="293" t="n"/>
      <c r="J782" s="293" t="n"/>
    </row>
    <row r="783" ht="13" customHeight="1" s="189">
      <c r="A783" s="289" t="n"/>
      <c r="B783" s="290" t="n"/>
      <c r="C783" s="290" t="n"/>
      <c r="D783" s="291" t="n"/>
      <c r="E783" s="291" t="n"/>
      <c r="F783" s="291" t="n"/>
      <c r="G783" s="293" t="n"/>
      <c r="H783" s="293" t="n"/>
      <c r="I783" s="293" t="n"/>
      <c r="J783" s="293" t="n"/>
    </row>
    <row r="784" ht="13" customHeight="1" s="189">
      <c r="A784" s="289" t="n"/>
      <c r="B784" s="290" t="n"/>
      <c r="C784" s="290" t="n"/>
      <c r="D784" s="291" t="n"/>
      <c r="E784" s="291" t="n"/>
      <c r="F784" s="291" t="n"/>
      <c r="G784" s="293" t="n"/>
      <c r="H784" s="293" t="n"/>
      <c r="I784" s="293" t="n"/>
      <c r="J784" s="293" t="n"/>
    </row>
    <row r="785" ht="13" customHeight="1" s="189">
      <c r="A785" s="289" t="n"/>
      <c r="B785" s="290" t="n"/>
      <c r="C785" s="290" t="n"/>
      <c r="D785" s="291" t="n"/>
      <c r="E785" s="291" t="n"/>
      <c r="F785" s="291" t="n"/>
      <c r="G785" s="293" t="n"/>
      <c r="H785" s="293" t="n"/>
      <c r="I785" s="293" t="n"/>
      <c r="J785" s="293" t="n"/>
    </row>
    <row r="786" ht="13" customHeight="1" s="189">
      <c r="A786" s="289" t="n"/>
      <c r="B786" s="290" t="n"/>
      <c r="C786" s="290" t="n"/>
      <c r="D786" s="291" t="n"/>
      <c r="E786" s="291" t="n"/>
      <c r="F786" s="291" t="n"/>
      <c r="G786" s="293" t="n"/>
      <c r="H786" s="293" t="n"/>
      <c r="I786" s="293" t="n"/>
      <c r="J786" s="293" t="n"/>
    </row>
    <row r="787" ht="13" customHeight="1" s="189">
      <c r="A787" s="289" t="n"/>
      <c r="B787" s="290" t="n"/>
      <c r="C787" s="290" t="n"/>
      <c r="D787" s="291" t="n"/>
      <c r="E787" s="291" t="n"/>
      <c r="F787" s="291" t="n"/>
      <c r="G787" s="293" t="n"/>
      <c r="H787" s="293" t="n"/>
      <c r="I787" s="293" t="n"/>
      <c r="J787" s="293" t="n"/>
    </row>
    <row r="788" ht="13" customHeight="1" s="189">
      <c r="A788" s="289" t="n"/>
      <c r="B788" s="290" t="n"/>
      <c r="C788" s="290" t="n"/>
      <c r="D788" s="291" t="n"/>
      <c r="E788" s="291" t="n"/>
      <c r="F788" s="291" t="n"/>
      <c r="G788" s="293" t="n"/>
      <c r="H788" s="293" t="n"/>
      <c r="I788" s="293" t="n"/>
      <c r="J788" s="293" t="n"/>
    </row>
    <row r="789" ht="13" customHeight="1" s="189">
      <c r="A789" s="289" t="n"/>
      <c r="B789" s="290" t="n"/>
      <c r="C789" s="290" t="n"/>
      <c r="D789" s="291" t="n"/>
      <c r="E789" s="291" t="n"/>
      <c r="F789" s="291" t="n"/>
      <c r="G789" s="293" t="n"/>
      <c r="H789" s="293" t="n"/>
      <c r="I789" s="293" t="n"/>
      <c r="J789" s="293" t="n"/>
    </row>
    <row r="790" ht="13" customHeight="1" s="189">
      <c r="A790" s="289" t="n"/>
      <c r="B790" s="290" t="n"/>
      <c r="C790" s="290" t="n"/>
      <c r="D790" s="291" t="n"/>
      <c r="E790" s="291" t="n"/>
      <c r="F790" s="291" t="n"/>
      <c r="G790" s="293" t="n"/>
      <c r="H790" s="293" t="n"/>
      <c r="I790" s="293" t="n"/>
      <c r="J790" s="293" t="n"/>
    </row>
    <row r="791" ht="13" customHeight="1" s="189">
      <c r="A791" s="289" t="n"/>
      <c r="B791" s="290" t="n"/>
      <c r="C791" s="290" t="n"/>
      <c r="D791" s="291" t="n"/>
      <c r="E791" s="291" t="n"/>
      <c r="F791" s="291" t="n"/>
      <c r="G791" s="293" t="n"/>
      <c r="H791" s="293" t="n"/>
      <c r="I791" s="293" t="n"/>
      <c r="J791" s="293" t="n"/>
    </row>
    <row r="792" ht="13" customHeight="1" s="189">
      <c r="A792" s="289" t="n"/>
      <c r="B792" s="290" t="n"/>
      <c r="C792" s="290" t="n"/>
      <c r="D792" s="291" t="n"/>
      <c r="E792" s="291" t="n"/>
      <c r="F792" s="291" t="n"/>
      <c r="G792" s="293" t="n"/>
      <c r="H792" s="293" t="n"/>
      <c r="I792" s="293" t="n"/>
      <c r="J792" s="293" t="n"/>
    </row>
    <row r="793" ht="13" customHeight="1" s="189">
      <c r="A793" s="289" t="n"/>
      <c r="B793" s="290" t="n"/>
      <c r="C793" s="290" t="n"/>
      <c r="D793" s="291" t="n"/>
      <c r="E793" s="291" t="n"/>
      <c r="F793" s="291" t="n"/>
      <c r="G793" s="293" t="n"/>
      <c r="H793" s="293" t="n"/>
      <c r="I793" s="293" t="n"/>
      <c r="J793" s="293" t="n"/>
    </row>
    <row r="794" ht="13" customHeight="1" s="189">
      <c r="A794" s="289" t="n"/>
      <c r="B794" s="290" t="n"/>
      <c r="C794" s="290" t="n"/>
      <c r="D794" s="291" t="n"/>
      <c r="E794" s="291" t="n"/>
      <c r="F794" s="291" t="n"/>
      <c r="G794" s="293" t="n"/>
      <c r="H794" s="293" t="n"/>
      <c r="I794" s="293" t="n"/>
      <c r="J794" s="293" t="n"/>
    </row>
    <row r="795" ht="13" customHeight="1" s="189">
      <c r="A795" s="289" t="n"/>
      <c r="B795" s="290" t="n"/>
      <c r="C795" s="290" t="n"/>
      <c r="D795" s="291" t="n"/>
      <c r="E795" s="291" t="n"/>
      <c r="F795" s="291" t="n"/>
      <c r="G795" s="293" t="n"/>
      <c r="H795" s="293" t="n"/>
      <c r="I795" s="293" t="n"/>
      <c r="J795" s="293" t="n"/>
    </row>
    <row r="796" ht="13" customHeight="1" s="189">
      <c r="A796" s="289" t="n"/>
      <c r="B796" s="290" t="n"/>
      <c r="C796" s="290" t="n"/>
      <c r="D796" s="291" t="n"/>
      <c r="E796" s="291" t="n"/>
      <c r="F796" s="291" t="n"/>
      <c r="G796" s="293" t="n"/>
      <c r="H796" s="293" t="n"/>
      <c r="I796" s="293" t="n"/>
      <c r="J796" s="293" t="n"/>
    </row>
    <row r="797" ht="13" customHeight="1" s="189">
      <c r="A797" s="289" t="n"/>
      <c r="B797" s="290" t="n"/>
      <c r="C797" s="290" t="n"/>
      <c r="D797" s="291" t="n"/>
      <c r="E797" s="291" t="n"/>
      <c r="F797" s="291" t="n"/>
      <c r="G797" s="293" t="n"/>
      <c r="H797" s="293" t="n"/>
      <c r="I797" s="293" t="n"/>
      <c r="J797" s="293" t="n"/>
    </row>
    <row r="798" ht="13" customHeight="1" s="189">
      <c r="A798" s="289" t="n"/>
      <c r="B798" s="290" t="n"/>
      <c r="C798" s="290" t="n"/>
      <c r="D798" s="291" t="n"/>
      <c r="E798" s="291" t="n"/>
      <c r="F798" s="291" t="n"/>
      <c r="G798" s="293" t="n"/>
      <c r="H798" s="293" t="n"/>
      <c r="I798" s="293" t="n"/>
      <c r="J798" s="293" t="n"/>
    </row>
    <row r="799" ht="13" customHeight="1" s="189">
      <c r="A799" s="289" t="n"/>
      <c r="B799" s="290" t="n"/>
      <c r="C799" s="290" t="n"/>
      <c r="D799" s="291" t="n"/>
      <c r="E799" s="291" t="n"/>
      <c r="F799" s="291" t="n"/>
      <c r="G799" s="293" t="n"/>
      <c r="H799" s="293" t="n"/>
      <c r="I799" s="293" t="n"/>
      <c r="J799" s="293" t="n"/>
    </row>
    <row r="800" ht="13" customHeight="1" s="189">
      <c r="A800" s="289" t="n"/>
      <c r="B800" s="290" t="n"/>
      <c r="C800" s="290" t="n"/>
      <c r="D800" s="291" t="n"/>
      <c r="E800" s="291" t="n"/>
      <c r="F800" s="291" t="n"/>
      <c r="G800" s="293" t="n"/>
      <c r="H800" s="293" t="n"/>
      <c r="I800" s="293" t="n"/>
      <c r="J800" s="293" t="n"/>
    </row>
    <row r="801" ht="13" customHeight="1" s="189">
      <c r="A801" s="289" t="n"/>
      <c r="B801" s="290" t="n"/>
      <c r="C801" s="290" t="n"/>
      <c r="D801" s="291" t="n"/>
      <c r="E801" s="291" t="n"/>
      <c r="F801" s="291" t="n"/>
      <c r="G801" s="293" t="n"/>
      <c r="H801" s="293" t="n"/>
      <c r="I801" s="293" t="n"/>
      <c r="J801" s="293" t="n"/>
    </row>
    <row r="802" ht="13" customHeight="1" s="189">
      <c r="A802" s="289" t="n"/>
      <c r="B802" s="290" t="n"/>
      <c r="C802" s="290" t="n"/>
      <c r="D802" s="291" t="n"/>
      <c r="E802" s="291" t="n"/>
      <c r="F802" s="291" t="n"/>
      <c r="G802" s="293" t="n"/>
      <c r="H802" s="293" t="n"/>
      <c r="I802" s="293" t="n"/>
      <c r="J802" s="293" t="n"/>
    </row>
    <row r="803" ht="13" customHeight="1" s="189">
      <c r="A803" s="289" t="n"/>
      <c r="B803" s="290" t="n"/>
      <c r="C803" s="290" t="n"/>
      <c r="D803" s="291" t="n"/>
      <c r="E803" s="291" t="n"/>
      <c r="F803" s="291" t="n"/>
      <c r="G803" s="293" t="n"/>
      <c r="H803" s="293" t="n"/>
      <c r="I803" s="293" t="n"/>
      <c r="J803" s="293" t="n"/>
    </row>
    <row r="804" ht="13" customHeight="1" s="189">
      <c r="A804" s="289" t="n"/>
      <c r="B804" s="290" t="n"/>
      <c r="C804" s="290" t="n"/>
      <c r="D804" s="291" t="n"/>
      <c r="E804" s="291" t="n"/>
      <c r="F804" s="291" t="n"/>
      <c r="G804" s="293" t="n"/>
      <c r="H804" s="293" t="n"/>
      <c r="I804" s="293" t="n"/>
      <c r="J804" s="293" t="n"/>
    </row>
    <row r="805" ht="13" customHeight="1" s="189">
      <c r="A805" s="289" t="n"/>
      <c r="B805" s="290" t="n"/>
      <c r="C805" s="290" t="n"/>
      <c r="D805" s="291" t="n"/>
      <c r="E805" s="291" t="n"/>
      <c r="F805" s="291" t="n"/>
      <c r="G805" s="293" t="n"/>
      <c r="H805" s="293" t="n"/>
      <c r="I805" s="293" t="n"/>
      <c r="J805" s="293" t="n"/>
    </row>
    <row r="806" ht="13" customHeight="1" s="189">
      <c r="A806" s="289" t="n"/>
      <c r="B806" s="290" t="n"/>
      <c r="C806" s="290" t="n"/>
      <c r="D806" s="291" t="n"/>
      <c r="E806" s="291" t="n"/>
      <c r="F806" s="291" t="n"/>
      <c r="G806" s="293" t="n"/>
      <c r="H806" s="293" t="n"/>
      <c r="I806" s="293" t="n"/>
      <c r="J806" s="293" t="n"/>
    </row>
    <row r="807" ht="13" customHeight="1" s="189">
      <c r="A807" s="289" t="n"/>
      <c r="B807" s="290" t="n"/>
      <c r="C807" s="290" t="n"/>
      <c r="D807" s="291" t="n"/>
      <c r="E807" s="291" t="n"/>
      <c r="F807" s="291" t="n"/>
      <c r="G807" s="293" t="n"/>
      <c r="H807" s="293" t="n"/>
      <c r="I807" s="293" t="n"/>
      <c r="J807" s="293" t="n"/>
    </row>
    <row r="808" ht="13" customHeight="1" s="189">
      <c r="A808" s="289" t="n"/>
      <c r="B808" s="290" t="n"/>
      <c r="C808" s="290" t="n"/>
      <c r="D808" s="291" t="n"/>
      <c r="E808" s="291" t="n"/>
      <c r="F808" s="291" t="n"/>
      <c r="G808" s="293" t="n"/>
      <c r="H808" s="293" t="n"/>
      <c r="I808" s="293" t="n"/>
      <c r="J808" s="293" t="n"/>
    </row>
    <row r="809" ht="13" customHeight="1" s="189">
      <c r="A809" s="289" t="n"/>
      <c r="B809" s="290" t="n"/>
      <c r="C809" s="290" t="n"/>
      <c r="D809" s="291" t="n"/>
      <c r="E809" s="291" t="n"/>
      <c r="F809" s="291" t="n"/>
      <c r="G809" s="293" t="n"/>
      <c r="H809" s="293" t="n"/>
      <c r="I809" s="293" t="n"/>
      <c r="J809" s="293" t="n"/>
    </row>
    <row r="810" ht="13" customHeight="1" s="189">
      <c r="A810" s="289" t="n"/>
      <c r="B810" s="290" t="n"/>
      <c r="C810" s="290" t="n"/>
      <c r="D810" s="291" t="n"/>
      <c r="E810" s="291" t="n"/>
      <c r="F810" s="291" t="n"/>
      <c r="G810" s="293" t="n"/>
      <c r="H810" s="293" t="n"/>
      <c r="I810" s="293" t="n"/>
      <c r="J810" s="293" t="n"/>
    </row>
    <row r="811" ht="13" customHeight="1" s="189">
      <c r="A811" s="289" t="n"/>
      <c r="B811" s="290" t="n"/>
      <c r="C811" s="290" t="n"/>
      <c r="D811" s="291" t="n"/>
      <c r="E811" s="291" t="n"/>
      <c r="F811" s="291" t="n"/>
      <c r="G811" s="293" t="n"/>
      <c r="H811" s="293" t="n"/>
      <c r="I811" s="293" t="n"/>
      <c r="J811" s="293" t="n"/>
    </row>
    <row r="812" ht="13" customHeight="1" s="189">
      <c r="A812" s="289" t="n"/>
      <c r="B812" s="290" t="n"/>
      <c r="C812" s="290" t="n"/>
      <c r="D812" s="291" t="n"/>
      <c r="E812" s="291" t="n"/>
      <c r="F812" s="291" t="n"/>
      <c r="G812" s="293" t="n"/>
      <c r="H812" s="293" t="n"/>
      <c r="I812" s="293" t="n"/>
      <c r="J812" s="293" t="n"/>
    </row>
    <row r="813" ht="13" customHeight="1" s="189">
      <c r="A813" s="289" t="n"/>
      <c r="B813" s="290" t="n"/>
      <c r="C813" s="290" t="n"/>
      <c r="D813" s="291" t="n"/>
      <c r="E813" s="291" t="n"/>
      <c r="F813" s="291" t="n"/>
      <c r="G813" s="293" t="n"/>
      <c r="H813" s="293" t="n"/>
      <c r="I813" s="293" t="n"/>
      <c r="J813" s="293" t="n"/>
    </row>
    <row r="814" ht="13" customHeight="1" s="189">
      <c r="A814" s="289" t="n"/>
      <c r="B814" s="290" t="n"/>
      <c r="C814" s="290" t="n"/>
      <c r="D814" s="291" t="n"/>
      <c r="E814" s="291" t="n"/>
      <c r="F814" s="291" t="n"/>
      <c r="G814" s="293" t="n"/>
      <c r="H814" s="293" t="n"/>
      <c r="I814" s="293" t="n"/>
      <c r="J814" s="293" t="n"/>
    </row>
    <row r="815" ht="13" customHeight="1" s="189">
      <c r="A815" s="289" t="n"/>
      <c r="B815" s="290" t="n"/>
      <c r="C815" s="290" t="n"/>
      <c r="D815" s="291" t="n"/>
      <c r="E815" s="291" t="n"/>
      <c r="F815" s="291" t="n"/>
      <c r="G815" s="293" t="n"/>
      <c r="H815" s="293" t="n"/>
      <c r="I815" s="293" t="n"/>
      <c r="J815" s="293" t="n"/>
    </row>
    <row r="816" ht="13" customHeight="1" s="189">
      <c r="A816" s="289" t="n"/>
      <c r="B816" s="290" t="n"/>
      <c r="C816" s="290" t="n"/>
      <c r="D816" s="291" t="n"/>
      <c r="E816" s="291" t="n"/>
      <c r="F816" s="291" t="n"/>
      <c r="G816" s="293" t="n"/>
      <c r="H816" s="293" t="n"/>
      <c r="I816" s="293" t="n"/>
      <c r="J816" s="293" t="n"/>
    </row>
    <row r="817" ht="13" customHeight="1" s="189">
      <c r="A817" s="289" t="n"/>
      <c r="B817" s="290" t="n"/>
      <c r="C817" s="290" t="n"/>
      <c r="D817" s="291" t="n"/>
      <c r="E817" s="291" t="n"/>
      <c r="F817" s="291" t="n"/>
      <c r="G817" s="293" t="n"/>
      <c r="H817" s="293" t="n"/>
      <c r="I817" s="293" t="n"/>
      <c r="J817" s="293" t="n"/>
    </row>
    <row r="818" ht="13" customHeight="1" s="189">
      <c r="A818" s="289" t="n"/>
      <c r="B818" s="290" t="n"/>
      <c r="C818" s="290" t="n"/>
      <c r="D818" s="291" t="n"/>
      <c r="E818" s="291" t="n"/>
      <c r="F818" s="291" t="n"/>
      <c r="G818" s="293" t="n"/>
      <c r="H818" s="293" t="n"/>
      <c r="I818" s="293" t="n"/>
      <c r="J818" s="293" t="n"/>
    </row>
    <row r="819" ht="13" customHeight="1" s="189">
      <c r="A819" s="289" t="n"/>
      <c r="B819" s="290" t="n"/>
      <c r="C819" s="290" t="n"/>
      <c r="D819" s="291" t="n"/>
      <c r="E819" s="291" t="n"/>
      <c r="F819" s="291" t="n"/>
      <c r="G819" s="293" t="n"/>
      <c r="H819" s="293" t="n"/>
      <c r="I819" s="293" t="n"/>
      <c r="J819" s="293" t="n"/>
    </row>
    <row r="820" ht="13" customHeight="1" s="189">
      <c r="A820" s="289" t="n"/>
      <c r="B820" s="290" t="n"/>
      <c r="C820" s="290" t="n"/>
      <c r="D820" s="291" t="n"/>
      <c r="E820" s="291" t="n"/>
      <c r="F820" s="291" t="n"/>
      <c r="G820" s="293" t="n"/>
      <c r="H820" s="293" t="n"/>
      <c r="I820" s="293" t="n"/>
      <c r="J820" s="293" t="n"/>
    </row>
    <row r="821" ht="13" customHeight="1" s="189">
      <c r="A821" s="289" t="n"/>
      <c r="B821" s="290" t="n"/>
      <c r="C821" s="290" t="n"/>
      <c r="D821" s="291" t="n"/>
      <c r="E821" s="291" t="n"/>
      <c r="F821" s="291" t="n"/>
      <c r="G821" s="293" t="n"/>
      <c r="H821" s="293" t="n"/>
      <c r="I821" s="293" t="n"/>
      <c r="J821" s="293" t="n"/>
    </row>
    <row r="822" ht="13" customHeight="1" s="189">
      <c r="A822" s="289" t="n"/>
      <c r="B822" s="290" t="n"/>
      <c r="C822" s="290" t="n"/>
      <c r="D822" s="291" t="n"/>
      <c r="E822" s="291" t="n"/>
      <c r="F822" s="291" t="n"/>
      <c r="G822" s="293" t="n"/>
      <c r="H822" s="293" t="n"/>
      <c r="I822" s="293" t="n"/>
      <c r="J822" s="293" t="n"/>
    </row>
    <row r="823" ht="13" customHeight="1" s="189">
      <c r="A823" s="289" t="n"/>
      <c r="B823" s="290" t="n"/>
      <c r="C823" s="290" t="n"/>
      <c r="D823" s="291" t="n"/>
      <c r="E823" s="291" t="n"/>
      <c r="F823" s="291" t="n"/>
      <c r="G823" s="293" t="n"/>
      <c r="H823" s="293" t="n"/>
      <c r="I823" s="293" t="n"/>
      <c r="J823" s="293" t="n"/>
    </row>
    <row r="824" ht="13" customHeight="1" s="189">
      <c r="A824" s="289" t="n"/>
      <c r="B824" s="290" t="n"/>
      <c r="C824" s="290" t="n"/>
      <c r="D824" s="291" t="n"/>
      <c r="E824" s="291" t="n"/>
      <c r="F824" s="291" t="n"/>
      <c r="G824" s="293" t="n"/>
      <c r="H824" s="293" t="n"/>
      <c r="I824" s="293" t="n"/>
      <c r="J824" s="293" t="n"/>
    </row>
    <row r="825" ht="13" customHeight="1" s="189">
      <c r="A825" s="289" t="n"/>
      <c r="B825" s="290" t="n"/>
      <c r="C825" s="290" t="n"/>
      <c r="D825" s="291" t="n"/>
      <c r="E825" s="291" t="n"/>
      <c r="F825" s="291" t="n"/>
      <c r="G825" s="293" t="n"/>
      <c r="H825" s="293" t="n"/>
      <c r="I825" s="293" t="n"/>
      <c r="J825" s="293" t="n"/>
    </row>
    <row r="826" ht="13" customHeight="1" s="189">
      <c r="A826" s="289" t="n"/>
      <c r="B826" s="290" t="n"/>
      <c r="C826" s="290" t="n"/>
      <c r="D826" s="291" t="n"/>
      <c r="E826" s="291" t="n"/>
      <c r="F826" s="291" t="n"/>
      <c r="G826" s="293" t="n"/>
      <c r="H826" s="293" t="n"/>
      <c r="I826" s="293" t="n"/>
      <c r="J826" s="293" t="n"/>
    </row>
    <row r="827" ht="13" customHeight="1" s="189">
      <c r="A827" s="289" t="n"/>
      <c r="B827" s="290" t="n"/>
      <c r="C827" s="290" t="n"/>
      <c r="D827" s="291" t="n"/>
      <c r="E827" s="291" t="n"/>
      <c r="F827" s="291" t="n"/>
      <c r="G827" s="293" t="n"/>
      <c r="H827" s="293" t="n"/>
      <c r="I827" s="293" t="n"/>
      <c r="J827" s="293" t="n"/>
    </row>
    <row r="828" ht="13" customHeight="1" s="189">
      <c r="A828" s="289" t="n"/>
      <c r="B828" s="290" t="n"/>
      <c r="C828" s="290" t="n"/>
      <c r="D828" s="291" t="n"/>
      <c r="E828" s="291" t="n"/>
      <c r="F828" s="291" t="n"/>
      <c r="G828" s="293" t="n"/>
      <c r="H828" s="293" t="n"/>
      <c r="I828" s="293" t="n"/>
      <c r="J828" s="293" t="n"/>
    </row>
    <row r="829" ht="13" customHeight="1" s="189">
      <c r="A829" s="289" t="n"/>
      <c r="B829" s="290" t="n"/>
      <c r="C829" s="290" t="n"/>
      <c r="D829" s="291" t="n"/>
      <c r="E829" s="291" t="n"/>
      <c r="F829" s="291" t="n"/>
      <c r="G829" s="293" t="n"/>
      <c r="H829" s="293" t="n"/>
      <c r="I829" s="293" t="n"/>
      <c r="J829" s="293" t="n"/>
    </row>
    <row r="830" ht="13" customHeight="1" s="189">
      <c r="A830" s="289" t="n"/>
      <c r="B830" s="290" t="n"/>
      <c r="C830" s="290" t="n"/>
      <c r="D830" s="291" t="n"/>
      <c r="E830" s="291" t="n"/>
      <c r="F830" s="291" t="n"/>
      <c r="G830" s="293" t="n"/>
      <c r="H830" s="293" t="n"/>
      <c r="I830" s="293" t="n"/>
      <c r="J830" s="293" t="n"/>
    </row>
    <row r="831" ht="13" customHeight="1" s="189">
      <c r="A831" s="289" t="n"/>
      <c r="B831" s="290" t="n"/>
      <c r="C831" s="290" t="n"/>
      <c r="D831" s="291" t="n"/>
      <c r="E831" s="291" t="n"/>
      <c r="F831" s="291" t="n"/>
      <c r="G831" s="293" t="n"/>
      <c r="H831" s="293" t="n"/>
      <c r="I831" s="293" t="n"/>
      <c r="J831" s="293" t="n"/>
    </row>
    <row r="832" ht="13" customHeight="1" s="189">
      <c r="A832" s="289" t="n"/>
      <c r="B832" s="290" t="n"/>
      <c r="C832" s="290" t="n"/>
      <c r="D832" s="291" t="n"/>
      <c r="E832" s="291" t="n"/>
      <c r="F832" s="291" t="n"/>
      <c r="G832" s="293" t="n"/>
      <c r="H832" s="293" t="n"/>
      <c r="I832" s="293" t="n"/>
      <c r="J832" s="293" t="n"/>
    </row>
    <row r="833" ht="13" customHeight="1" s="189">
      <c r="A833" s="289" t="n"/>
      <c r="B833" s="290" t="n"/>
      <c r="C833" s="290" t="n"/>
      <c r="D833" s="291" t="n"/>
      <c r="E833" s="291" t="n"/>
      <c r="F833" s="291" t="n"/>
      <c r="G833" s="293" t="n"/>
      <c r="H833" s="293" t="n"/>
      <c r="I833" s="293" t="n"/>
      <c r="J833" s="293" t="n"/>
    </row>
    <row r="834" ht="13" customHeight="1" s="189">
      <c r="A834" s="289" t="n"/>
      <c r="B834" s="290" t="n"/>
      <c r="C834" s="290" t="n"/>
      <c r="D834" s="291" t="n"/>
      <c r="E834" s="291" t="n"/>
      <c r="F834" s="291" t="n"/>
      <c r="G834" s="293" t="n"/>
      <c r="H834" s="293" t="n"/>
      <c r="I834" s="293" t="n"/>
      <c r="J834" s="293" t="n"/>
    </row>
    <row r="835" ht="13" customHeight="1" s="189">
      <c r="A835" s="289" t="n"/>
      <c r="B835" s="290" t="n"/>
      <c r="C835" s="290" t="n"/>
      <c r="D835" s="291" t="n"/>
      <c r="E835" s="291" t="n"/>
      <c r="F835" s="291" t="n"/>
      <c r="G835" s="293" t="n"/>
      <c r="H835" s="293" t="n"/>
      <c r="I835" s="293" t="n"/>
      <c r="J835" s="293" t="n"/>
    </row>
    <row r="836" ht="13" customHeight="1" s="189">
      <c r="A836" s="289" t="n"/>
      <c r="B836" s="290" t="n"/>
      <c r="C836" s="290" t="n"/>
      <c r="D836" s="291" t="n"/>
      <c r="E836" s="291" t="n"/>
      <c r="F836" s="291" t="n"/>
      <c r="G836" s="293" t="n"/>
      <c r="H836" s="293" t="n"/>
      <c r="I836" s="293" t="n"/>
      <c r="J836" s="293" t="n"/>
    </row>
    <row r="837" ht="13" customHeight="1" s="189">
      <c r="A837" s="289" t="n"/>
      <c r="B837" s="290" t="n"/>
      <c r="C837" s="290" t="n"/>
      <c r="D837" s="291" t="n"/>
      <c r="E837" s="291" t="n"/>
      <c r="F837" s="291" t="n"/>
      <c r="G837" s="293" t="n"/>
      <c r="H837" s="293" t="n"/>
      <c r="I837" s="293" t="n"/>
      <c r="J837" s="293" t="n"/>
    </row>
    <row r="838" ht="13" customHeight="1" s="189">
      <c r="A838" s="289" t="n"/>
      <c r="B838" s="290" t="n"/>
      <c r="C838" s="290" t="n"/>
      <c r="D838" s="291" t="n"/>
      <c r="E838" s="291" t="n"/>
      <c r="F838" s="291" t="n"/>
      <c r="G838" s="293" t="n"/>
      <c r="H838" s="293" t="n"/>
      <c r="I838" s="293" t="n"/>
      <c r="J838" s="293" t="n"/>
    </row>
    <row r="839" ht="13" customHeight="1" s="189">
      <c r="A839" s="289" t="n"/>
      <c r="B839" s="290" t="n"/>
      <c r="C839" s="290" t="n"/>
      <c r="D839" s="291" t="n"/>
      <c r="E839" s="291" t="n"/>
      <c r="F839" s="291" t="n"/>
      <c r="G839" s="293" t="n"/>
      <c r="H839" s="293" t="n"/>
      <c r="I839" s="293" t="n"/>
      <c r="J839" s="293" t="n"/>
    </row>
    <row r="840" ht="13" customHeight="1" s="189">
      <c r="A840" s="289" t="n"/>
      <c r="B840" s="290" t="n"/>
      <c r="C840" s="290" t="n"/>
      <c r="D840" s="291" t="n"/>
      <c r="E840" s="291" t="n"/>
      <c r="F840" s="291" t="n"/>
      <c r="G840" s="293" t="n"/>
      <c r="H840" s="293" t="n"/>
      <c r="I840" s="293" t="n"/>
      <c r="J840" s="293" t="n"/>
    </row>
    <row r="841" ht="13" customHeight="1" s="189">
      <c r="A841" s="289" t="n"/>
      <c r="B841" s="290" t="n"/>
      <c r="C841" s="290" t="n"/>
      <c r="D841" s="291" t="n"/>
      <c r="E841" s="291" t="n"/>
      <c r="F841" s="291" t="n"/>
      <c r="G841" s="293" t="n"/>
      <c r="H841" s="293" t="n"/>
      <c r="I841" s="293" t="n"/>
      <c r="J841" s="293" t="n"/>
    </row>
    <row r="842" ht="13" customHeight="1" s="189">
      <c r="A842" s="289" t="n"/>
      <c r="B842" s="290" t="n"/>
      <c r="C842" s="290" t="n"/>
      <c r="D842" s="291" t="n"/>
      <c r="E842" s="291" t="n"/>
      <c r="F842" s="291" t="n"/>
      <c r="G842" s="293" t="n"/>
      <c r="H842" s="293" t="n"/>
      <c r="I842" s="293" t="n"/>
      <c r="J842" s="293" t="n"/>
    </row>
    <row r="843" ht="13" customHeight="1" s="189">
      <c r="A843" s="289" t="n"/>
      <c r="B843" s="290" t="n"/>
      <c r="C843" s="290" t="n"/>
      <c r="D843" s="291" t="n"/>
      <c r="E843" s="291" t="n"/>
      <c r="F843" s="291" t="n"/>
      <c r="G843" s="293" t="n"/>
      <c r="H843" s="293" t="n"/>
      <c r="I843" s="293" t="n"/>
      <c r="J843" s="293" t="n"/>
    </row>
    <row r="844" ht="13" customHeight="1" s="189">
      <c r="A844" s="289" t="n"/>
      <c r="B844" s="290" t="n"/>
      <c r="C844" s="290" t="n"/>
      <c r="D844" s="291" t="n"/>
      <c r="E844" s="291" t="n"/>
      <c r="F844" s="291" t="n"/>
      <c r="G844" s="293" t="n"/>
      <c r="H844" s="293" t="n"/>
      <c r="I844" s="293" t="n"/>
      <c r="J844" s="293" t="n"/>
    </row>
    <row r="845" ht="13" customHeight="1" s="189">
      <c r="A845" s="289" t="n"/>
      <c r="B845" s="290" t="n"/>
      <c r="C845" s="290" t="n"/>
      <c r="D845" s="291" t="n"/>
      <c r="E845" s="291" t="n"/>
      <c r="F845" s="291" t="n"/>
      <c r="G845" s="293" t="n"/>
      <c r="H845" s="293" t="n"/>
      <c r="I845" s="293" t="n"/>
      <c r="J845" s="293" t="n"/>
    </row>
    <row r="846" ht="13" customHeight="1" s="189">
      <c r="A846" s="289" t="n"/>
      <c r="B846" s="290" t="n"/>
      <c r="C846" s="290" t="n"/>
      <c r="D846" s="291" t="n"/>
      <c r="E846" s="291" t="n"/>
      <c r="F846" s="291" t="n"/>
      <c r="G846" s="293" t="n"/>
      <c r="H846" s="293" t="n"/>
      <c r="I846" s="293" t="n"/>
      <c r="J846" s="293" t="n"/>
    </row>
    <row r="847" ht="13" customHeight="1" s="189">
      <c r="A847" s="289" t="n"/>
      <c r="B847" s="290" t="n"/>
      <c r="C847" s="290" t="n"/>
      <c r="D847" s="291" t="n"/>
      <c r="E847" s="291" t="n"/>
      <c r="F847" s="291" t="n"/>
      <c r="G847" s="293" t="n"/>
      <c r="H847" s="293" t="n"/>
      <c r="I847" s="293" t="n"/>
      <c r="J847" s="293" t="n"/>
    </row>
    <row r="848" ht="13" customHeight="1" s="189">
      <c r="A848" s="289" t="n"/>
      <c r="B848" s="290" t="n"/>
      <c r="C848" s="290" t="n"/>
      <c r="D848" s="291" t="n"/>
      <c r="E848" s="291" t="n"/>
      <c r="F848" s="291" t="n"/>
      <c r="G848" s="293" t="n"/>
      <c r="H848" s="293" t="n"/>
      <c r="I848" s="293" t="n"/>
      <c r="J848" s="293" t="n"/>
    </row>
    <row r="849" ht="13" customHeight="1" s="189">
      <c r="A849" s="289" t="n"/>
      <c r="B849" s="290" t="n"/>
      <c r="C849" s="290" t="n"/>
      <c r="D849" s="291" t="n"/>
      <c r="E849" s="291" t="n"/>
      <c r="F849" s="291" t="n"/>
      <c r="G849" s="293" t="n"/>
      <c r="H849" s="293" t="n"/>
      <c r="I849" s="293" t="n"/>
      <c r="J849" s="293" t="n"/>
    </row>
    <row r="850" ht="13" customHeight="1" s="189">
      <c r="A850" s="289" t="n"/>
      <c r="B850" s="290" t="n"/>
      <c r="C850" s="290" t="n"/>
      <c r="D850" s="291" t="n"/>
      <c r="E850" s="291" t="n"/>
      <c r="F850" s="291" t="n"/>
      <c r="G850" s="293" t="n"/>
      <c r="H850" s="293" t="n"/>
      <c r="I850" s="293" t="n"/>
      <c r="J850" s="293" t="n"/>
    </row>
    <row r="851" ht="13" customHeight="1" s="189">
      <c r="A851" s="289" t="n"/>
      <c r="B851" s="290" t="n"/>
      <c r="C851" s="290" t="n"/>
      <c r="D851" s="291" t="n"/>
      <c r="E851" s="291" t="n"/>
      <c r="F851" s="291" t="n"/>
      <c r="G851" s="293" t="n"/>
      <c r="H851" s="293" t="n"/>
      <c r="I851" s="293" t="n"/>
      <c r="J851" s="293" t="n"/>
    </row>
    <row r="852" ht="13" customHeight="1" s="189">
      <c r="A852" s="289" t="n"/>
      <c r="B852" s="290" t="n"/>
      <c r="C852" s="290" t="n"/>
      <c r="D852" s="291" t="n"/>
      <c r="E852" s="291" t="n"/>
      <c r="F852" s="291" t="n"/>
      <c r="G852" s="293" t="n"/>
      <c r="H852" s="293" t="n"/>
      <c r="I852" s="293" t="n"/>
      <c r="J852" s="293" t="n"/>
    </row>
    <row r="853" ht="13" customHeight="1" s="189">
      <c r="A853" s="289" t="n"/>
      <c r="B853" s="290" t="n"/>
      <c r="C853" s="290" t="n"/>
      <c r="D853" s="291" t="n"/>
      <c r="E853" s="291" t="n"/>
      <c r="F853" s="291" t="n"/>
      <c r="G853" s="293" t="n"/>
      <c r="H853" s="293" t="n"/>
      <c r="I853" s="293" t="n"/>
      <c r="J853" s="293" t="n"/>
    </row>
    <row r="854" ht="13" customHeight="1" s="189">
      <c r="A854" s="289" t="n"/>
      <c r="B854" s="290" t="n"/>
      <c r="C854" s="290" t="n"/>
      <c r="D854" s="291" t="n"/>
      <c r="E854" s="291" t="n"/>
      <c r="F854" s="291" t="n"/>
      <c r="G854" s="293" t="n"/>
      <c r="H854" s="293" t="n"/>
      <c r="I854" s="293" t="n"/>
      <c r="J854" s="293" t="n"/>
    </row>
    <row r="855" ht="13" customHeight="1" s="189">
      <c r="A855" s="289" t="n"/>
      <c r="B855" s="290" t="n"/>
      <c r="C855" s="290" t="n"/>
      <c r="D855" s="291" t="n"/>
      <c r="E855" s="291" t="n"/>
      <c r="F855" s="291" t="n"/>
      <c r="G855" s="293" t="n"/>
      <c r="H855" s="293" t="n"/>
      <c r="I855" s="293" t="n"/>
      <c r="J855" s="293" t="n"/>
    </row>
    <row r="856" ht="13" customHeight="1" s="189">
      <c r="A856" s="289" t="n"/>
      <c r="B856" s="290" t="n"/>
      <c r="C856" s="290" t="n"/>
      <c r="D856" s="291" t="n"/>
      <c r="E856" s="291" t="n"/>
      <c r="F856" s="291" t="n"/>
      <c r="G856" s="293" t="n"/>
      <c r="H856" s="293" t="n"/>
      <c r="I856" s="293" t="n"/>
      <c r="J856" s="293" t="n"/>
    </row>
    <row r="857" ht="13" customHeight="1" s="189">
      <c r="A857" s="289" t="n"/>
      <c r="B857" s="290" t="n"/>
      <c r="C857" s="290" t="n"/>
      <c r="D857" s="291" t="n"/>
      <c r="E857" s="291" t="n"/>
      <c r="F857" s="291" t="n"/>
      <c r="G857" s="293" t="n"/>
      <c r="H857" s="293" t="n"/>
      <c r="I857" s="293" t="n"/>
      <c r="J857" s="293" t="n"/>
    </row>
    <row r="858" ht="13" customHeight="1" s="189">
      <c r="A858" s="289" t="n"/>
      <c r="B858" s="290" t="n"/>
      <c r="C858" s="290" t="n"/>
      <c r="D858" s="291" t="n"/>
      <c r="E858" s="291" t="n"/>
      <c r="F858" s="291" t="n"/>
      <c r="G858" s="293" t="n"/>
      <c r="H858" s="293" t="n"/>
      <c r="I858" s="293" t="n"/>
      <c r="J858" s="293" t="n"/>
    </row>
    <row r="859" ht="13" customHeight="1" s="189">
      <c r="A859" s="289" t="n"/>
      <c r="B859" s="290" t="n"/>
      <c r="C859" s="290" t="n"/>
      <c r="D859" s="291" t="n"/>
      <c r="E859" s="291" t="n"/>
      <c r="F859" s="291" t="n"/>
      <c r="G859" s="293" t="n"/>
      <c r="H859" s="293" t="n"/>
      <c r="I859" s="293" t="n"/>
      <c r="J859" s="293" t="n"/>
    </row>
    <row r="860" ht="13" customHeight="1" s="189">
      <c r="A860" s="289" t="n"/>
      <c r="B860" s="290" t="n"/>
      <c r="C860" s="290" t="n"/>
      <c r="D860" s="291" t="n"/>
      <c r="E860" s="291" t="n"/>
      <c r="F860" s="291" t="n"/>
      <c r="G860" s="293" t="n"/>
      <c r="H860" s="293" t="n"/>
      <c r="I860" s="293" t="n"/>
      <c r="J860" s="293" t="n"/>
    </row>
    <row r="861" ht="13" customHeight="1" s="189">
      <c r="A861" s="289" t="n"/>
      <c r="B861" s="290" t="n"/>
      <c r="C861" s="290" t="n"/>
      <c r="D861" s="291" t="n"/>
      <c r="E861" s="291" t="n"/>
      <c r="F861" s="291" t="n"/>
      <c r="G861" s="293" t="n"/>
      <c r="H861" s="293" t="n"/>
      <c r="I861" s="293" t="n"/>
      <c r="J861" s="293" t="n"/>
    </row>
    <row r="862" ht="13" customHeight="1" s="189">
      <c r="A862" s="289" t="n"/>
      <c r="B862" s="290" t="n"/>
      <c r="C862" s="290" t="n"/>
      <c r="D862" s="291" t="n"/>
      <c r="E862" s="291" t="n"/>
      <c r="F862" s="291" t="n"/>
      <c r="G862" s="293" t="n"/>
      <c r="H862" s="293" t="n"/>
      <c r="I862" s="293" t="n"/>
      <c r="J862" s="293" t="n"/>
    </row>
    <row r="863" ht="13" customHeight="1" s="189">
      <c r="A863" s="289" t="n"/>
      <c r="B863" s="290" t="n"/>
      <c r="C863" s="290" t="n"/>
      <c r="D863" s="291" t="n"/>
      <c r="E863" s="291" t="n"/>
      <c r="F863" s="291" t="n"/>
      <c r="G863" s="293" t="n"/>
      <c r="H863" s="293" t="n"/>
      <c r="I863" s="293" t="n"/>
      <c r="J863" s="293" t="n"/>
    </row>
    <row r="864" ht="13" customHeight="1" s="189">
      <c r="A864" s="289" t="n"/>
      <c r="B864" s="290" t="n"/>
      <c r="C864" s="290" t="n"/>
      <c r="D864" s="291" t="n"/>
      <c r="E864" s="291" t="n"/>
      <c r="F864" s="291" t="n"/>
      <c r="G864" s="293" t="n"/>
      <c r="H864" s="293" t="n"/>
      <c r="I864" s="293" t="n"/>
      <c r="J864" s="293" t="n"/>
    </row>
    <row r="865" ht="13" customHeight="1" s="189">
      <c r="A865" s="289" t="n"/>
      <c r="B865" s="290" t="n"/>
      <c r="C865" s="290" t="n"/>
      <c r="D865" s="291" t="n"/>
      <c r="E865" s="291" t="n"/>
      <c r="F865" s="291" t="n"/>
      <c r="G865" s="293" t="n"/>
      <c r="H865" s="293" t="n"/>
      <c r="I865" s="293" t="n"/>
      <c r="J865" s="293" t="n"/>
    </row>
    <row r="866" ht="13" customHeight="1" s="189">
      <c r="A866" s="289" t="n"/>
      <c r="B866" s="290" t="n"/>
      <c r="C866" s="290" t="n"/>
      <c r="D866" s="291" t="n"/>
      <c r="E866" s="291" t="n"/>
      <c r="F866" s="291" t="n"/>
      <c r="G866" s="293" t="n"/>
      <c r="H866" s="293" t="n"/>
      <c r="I866" s="293" t="n"/>
      <c r="J866" s="293" t="n"/>
    </row>
    <row r="867" ht="13" customHeight="1" s="189">
      <c r="A867" s="289" t="n"/>
      <c r="B867" s="290" t="n"/>
      <c r="C867" s="290" t="n"/>
      <c r="D867" s="291" t="n"/>
      <c r="E867" s="291" t="n"/>
      <c r="F867" s="291" t="n"/>
      <c r="G867" s="293" t="n"/>
      <c r="H867" s="293" t="n"/>
      <c r="I867" s="293" t="n"/>
      <c r="J867" s="293" t="n"/>
    </row>
    <row r="868" ht="13" customHeight="1" s="189">
      <c r="A868" s="289" t="n"/>
      <c r="B868" s="290" t="n"/>
      <c r="C868" s="290" t="n"/>
      <c r="D868" s="291" t="n"/>
      <c r="E868" s="291" t="n"/>
      <c r="F868" s="291" t="n"/>
      <c r="G868" s="293" t="n"/>
      <c r="H868" s="293" t="n"/>
      <c r="I868" s="293" t="n"/>
      <c r="J868" s="293" t="n"/>
    </row>
    <row r="869" ht="13" customHeight="1" s="189">
      <c r="A869" s="289" t="n"/>
      <c r="B869" s="290" t="n"/>
      <c r="C869" s="290" t="n"/>
      <c r="D869" s="291" t="n"/>
      <c r="E869" s="291" t="n"/>
      <c r="F869" s="291" t="n"/>
      <c r="G869" s="293" t="n"/>
      <c r="H869" s="293" t="n"/>
      <c r="I869" s="293" t="n"/>
      <c r="J869" s="293" t="n"/>
    </row>
    <row r="870" ht="13" customHeight="1" s="189">
      <c r="A870" s="289" t="n"/>
      <c r="B870" s="290" t="n"/>
      <c r="C870" s="290" t="n"/>
      <c r="D870" s="291" t="n"/>
      <c r="E870" s="291" t="n"/>
      <c r="F870" s="291" t="n"/>
      <c r="G870" s="293" t="n"/>
      <c r="H870" s="293" t="n"/>
      <c r="I870" s="293" t="n"/>
      <c r="J870" s="293" t="n"/>
    </row>
    <row r="871" ht="13" customHeight="1" s="189">
      <c r="A871" s="289" t="n"/>
      <c r="B871" s="290" t="n"/>
      <c r="C871" s="290" t="n"/>
      <c r="D871" s="291" t="n"/>
      <c r="E871" s="291" t="n"/>
      <c r="F871" s="291" t="n"/>
      <c r="G871" s="293" t="n"/>
      <c r="H871" s="293" t="n"/>
      <c r="I871" s="293" t="n"/>
      <c r="J871" s="293" t="n"/>
    </row>
    <row r="872" ht="13" customHeight="1" s="189">
      <c r="A872" s="289" t="n"/>
      <c r="B872" s="290" t="n"/>
      <c r="C872" s="290" t="n"/>
      <c r="D872" s="291" t="n"/>
      <c r="E872" s="291" t="n"/>
      <c r="F872" s="291" t="n"/>
      <c r="G872" s="293" t="n"/>
      <c r="H872" s="293" t="n"/>
      <c r="I872" s="293" t="n"/>
      <c r="J872" s="293" t="n"/>
    </row>
    <row r="873" ht="13" customHeight="1" s="189">
      <c r="A873" s="289" t="n"/>
      <c r="B873" s="290" t="n"/>
      <c r="C873" s="290" t="n"/>
      <c r="D873" s="291" t="n"/>
      <c r="E873" s="291" t="n"/>
      <c r="F873" s="291" t="n"/>
      <c r="G873" s="293" t="n"/>
      <c r="H873" s="293" t="n"/>
      <c r="I873" s="293" t="n"/>
      <c r="J873" s="293" t="n"/>
    </row>
    <row r="874" ht="13" customHeight="1" s="189">
      <c r="A874" s="289" t="n"/>
      <c r="B874" s="290" t="n"/>
      <c r="C874" s="290" t="n"/>
      <c r="D874" s="291" t="n"/>
      <c r="E874" s="291" t="n"/>
      <c r="F874" s="291" t="n"/>
      <c r="G874" s="293" t="n"/>
      <c r="H874" s="293" t="n"/>
      <c r="I874" s="293" t="n"/>
      <c r="J874" s="293" t="n"/>
    </row>
    <row r="875" ht="13" customHeight="1" s="189">
      <c r="A875" s="289" t="n"/>
      <c r="B875" s="290" t="n"/>
      <c r="C875" s="290" t="n"/>
      <c r="D875" s="291" t="n"/>
      <c r="E875" s="291" t="n"/>
      <c r="F875" s="291" t="n"/>
      <c r="G875" s="293" t="n"/>
      <c r="H875" s="293" t="n"/>
      <c r="I875" s="293" t="n"/>
      <c r="J875" s="293" t="n"/>
    </row>
    <row r="876" ht="13" customHeight="1" s="189">
      <c r="A876" s="289" t="n"/>
      <c r="B876" s="290" t="n"/>
      <c r="C876" s="290" t="n"/>
      <c r="D876" s="291" t="n"/>
      <c r="E876" s="291" t="n"/>
      <c r="F876" s="291" t="n"/>
      <c r="G876" s="293" t="n"/>
      <c r="H876" s="293" t="n"/>
      <c r="I876" s="293" t="n"/>
      <c r="J876" s="293" t="n"/>
    </row>
    <row r="877" ht="13" customHeight="1" s="189">
      <c r="A877" s="289" t="n"/>
      <c r="B877" s="290" t="n"/>
      <c r="C877" s="290" t="n"/>
      <c r="D877" s="291" t="n"/>
      <c r="E877" s="291" t="n"/>
      <c r="F877" s="291" t="n"/>
      <c r="G877" s="293" t="n"/>
      <c r="H877" s="293" t="n"/>
      <c r="I877" s="293" t="n"/>
      <c r="J877" s="293" t="n"/>
    </row>
    <row r="878" ht="13" customHeight="1" s="189">
      <c r="A878" s="289" t="n"/>
      <c r="B878" s="290" t="n"/>
      <c r="C878" s="290" t="n"/>
      <c r="D878" s="291" t="n"/>
      <c r="E878" s="291" t="n"/>
      <c r="F878" s="291" t="n"/>
      <c r="G878" s="293" t="n"/>
      <c r="H878" s="293" t="n"/>
      <c r="I878" s="293" t="n"/>
      <c r="J878" s="293" t="n"/>
    </row>
    <row r="879" ht="13" customHeight="1" s="189">
      <c r="A879" s="289" t="n"/>
      <c r="B879" s="290" t="n"/>
      <c r="C879" s="290" t="n"/>
      <c r="D879" s="291" t="n"/>
      <c r="E879" s="291" t="n"/>
      <c r="F879" s="291" t="n"/>
      <c r="G879" s="293" t="n"/>
      <c r="H879" s="293" t="n"/>
      <c r="I879" s="293" t="n"/>
      <c r="J879" s="293" t="n"/>
    </row>
    <row r="880" ht="13" customHeight="1" s="189">
      <c r="A880" s="289" t="n"/>
      <c r="B880" s="290" t="n"/>
      <c r="C880" s="290" t="n"/>
      <c r="D880" s="291" t="n"/>
      <c r="E880" s="291" t="n"/>
      <c r="F880" s="291" t="n"/>
      <c r="G880" s="293" t="n"/>
      <c r="H880" s="293" t="n"/>
      <c r="I880" s="293" t="n"/>
      <c r="J880" s="293" t="n"/>
    </row>
    <row r="881" ht="13" customHeight="1" s="189">
      <c r="A881" s="289" t="n"/>
      <c r="B881" s="290" t="n"/>
      <c r="C881" s="290" t="n"/>
      <c r="D881" s="291" t="n"/>
      <c r="E881" s="291" t="n"/>
      <c r="F881" s="291" t="n"/>
      <c r="G881" s="293" t="n"/>
      <c r="H881" s="293" t="n"/>
      <c r="I881" s="293" t="n"/>
      <c r="J881" s="293" t="n"/>
    </row>
    <row r="882" ht="13" customHeight="1" s="189">
      <c r="A882" s="289" t="n"/>
      <c r="B882" s="290" t="n"/>
      <c r="C882" s="290" t="n"/>
      <c r="D882" s="291" t="n"/>
      <c r="E882" s="291" t="n"/>
      <c r="F882" s="291" t="n"/>
      <c r="G882" s="293" t="n"/>
      <c r="H882" s="293" t="n"/>
      <c r="I882" s="293" t="n"/>
      <c r="J882" s="293" t="n"/>
    </row>
    <row r="883" ht="13" customHeight="1" s="189">
      <c r="A883" s="289" t="n"/>
      <c r="B883" s="290" t="n"/>
      <c r="C883" s="290" t="n"/>
      <c r="D883" s="291" t="n"/>
      <c r="E883" s="291" t="n"/>
      <c r="F883" s="291" t="n"/>
      <c r="G883" s="293" t="n"/>
      <c r="H883" s="293" t="n"/>
      <c r="I883" s="293" t="n"/>
      <c r="J883" s="293" t="n"/>
    </row>
    <row r="884" ht="13" customHeight="1" s="189">
      <c r="A884" s="289" t="n"/>
      <c r="B884" s="290" t="n"/>
      <c r="C884" s="290" t="n"/>
      <c r="D884" s="291" t="n"/>
      <c r="E884" s="291" t="n"/>
      <c r="F884" s="291" t="n"/>
      <c r="G884" s="293" t="n"/>
      <c r="H884" s="293" t="n"/>
      <c r="I884" s="293" t="n"/>
      <c r="J884" s="293" t="n"/>
    </row>
    <row r="885" ht="13" customHeight="1" s="189">
      <c r="A885" s="289" t="n"/>
      <c r="B885" s="290" t="n"/>
      <c r="C885" s="290" t="n"/>
      <c r="D885" s="291" t="n"/>
      <c r="E885" s="291" t="n"/>
      <c r="F885" s="291" t="n"/>
      <c r="G885" s="293" t="n"/>
      <c r="H885" s="293" t="n"/>
      <c r="I885" s="293" t="n"/>
      <c r="J885" s="293" t="n"/>
    </row>
    <row r="886" ht="13" customHeight="1" s="189">
      <c r="A886" s="289" t="n"/>
      <c r="B886" s="290" t="n"/>
      <c r="C886" s="290" t="n"/>
      <c r="D886" s="291" t="n"/>
      <c r="E886" s="291" t="n"/>
      <c r="F886" s="291" t="n"/>
      <c r="G886" s="293" t="n"/>
      <c r="H886" s="293" t="n"/>
      <c r="I886" s="293" t="n"/>
      <c r="J886" s="293" t="n"/>
    </row>
    <row r="887" ht="13" customHeight="1" s="189">
      <c r="A887" s="289" t="n"/>
      <c r="B887" s="290" t="n"/>
      <c r="C887" s="290" t="n"/>
      <c r="D887" s="291" t="n"/>
      <c r="E887" s="291" t="n"/>
      <c r="F887" s="291" t="n"/>
      <c r="G887" s="293" t="n"/>
      <c r="H887" s="293" t="n"/>
      <c r="I887" s="293" t="n"/>
      <c r="J887" s="293" t="n"/>
    </row>
    <row r="888" ht="13" customHeight="1" s="189">
      <c r="A888" s="289" t="n"/>
      <c r="B888" s="290" t="n"/>
      <c r="C888" s="290" t="n"/>
      <c r="D888" s="291" t="n"/>
      <c r="E888" s="291" t="n"/>
      <c r="F888" s="291" t="n"/>
      <c r="G888" s="293" t="n"/>
      <c r="H888" s="293" t="n"/>
      <c r="I888" s="293" t="n"/>
      <c r="J888" s="293" t="n"/>
    </row>
    <row r="889" ht="13" customHeight="1" s="189">
      <c r="A889" s="289" t="n"/>
      <c r="B889" s="290" t="n"/>
      <c r="C889" s="290" t="n"/>
      <c r="D889" s="291" t="n"/>
      <c r="E889" s="291" t="n"/>
      <c r="F889" s="291" t="n"/>
      <c r="G889" s="293" t="n"/>
      <c r="H889" s="293" t="n"/>
      <c r="I889" s="293" t="n"/>
      <c r="J889" s="293" t="n"/>
    </row>
    <row r="890" ht="13" customHeight="1" s="189">
      <c r="A890" s="289" t="n"/>
      <c r="B890" s="290" t="n"/>
      <c r="C890" s="290" t="n"/>
      <c r="D890" s="291" t="n"/>
      <c r="E890" s="291" t="n"/>
      <c r="F890" s="291" t="n"/>
      <c r="G890" s="293" t="n"/>
      <c r="H890" s="293" t="n"/>
      <c r="I890" s="293" t="n"/>
      <c r="J890" s="293" t="n"/>
    </row>
    <row r="891" ht="13" customHeight="1" s="189">
      <c r="A891" s="289" t="n"/>
      <c r="B891" s="290" t="n"/>
      <c r="C891" s="290" t="n"/>
      <c r="D891" s="291" t="n"/>
      <c r="E891" s="291" t="n"/>
      <c r="F891" s="291" t="n"/>
      <c r="G891" s="293" t="n"/>
      <c r="H891" s="293" t="n"/>
      <c r="I891" s="293" t="n"/>
      <c r="J891" s="293" t="n"/>
    </row>
    <row r="892" ht="13" customHeight="1" s="189">
      <c r="A892" s="289" t="n"/>
      <c r="B892" s="290" t="n"/>
      <c r="C892" s="290" t="n"/>
      <c r="D892" s="291" t="n"/>
      <c r="E892" s="291" t="n"/>
      <c r="F892" s="291" t="n"/>
      <c r="G892" s="293" t="n"/>
      <c r="H892" s="293" t="n"/>
      <c r="I892" s="293" t="n"/>
      <c r="J892" s="293" t="n"/>
    </row>
    <row r="893" ht="13" customHeight="1" s="189">
      <c r="A893" s="289" t="n"/>
      <c r="B893" s="290" t="n"/>
      <c r="C893" s="290" t="n"/>
      <c r="D893" s="291" t="n"/>
      <c r="E893" s="291" t="n"/>
      <c r="F893" s="291" t="n"/>
      <c r="G893" s="293" t="n"/>
      <c r="H893" s="293" t="n"/>
      <c r="I893" s="293" t="n"/>
      <c r="J893" s="293" t="n"/>
    </row>
    <row r="894" ht="13" customHeight="1" s="189">
      <c r="A894" s="289" t="n"/>
      <c r="B894" s="290" t="n"/>
      <c r="C894" s="290" t="n"/>
      <c r="D894" s="291" t="n"/>
      <c r="E894" s="291" t="n"/>
      <c r="F894" s="291" t="n"/>
      <c r="G894" s="293" t="n"/>
      <c r="H894" s="293" t="n"/>
      <c r="I894" s="293" t="n"/>
      <c r="J894" s="293" t="n"/>
    </row>
    <row r="895" ht="13" customHeight="1" s="189">
      <c r="A895" s="289" t="n"/>
      <c r="B895" s="290" t="n"/>
      <c r="C895" s="290" t="n"/>
      <c r="D895" s="291" t="n"/>
      <c r="E895" s="291" t="n"/>
      <c r="F895" s="291" t="n"/>
      <c r="G895" s="293" t="n"/>
      <c r="H895" s="293" t="n"/>
      <c r="I895" s="293" t="n"/>
      <c r="J895" s="293" t="n"/>
    </row>
    <row r="896" ht="13" customHeight="1" s="189">
      <c r="A896" s="289" t="n"/>
      <c r="B896" s="290" t="n"/>
      <c r="C896" s="290" t="n"/>
      <c r="D896" s="291" t="n"/>
      <c r="E896" s="291" t="n"/>
      <c r="F896" s="291" t="n"/>
      <c r="G896" s="293" t="n"/>
      <c r="H896" s="293" t="n"/>
      <c r="I896" s="293" t="n"/>
      <c r="J896" s="293" t="n"/>
    </row>
    <row r="897" ht="13" customHeight="1" s="189">
      <c r="A897" s="289" t="n"/>
      <c r="B897" s="290" t="n"/>
      <c r="C897" s="290" t="n"/>
      <c r="D897" s="291" t="n"/>
      <c r="E897" s="291" t="n"/>
      <c r="F897" s="291" t="n"/>
      <c r="G897" s="293" t="n"/>
      <c r="H897" s="293" t="n"/>
      <c r="I897" s="293" t="n"/>
      <c r="J897" s="293" t="n"/>
    </row>
    <row r="898" ht="13" customHeight="1" s="189">
      <c r="A898" s="289" t="n"/>
      <c r="B898" s="290" t="n"/>
      <c r="C898" s="290" t="n"/>
      <c r="D898" s="291" t="n"/>
      <c r="E898" s="291" t="n"/>
      <c r="F898" s="291" t="n"/>
      <c r="G898" s="293" t="n"/>
      <c r="H898" s="293" t="n"/>
      <c r="I898" s="293" t="n"/>
      <c r="J898" s="293" t="n"/>
    </row>
    <row r="899" ht="13" customHeight="1" s="189">
      <c r="A899" s="289" t="n"/>
      <c r="B899" s="290" t="n"/>
      <c r="C899" s="290" t="n"/>
      <c r="D899" s="291" t="n"/>
      <c r="E899" s="291" t="n"/>
      <c r="F899" s="291" t="n"/>
      <c r="G899" s="293" t="n"/>
      <c r="H899" s="293" t="n"/>
      <c r="I899" s="293" t="n"/>
      <c r="J899" s="293" t="n"/>
    </row>
    <row r="900" ht="13" customHeight="1" s="189">
      <c r="A900" s="289" t="n"/>
      <c r="B900" s="290" t="n"/>
      <c r="C900" s="290" t="n"/>
      <c r="D900" s="291" t="n"/>
      <c r="E900" s="291" t="n"/>
      <c r="F900" s="291" t="n"/>
      <c r="G900" s="293" t="n"/>
      <c r="H900" s="293" t="n"/>
      <c r="I900" s="293" t="n"/>
      <c r="J900" s="293" t="n"/>
    </row>
    <row r="901" ht="13" customHeight="1" s="189">
      <c r="A901" s="289" t="n"/>
      <c r="B901" s="290" t="n"/>
      <c r="C901" s="290" t="n"/>
      <c r="D901" s="291" t="n"/>
      <c r="E901" s="291" t="n"/>
      <c r="F901" s="291" t="n"/>
      <c r="G901" s="293" t="n"/>
      <c r="H901" s="293" t="n"/>
      <c r="I901" s="293" t="n"/>
      <c r="J901" s="293" t="n"/>
    </row>
    <row r="902" ht="13" customHeight="1" s="189">
      <c r="A902" s="289" t="n"/>
      <c r="B902" s="290" t="n"/>
      <c r="C902" s="290" t="n"/>
      <c r="D902" s="291" t="n"/>
      <c r="E902" s="291" t="n"/>
      <c r="F902" s="291" t="n"/>
      <c r="G902" s="293" t="n"/>
      <c r="H902" s="293" t="n"/>
      <c r="I902" s="293" t="n"/>
      <c r="J902" s="293" t="n"/>
    </row>
    <row r="903" ht="13" customHeight="1" s="189">
      <c r="A903" s="289" t="n"/>
      <c r="B903" s="290" t="n"/>
      <c r="C903" s="290" t="n"/>
      <c r="D903" s="291" t="n"/>
      <c r="E903" s="291" t="n"/>
      <c r="F903" s="291" t="n"/>
      <c r="G903" s="293" t="n"/>
      <c r="H903" s="293" t="n"/>
      <c r="I903" s="293" t="n"/>
      <c r="J903" s="293" t="n"/>
    </row>
    <row r="904" ht="13" customHeight="1" s="189">
      <c r="A904" s="289" t="n"/>
      <c r="B904" s="290" t="n"/>
      <c r="C904" s="290" t="n"/>
      <c r="D904" s="291" t="n"/>
      <c r="E904" s="291" t="n"/>
      <c r="F904" s="291" t="n"/>
      <c r="G904" s="293" t="n"/>
      <c r="H904" s="293" t="n"/>
      <c r="I904" s="293" t="n"/>
      <c r="J904" s="293" t="n"/>
    </row>
    <row r="905" ht="13" customHeight="1" s="189">
      <c r="A905" s="289" t="n"/>
      <c r="B905" s="290" t="n"/>
      <c r="C905" s="290" t="n"/>
      <c r="D905" s="291" t="n"/>
      <c r="E905" s="291" t="n"/>
      <c r="F905" s="291" t="n"/>
      <c r="G905" s="293" t="n"/>
      <c r="H905" s="293" t="n"/>
      <c r="I905" s="293" t="n"/>
      <c r="J905" s="293" t="n"/>
    </row>
    <row r="906" ht="13" customHeight="1" s="189">
      <c r="A906" s="289" t="n"/>
      <c r="B906" s="290" t="n"/>
      <c r="C906" s="290" t="n"/>
      <c r="D906" s="291" t="n"/>
      <c r="E906" s="291" t="n"/>
      <c r="F906" s="291" t="n"/>
      <c r="G906" s="293" t="n"/>
      <c r="H906" s="293" t="n"/>
      <c r="I906" s="293" t="n"/>
      <c r="J906" s="293" t="n"/>
    </row>
    <row r="907" ht="13" customHeight="1" s="189">
      <c r="A907" s="289" t="n"/>
      <c r="B907" s="290" t="n"/>
      <c r="C907" s="290" t="n"/>
      <c r="D907" s="291" t="n"/>
      <c r="E907" s="291" t="n"/>
      <c r="F907" s="291" t="n"/>
      <c r="G907" s="293" t="n"/>
      <c r="H907" s="293" t="n"/>
      <c r="I907" s="293" t="n"/>
      <c r="J907" s="293" t="n"/>
    </row>
    <row r="908" ht="13" customHeight="1" s="189">
      <c r="A908" s="289" t="n"/>
      <c r="B908" s="290" t="n"/>
      <c r="C908" s="290" t="n"/>
      <c r="D908" s="291" t="n"/>
      <c r="E908" s="291" t="n"/>
      <c r="F908" s="291" t="n"/>
      <c r="G908" s="293" t="n"/>
      <c r="H908" s="293" t="n"/>
      <c r="I908" s="293" t="n"/>
      <c r="J908" s="293" t="n"/>
    </row>
    <row r="909" ht="13" customHeight="1" s="189">
      <c r="A909" s="289" t="n"/>
      <c r="B909" s="290" t="n"/>
      <c r="C909" s="290" t="n"/>
      <c r="D909" s="291" t="n"/>
      <c r="E909" s="291" t="n"/>
      <c r="F909" s="291" t="n"/>
      <c r="G909" s="293" t="n"/>
      <c r="H909" s="293" t="n"/>
      <c r="I909" s="293" t="n"/>
      <c r="J909" s="293" t="n"/>
    </row>
    <row r="910" ht="13" customHeight="1" s="189">
      <c r="A910" s="289" t="n"/>
      <c r="B910" s="290" t="n"/>
      <c r="C910" s="290" t="n"/>
      <c r="D910" s="291" t="n"/>
      <c r="E910" s="291" t="n"/>
      <c r="F910" s="291" t="n"/>
      <c r="G910" s="293" t="n"/>
      <c r="H910" s="293" t="n"/>
      <c r="I910" s="293" t="n"/>
      <c r="J910" s="293" t="n"/>
    </row>
    <row r="911" ht="13" customHeight="1" s="189">
      <c r="A911" s="289" t="n"/>
      <c r="B911" s="290" t="n"/>
      <c r="C911" s="290" t="n"/>
      <c r="D911" s="291" t="n"/>
      <c r="E911" s="291" t="n"/>
      <c r="F911" s="291" t="n"/>
      <c r="G911" s="293" t="n"/>
      <c r="H911" s="293" t="n"/>
      <c r="I911" s="293" t="n"/>
      <c r="J911" s="293" t="n"/>
    </row>
    <row r="912" ht="13" customHeight="1" s="189">
      <c r="A912" s="289" t="n"/>
      <c r="B912" s="290" t="n"/>
      <c r="C912" s="290" t="n"/>
      <c r="D912" s="291" t="n"/>
      <c r="E912" s="291" t="n"/>
      <c r="F912" s="291" t="n"/>
      <c r="G912" s="293" t="n"/>
      <c r="H912" s="293" t="n"/>
      <c r="I912" s="293" t="n"/>
      <c r="J912" s="293" t="n"/>
    </row>
    <row r="913" ht="13" customHeight="1" s="189">
      <c r="A913" s="289" t="n"/>
      <c r="B913" s="290" t="n"/>
      <c r="C913" s="290" t="n"/>
      <c r="D913" s="291" t="n"/>
      <c r="E913" s="291" t="n"/>
      <c r="F913" s="291" t="n"/>
      <c r="G913" s="293" t="n"/>
      <c r="H913" s="293" t="n"/>
      <c r="I913" s="293" t="n"/>
      <c r="J913" s="293" t="n"/>
    </row>
    <row r="914" ht="13" customHeight="1" s="189">
      <c r="A914" s="289" t="n"/>
      <c r="B914" s="290" t="n"/>
      <c r="C914" s="290" t="n"/>
      <c r="D914" s="291" t="n"/>
      <c r="E914" s="291" t="n"/>
      <c r="F914" s="291" t="n"/>
      <c r="G914" s="293" t="n"/>
      <c r="H914" s="293" t="n"/>
      <c r="I914" s="293" t="n"/>
      <c r="J914" s="293" t="n"/>
    </row>
    <row r="915" ht="13" customHeight="1" s="189">
      <c r="A915" s="289" t="n"/>
      <c r="B915" s="290" t="n"/>
      <c r="C915" s="290" t="n"/>
      <c r="D915" s="291" t="n"/>
      <c r="E915" s="291" t="n"/>
      <c r="F915" s="291" t="n"/>
      <c r="G915" s="293" t="n"/>
      <c r="H915" s="293" t="n"/>
      <c r="I915" s="293" t="n"/>
      <c r="J915" s="293" t="n"/>
    </row>
    <row r="916" ht="13" customHeight="1" s="189">
      <c r="A916" s="289" t="n"/>
      <c r="B916" s="290" t="n"/>
      <c r="C916" s="290" t="n"/>
      <c r="D916" s="291" t="n"/>
      <c r="E916" s="291" t="n"/>
      <c r="F916" s="291" t="n"/>
      <c r="G916" s="293" t="n"/>
      <c r="H916" s="293" t="n"/>
      <c r="I916" s="293" t="n"/>
      <c r="J916" s="293" t="n"/>
    </row>
    <row r="917" ht="13" customHeight="1" s="189">
      <c r="A917" s="289" t="n"/>
      <c r="B917" s="290" t="n"/>
      <c r="C917" s="290" t="n"/>
      <c r="D917" s="291" t="n"/>
      <c r="E917" s="291" t="n"/>
      <c r="F917" s="291" t="n"/>
      <c r="G917" s="293" t="n"/>
      <c r="H917" s="293" t="n"/>
      <c r="I917" s="293" t="n"/>
      <c r="J917" s="293" t="n"/>
    </row>
    <row r="918" ht="13" customHeight="1" s="189">
      <c r="A918" s="289" t="n"/>
      <c r="B918" s="290" t="n"/>
      <c r="C918" s="290" t="n"/>
      <c r="D918" s="291" t="n"/>
      <c r="E918" s="291" t="n"/>
      <c r="F918" s="291" t="n"/>
      <c r="G918" s="293" t="n"/>
      <c r="H918" s="293" t="n"/>
      <c r="I918" s="293" t="n"/>
      <c r="J918" s="293" t="n"/>
    </row>
    <row r="919" ht="13" customHeight="1" s="189">
      <c r="A919" s="289" t="n"/>
      <c r="B919" s="290" t="n"/>
      <c r="C919" s="290" t="n"/>
      <c r="D919" s="291" t="n"/>
      <c r="E919" s="291" t="n"/>
      <c r="F919" s="291" t="n"/>
      <c r="G919" s="293" t="n"/>
      <c r="H919" s="293" t="n"/>
      <c r="I919" s="293" t="n"/>
      <c r="J919" s="293" t="n"/>
    </row>
    <row r="920" ht="13" customHeight="1" s="189">
      <c r="A920" s="289" t="n"/>
      <c r="B920" s="290" t="n"/>
      <c r="C920" s="290" t="n"/>
      <c r="D920" s="291" t="n"/>
      <c r="E920" s="291" t="n"/>
      <c r="F920" s="291" t="n"/>
      <c r="G920" s="293" t="n"/>
      <c r="H920" s="293" t="n"/>
      <c r="I920" s="293" t="n"/>
      <c r="J920" s="293" t="n"/>
    </row>
    <row r="921" ht="13" customHeight="1" s="189">
      <c r="A921" s="289" t="n"/>
      <c r="B921" s="290" t="n"/>
      <c r="C921" s="290" t="n"/>
      <c r="D921" s="291" t="n"/>
      <c r="E921" s="291" t="n"/>
      <c r="F921" s="291" t="n"/>
      <c r="G921" s="293" t="n"/>
      <c r="H921" s="293" t="n"/>
      <c r="I921" s="293" t="n"/>
      <c r="J921" s="293" t="n"/>
    </row>
    <row r="922" ht="13" customHeight="1" s="189">
      <c r="A922" s="289" t="n"/>
      <c r="B922" s="290" t="n"/>
      <c r="C922" s="290" t="n"/>
      <c r="D922" s="291" t="n"/>
      <c r="E922" s="291" t="n"/>
      <c r="F922" s="291" t="n"/>
      <c r="G922" s="293" t="n"/>
      <c r="H922" s="293" t="n"/>
      <c r="I922" s="293" t="n"/>
      <c r="J922" s="293" t="n"/>
    </row>
    <row r="923" ht="13" customHeight="1" s="189">
      <c r="A923" s="289" t="n"/>
      <c r="B923" s="290" t="n"/>
      <c r="C923" s="290" t="n"/>
      <c r="D923" s="291" t="n"/>
      <c r="E923" s="291" t="n"/>
      <c r="F923" s="291" t="n"/>
      <c r="G923" s="293" t="n"/>
      <c r="H923" s="293" t="n"/>
      <c r="I923" s="293" t="n"/>
      <c r="J923" s="293" t="n"/>
    </row>
    <row r="924" ht="13" customHeight="1" s="189">
      <c r="A924" s="289" t="n"/>
      <c r="B924" s="290" t="n"/>
      <c r="C924" s="290" t="n"/>
      <c r="D924" s="291" t="n"/>
      <c r="E924" s="291" t="n"/>
      <c r="F924" s="291" t="n"/>
      <c r="G924" s="293" t="n"/>
      <c r="H924" s="293" t="n"/>
      <c r="I924" s="293" t="n"/>
      <c r="J924" s="293" t="n"/>
    </row>
    <row r="925" ht="13" customHeight="1" s="189">
      <c r="A925" s="289" t="n"/>
      <c r="B925" s="290" t="n"/>
      <c r="C925" s="290" t="n"/>
      <c r="D925" s="291" t="n"/>
      <c r="E925" s="291" t="n"/>
      <c r="F925" s="291" t="n"/>
      <c r="G925" s="293" t="n"/>
      <c r="H925" s="293" t="n"/>
      <c r="I925" s="293" t="n"/>
      <c r="J925" s="293" t="n"/>
    </row>
    <row r="926" ht="13" customHeight="1" s="189">
      <c r="A926" s="289" t="n"/>
      <c r="B926" s="290" t="n"/>
      <c r="C926" s="290" t="n"/>
      <c r="D926" s="291" t="n"/>
      <c r="E926" s="291" t="n"/>
      <c r="F926" s="291" t="n"/>
      <c r="G926" s="293" t="n"/>
      <c r="H926" s="293" t="n"/>
      <c r="I926" s="293" t="n"/>
      <c r="J926" s="293" t="n"/>
    </row>
    <row r="927" ht="13" customHeight="1" s="189">
      <c r="A927" s="289" t="n"/>
      <c r="B927" s="290" t="n"/>
      <c r="C927" s="290" t="n"/>
      <c r="D927" s="291" t="n"/>
      <c r="E927" s="291" t="n"/>
      <c r="F927" s="291" t="n"/>
      <c r="G927" s="293" t="n"/>
      <c r="H927" s="293" t="n"/>
      <c r="I927" s="293" t="n"/>
      <c r="J927" s="293" t="n"/>
    </row>
    <row r="928" ht="13" customHeight="1" s="189">
      <c r="A928" s="289" t="n"/>
      <c r="B928" s="290" t="n"/>
      <c r="C928" s="290" t="n"/>
      <c r="D928" s="291" t="n"/>
      <c r="E928" s="291" t="n"/>
      <c r="F928" s="291" t="n"/>
      <c r="G928" s="293" t="n"/>
      <c r="H928" s="293" t="n"/>
      <c r="I928" s="293" t="n"/>
      <c r="J928" s="293" t="n"/>
    </row>
    <row r="929" ht="13" customHeight="1" s="189">
      <c r="A929" s="289" t="n"/>
      <c r="B929" s="290" t="n"/>
      <c r="C929" s="290" t="n"/>
      <c r="D929" s="291" t="n"/>
      <c r="E929" s="291" t="n"/>
      <c r="F929" s="291" t="n"/>
      <c r="G929" s="293" t="n"/>
      <c r="H929" s="293" t="n"/>
      <c r="I929" s="293" t="n"/>
      <c r="J929" s="293" t="n"/>
    </row>
    <row r="930" ht="13" customHeight="1" s="189">
      <c r="A930" s="289" t="n"/>
      <c r="B930" s="290" t="n"/>
      <c r="C930" s="290" t="n"/>
      <c r="D930" s="291" t="n"/>
      <c r="E930" s="291" t="n"/>
      <c r="F930" s="291" t="n"/>
      <c r="G930" s="293" t="n"/>
      <c r="H930" s="293" t="n"/>
      <c r="I930" s="293" t="n"/>
      <c r="J930" s="293" t="n"/>
    </row>
    <row r="931" ht="13" customHeight="1" s="189">
      <c r="A931" s="289" t="n"/>
      <c r="B931" s="290" t="n"/>
      <c r="C931" s="290" t="n"/>
      <c r="D931" s="291" t="n"/>
      <c r="E931" s="291" t="n"/>
      <c r="F931" s="291" t="n"/>
      <c r="G931" s="293" t="n"/>
      <c r="H931" s="293" t="n"/>
      <c r="I931" s="293" t="n"/>
      <c r="J931" s="293" t="n"/>
    </row>
    <row r="932" ht="13" customHeight="1" s="189">
      <c r="A932" s="289" t="n"/>
      <c r="B932" s="290" t="n"/>
      <c r="C932" s="290" t="n"/>
      <c r="D932" s="291" t="n"/>
      <c r="E932" s="291" t="n"/>
      <c r="F932" s="291" t="n"/>
      <c r="G932" s="293" t="n"/>
      <c r="H932" s="293" t="n"/>
      <c r="I932" s="293" t="n"/>
      <c r="J932" s="293" t="n"/>
    </row>
    <row r="933" ht="13" customHeight="1" s="189">
      <c r="A933" s="289" t="n"/>
      <c r="B933" s="290" t="n"/>
      <c r="C933" s="290" t="n"/>
      <c r="D933" s="291" t="n"/>
      <c r="E933" s="291" t="n"/>
      <c r="F933" s="291" t="n"/>
      <c r="G933" s="293" t="n"/>
      <c r="H933" s="293" t="n"/>
      <c r="I933" s="293" t="n"/>
      <c r="J933" s="293" t="n"/>
    </row>
    <row r="934" ht="13" customHeight="1" s="189">
      <c r="A934" s="289" t="n"/>
      <c r="B934" s="290" t="n"/>
      <c r="C934" s="290" t="n"/>
      <c r="D934" s="291" t="n"/>
      <c r="E934" s="291" t="n"/>
      <c r="F934" s="291" t="n"/>
      <c r="G934" s="293" t="n"/>
      <c r="H934" s="293" t="n"/>
      <c r="I934" s="293" t="n"/>
      <c r="J934" s="293" t="n"/>
    </row>
    <row r="935" ht="13" customHeight="1" s="189">
      <c r="A935" s="289" t="n"/>
      <c r="B935" s="290" t="n"/>
      <c r="C935" s="290" t="n"/>
      <c r="D935" s="291" t="n"/>
      <c r="E935" s="291" t="n"/>
      <c r="F935" s="291" t="n"/>
      <c r="G935" s="293" t="n"/>
      <c r="H935" s="293" t="n"/>
      <c r="I935" s="293" t="n"/>
      <c r="J935" s="293" t="n"/>
    </row>
    <row r="936" ht="13" customHeight="1" s="189">
      <c r="A936" s="289" t="n"/>
      <c r="B936" s="290" t="n"/>
      <c r="C936" s="290" t="n"/>
      <c r="D936" s="291" t="n"/>
      <c r="E936" s="291" t="n"/>
      <c r="F936" s="291" t="n"/>
      <c r="G936" s="293" t="n"/>
      <c r="H936" s="293" t="n"/>
      <c r="I936" s="293" t="n"/>
      <c r="J936" s="293" t="n"/>
    </row>
    <row r="937" ht="13" customHeight="1" s="189">
      <c r="A937" s="289" t="n"/>
      <c r="B937" s="290" t="n"/>
      <c r="C937" s="290" t="n"/>
      <c r="D937" s="291" t="n"/>
      <c r="E937" s="291" t="n"/>
      <c r="F937" s="291" t="n"/>
      <c r="G937" s="293" t="n"/>
      <c r="H937" s="293" t="n"/>
      <c r="I937" s="293" t="n"/>
      <c r="J937" s="293" t="n"/>
    </row>
    <row r="938" ht="13" customHeight="1" s="189">
      <c r="A938" s="289" t="n"/>
      <c r="B938" s="290" t="n"/>
      <c r="C938" s="290" t="n"/>
      <c r="D938" s="291" t="n"/>
      <c r="E938" s="291" t="n"/>
      <c r="F938" s="291" t="n"/>
      <c r="G938" s="293" t="n"/>
      <c r="H938" s="293" t="n"/>
      <c r="I938" s="293" t="n"/>
      <c r="J938" s="293" t="n"/>
    </row>
    <row r="939" ht="13" customHeight="1" s="189">
      <c r="A939" s="289" t="n"/>
      <c r="B939" s="290" t="n"/>
      <c r="C939" s="290" t="n"/>
      <c r="D939" s="291" t="n"/>
      <c r="E939" s="291" t="n"/>
      <c r="F939" s="291" t="n"/>
      <c r="G939" s="293" t="n"/>
      <c r="H939" s="293" t="n"/>
      <c r="I939" s="293" t="n"/>
      <c r="J939" s="293" t="n"/>
    </row>
    <row r="940" ht="13" customHeight="1" s="189">
      <c r="A940" s="289" t="n"/>
      <c r="B940" s="290" t="n"/>
      <c r="C940" s="290" t="n"/>
      <c r="D940" s="291" t="n"/>
      <c r="E940" s="291" t="n"/>
      <c r="F940" s="291" t="n"/>
      <c r="G940" s="293" t="n"/>
      <c r="H940" s="293" t="n"/>
      <c r="I940" s="293" t="n"/>
      <c r="J940" s="293" t="n"/>
    </row>
    <row r="941" ht="13" customHeight="1" s="189">
      <c r="A941" s="289" t="n"/>
      <c r="B941" s="290" t="n"/>
      <c r="C941" s="290" t="n"/>
      <c r="D941" s="291" t="n"/>
      <c r="E941" s="291" t="n"/>
      <c r="F941" s="291" t="n"/>
      <c r="G941" s="293" t="n"/>
      <c r="H941" s="293" t="n"/>
      <c r="I941" s="293" t="n"/>
      <c r="J941" s="293" t="n"/>
    </row>
    <row r="942" ht="13" customHeight="1" s="189">
      <c r="A942" s="289" t="n"/>
      <c r="B942" s="290" t="n"/>
      <c r="C942" s="290" t="n"/>
      <c r="D942" s="291" t="n"/>
      <c r="E942" s="291" t="n"/>
      <c r="F942" s="291" t="n"/>
      <c r="G942" s="293" t="n"/>
      <c r="H942" s="293" t="n"/>
      <c r="I942" s="293" t="n"/>
      <c r="J942" s="293" t="n"/>
    </row>
    <row r="943" ht="13" customHeight="1" s="189">
      <c r="A943" s="289" t="n"/>
      <c r="B943" s="290" t="n"/>
      <c r="C943" s="290" t="n"/>
      <c r="D943" s="291" t="n"/>
      <c r="E943" s="291" t="n"/>
      <c r="F943" s="291" t="n"/>
      <c r="G943" s="293" t="n"/>
      <c r="H943" s="293" t="n"/>
      <c r="I943" s="293" t="n"/>
      <c r="J943" s="293" t="n"/>
    </row>
    <row r="944" ht="13" customHeight="1" s="189">
      <c r="A944" s="289" t="n"/>
      <c r="B944" s="290" t="n"/>
      <c r="C944" s="290" t="n"/>
      <c r="D944" s="291" t="n"/>
      <c r="E944" s="291" t="n"/>
      <c r="F944" s="291" t="n"/>
      <c r="G944" s="293" t="n"/>
      <c r="H944" s="293" t="n"/>
      <c r="I944" s="293" t="n"/>
      <c r="J944" s="293" t="n"/>
    </row>
    <row r="945" ht="13" customHeight="1" s="189">
      <c r="A945" s="289" t="n"/>
      <c r="B945" s="290" t="n"/>
      <c r="C945" s="290" t="n"/>
      <c r="D945" s="291" t="n"/>
      <c r="E945" s="291" t="n"/>
      <c r="F945" s="291" t="n"/>
      <c r="G945" s="293" t="n"/>
      <c r="H945" s="293" t="n"/>
      <c r="I945" s="293" t="n"/>
      <c r="J945" s="293" t="n"/>
    </row>
    <row r="946" ht="13" customHeight="1" s="189">
      <c r="A946" s="289" t="n"/>
      <c r="B946" s="290" t="n"/>
      <c r="C946" s="290" t="n"/>
      <c r="D946" s="291" t="n"/>
      <c r="E946" s="291" t="n"/>
      <c r="F946" s="291" t="n"/>
      <c r="G946" s="293" t="n"/>
      <c r="H946" s="293" t="n"/>
      <c r="I946" s="293" t="n"/>
      <c r="J946" s="293" t="n"/>
    </row>
    <row r="947" ht="13" customHeight="1" s="189">
      <c r="A947" s="289" t="n"/>
      <c r="B947" s="290" t="n"/>
      <c r="C947" s="290" t="n"/>
      <c r="D947" s="291" t="n"/>
      <c r="E947" s="291" t="n"/>
      <c r="F947" s="291" t="n"/>
      <c r="G947" s="293" t="n"/>
      <c r="H947" s="293" t="n"/>
      <c r="I947" s="293" t="n"/>
      <c r="J947" s="293" t="n"/>
    </row>
    <row r="948" ht="13" customHeight="1" s="189">
      <c r="A948" s="289" t="n"/>
      <c r="B948" s="290" t="n"/>
      <c r="C948" s="290" t="n"/>
      <c r="D948" s="291" t="n"/>
      <c r="E948" s="291" t="n"/>
      <c r="F948" s="291" t="n"/>
      <c r="G948" s="293" t="n"/>
      <c r="H948" s="293" t="n"/>
      <c r="I948" s="293" t="n"/>
      <c r="J948" s="293" t="n"/>
    </row>
    <row r="949" ht="13" customHeight="1" s="189">
      <c r="A949" s="289" t="n"/>
      <c r="B949" s="290" t="n"/>
      <c r="C949" s="290" t="n"/>
      <c r="D949" s="291" t="n"/>
      <c r="E949" s="291" t="n"/>
      <c r="F949" s="291" t="n"/>
      <c r="G949" s="293" t="n"/>
      <c r="H949" s="293" t="n"/>
      <c r="I949" s="293" t="n"/>
      <c r="J949" s="293" t="n"/>
    </row>
    <row r="950" ht="13" customHeight="1" s="189">
      <c r="A950" s="289" t="n"/>
      <c r="B950" s="290" t="n"/>
      <c r="C950" s="290" t="n"/>
      <c r="D950" s="291" t="n"/>
      <c r="E950" s="291" t="n"/>
      <c r="F950" s="291" t="n"/>
      <c r="G950" s="293" t="n"/>
      <c r="H950" s="293" t="n"/>
      <c r="I950" s="293" t="n"/>
      <c r="J950" s="293" t="n"/>
    </row>
    <row r="951" ht="13" customHeight="1" s="189">
      <c r="A951" s="289" t="n"/>
      <c r="B951" s="290" t="n"/>
      <c r="C951" s="290" t="n"/>
      <c r="D951" s="291" t="n"/>
      <c r="E951" s="291" t="n"/>
      <c r="F951" s="291" t="n"/>
      <c r="G951" s="293" t="n"/>
      <c r="H951" s="293" t="n"/>
      <c r="I951" s="293" t="n"/>
      <c r="J951" s="293" t="n"/>
    </row>
    <row r="952" ht="13" customHeight="1" s="189">
      <c r="A952" s="289" t="n"/>
      <c r="B952" s="290" t="n"/>
      <c r="C952" s="290" t="n"/>
      <c r="D952" s="291" t="n"/>
      <c r="E952" s="291" t="n"/>
      <c r="F952" s="291" t="n"/>
      <c r="G952" s="293" t="n"/>
      <c r="H952" s="293" t="n"/>
      <c r="I952" s="293" t="n"/>
      <c r="J952" s="293" t="n"/>
    </row>
    <row r="953" ht="13" customHeight="1" s="189">
      <c r="A953" s="289" t="n"/>
      <c r="B953" s="290" t="n"/>
      <c r="C953" s="290" t="n"/>
      <c r="D953" s="291" t="n"/>
      <c r="E953" s="291" t="n"/>
      <c r="F953" s="291" t="n"/>
      <c r="G953" s="293" t="n"/>
      <c r="H953" s="293" t="n"/>
      <c r="I953" s="293" t="n"/>
      <c r="J953" s="293" t="n"/>
    </row>
    <row r="954" ht="13" customHeight="1" s="189">
      <c r="A954" s="289" t="n"/>
      <c r="B954" s="290" t="n"/>
      <c r="C954" s="290" t="n"/>
      <c r="D954" s="291" t="n"/>
      <c r="E954" s="291" t="n"/>
      <c r="F954" s="291" t="n"/>
      <c r="G954" s="293" t="n"/>
      <c r="H954" s="293" t="n"/>
      <c r="I954" s="293" t="n"/>
      <c r="J954" s="293" t="n"/>
    </row>
    <row r="955" ht="13" customHeight="1" s="189">
      <c r="A955" s="289" t="n"/>
      <c r="B955" s="290" t="n"/>
      <c r="C955" s="290" t="n"/>
      <c r="D955" s="291" t="n"/>
      <c r="E955" s="291" t="n"/>
      <c r="F955" s="291" t="n"/>
      <c r="G955" s="293" t="n"/>
      <c r="H955" s="293" t="n"/>
      <c r="I955" s="293" t="n"/>
      <c r="J955" s="293" t="n"/>
    </row>
    <row r="956" ht="13" customHeight="1" s="189">
      <c r="A956" s="289" t="n"/>
      <c r="B956" s="290" t="n"/>
      <c r="C956" s="290" t="n"/>
      <c r="D956" s="291" t="n"/>
      <c r="E956" s="291" t="n"/>
      <c r="F956" s="291" t="n"/>
      <c r="G956" s="293" t="n"/>
      <c r="H956" s="293" t="n"/>
      <c r="I956" s="293" t="n"/>
      <c r="J956" s="293" t="n"/>
    </row>
    <row r="957" ht="13" customHeight="1" s="189">
      <c r="A957" s="289" t="n"/>
      <c r="B957" s="290" t="n"/>
      <c r="C957" s="290" t="n"/>
      <c r="D957" s="291" t="n"/>
      <c r="E957" s="291" t="n"/>
      <c r="F957" s="291" t="n"/>
      <c r="G957" s="293" t="n"/>
      <c r="H957" s="293" t="n"/>
      <c r="I957" s="293" t="n"/>
      <c r="J957" s="293" t="n"/>
    </row>
    <row r="958" ht="13" customHeight="1" s="189">
      <c r="A958" s="289" t="n"/>
      <c r="B958" s="290" t="n"/>
      <c r="C958" s="290" t="n"/>
      <c r="D958" s="291" t="n"/>
      <c r="E958" s="291" t="n"/>
      <c r="F958" s="291" t="n"/>
      <c r="G958" s="293" t="n"/>
      <c r="H958" s="293" t="n"/>
      <c r="I958" s="293" t="n"/>
      <c r="J958" s="293" t="n"/>
    </row>
    <row r="959" ht="13" customHeight="1" s="189">
      <c r="A959" s="289" t="n"/>
      <c r="B959" s="290" t="n"/>
      <c r="C959" s="290" t="n"/>
      <c r="D959" s="291" t="n"/>
      <c r="E959" s="291" t="n"/>
      <c r="F959" s="291" t="n"/>
      <c r="G959" s="293" t="n"/>
      <c r="H959" s="293" t="n"/>
      <c r="I959" s="293" t="n"/>
      <c r="J959" s="293" t="n"/>
    </row>
    <row r="960" ht="13" customHeight="1" s="189">
      <c r="A960" s="289" t="n"/>
      <c r="B960" s="290" t="n"/>
      <c r="C960" s="290" t="n"/>
      <c r="D960" s="291" t="n"/>
      <c r="E960" s="291" t="n"/>
      <c r="F960" s="291" t="n"/>
      <c r="G960" s="293" t="n"/>
      <c r="H960" s="293" t="n"/>
      <c r="I960" s="293" t="n"/>
      <c r="J960" s="293" t="n"/>
    </row>
    <row r="961" ht="13" customHeight="1" s="189">
      <c r="A961" s="289" t="n"/>
      <c r="B961" s="290" t="n"/>
      <c r="C961" s="290" t="n"/>
      <c r="D961" s="291" t="n"/>
      <c r="E961" s="291" t="n"/>
      <c r="F961" s="291" t="n"/>
      <c r="G961" s="293" t="n"/>
      <c r="H961" s="293" t="n"/>
      <c r="I961" s="293" t="n"/>
      <c r="J961" s="293" t="n"/>
    </row>
    <row r="962" ht="13" customHeight="1" s="189">
      <c r="A962" s="289" t="n"/>
      <c r="B962" s="290" t="n"/>
      <c r="C962" s="290" t="n"/>
      <c r="D962" s="291" t="n"/>
      <c r="E962" s="291" t="n"/>
      <c r="F962" s="291" t="n"/>
      <c r="G962" s="293" t="n"/>
      <c r="H962" s="293" t="n"/>
      <c r="I962" s="293" t="n"/>
      <c r="J962" s="293" t="n"/>
    </row>
    <row r="963" ht="13" customHeight="1" s="189">
      <c r="A963" s="289" t="n"/>
      <c r="B963" s="290" t="n"/>
      <c r="C963" s="290" t="n"/>
      <c r="D963" s="291" t="n"/>
      <c r="E963" s="291" t="n"/>
      <c r="F963" s="291" t="n"/>
      <c r="G963" s="293" t="n"/>
      <c r="H963" s="293" t="n"/>
      <c r="I963" s="293" t="n"/>
      <c r="J963" s="293" t="n"/>
    </row>
    <row r="964" ht="13" customHeight="1" s="189">
      <c r="A964" s="289" t="n"/>
      <c r="B964" s="290" t="n"/>
      <c r="C964" s="290" t="n"/>
      <c r="D964" s="291" t="n"/>
      <c r="E964" s="291" t="n"/>
      <c r="F964" s="291" t="n"/>
      <c r="G964" s="293" t="n"/>
      <c r="H964" s="293" t="n"/>
      <c r="I964" s="293" t="n"/>
      <c r="J964" s="293" t="n"/>
    </row>
    <row r="965" ht="13" customHeight="1" s="189">
      <c r="A965" s="289" t="n"/>
      <c r="B965" s="290" t="n"/>
      <c r="C965" s="290" t="n"/>
      <c r="D965" s="291" t="n"/>
      <c r="E965" s="291" t="n"/>
      <c r="F965" s="291" t="n"/>
      <c r="G965" s="293" t="n"/>
      <c r="H965" s="293" t="n"/>
      <c r="I965" s="293" t="n"/>
      <c r="J965" s="293" t="n"/>
    </row>
    <row r="966" ht="13" customHeight="1" s="189">
      <c r="A966" s="289" t="n"/>
      <c r="B966" s="290" t="n"/>
      <c r="C966" s="290" t="n"/>
      <c r="D966" s="291" t="n"/>
      <c r="E966" s="291" t="n"/>
      <c r="F966" s="291" t="n"/>
      <c r="G966" s="293" t="n"/>
      <c r="H966" s="293" t="n"/>
      <c r="I966" s="293" t="n"/>
      <c r="J966" s="293" t="n"/>
    </row>
    <row r="967" ht="13" customHeight="1" s="189">
      <c r="A967" s="289" t="n"/>
      <c r="B967" s="290" t="n"/>
      <c r="C967" s="290" t="n"/>
      <c r="D967" s="291" t="n"/>
      <c r="E967" s="291" t="n"/>
      <c r="F967" s="291" t="n"/>
      <c r="G967" s="293" t="n"/>
      <c r="H967" s="293" t="n"/>
      <c r="I967" s="293" t="n"/>
      <c r="J967" s="293" t="n"/>
    </row>
    <row r="968" ht="13" customHeight="1" s="189">
      <c r="A968" s="289" t="n"/>
      <c r="B968" s="290" t="n"/>
      <c r="C968" s="290" t="n"/>
      <c r="D968" s="291" t="n"/>
      <c r="E968" s="291" t="n"/>
      <c r="F968" s="291" t="n"/>
      <c r="G968" s="293" t="n"/>
      <c r="H968" s="293" t="n"/>
      <c r="I968" s="293" t="n"/>
      <c r="J968" s="293" t="n"/>
    </row>
    <row r="969" ht="13" customHeight="1" s="189">
      <c r="A969" s="289" t="n"/>
      <c r="B969" s="290" t="n"/>
      <c r="C969" s="290" t="n"/>
      <c r="D969" s="291" t="n"/>
      <c r="E969" s="291" t="n"/>
      <c r="F969" s="291" t="n"/>
      <c r="G969" s="293" t="n"/>
      <c r="H969" s="293" t="n"/>
      <c r="I969" s="293" t="n"/>
      <c r="J969" s="293" t="n"/>
    </row>
    <row r="970" ht="13" customHeight="1" s="189">
      <c r="A970" s="289" t="n"/>
      <c r="B970" s="290" t="n"/>
      <c r="C970" s="290" t="n"/>
      <c r="D970" s="291" t="n"/>
      <c r="E970" s="291" t="n"/>
      <c r="F970" s="291" t="n"/>
      <c r="G970" s="293" t="n"/>
      <c r="H970" s="293" t="n"/>
      <c r="I970" s="293" t="n"/>
      <c r="J970" s="293" t="n"/>
    </row>
    <row r="971" ht="13" customHeight="1" s="189">
      <c r="A971" s="289" t="n"/>
      <c r="B971" s="290" t="n"/>
      <c r="C971" s="290" t="n"/>
      <c r="D971" s="291" t="n"/>
      <c r="E971" s="291" t="n"/>
      <c r="F971" s="291" t="n"/>
      <c r="G971" s="293" t="n"/>
      <c r="H971" s="293" t="n"/>
      <c r="I971" s="293" t="n"/>
      <c r="J971" s="293" t="n"/>
    </row>
    <row r="972" ht="13" customHeight="1" s="189">
      <c r="A972" s="289" t="n"/>
      <c r="B972" s="290" t="n"/>
      <c r="C972" s="290" t="n"/>
      <c r="D972" s="291" t="n"/>
      <c r="E972" s="291" t="n"/>
      <c r="F972" s="291" t="n"/>
      <c r="G972" s="293" t="n"/>
      <c r="H972" s="293" t="n"/>
      <c r="I972" s="293" t="n"/>
      <c r="J972" s="293" t="n"/>
    </row>
    <row r="973" ht="13" customHeight="1" s="189">
      <c r="A973" s="289" t="n"/>
      <c r="B973" s="290" t="n"/>
      <c r="C973" s="290" t="n"/>
      <c r="D973" s="291" t="n"/>
      <c r="E973" s="291" t="n"/>
      <c r="F973" s="291" t="n"/>
      <c r="G973" s="293" t="n"/>
      <c r="H973" s="293" t="n"/>
      <c r="I973" s="293" t="n"/>
      <c r="J973" s="293" t="n"/>
    </row>
    <row r="974" ht="13" customHeight="1" s="189">
      <c r="A974" s="289" t="n"/>
      <c r="B974" s="290" t="n"/>
      <c r="C974" s="290" t="n"/>
      <c r="D974" s="291" t="n"/>
      <c r="E974" s="291" t="n"/>
      <c r="F974" s="291" t="n"/>
      <c r="G974" s="293" t="n"/>
      <c r="H974" s="293" t="n"/>
      <c r="I974" s="293" t="n"/>
      <c r="J974" s="293" t="n"/>
    </row>
    <row r="975" ht="13" customHeight="1" s="189">
      <c r="A975" s="289" t="n"/>
      <c r="B975" s="290" t="n"/>
      <c r="C975" s="290" t="n"/>
      <c r="D975" s="291" t="n"/>
      <c r="E975" s="291" t="n"/>
      <c r="F975" s="291" t="n"/>
      <c r="G975" s="293" t="n"/>
      <c r="H975" s="293" t="n"/>
      <c r="I975" s="293" t="n"/>
      <c r="J975" s="293" t="n"/>
    </row>
    <row r="976" ht="13" customHeight="1" s="189">
      <c r="A976" s="289" t="n"/>
      <c r="B976" s="290" t="n"/>
      <c r="C976" s="290" t="n"/>
      <c r="D976" s="291" t="n"/>
      <c r="E976" s="291" t="n"/>
      <c r="F976" s="291" t="n"/>
      <c r="G976" s="293" t="n"/>
      <c r="H976" s="293" t="n"/>
      <c r="I976" s="293" t="n"/>
      <c r="J976" s="293" t="n"/>
    </row>
    <row r="977" ht="13" customHeight="1" s="189">
      <c r="A977" s="289" t="n"/>
      <c r="B977" s="290" t="n"/>
      <c r="C977" s="290" t="n"/>
      <c r="D977" s="291" t="n"/>
      <c r="E977" s="291" t="n"/>
      <c r="F977" s="291" t="n"/>
      <c r="G977" s="293" t="n"/>
      <c r="H977" s="293" t="n"/>
      <c r="I977" s="293" t="n"/>
      <c r="J977" s="293" t="n"/>
    </row>
    <row r="978" ht="13" customHeight="1" s="189">
      <c r="A978" s="289" t="n"/>
      <c r="B978" s="290" t="n"/>
      <c r="C978" s="290" t="n"/>
      <c r="D978" s="291" t="n"/>
      <c r="E978" s="291" t="n"/>
      <c r="F978" s="291" t="n"/>
      <c r="G978" s="293" t="n"/>
      <c r="H978" s="293" t="n"/>
      <c r="I978" s="293" t="n"/>
      <c r="J978" s="293" t="n"/>
    </row>
    <row r="979" ht="13" customHeight="1" s="189">
      <c r="A979" s="289" t="n"/>
      <c r="B979" s="290" t="n"/>
      <c r="C979" s="290" t="n"/>
      <c r="D979" s="291" t="n"/>
      <c r="E979" s="291" t="n"/>
      <c r="F979" s="291" t="n"/>
      <c r="G979" s="293" t="n"/>
      <c r="H979" s="293" t="n"/>
      <c r="I979" s="293" t="n"/>
      <c r="J979" s="293" t="n"/>
    </row>
    <row r="980" ht="13" customHeight="1" s="189">
      <c r="A980" s="289" t="n"/>
      <c r="B980" s="290" t="n"/>
      <c r="C980" s="290" t="n"/>
      <c r="D980" s="291" t="n"/>
      <c r="E980" s="291" t="n"/>
      <c r="F980" s="291" t="n"/>
      <c r="G980" s="293" t="n"/>
      <c r="H980" s="293" t="n"/>
      <c r="I980" s="293" t="n"/>
      <c r="J980" s="293" t="n"/>
    </row>
    <row r="981" ht="13" customHeight="1" s="189">
      <c r="A981" s="289" t="n"/>
      <c r="B981" s="290" t="n"/>
      <c r="C981" s="290" t="n"/>
      <c r="D981" s="291" t="n"/>
      <c r="E981" s="291" t="n"/>
      <c r="F981" s="291" t="n"/>
      <c r="G981" s="293" t="n"/>
      <c r="H981" s="293" t="n"/>
      <c r="I981" s="293" t="n"/>
      <c r="J981" s="293" t="n"/>
    </row>
    <row r="982" ht="13" customHeight="1" s="189">
      <c r="A982" s="289" t="n"/>
      <c r="B982" s="290" t="n"/>
      <c r="C982" s="290" t="n"/>
      <c r="D982" s="291" t="n"/>
      <c r="E982" s="291" t="n"/>
      <c r="F982" s="291" t="n"/>
      <c r="G982" s="293" t="n"/>
      <c r="H982" s="293" t="n"/>
      <c r="I982" s="293" t="n"/>
      <c r="J982" s="293" t="n"/>
    </row>
    <row r="983" ht="13" customHeight="1" s="189">
      <c r="A983" s="289" t="n"/>
      <c r="B983" s="290" t="n"/>
      <c r="C983" s="290" t="n"/>
      <c r="D983" s="291" t="n"/>
      <c r="E983" s="291" t="n"/>
      <c r="F983" s="291" t="n"/>
      <c r="G983" s="293" t="n"/>
      <c r="H983" s="293" t="n"/>
      <c r="I983" s="293" t="n"/>
      <c r="J983" s="293" t="n"/>
    </row>
    <row r="984" ht="13" customHeight="1" s="189">
      <c r="A984" s="289" t="n"/>
      <c r="B984" s="290" t="n"/>
      <c r="C984" s="290" t="n"/>
      <c r="D984" s="291" t="n"/>
      <c r="E984" s="291" t="n"/>
      <c r="F984" s="291" t="n"/>
      <c r="G984" s="293" t="n"/>
      <c r="H984" s="293" t="n"/>
      <c r="I984" s="293" t="n"/>
      <c r="J984" s="293" t="n"/>
    </row>
    <row r="985" ht="13" customHeight="1" s="189">
      <c r="A985" s="289" t="n"/>
      <c r="B985" s="290" t="n"/>
      <c r="C985" s="290" t="n"/>
      <c r="D985" s="291" t="n"/>
      <c r="E985" s="291" t="n"/>
      <c r="F985" s="291" t="n"/>
      <c r="G985" s="293" t="n"/>
      <c r="H985" s="293" t="n"/>
      <c r="I985" s="293" t="n"/>
      <c r="J985" s="293" t="n"/>
    </row>
    <row r="986" ht="13" customHeight="1" s="189">
      <c r="A986" s="289" t="n"/>
      <c r="B986" s="290" t="n"/>
      <c r="C986" s="290" t="n"/>
      <c r="D986" s="291" t="n"/>
      <c r="E986" s="291" t="n"/>
      <c r="F986" s="291" t="n"/>
      <c r="G986" s="293" t="n"/>
      <c r="H986" s="293" t="n"/>
      <c r="I986" s="293" t="n"/>
      <c r="J986" s="293" t="n"/>
    </row>
    <row r="987" ht="13" customHeight="1" s="189">
      <c r="A987" s="289" t="n"/>
      <c r="B987" s="290" t="n"/>
      <c r="C987" s="290" t="n"/>
      <c r="D987" s="291" t="n"/>
      <c r="E987" s="291" t="n"/>
      <c r="F987" s="291" t="n"/>
      <c r="G987" s="293" t="n"/>
      <c r="H987" s="293" t="n"/>
      <c r="I987" s="293" t="n"/>
      <c r="J987" s="293" t="n"/>
    </row>
    <row r="988" ht="13" customHeight="1" s="189">
      <c r="A988" s="289" t="n"/>
      <c r="B988" s="290" t="n"/>
      <c r="C988" s="290" t="n"/>
      <c r="D988" s="291" t="n"/>
      <c r="E988" s="291" t="n"/>
      <c r="F988" s="291" t="n"/>
      <c r="G988" s="293" t="n"/>
      <c r="H988" s="293" t="n"/>
      <c r="I988" s="293" t="n"/>
      <c r="J988" s="293" t="n"/>
    </row>
    <row r="989" ht="13" customHeight="1" s="189">
      <c r="A989" s="289" t="n"/>
      <c r="B989" s="290" t="n"/>
      <c r="C989" s="290" t="n"/>
      <c r="D989" s="291" t="n"/>
      <c r="E989" s="291" t="n"/>
      <c r="F989" s="291" t="n"/>
      <c r="G989" s="293" t="n"/>
      <c r="H989" s="293" t="n"/>
      <c r="I989" s="293" t="n"/>
      <c r="J989" s="293" t="n"/>
    </row>
    <row r="990" ht="13" customHeight="1" s="189">
      <c r="A990" s="289" t="n"/>
      <c r="B990" s="290" t="n"/>
      <c r="C990" s="290" t="n"/>
      <c r="D990" s="291" t="n"/>
      <c r="E990" s="291" t="n"/>
      <c r="F990" s="291" t="n"/>
      <c r="G990" s="293" t="n"/>
      <c r="H990" s="293" t="n"/>
      <c r="I990" s="293" t="n"/>
      <c r="J990" s="293" t="n"/>
    </row>
    <row r="991" ht="13" customHeight="1" s="189">
      <c r="A991" s="289" t="n"/>
      <c r="B991" s="290" t="n"/>
      <c r="C991" s="290" t="n"/>
      <c r="D991" s="291" t="n"/>
      <c r="E991" s="291" t="n"/>
      <c r="F991" s="291" t="n"/>
      <c r="G991" s="293" t="n"/>
      <c r="H991" s="293" t="n"/>
      <c r="I991" s="293" t="n"/>
      <c r="J991" s="293" t="n"/>
    </row>
    <row r="992" ht="13" customHeight="1" s="189">
      <c r="A992" s="289" t="n"/>
      <c r="B992" s="290" t="n"/>
      <c r="C992" s="290" t="n"/>
      <c r="D992" s="291" t="n"/>
      <c r="E992" s="291" t="n"/>
      <c r="F992" s="291" t="n"/>
      <c r="G992" s="293" t="n"/>
      <c r="H992" s="293" t="n"/>
      <c r="I992" s="293" t="n"/>
      <c r="J992" s="293" t="n"/>
    </row>
    <row r="993" ht="13" customHeight="1" s="189">
      <c r="A993" s="289" t="n"/>
      <c r="B993" s="290" t="n"/>
      <c r="C993" s="290" t="n"/>
      <c r="D993" s="291" t="n"/>
      <c r="E993" s="291" t="n"/>
      <c r="F993" s="291" t="n"/>
      <c r="G993" s="293" t="n"/>
      <c r="H993" s="293" t="n"/>
      <c r="I993" s="293" t="n"/>
      <c r="J993" s="293" t="n"/>
    </row>
    <row r="994" ht="13" customHeight="1" s="189">
      <c r="A994" s="289" t="n"/>
      <c r="B994" s="290" t="n"/>
      <c r="C994" s="290" t="n"/>
      <c r="D994" s="291" t="n"/>
      <c r="E994" s="291" t="n"/>
      <c r="F994" s="291" t="n"/>
      <c r="G994" s="293" t="n"/>
      <c r="H994" s="293" t="n"/>
      <c r="I994" s="293" t="n"/>
      <c r="J994" s="293" t="n"/>
    </row>
    <row r="995" ht="13" customHeight="1" s="189">
      <c r="A995" s="289" t="n"/>
      <c r="B995" s="290" t="n"/>
      <c r="C995" s="290" t="n"/>
      <c r="D995" s="291" t="n"/>
      <c r="E995" s="291" t="n"/>
      <c r="F995" s="291" t="n"/>
      <c r="G995" s="293" t="n"/>
      <c r="H995" s="293" t="n"/>
      <c r="I995" s="293" t="n"/>
      <c r="J995" s="293" t="n"/>
    </row>
    <row r="996" ht="13" customHeight="1" s="189">
      <c r="A996" s="289" t="n"/>
      <c r="B996" s="290" t="n"/>
      <c r="C996" s="290" t="n"/>
      <c r="D996" s="291" t="n"/>
      <c r="E996" s="291" t="n"/>
      <c r="F996" s="291" t="n"/>
      <c r="G996" s="293" t="n"/>
      <c r="H996" s="293" t="n"/>
      <c r="I996" s="293" t="n"/>
      <c r="J996" s="293" t="n"/>
    </row>
    <row r="997" ht="13" customHeight="1" s="189">
      <c r="A997" s="289" t="n"/>
      <c r="B997" s="290" t="n"/>
      <c r="C997" s="290" t="n"/>
      <c r="D997" s="291" t="n"/>
      <c r="E997" s="291" t="n"/>
      <c r="F997" s="291" t="n"/>
      <c r="G997" s="293" t="n"/>
      <c r="H997" s="293" t="n"/>
      <c r="I997" s="293" t="n"/>
      <c r="J997" s="293" t="n"/>
    </row>
    <row r="998" ht="13" customHeight="1" s="189">
      <c r="A998" s="289" t="n"/>
      <c r="B998" s="290" t="n"/>
      <c r="C998" s="290" t="n"/>
      <c r="D998" s="291" t="n"/>
      <c r="E998" s="291" t="n"/>
      <c r="F998" s="291" t="n"/>
      <c r="G998" s="293" t="n"/>
      <c r="H998" s="293" t="n"/>
      <c r="I998" s="293" t="n"/>
      <c r="J998" s="293" t="n"/>
    </row>
    <row r="999" ht="13" customHeight="1" s="189">
      <c r="A999" s="289" t="n"/>
      <c r="B999" s="290" t="n"/>
      <c r="C999" s="290" t="n"/>
      <c r="D999" s="291" t="n"/>
      <c r="E999" s="291" t="n"/>
      <c r="F999" s="291" t="n"/>
      <c r="G999" s="293" t="n"/>
      <c r="H999" s="293" t="n"/>
      <c r="I999" s="293" t="n"/>
      <c r="J999" s="293" t="n"/>
    </row>
    <row r="1000" ht="13" customHeight="1" s="189">
      <c r="A1000" s="289" t="n"/>
      <c r="B1000" s="290" t="n"/>
      <c r="C1000" s="290" t="n"/>
      <c r="D1000" s="291" t="n"/>
      <c r="E1000" s="291" t="n"/>
      <c r="F1000" s="291" t="n"/>
      <c r="G1000" s="293" t="n"/>
      <c r="H1000" s="293" t="n"/>
      <c r="I1000" s="293" t="n"/>
      <c r="J1000" s="293" t="n"/>
    </row>
    <row r="1001" ht="13" customHeight="1" s="189">
      <c r="A1001" s="289" t="n"/>
      <c r="B1001" s="290" t="n"/>
      <c r="C1001" s="290" t="n"/>
      <c r="D1001" s="291" t="n"/>
      <c r="E1001" s="291" t="n"/>
      <c r="F1001" s="291" t="n"/>
      <c r="G1001" s="293" t="n"/>
      <c r="H1001" s="293" t="n"/>
      <c r="I1001" s="293" t="n"/>
      <c r="J1001" s="293" t="n"/>
    </row>
    <row r="1002" ht="13" customHeight="1" s="189">
      <c r="A1002" s="289" t="n"/>
      <c r="B1002" s="290" t="n"/>
      <c r="C1002" s="290" t="n"/>
      <c r="D1002" s="291" t="n"/>
      <c r="E1002" s="291" t="n"/>
      <c r="F1002" s="291" t="n"/>
      <c r="G1002" s="293" t="n"/>
      <c r="H1002" s="293" t="n"/>
      <c r="I1002" s="293" t="n"/>
      <c r="J1002" s="293" t="n"/>
    </row>
    <row r="1003" ht="13" customHeight="1" s="189">
      <c r="A1003" s="289" t="n"/>
      <c r="B1003" s="290" t="n"/>
      <c r="C1003" s="290" t="n"/>
      <c r="D1003" s="291" t="n"/>
      <c r="E1003" s="291" t="n"/>
      <c r="F1003" s="291" t="n"/>
      <c r="G1003" s="293" t="n"/>
      <c r="H1003" s="293" t="n"/>
      <c r="I1003" s="293" t="n"/>
      <c r="J1003" s="293" t="n"/>
    </row>
    <row r="1004" ht="13" customHeight="1" s="189">
      <c r="A1004" s="289" t="n"/>
      <c r="B1004" s="290" t="n"/>
      <c r="C1004" s="290" t="n"/>
      <c r="D1004" s="291" t="n"/>
      <c r="E1004" s="291" t="n"/>
      <c r="F1004" s="291" t="n"/>
      <c r="G1004" s="293" t="n"/>
      <c r="H1004" s="293" t="n"/>
      <c r="I1004" s="293" t="n"/>
      <c r="J1004" s="293" t="n"/>
    </row>
    <row r="1005" ht="13" customHeight="1" s="189">
      <c r="A1005" s="289" t="n"/>
      <c r="B1005" s="290" t="n"/>
      <c r="C1005" s="290" t="n"/>
      <c r="D1005" s="291" t="n"/>
      <c r="E1005" s="291" t="n"/>
      <c r="F1005" s="291" t="n"/>
      <c r="G1005" s="293" t="n"/>
      <c r="H1005" s="293" t="n"/>
      <c r="I1005" s="293" t="n"/>
      <c r="J1005" s="293" t="n"/>
    </row>
    <row r="1006" ht="13" customHeight="1" s="189">
      <c r="A1006" s="289" t="n"/>
      <c r="B1006" s="290" t="n"/>
      <c r="C1006" s="290" t="n"/>
      <c r="D1006" s="291" t="n"/>
      <c r="E1006" s="291" t="n"/>
      <c r="F1006" s="291" t="n"/>
      <c r="G1006" s="293" t="n"/>
      <c r="H1006" s="293" t="n"/>
      <c r="I1006" s="293" t="n"/>
      <c r="J1006" s="293" t="n"/>
    </row>
    <row r="1007" ht="13" customHeight="1" s="189">
      <c r="A1007" s="289" t="n"/>
      <c r="B1007" s="290" t="n"/>
      <c r="C1007" s="290" t="n"/>
      <c r="D1007" s="291" t="n"/>
      <c r="E1007" s="291" t="n"/>
      <c r="F1007" s="291" t="n"/>
      <c r="G1007" s="293" t="n"/>
      <c r="H1007" s="293" t="n"/>
      <c r="I1007" s="293" t="n"/>
      <c r="J1007" s="293" t="n"/>
    </row>
    <row r="1008" ht="13" customHeight="1" s="189">
      <c r="A1008" s="289" t="n"/>
      <c r="B1008" s="290" t="n"/>
      <c r="C1008" s="290" t="n"/>
      <c r="D1008" s="291" t="n"/>
      <c r="E1008" s="291" t="n"/>
      <c r="F1008" s="291" t="n"/>
      <c r="G1008" s="293" t="n"/>
      <c r="H1008" s="293" t="n"/>
      <c r="I1008" s="293" t="n"/>
      <c r="J1008" s="293" t="n"/>
    </row>
    <row r="1009" ht="13" customHeight="1" s="189">
      <c r="A1009" s="289" t="n"/>
      <c r="B1009" s="290" t="n"/>
      <c r="C1009" s="290" t="n"/>
      <c r="D1009" s="291" t="n"/>
      <c r="E1009" s="291" t="n"/>
      <c r="F1009" s="291" t="n"/>
      <c r="G1009" s="293" t="n"/>
      <c r="H1009" s="293" t="n"/>
      <c r="I1009" s="293" t="n"/>
      <c r="J1009" s="293" t="n"/>
    </row>
    <row r="1010" ht="13" customHeight="1" s="189">
      <c r="A1010" s="289" t="n"/>
      <c r="B1010" s="290" t="n"/>
      <c r="C1010" s="290" t="n"/>
      <c r="D1010" s="291" t="n"/>
      <c r="E1010" s="291" t="n"/>
      <c r="F1010" s="291" t="n"/>
      <c r="G1010" s="293" t="n"/>
      <c r="H1010" s="293" t="n"/>
      <c r="I1010" s="293" t="n"/>
      <c r="J1010" s="293" t="n"/>
    </row>
    <row r="1011" ht="13" customHeight="1" s="189">
      <c r="A1011" s="289" t="n"/>
      <c r="B1011" s="290" t="n"/>
      <c r="C1011" s="290" t="n"/>
      <c r="D1011" s="291" t="n"/>
      <c r="E1011" s="291" t="n"/>
      <c r="F1011" s="291" t="n"/>
      <c r="G1011" s="293" t="n"/>
      <c r="H1011" s="293" t="n"/>
      <c r="I1011" s="293" t="n"/>
      <c r="J1011" s="293" t="n"/>
    </row>
    <row r="1012" ht="13" customHeight="1" s="189">
      <c r="A1012" s="289" t="n"/>
      <c r="B1012" s="290" t="n"/>
      <c r="C1012" s="290" t="n"/>
      <c r="D1012" s="291" t="n"/>
      <c r="E1012" s="291" t="n"/>
      <c r="F1012" s="291" t="n"/>
      <c r="G1012" s="293" t="n"/>
      <c r="H1012" s="293" t="n"/>
      <c r="I1012" s="293" t="n"/>
      <c r="J1012" s="293" t="n"/>
    </row>
    <row r="1013" ht="13" customHeight="1" s="189">
      <c r="A1013" s="289" t="n"/>
      <c r="B1013" s="290" t="n"/>
      <c r="C1013" s="290" t="n"/>
      <c r="D1013" s="291" t="n"/>
      <c r="E1013" s="291" t="n"/>
      <c r="F1013" s="291" t="n"/>
      <c r="G1013" s="293" t="n"/>
      <c r="H1013" s="293" t="n"/>
      <c r="I1013" s="293" t="n"/>
      <c r="J1013" s="293" t="n"/>
    </row>
    <row r="1014" ht="13" customHeight="1" s="189">
      <c r="A1014" s="289" t="n"/>
      <c r="B1014" s="290" t="n"/>
      <c r="C1014" s="290" t="n"/>
      <c r="D1014" s="291" t="n"/>
      <c r="E1014" s="291" t="n"/>
      <c r="F1014" s="291" t="n"/>
      <c r="G1014" s="293" t="n"/>
      <c r="H1014" s="293" t="n"/>
      <c r="I1014" s="293" t="n"/>
      <c r="J1014" s="293" t="n"/>
    </row>
    <row r="1015" ht="13" customHeight="1" s="189">
      <c r="A1015" s="289" t="n"/>
      <c r="B1015" s="290" t="n"/>
      <c r="C1015" s="290" t="n"/>
      <c r="D1015" s="291" t="n"/>
      <c r="E1015" s="291" t="n"/>
      <c r="F1015" s="291" t="n"/>
      <c r="G1015" s="293" t="n"/>
      <c r="H1015" s="293" t="n"/>
      <c r="I1015" s="293" t="n"/>
      <c r="J1015" s="293" t="n"/>
    </row>
    <row r="1016" ht="13" customHeight="1" s="189">
      <c r="A1016" s="289" t="n"/>
      <c r="B1016" s="290" t="n"/>
      <c r="C1016" s="290" t="n"/>
      <c r="D1016" s="291" t="n"/>
      <c r="E1016" s="291" t="n"/>
      <c r="F1016" s="291" t="n"/>
      <c r="G1016" s="293" t="n"/>
      <c r="H1016" s="293" t="n"/>
      <c r="I1016" s="293" t="n"/>
      <c r="J1016" s="293" t="n"/>
    </row>
    <row r="1017" ht="13" customHeight="1" s="189">
      <c r="A1017" s="289" t="n"/>
      <c r="B1017" s="290" t="n"/>
      <c r="C1017" s="290" t="n"/>
      <c r="D1017" s="291" t="n"/>
      <c r="E1017" s="291" t="n"/>
      <c r="F1017" s="291" t="n"/>
      <c r="G1017" s="293" t="n"/>
      <c r="H1017" s="293" t="n"/>
      <c r="I1017" s="293" t="n"/>
      <c r="J1017" s="293" t="n"/>
    </row>
    <row r="1018" ht="13" customHeight="1" s="189">
      <c r="A1018" s="289" t="n"/>
      <c r="B1018" s="290" t="n"/>
      <c r="C1018" s="290" t="n"/>
      <c r="D1018" s="291" t="n"/>
      <c r="E1018" s="291" t="n"/>
      <c r="F1018" s="291" t="n"/>
      <c r="G1018" s="293" t="n"/>
      <c r="H1018" s="293" t="n"/>
      <c r="I1018" s="293" t="n"/>
      <c r="J1018" s="293" t="n"/>
    </row>
    <row r="1019" ht="13" customHeight="1" s="189">
      <c r="A1019" s="289" t="n"/>
      <c r="B1019" s="290" t="n"/>
      <c r="C1019" s="290" t="n"/>
      <c r="D1019" s="291" t="n"/>
      <c r="E1019" s="291" t="n"/>
      <c r="F1019" s="291" t="n"/>
      <c r="G1019" s="293" t="n"/>
      <c r="H1019" s="293" t="n"/>
      <c r="I1019" s="293" t="n"/>
      <c r="J1019" s="293" t="n"/>
    </row>
    <row r="1020" ht="13" customHeight="1" s="189">
      <c r="A1020" s="289" t="n"/>
      <c r="B1020" s="290" t="n"/>
      <c r="C1020" s="290" t="n"/>
      <c r="D1020" s="291" t="n"/>
      <c r="E1020" s="291" t="n"/>
      <c r="F1020" s="291" t="n"/>
      <c r="G1020" s="293" t="n"/>
      <c r="H1020" s="293" t="n"/>
      <c r="I1020" s="293" t="n"/>
      <c r="J1020" s="293" t="n"/>
    </row>
    <row r="1021" ht="13" customHeight="1" s="189">
      <c r="A1021" s="289" t="n"/>
      <c r="B1021" s="290" t="n"/>
      <c r="C1021" s="290" t="n"/>
      <c r="D1021" s="291" t="n"/>
      <c r="E1021" s="291" t="n"/>
      <c r="F1021" s="291" t="n"/>
      <c r="G1021" s="293" t="n"/>
      <c r="H1021" s="293" t="n"/>
      <c r="I1021" s="293" t="n"/>
      <c r="J1021" s="293" t="n"/>
    </row>
    <row r="1022" ht="13" customHeight="1" s="189">
      <c r="A1022" s="289" t="n"/>
      <c r="B1022" s="290" t="n"/>
      <c r="C1022" s="290" t="n"/>
      <c r="D1022" s="291" t="n"/>
      <c r="E1022" s="291" t="n"/>
      <c r="F1022" s="291" t="n"/>
      <c r="G1022" s="293" t="n"/>
      <c r="H1022" s="293" t="n"/>
      <c r="I1022" s="293" t="n"/>
      <c r="J1022" s="293" t="n"/>
    </row>
    <row r="1023" ht="13" customHeight="1" s="189">
      <c r="A1023" s="289" t="n"/>
      <c r="B1023" s="290" t="n"/>
      <c r="C1023" s="290" t="n"/>
      <c r="D1023" s="291" t="n"/>
      <c r="E1023" s="291" t="n"/>
      <c r="F1023" s="291" t="n"/>
      <c r="G1023" s="293" t="n"/>
      <c r="H1023" s="293" t="n"/>
      <c r="I1023" s="293" t="n"/>
      <c r="J1023" s="293" t="n"/>
    </row>
    <row r="1024" ht="13" customHeight="1" s="189">
      <c r="A1024" s="289" t="n"/>
      <c r="B1024" s="290" t="n"/>
      <c r="C1024" s="290" t="n"/>
      <c r="D1024" s="291" t="n"/>
      <c r="E1024" s="291" t="n"/>
      <c r="F1024" s="291" t="n"/>
      <c r="G1024" s="293" t="n"/>
      <c r="H1024" s="293" t="n"/>
      <c r="I1024" s="293" t="n"/>
      <c r="J1024" s="293" t="n"/>
    </row>
    <row r="1025" ht="13" customHeight="1" s="189"/>
    <row r="1026" ht="13" customHeight="1" s="189"/>
    <row r="1027" ht="13" customHeight="1" s="189"/>
    <row r="1028" ht="13" customHeight="1" s="189"/>
    <row r="1029" ht="13" customHeight="1" s="189"/>
    <row r="1030" ht="13" customHeight="1" s="189"/>
    <row r="1031" ht="13" customHeight="1" s="189"/>
    <row r="1032" ht="13" customHeight="1" s="189"/>
    <row r="1033" ht="13" customHeight="1" s="189"/>
    <row r="1034" ht="13" customHeight="1" s="189"/>
    <row r="1035" ht="13" customHeight="1" s="189"/>
    <row r="1036" ht="13" customHeight="1" s="189"/>
    <row r="1037" ht="13" customHeight="1" s="189"/>
    <row r="1038" ht="13" customHeight="1" s="189"/>
    <row r="1039" ht="13" customHeight="1" s="189"/>
    <row r="1040" ht="13" customHeight="1" s="189"/>
    <row r="1041" ht="13" customHeight="1" s="189"/>
    <row r="1042" ht="13" customHeight="1" s="189"/>
    <row r="1043" ht="13" customHeight="1" s="189"/>
    <row r="1044" ht="13" customHeight="1" s="189"/>
    <row r="1045" ht="13" customHeight="1" s="189"/>
    <row r="1046" ht="13" customHeight="1" s="189"/>
    <row r="1047" ht="13" customHeight="1" s="189"/>
    <row r="1048" ht="13" customHeight="1" s="189"/>
    <row r="1049" ht="13" customHeight="1" s="189"/>
    <row r="1050" ht="13" customHeight="1" s="189"/>
    <row r="1051" ht="13" customHeight="1" s="189"/>
    <row r="1052" ht="13" customHeight="1" s="189"/>
    <row r="1053" ht="13" customHeight="1" s="189"/>
    <row r="1054" ht="13" customHeight="1" s="189"/>
    <row r="1055" ht="13" customHeight="1" s="189"/>
    <row r="1056" ht="13" customHeight="1" s="189"/>
    <row r="1057" ht="13" customHeight="1" s="189"/>
    <row r="1058" ht="13" customHeight="1" s="189"/>
    <row r="1059" ht="13" customHeight="1" s="189"/>
    <row r="1060" ht="13" customHeight="1" s="189"/>
    <row r="1061" ht="13" customHeight="1" s="189"/>
    <row r="1062" ht="13" customHeight="1" s="189"/>
    <row r="1063" ht="13" customHeight="1" s="189"/>
    <row r="1064" ht="13" customHeight="1" s="189"/>
    <row r="1065" ht="13" customHeight="1" s="189"/>
    <row r="1066" ht="13" customHeight="1" s="189"/>
    <row r="1067" ht="13" customHeight="1" s="189"/>
    <row r="1068" ht="13" customHeight="1" s="189"/>
    <row r="1069" ht="13" customHeight="1" s="189"/>
    <row r="1070" ht="13" customHeight="1" s="189"/>
    <row r="1071" ht="13" customHeight="1" s="189"/>
    <row r="1072" ht="13" customHeight="1" s="189"/>
    <row r="1073" ht="13" customHeight="1" s="189"/>
    <row r="1074" ht="13" customHeight="1" s="189"/>
    <row r="1075" ht="13" customHeight="1" s="189"/>
    <row r="1076" ht="13" customHeight="1" s="189"/>
    <row r="1077" ht="13" customHeight="1" s="189"/>
    <row r="1078" ht="13" customHeight="1" s="189"/>
    <row r="1079" ht="13" customHeight="1" s="189"/>
    <row r="1080" ht="13" customHeight="1" s="189"/>
    <row r="1081" ht="13" customHeight="1" s="189"/>
    <row r="1082" ht="13" customHeight="1" s="189"/>
    <row r="1083" ht="13" customHeight="1" s="189"/>
    <row r="1084" ht="13" customHeight="1" s="189"/>
    <row r="1085" ht="13" customHeight="1" s="189"/>
    <row r="1086" ht="13" customHeight="1" s="189"/>
    <row r="1087" ht="13" customHeight="1" s="189"/>
    <row r="1088" ht="13" customHeight="1" s="189"/>
    <row r="1089" ht="13" customHeight="1" s="189"/>
    <row r="1090" ht="13" customHeight="1" s="189"/>
    <row r="1091" ht="13" customHeight="1" s="189"/>
    <row r="1092" ht="13" customHeight="1" s="189"/>
    <row r="1093" ht="13" customHeight="1" s="189"/>
    <row r="1094" ht="13" customHeight="1" s="189"/>
    <row r="1095" ht="13" customHeight="1" s="189"/>
    <row r="1096" ht="13" customHeight="1" s="189"/>
    <row r="1097" ht="13" customHeight="1" s="189"/>
    <row r="1098" ht="13" customHeight="1" s="189"/>
    <row r="1099" ht="13" customHeight="1" s="189"/>
    <row r="1100" ht="13" customHeight="1" s="189"/>
    <row r="1101" ht="13" customHeight="1" s="189"/>
    <row r="1102" ht="13" customHeight="1" s="189"/>
    <row r="1103" ht="13" customHeight="1" s="189"/>
    <row r="1104" ht="13" customHeight="1" s="189"/>
    <row r="1105" ht="13" customHeight="1" s="189"/>
    <row r="1106" ht="13" customHeight="1" s="189"/>
    <row r="1107" ht="13" customHeight="1" s="189"/>
    <row r="1108" ht="13" customHeight="1" s="189"/>
    <row r="1109" ht="13" customHeight="1" s="189"/>
    <row r="1110" ht="13" customHeight="1" s="189"/>
    <row r="1111" ht="13" customHeight="1" s="189"/>
    <row r="1112" ht="13" customHeight="1" s="189"/>
    <row r="1113" ht="13" customHeight="1" s="189"/>
    <row r="1114" ht="13" customHeight="1" s="189"/>
    <row r="1115" ht="13" customHeight="1" s="189"/>
    <row r="1116" ht="13" customHeight="1" s="189"/>
    <row r="1117" ht="13" customHeight="1" s="189"/>
    <row r="1118" ht="13" customHeight="1" s="189"/>
    <row r="1119" ht="13" customHeight="1" s="189"/>
    <row r="1120" ht="13" customHeight="1" s="189"/>
    <row r="1121" ht="13" customHeight="1" s="189"/>
    <row r="1122" ht="13" customHeight="1" s="189"/>
    <row r="1123" ht="13" customHeight="1" s="189"/>
    <row r="1124" ht="13" customHeight="1" s="189"/>
    <row r="1125" ht="13" customHeight="1" s="189"/>
    <row r="1126" ht="13" customHeight="1" s="189"/>
    <row r="1127" ht="13" customHeight="1" s="189"/>
    <row r="1128" ht="13" customHeight="1" s="189"/>
    <row r="1129" ht="13" customHeight="1" s="189"/>
    <row r="1130" ht="13" customHeight="1" s="189"/>
    <row r="1131" ht="13" customHeight="1" s="189"/>
    <row r="1132" ht="13" customHeight="1" s="189"/>
    <row r="1133" ht="13" customHeight="1" s="189"/>
    <row r="1134" ht="13" customHeight="1" s="189"/>
    <row r="1135" ht="13" customHeight="1" s="189"/>
    <row r="1136" ht="13" customHeight="1" s="189"/>
    <row r="1137" ht="13" customHeight="1" s="189"/>
    <row r="1138" ht="13" customHeight="1" s="189"/>
    <row r="1139" ht="13" customHeight="1" s="189"/>
    <row r="1140" ht="13" customHeight="1" s="189"/>
    <row r="1141" ht="13" customHeight="1" s="189"/>
    <row r="1142" ht="13" customHeight="1" s="189"/>
    <row r="1143" ht="13" customHeight="1" s="189"/>
    <row r="1144" ht="13" customHeight="1" s="189"/>
    <row r="1145" ht="13" customHeight="1" s="189"/>
    <row r="1146" ht="13" customHeight="1" s="189"/>
    <row r="1147" ht="13" customHeight="1" s="189"/>
    <row r="1148" ht="13" customHeight="1" s="189"/>
    <row r="1149" ht="13" customHeight="1" s="189"/>
    <row r="1150" ht="13" customHeight="1" s="189"/>
    <row r="1151" ht="13" customHeight="1" s="189"/>
    <row r="1152" ht="13" customHeight="1" s="189"/>
    <row r="1153" ht="13" customHeight="1" s="189"/>
    <row r="1154" ht="13" customHeight="1" s="189"/>
    <row r="1155" ht="13" customHeight="1" s="189"/>
    <row r="1156" ht="13" customHeight="1" s="189"/>
    <row r="1157" ht="13" customHeight="1" s="189"/>
    <row r="1158" ht="13" customHeight="1" s="189"/>
    <row r="1159" ht="13" customHeight="1" s="189"/>
    <row r="1160" ht="13" customHeight="1" s="189"/>
    <row r="1161" ht="13" customHeight="1" s="189"/>
    <row r="1162" ht="13" customHeight="1" s="189"/>
    <row r="1163" ht="13" customHeight="1" s="189"/>
    <row r="1164" ht="13" customHeight="1" s="189"/>
    <row r="1165" ht="13" customHeight="1" s="189"/>
    <row r="1166" ht="13" customHeight="1" s="189"/>
    <row r="1167" ht="13" customHeight="1" s="189"/>
    <row r="1168" ht="13" customHeight="1" s="189"/>
    <row r="1169" ht="13" customHeight="1" s="189"/>
    <row r="1170" ht="13" customHeight="1" s="189"/>
    <row r="1171" ht="13" customHeight="1" s="189"/>
    <row r="1172" ht="13" customHeight="1" s="189"/>
    <row r="1173" ht="13" customHeight="1" s="189"/>
    <row r="1174" ht="13" customHeight="1" s="189"/>
    <row r="1175" ht="13" customHeight="1" s="189"/>
    <row r="1176" ht="13" customHeight="1" s="189"/>
    <row r="1177" ht="13" customHeight="1" s="189"/>
    <row r="1178" ht="13" customHeight="1" s="189"/>
    <row r="1179" ht="13" customHeight="1" s="189"/>
    <row r="1180" ht="13" customHeight="1" s="189"/>
    <row r="1181" ht="13" customHeight="1" s="189"/>
    <row r="1182" ht="13" customHeight="1" s="189"/>
    <row r="1183" ht="13" customHeight="1" s="189"/>
    <row r="1184" ht="13" customHeight="1" s="189"/>
    <row r="1185" ht="13" customHeight="1" s="189"/>
    <row r="1186" ht="13" customHeight="1" s="189"/>
    <row r="1187" ht="13" customHeight="1" s="189"/>
    <row r="1188" ht="13" customHeight="1" s="189"/>
    <row r="1189" ht="13" customHeight="1" s="189"/>
    <row r="1190" ht="13" customHeight="1" s="189"/>
    <row r="1191" ht="13" customHeight="1" s="189"/>
    <row r="1192" ht="13" customHeight="1" s="189"/>
    <row r="1193" ht="13" customHeight="1" s="189"/>
    <row r="1194" ht="13" customHeight="1" s="189"/>
    <row r="1195" ht="13" customHeight="1" s="189"/>
    <row r="1196" ht="13" customHeight="1" s="189"/>
    <row r="1197" ht="13" customHeight="1" s="189"/>
    <row r="1198" ht="13" customHeight="1" s="189"/>
    <row r="1199" ht="13" customHeight="1" s="189"/>
    <row r="1200" ht="13" customHeight="1" s="189"/>
    <row r="1201" ht="13" customHeight="1" s="189"/>
    <row r="1202" ht="13" customHeight="1" s="189"/>
    <row r="1203" ht="13" customHeight="1" s="189"/>
    <row r="1204" ht="13" customHeight="1" s="189"/>
    <row r="1205" ht="13" customHeight="1" s="189"/>
    <row r="1206" ht="13" customHeight="1" s="189"/>
    <row r="1207" ht="13" customHeight="1" s="189"/>
    <row r="1208" ht="13" customHeight="1" s="189"/>
    <row r="1209" ht="13" customHeight="1" s="189"/>
    <row r="1210" ht="13" customHeight="1" s="189"/>
    <row r="1211" ht="13" customHeight="1" s="189"/>
    <row r="1212" ht="13" customHeight="1" s="189"/>
    <row r="1213" ht="13" customHeight="1" s="189"/>
    <row r="1214" ht="13" customHeight="1" s="189"/>
    <row r="1215" ht="13" customHeight="1" s="189"/>
    <row r="1216" ht="13" customHeight="1" s="189"/>
    <row r="1217" ht="13" customHeight="1" s="189"/>
    <row r="1218" ht="13" customHeight="1" s="189"/>
    <row r="1219" ht="13" customHeight="1" s="189"/>
    <row r="1220" ht="13" customHeight="1" s="189"/>
    <row r="1221" ht="13" customHeight="1" s="189"/>
    <row r="1222" ht="13" customHeight="1" s="189"/>
    <row r="1223" ht="13" customHeight="1" s="189"/>
    <row r="1224" ht="13" customHeight="1" s="189"/>
    <row r="1225" ht="13" customHeight="1" s="189"/>
    <row r="1226" ht="13" customHeight="1" s="189"/>
    <row r="1227" ht="13" customHeight="1" s="189"/>
    <row r="1228" ht="13" customHeight="1" s="189"/>
    <row r="1229" ht="13" customHeight="1" s="189"/>
    <row r="1230" ht="13" customHeight="1" s="189"/>
    <row r="1231" ht="13" customHeight="1" s="189"/>
    <row r="1232" ht="13" customHeight="1" s="189"/>
    <row r="1233" ht="13" customHeight="1" s="189"/>
    <row r="1234" ht="13" customHeight="1" s="189"/>
    <row r="1235" ht="13" customHeight="1" s="189"/>
    <row r="1236" ht="13" customHeight="1" s="189"/>
    <row r="1237" ht="13" customHeight="1" s="189"/>
    <row r="1238" ht="13" customHeight="1" s="189"/>
    <row r="1239" ht="13" customHeight="1" s="189"/>
    <row r="1240" ht="13" customHeight="1" s="189"/>
    <row r="1241" ht="13" customHeight="1" s="189"/>
    <row r="1242" ht="13" customHeight="1" s="189"/>
    <row r="1243" ht="13" customHeight="1" s="189"/>
    <row r="1244" ht="13" customHeight="1" s="189"/>
    <row r="1245" ht="13" customHeight="1" s="189"/>
    <row r="1246" ht="13" customHeight="1" s="189"/>
    <row r="1247" ht="13" customHeight="1" s="189"/>
    <row r="1248" ht="13" customHeight="1" s="189"/>
    <row r="1249" ht="13" customHeight="1" s="189"/>
    <row r="1250" ht="13" customHeight="1" s="189"/>
    <row r="1251" ht="13" customHeight="1" s="189"/>
    <row r="1252" ht="13" customHeight="1" s="189"/>
    <row r="1253" ht="13" customHeight="1" s="189"/>
    <row r="1254" ht="13" customHeight="1" s="189"/>
    <row r="1255" ht="13" customHeight="1" s="189"/>
    <row r="1256" ht="13" customHeight="1" s="189"/>
    <row r="1257" ht="13" customHeight="1" s="189"/>
    <row r="1258" ht="13" customHeight="1" s="189"/>
    <row r="1259" ht="13" customHeight="1" s="189"/>
    <row r="1260" ht="13" customHeight="1" s="189"/>
    <row r="1261" ht="13" customHeight="1" s="189"/>
    <row r="1262" ht="13" customHeight="1" s="189"/>
    <row r="1263" ht="13" customHeight="1" s="189"/>
    <row r="1264" ht="13" customHeight="1" s="189"/>
    <row r="1265" ht="13" customHeight="1" s="189"/>
    <row r="1266" ht="13" customHeight="1" s="189"/>
    <row r="1267" ht="13" customHeight="1" s="189"/>
    <row r="1268" ht="13" customHeight="1" s="189"/>
    <row r="1269" ht="13" customHeight="1" s="189"/>
    <row r="1270" ht="13" customHeight="1" s="189"/>
    <row r="1271" ht="13" customHeight="1" s="189"/>
    <row r="1272" ht="13" customHeight="1" s="189"/>
    <row r="1273" ht="13" customHeight="1" s="189"/>
    <row r="1274" ht="13" customHeight="1" s="189"/>
    <row r="1275" ht="13" customHeight="1" s="189"/>
    <row r="1276" ht="13" customHeight="1" s="189"/>
    <row r="1277" ht="13" customHeight="1" s="189"/>
    <row r="1278" ht="13" customHeight="1" s="189"/>
    <row r="1279" ht="13" customHeight="1" s="189"/>
    <row r="1280" ht="13" customHeight="1" s="189"/>
    <row r="1281" ht="13" customHeight="1" s="189"/>
    <row r="1282" ht="13" customHeight="1" s="189"/>
    <row r="1283" ht="13" customHeight="1" s="189"/>
    <row r="1284" ht="13" customHeight="1" s="189"/>
    <row r="1285" ht="13" customHeight="1" s="189"/>
    <row r="1286" ht="13" customHeight="1" s="189"/>
    <row r="1287" ht="13" customHeight="1" s="189"/>
    <row r="1288" ht="13" customHeight="1" s="189"/>
    <row r="1289" ht="13" customHeight="1" s="189"/>
    <row r="1290" ht="13" customHeight="1" s="189"/>
    <row r="1291" ht="13" customHeight="1" s="189"/>
    <row r="1292" ht="13" customHeight="1" s="189"/>
    <row r="1293" ht="13" customHeight="1" s="189"/>
    <row r="1294" ht="13" customHeight="1" s="189"/>
    <row r="1295" ht="13" customHeight="1" s="189"/>
    <row r="1296" ht="13" customHeight="1" s="189"/>
    <row r="1297" ht="13" customHeight="1" s="189"/>
    <row r="1298" ht="13" customHeight="1" s="189"/>
    <row r="1299" ht="13" customHeight="1" s="189"/>
    <row r="1300" ht="13" customHeight="1" s="189"/>
    <row r="1301" ht="13" customHeight="1" s="189"/>
    <row r="1302" ht="13" customHeight="1" s="189"/>
    <row r="1303" ht="13" customHeight="1" s="189"/>
    <row r="1304" ht="13" customHeight="1" s="189"/>
    <row r="1305" ht="13" customHeight="1" s="189"/>
    <row r="1306" ht="13" customHeight="1" s="189"/>
    <row r="1307" ht="13" customHeight="1" s="189"/>
    <row r="1308" ht="13" customHeight="1" s="189"/>
    <row r="1309" ht="13" customHeight="1" s="189"/>
    <row r="1310" ht="13" customHeight="1" s="189"/>
    <row r="1311" ht="13" customHeight="1" s="189"/>
    <row r="1312" ht="13" customHeight="1" s="189"/>
    <row r="1313" ht="13" customHeight="1" s="189"/>
    <row r="1314" ht="13" customHeight="1" s="189"/>
    <row r="1315" ht="13" customHeight="1" s="189"/>
    <row r="1316" ht="13" customHeight="1" s="189"/>
    <row r="1317" ht="13" customHeight="1" s="189"/>
    <row r="1318" ht="13" customHeight="1" s="189"/>
    <row r="1319" ht="13" customHeight="1" s="189"/>
    <row r="1320" ht="13" customHeight="1" s="189"/>
    <row r="1321" ht="13" customHeight="1" s="189"/>
    <row r="1322" ht="13" customHeight="1" s="189"/>
    <row r="1323" ht="13" customHeight="1" s="189"/>
    <row r="1324" ht="13" customHeight="1" s="189"/>
    <row r="1325" ht="13" customHeight="1" s="189"/>
    <row r="1326" ht="13" customHeight="1" s="189"/>
    <row r="1327" ht="13" customHeight="1" s="189"/>
    <row r="1328" ht="13" customHeight="1" s="189"/>
    <row r="1329" ht="13" customHeight="1" s="189"/>
    <row r="1330" ht="13" customHeight="1" s="189"/>
    <row r="1331" ht="13" customHeight="1" s="189"/>
    <row r="1332" ht="13" customHeight="1" s="189"/>
    <row r="1333" ht="13" customHeight="1" s="189"/>
    <row r="1334" ht="13" customHeight="1" s="189"/>
    <row r="1335" ht="13" customHeight="1" s="189"/>
    <row r="1336" ht="13" customHeight="1" s="189"/>
    <row r="1337" ht="13" customHeight="1" s="189"/>
    <row r="1338" ht="13" customHeight="1" s="189"/>
    <row r="1339" ht="13" customHeight="1" s="189"/>
    <row r="1340" ht="13" customHeight="1" s="189"/>
    <row r="1341" ht="13" customHeight="1" s="189"/>
    <row r="1342" ht="13" customHeight="1" s="189"/>
    <row r="1343" ht="13" customHeight="1" s="189"/>
    <row r="1344" ht="13" customHeight="1" s="189"/>
    <row r="1345" ht="13" customHeight="1" s="189"/>
    <row r="1346" ht="13" customHeight="1" s="189"/>
    <row r="1347" ht="13" customHeight="1" s="189"/>
    <row r="1348" ht="13" customHeight="1" s="189"/>
    <row r="1349" ht="13" customHeight="1" s="189"/>
    <row r="1350" ht="13" customHeight="1" s="189"/>
    <row r="1351" ht="13" customHeight="1" s="189"/>
    <row r="1352" ht="13" customHeight="1" s="189"/>
    <row r="1353" ht="13" customHeight="1" s="189"/>
    <row r="1354" ht="13" customHeight="1" s="189"/>
    <row r="1355" ht="13" customHeight="1" s="189"/>
    <row r="1356" ht="13" customHeight="1" s="189"/>
    <row r="1357" ht="13" customHeight="1" s="189"/>
    <row r="1358" ht="13" customHeight="1" s="189"/>
    <row r="1359" ht="13" customHeight="1" s="189"/>
    <row r="1360" ht="13" customHeight="1" s="189"/>
    <row r="1361" ht="13" customHeight="1" s="189"/>
    <row r="1362" ht="13" customHeight="1" s="189"/>
    <row r="1363" ht="13" customHeight="1" s="189"/>
    <row r="1364" ht="13" customHeight="1" s="189"/>
    <row r="1365" ht="13" customHeight="1" s="189"/>
    <row r="1366" ht="13" customHeight="1" s="189"/>
    <row r="1367" ht="13" customHeight="1" s="189"/>
    <row r="1368" ht="13" customHeight="1" s="189"/>
    <row r="1369" ht="13" customHeight="1" s="189"/>
    <row r="1370" ht="13" customHeight="1" s="189"/>
    <row r="1371" ht="13" customHeight="1" s="189"/>
    <row r="1372" ht="13" customHeight="1" s="189"/>
    <row r="1373" ht="13" customHeight="1" s="189"/>
    <row r="1374" ht="13" customHeight="1" s="189"/>
    <row r="1375" ht="13" customHeight="1" s="189"/>
    <row r="1376" ht="13" customHeight="1" s="189"/>
    <row r="1377" ht="13" customHeight="1" s="189"/>
    <row r="1378" ht="13" customHeight="1" s="189"/>
    <row r="1379" ht="13" customHeight="1" s="189"/>
    <row r="1380" ht="13" customHeight="1" s="189"/>
    <row r="1381" ht="13" customHeight="1" s="189"/>
    <row r="1382" ht="13" customHeight="1" s="189"/>
    <row r="1383" ht="13" customHeight="1" s="189"/>
    <row r="1384" ht="13" customHeight="1" s="189"/>
    <row r="1385" ht="13" customHeight="1" s="189"/>
    <row r="1386" ht="13" customHeight="1" s="189"/>
    <row r="1387" ht="13" customHeight="1" s="189"/>
    <row r="1388" ht="13" customHeight="1" s="189"/>
    <row r="1389" ht="13" customHeight="1" s="189"/>
    <row r="1390" ht="13" customHeight="1" s="189"/>
    <row r="1391" ht="13" customHeight="1" s="189"/>
    <row r="1392" ht="13" customHeight="1" s="189"/>
    <row r="1393" ht="13" customHeight="1" s="189"/>
    <row r="1394" ht="13" customHeight="1" s="189"/>
    <row r="1395" ht="13" customHeight="1" s="189"/>
    <row r="1396" ht="13" customHeight="1" s="189"/>
    <row r="1397" ht="13" customHeight="1" s="189"/>
    <row r="1398" ht="13" customHeight="1" s="189"/>
    <row r="1399" ht="13" customHeight="1" s="189"/>
    <row r="1400" ht="13" customHeight="1" s="189"/>
    <row r="1401" ht="13" customHeight="1" s="189"/>
    <row r="1402" ht="13" customHeight="1" s="189"/>
    <row r="1403" ht="13" customHeight="1" s="189"/>
    <row r="1404" ht="13" customHeight="1" s="189"/>
    <row r="1405" ht="13" customHeight="1" s="189"/>
    <row r="1406" ht="13" customHeight="1" s="189"/>
    <row r="1407" ht="13" customHeight="1" s="189"/>
    <row r="1408" ht="13" customHeight="1" s="189"/>
    <row r="1409" ht="13" customHeight="1" s="189"/>
    <row r="1410" ht="13" customHeight="1" s="189"/>
    <row r="1411" ht="13" customHeight="1" s="189"/>
    <row r="1412" ht="13" customHeight="1" s="189"/>
    <row r="1413" ht="13" customHeight="1" s="189"/>
    <row r="1414" ht="13" customHeight="1" s="189"/>
    <row r="1415" ht="13" customHeight="1" s="189"/>
    <row r="1416" ht="13" customHeight="1" s="189"/>
    <row r="1417" ht="13" customHeight="1" s="189"/>
    <row r="1418" ht="13" customHeight="1" s="189"/>
    <row r="1419" ht="13" customHeight="1" s="189"/>
    <row r="1420" ht="13" customHeight="1" s="189"/>
    <row r="1421" ht="13" customHeight="1" s="189"/>
    <row r="1422" ht="13" customHeight="1" s="189"/>
    <row r="1423" ht="13" customHeight="1" s="189"/>
    <row r="1424" ht="13" customHeight="1" s="189"/>
    <row r="1425" ht="13" customHeight="1" s="189"/>
    <row r="1426" ht="13" customHeight="1" s="189"/>
    <row r="1427" ht="13" customHeight="1" s="189"/>
    <row r="1428" ht="13" customHeight="1" s="189"/>
    <row r="1429" ht="13" customHeight="1" s="189"/>
    <row r="1430" ht="13" customHeight="1" s="189"/>
    <row r="1431" ht="13" customHeight="1" s="189"/>
    <row r="1432" ht="13" customHeight="1" s="189"/>
    <row r="1433" ht="13" customHeight="1" s="189"/>
    <row r="1434" ht="13" customHeight="1" s="189"/>
    <row r="1435" ht="13" customHeight="1" s="189"/>
    <row r="1436" ht="13" customHeight="1" s="189"/>
    <row r="1437" ht="13" customHeight="1" s="189"/>
    <row r="1438" ht="13" customHeight="1" s="189"/>
    <row r="1439" ht="13" customHeight="1" s="189"/>
    <row r="1440" ht="13" customHeight="1" s="189"/>
    <row r="1441" ht="13" customHeight="1" s="189"/>
    <row r="1442" ht="13" customHeight="1" s="189"/>
    <row r="1443" ht="13" customHeight="1" s="189"/>
    <row r="1444" ht="13" customHeight="1" s="189"/>
    <row r="1445" ht="13" customHeight="1" s="189"/>
    <row r="1446" ht="13" customHeight="1" s="189"/>
    <row r="1447" ht="13" customHeight="1" s="189"/>
    <row r="1448" ht="13" customHeight="1" s="189"/>
    <row r="1449" ht="13" customHeight="1" s="189"/>
    <row r="1450" ht="13" customHeight="1" s="189"/>
    <row r="1451" ht="13" customHeight="1" s="189"/>
    <row r="1452" ht="13" customHeight="1" s="189"/>
    <row r="1453" ht="13" customHeight="1" s="189"/>
    <row r="1454" ht="13" customHeight="1" s="189"/>
    <row r="1455" ht="13" customHeight="1" s="189"/>
    <row r="1456" ht="13" customHeight="1" s="189"/>
    <row r="1457" ht="13" customHeight="1" s="189"/>
    <row r="1458" ht="13" customHeight="1" s="189"/>
    <row r="1459" ht="13" customHeight="1" s="189"/>
    <row r="1460" ht="13" customHeight="1" s="189"/>
    <row r="1461" ht="13" customHeight="1" s="189"/>
    <row r="1462" ht="13" customHeight="1" s="189"/>
    <row r="1463" ht="13" customHeight="1" s="189"/>
    <row r="1464" ht="13" customHeight="1" s="189"/>
  </sheetData>
  <mergeCells count="11">
    <mergeCell ref="A4:B4"/>
    <mergeCell ref="A1:J1"/>
    <mergeCell ref="A5:J5"/>
    <mergeCell ref="A2:B2"/>
    <mergeCell ref="C3:F3"/>
    <mergeCell ref="C4:F4"/>
    <mergeCell ref="H4:J4"/>
    <mergeCell ref="H2:J2"/>
    <mergeCell ref="H3:J3"/>
    <mergeCell ref="C2:F2"/>
    <mergeCell ref="A3:B3"/>
  </mergeCells>
  <printOptions horizontalCentered="0" verticalCentered="0" headings="0" gridLines="1" gridLinesSet="1"/>
  <pageMargins left="0.75" right="0.75" top="1" bottom="1"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22.xml><?xml version="1.0" encoding="utf-8"?>
<worksheet xmlns="http://schemas.openxmlformats.org/spreadsheetml/2006/main">
  <sheetPr filterMode="0">
    <outlinePr summaryBelow="1" summaryRight="1"/>
    <pageSetUpPr fitToPage="0"/>
  </sheetPr>
  <dimension ref="A1:F1024"/>
  <sheetViews>
    <sheetView showFormulas="0" showGridLines="1" showRowColHeaders="1" showZeros="1" rightToLeft="0" tabSelected="0" showOutlineSymbols="1" defaultGridColor="1" view="normal" topLeftCell="A10" colorId="64" zoomScale="100" zoomScaleNormal="100" zoomScalePageLayoutView="100" workbookViewId="0">
      <selection pane="topLeft" activeCell="F24" activeCellId="0" sqref="F24"/>
    </sheetView>
  </sheetViews>
  <sheetFormatPr baseColWidth="8" defaultColWidth="9.0546875" defaultRowHeight="12.5" zeroHeight="0" outlineLevelRow="0"/>
  <cols>
    <col width="3.17" customWidth="1" style="287" min="1" max="1"/>
    <col width="42.72" customWidth="1" style="188" min="2" max="3"/>
    <col width="10.72" customWidth="1" style="293" min="4" max="4"/>
    <col width="10.72" customWidth="1" style="188" min="5" max="5"/>
    <col width="11.44" customWidth="1" style="188" min="6" max="6"/>
  </cols>
  <sheetData>
    <row r="1" ht="15.5" customHeight="1" s="189">
      <c r="A1" s="243" t="inlineStr">
        <is>
          <t>Deliverable Acceptance Log</t>
        </is>
      </c>
      <c r="B1" s="213" t="n"/>
      <c r="C1" s="213" t="n"/>
      <c r="D1" s="213" t="n"/>
      <c r="E1" s="213" t="n"/>
      <c r="F1" s="214" t="n"/>
    </row>
    <row r="2" ht="13" customHeight="1" s="189">
      <c r="A2" s="266" t="inlineStr">
        <is>
          <t>Project</t>
        </is>
      </c>
      <c r="B2" s="214" t="n"/>
      <c r="C2" s="208">
        <f>Data!B1</f>
        <v/>
      </c>
      <c r="D2" s="266" t="inlineStr">
        <is>
          <t>Project #</t>
        </is>
      </c>
      <c r="E2" s="208">
        <f>Data!B2</f>
        <v/>
      </c>
      <c r="F2" s="214" t="n"/>
    </row>
    <row r="3" ht="13" customHeight="1" s="189">
      <c r="A3" s="266" t="inlineStr">
        <is>
          <t>Project manager</t>
        </is>
      </c>
      <c r="B3" s="214" t="n"/>
      <c r="C3" s="208">
        <f>Data!B3</f>
        <v/>
      </c>
      <c r="D3" s="266" t="inlineStr">
        <is>
          <t>Sponsor</t>
        </is>
      </c>
      <c r="E3" s="208">
        <f>Data!B4</f>
        <v/>
      </c>
      <c r="F3" s="214" t="n"/>
    </row>
    <row r="4" ht="13" customHeight="1" s="189">
      <c r="A4" s="266" t="inlineStr">
        <is>
          <t>Project artifacts</t>
        </is>
      </c>
      <c r="B4" s="214" t="n"/>
      <c r="C4" s="208">
        <f>Data!B5</f>
        <v/>
      </c>
      <c r="D4" s="266" t="inlineStr">
        <is>
          <t>Updated</t>
        </is>
      </c>
      <c r="E4" s="208">
        <f>Data!B6</f>
        <v/>
      </c>
      <c r="F4" s="214" t="n"/>
    </row>
    <row r="5" ht="12.5" customHeight="1" s="189">
      <c r="A5" s="288" t="n"/>
      <c r="B5" s="213" t="n"/>
      <c r="C5" s="213" t="n"/>
      <c r="D5" s="213" t="n"/>
      <c r="E5" s="213" t="n"/>
      <c r="F5" s="214" t="n"/>
    </row>
    <row r="6" ht="61.5" customHeight="1" s="189">
      <c r="A6" s="281" t="inlineStr">
        <is>
          <t>ID</t>
        </is>
      </c>
      <c r="B6" s="281" t="inlineStr">
        <is>
          <t>Deliverable Description</t>
        </is>
      </c>
      <c r="C6" s="281" t="inlineStr">
        <is>
          <t>Comments</t>
        </is>
      </c>
      <c r="D6" s="281" t="inlineStr">
        <is>
          <t>Evaluator</t>
        </is>
      </c>
      <c r="E6" s="281" t="inlineStr">
        <is>
          <t>Status</t>
        </is>
      </c>
      <c r="F6" s="281" t="inlineStr">
        <is>
          <t>Date of Decision</t>
        </is>
      </c>
    </row>
    <row r="7" ht="21.75" customHeight="1" s="189">
      <c r="A7" s="272" t="n">
        <v>1</v>
      </c>
      <c r="B7" s="199" t="n"/>
      <c r="C7" s="199" t="n"/>
      <c r="D7" s="285" t="n"/>
      <c r="E7" s="199" t="n"/>
      <c r="F7" s="285" t="n"/>
    </row>
    <row r="8" ht="21.75" customHeight="1" s="189">
      <c r="A8" s="272" t="n">
        <v>2</v>
      </c>
      <c r="B8" s="199" t="n"/>
      <c r="C8" s="199" t="n"/>
      <c r="D8" s="285" t="n"/>
      <c r="E8" s="199" t="n"/>
      <c r="F8" s="285" t="n"/>
    </row>
    <row r="9" ht="21.75" customHeight="1" s="189">
      <c r="A9" s="272" t="n">
        <v>3</v>
      </c>
      <c r="B9" s="199" t="n"/>
      <c r="C9" s="199" t="n"/>
      <c r="D9" s="285" t="n"/>
      <c r="E9" s="199" t="n"/>
      <c r="F9" s="285" t="n"/>
    </row>
    <row r="10" ht="21.75" customHeight="1" s="189">
      <c r="A10" s="272" t="n">
        <v>4</v>
      </c>
      <c r="B10" s="199" t="n"/>
      <c r="C10" s="199" t="n"/>
      <c r="D10" s="285" t="n"/>
      <c r="E10" s="199" t="n"/>
      <c r="F10" s="285" t="n"/>
    </row>
    <row r="11" ht="21.75" customHeight="1" s="189">
      <c r="A11" s="272" t="n">
        <v>5</v>
      </c>
      <c r="B11" s="199" t="n"/>
      <c r="C11" s="199" t="n"/>
      <c r="D11" s="285" t="n"/>
      <c r="E11" s="199" t="n"/>
      <c r="F11" s="285" t="n"/>
    </row>
    <row r="12" ht="21.75" customHeight="1" s="189">
      <c r="A12" s="272" t="n">
        <v>6</v>
      </c>
      <c r="B12" s="199" t="n"/>
      <c r="C12" s="199" t="n"/>
      <c r="D12" s="285" t="n"/>
      <c r="E12" s="199" t="n"/>
      <c r="F12" s="285" t="n"/>
    </row>
    <row r="13" ht="21.75" customHeight="1" s="189">
      <c r="A13" s="272" t="n">
        <v>7</v>
      </c>
      <c r="B13" s="199" t="n"/>
      <c r="C13" s="199" t="n"/>
      <c r="D13" s="285" t="n"/>
      <c r="E13" s="199" t="n"/>
      <c r="F13" s="285" t="n"/>
    </row>
    <row r="14" ht="21.75" customHeight="1" s="189">
      <c r="A14" s="272" t="n">
        <v>8</v>
      </c>
      <c r="B14" s="199" t="n"/>
      <c r="C14" s="199" t="n"/>
      <c r="D14" s="285" t="n"/>
      <c r="E14" s="199" t="n"/>
      <c r="F14" s="285" t="n"/>
    </row>
    <row r="15" ht="21.75" customHeight="1" s="189">
      <c r="A15" s="272" t="n">
        <v>9</v>
      </c>
      <c r="B15" s="199" t="n"/>
      <c r="C15" s="199" t="n"/>
      <c r="D15" s="285" t="n"/>
      <c r="E15" s="199" t="n"/>
      <c r="F15" s="285" t="n"/>
    </row>
    <row r="16" ht="21.75" customHeight="1" s="189">
      <c r="A16" s="272" t="n">
        <v>10</v>
      </c>
      <c r="B16" s="199" t="n"/>
      <c r="C16" s="199" t="n"/>
      <c r="D16" s="285" t="n"/>
      <c r="E16" s="199" t="n"/>
      <c r="F16" s="285" t="n"/>
    </row>
    <row r="17" ht="21.75" customHeight="1" s="189">
      <c r="A17" s="272" t="n">
        <v>11</v>
      </c>
      <c r="B17" s="199" t="n"/>
      <c r="C17" s="199" t="n"/>
      <c r="D17" s="285" t="n"/>
      <c r="E17" s="199" t="n"/>
      <c r="F17" s="285" t="n"/>
    </row>
    <row r="18" ht="21.75" customHeight="1" s="189">
      <c r="A18" s="272" t="n">
        <v>12</v>
      </c>
      <c r="B18" s="199" t="n"/>
      <c r="C18" s="199" t="n"/>
      <c r="D18" s="285" t="n"/>
      <c r="E18" s="199" t="n"/>
      <c r="F18" s="285" t="n"/>
    </row>
    <row r="19" ht="21.75" customHeight="1" s="189">
      <c r="A19" s="272" t="n">
        <v>13</v>
      </c>
      <c r="B19" s="199" t="n"/>
      <c r="C19" s="199" t="n"/>
      <c r="D19" s="285" t="n"/>
      <c r="E19" s="199" t="n"/>
      <c r="F19" s="285" t="n"/>
    </row>
    <row r="20" ht="21.75" customHeight="1" s="189">
      <c r="A20" s="272" t="n">
        <v>14</v>
      </c>
      <c r="B20" s="199" t="n"/>
      <c r="C20" s="199" t="n"/>
      <c r="D20" s="285" t="n"/>
      <c r="E20" s="199" t="n"/>
      <c r="F20" s="285" t="n"/>
    </row>
    <row r="21" ht="21.75" customHeight="1" s="189">
      <c r="A21" s="272" t="n">
        <v>15</v>
      </c>
      <c r="B21" s="199" t="n"/>
      <c r="C21" s="199" t="n"/>
      <c r="D21" s="285" t="n"/>
      <c r="E21" s="199" t="n"/>
      <c r="F21" s="285" t="n"/>
    </row>
    <row r="22" ht="21.75" customHeight="1" s="189">
      <c r="A22" s="272" t="n"/>
      <c r="B22" s="199" t="n"/>
      <c r="C22" s="199" t="n"/>
      <c r="D22" s="285" t="n"/>
      <c r="E22" s="199" t="n"/>
      <c r="F22" s="285" t="n"/>
    </row>
    <row r="23" ht="21.75" customHeight="1" s="189">
      <c r="A23" s="289" t="n"/>
      <c r="B23" s="290" t="n"/>
      <c r="C23" s="290" t="n"/>
      <c r="D23" s="291" t="n"/>
      <c r="E23" s="290" t="n"/>
      <c r="F23" s="291" t="n"/>
    </row>
    <row r="24" ht="13" customHeight="1" s="189">
      <c r="A24" s="289" t="n"/>
      <c r="B24" s="290" t="n"/>
      <c r="C24" s="290" t="n"/>
      <c r="D24" s="291" t="n"/>
      <c r="E24" s="290" t="n"/>
      <c r="F24" s="201" t="inlineStr">
        <is>
          <t>© Global Knowledge Training LLC</t>
        </is>
      </c>
    </row>
    <row r="25" ht="21.75" customHeight="1" s="189">
      <c r="A25" s="289" t="n"/>
      <c r="B25" s="290" t="n"/>
      <c r="C25" s="290" t="n"/>
      <c r="D25" s="291" t="n"/>
      <c r="E25" s="290" t="n"/>
      <c r="F25" s="291" t="n"/>
    </row>
    <row r="26" ht="21.75" customHeight="1" s="189">
      <c r="A26" s="289" t="n"/>
      <c r="B26" s="290" t="n"/>
      <c r="C26" s="290" t="n"/>
      <c r="D26" s="291" t="n"/>
      <c r="E26" s="290" t="n"/>
      <c r="F26" s="291" t="n"/>
    </row>
    <row r="27" ht="13" customHeight="1" s="189">
      <c r="A27" s="289" t="n"/>
      <c r="B27" s="290" t="n"/>
      <c r="C27" s="290" t="n"/>
      <c r="D27" s="291" t="n"/>
      <c r="E27" s="290" t="n"/>
      <c r="F27" s="290" t="n"/>
    </row>
    <row r="28" ht="13" customHeight="1" s="189">
      <c r="A28" s="289" t="n"/>
      <c r="B28" s="290" t="n"/>
      <c r="C28" s="290" t="n"/>
      <c r="D28" s="291" t="n"/>
      <c r="E28" s="290" t="n"/>
      <c r="F28" s="290" t="n"/>
    </row>
    <row r="29" ht="13" customHeight="1" s="189">
      <c r="A29" s="289" t="n"/>
      <c r="B29" s="290" t="n"/>
      <c r="C29" s="290" t="n"/>
      <c r="D29" s="291" t="n"/>
      <c r="E29" s="290" t="n"/>
      <c r="F29" s="290" t="n"/>
    </row>
    <row r="30" ht="13" customHeight="1" s="189">
      <c r="A30" s="289" t="n"/>
      <c r="B30" s="290" t="n"/>
      <c r="C30" s="290" t="n"/>
      <c r="D30" s="291" t="n"/>
      <c r="E30" s="290" t="n"/>
      <c r="F30" s="290" t="n"/>
    </row>
    <row r="31" ht="13" customHeight="1" s="189">
      <c r="A31" s="289" t="n"/>
      <c r="B31" s="290" t="n"/>
      <c r="C31" s="290" t="n"/>
      <c r="D31" s="291" t="n"/>
      <c r="E31" s="290" t="n"/>
      <c r="F31" s="290" t="n"/>
    </row>
    <row r="32" ht="13" customHeight="1" s="189">
      <c r="A32" s="289" t="n"/>
      <c r="B32" s="290" t="n"/>
      <c r="C32" s="290" t="n"/>
      <c r="D32" s="291" t="n"/>
      <c r="E32" s="290" t="n"/>
      <c r="F32" s="290" t="n"/>
    </row>
    <row r="33" ht="13" customHeight="1" s="189">
      <c r="A33" s="289" t="n"/>
      <c r="B33" s="290" t="n"/>
      <c r="C33" s="290" t="n"/>
      <c r="D33" s="291" t="n"/>
      <c r="E33" s="290" t="n"/>
      <c r="F33" s="290" t="n"/>
    </row>
    <row r="34" ht="13" customHeight="1" s="189">
      <c r="A34" s="289" t="n"/>
      <c r="B34" s="290" t="n"/>
      <c r="C34" s="290" t="n"/>
      <c r="D34" s="291" t="n"/>
      <c r="E34" s="290" t="n"/>
      <c r="F34" s="290" t="n"/>
    </row>
    <row r="35" ht="13" customHeight="1" s="189">
      <c r="A35" s="289" t="n"/>
      <c r="B35" s="290" t="n"/>
      <c r="C35" s="290" t="n"/>
      <c r="D35" s="291" t="n"/>
      <c r="E35" s="290" t="n"/>
      <c r="F35" s="290" t="n"/>
    </row>
    <row r="36" ht="13" customHeight="1" s="189">
      <c r="A36" s="289" t="n"/>
      <c r="B36" s="290" t="n"/>
      <c r="C36" s="290" t="n"/>
      <c r="D36" s="291" t="n"/>
      <c r="E36" s="290" t="n"/>
      <c r="F36" s="290" t="n"/>
    </row>
    <row r="37" ht="13" customHeight="1" s="189">
      <c r="A37" s="289" t="n"/>
      <c r="B37" s="290" t="n"/>
      <c r="C37" s="290" t="n"/>
      <c r="D37" s="291" t="n"/>
      <c r="E37" s="290" t="n"/>
      <c r="F37" s="290" t="n"/>
    </row>
    <row r="38" ht="13" customHeight="1" s="189">
      <c r="A38" s="289" t="n"/>
      <c r="B38" s="290" t="n"/>
      <c r="C38" s="290" t="n"/>
      <c r="D38" s="291" t="n"/>
      <c r="E38" s="290" t="n"/>
      <c r="F38" s="290" t="n"/>
    </row>
    <row r="39" ht="13" customHeight="1" s="189">
      <c r="A39" s="289" t="n"/>
      <c r="B39" s="290" t="n"/>
      <c r="C39" s="290" t="n"/>
      <c r="D39" s="291" t="n"/>
      <c r="E39" s="290" t="n"/>
      <c r="F39" s="290" t="n"/>
    </row>
    <row r="40" ht="13" customHeight="1" s="189">
      <c r="A40" s="289" t="n"/>
      <c r="B40" s="290" t="n"/>
      <c r="C40" s="290" t="n"/>
      <c r="D40" s="291" t="n"/>
      <c r="E40" s="290" t="n"/>
      <c r="F40" s="290" t="n"/>
    </row>
    <row r="41" ht="13" customHeight="1" s="189">
      <c r="A41" s="289" t="n"/>
      <c r="B41" s="290" t="n"/>
      <c r="C41" s="290" t="n"/>
      <c r="D41" s="291" t="n"/>
      <c r="E41" s="290" t="n"/>
      <c r="F41" s="290" t="n"/>
    </row>
    <row r="42" ht="13" customHeight="1" s="189">
      <c r="A42" s="289" t="n"/>
      <c r="B42" s="290" t="n"/>
      <c r="C42" s="290" t="n"/>
      <c r="D42" s="291" t="n"/>
      <c r="E42" s="290" t="n"/>
      <c r="F42" s="290" t="n"/>
    </row>
    <row r="43" ht="13" customHeight="1" s="189">
      <c r="A43" s="289" t="n"/>
      <c r="B43" s="290" t="n"/>
      <c r="C43" s="290" t="n"/>
      <c r="D43" s="291" t="n"/>
      <c r="E43" s="290" t="n"/>
      <c r="F43" s="290" t="n"/>
    </row>
    <row r="44" ht="13" customHeight="1" s="189">
      <c r="A44" s="289" t="n"/>
      <c r="B44" s="290" t="n"/>
      <c r="C44" s="290" t="n"/>
      <c r="D44" s="291" t="n"/>
      <c r="E44" s="290" t="n"/>
      <c r="F44" s="290" t="n"/>
    </row>
    <row r="45" ht="13" customHeight="1" s="189">
      <c r="A45" s="289" t="n"/>
      <c r="B45" s="290" t="n"/>
      <c r="C45" s="290" t="n"/>
      <c r="D45" s="291" t="n"/>
      <c r="E45" s="290" t="n"/>
      <c r="F45" s="290" t="n"/>
    </row>
    <row r="46" ht="13" customHeight="1" s="189">
      <c r="A46" s="289" t="n"/>
      <c r="B46" s="290" t="n"/>
      <c r="C46" s="290" t="n"/>
      <c r="D46" s="291" t="n"/>
      <c r="E46" s="290" t="n"/>
      <c r="F46" s="290" t="n"/>
    </row>
    <row r="47" ht="13" customHeight="1" s="189">
      <c r="A47" s="289" t="n"/>
      <c r="B47" s="290" t="n"/>
      <c r="C47" s="290" t="n"/>
      <c r="D47" s="291" t="n"/>
      <c r="E47" s="290" t="n"/>
      <c r="F47" s="290" t="n"/>
    </row>
    <row r="48" ht="13" customHeight="1" s="189">
      <c r="A48" s="289" t="n"/>
      <c r="B48" s="290" t="n"/>
      <c r="C48" s="290" t="n"/>
      <c r="D48" s="291" t="n"/>
      <c r="E48" s="290" t="n"/>
      <c r="F48" s="290" t="n"/>
    </row>
    <row r="49" ht="13" customHeight="1" s="189">
      <c r="A49" s="289" t="n"/>
      <c r="B49" s="290" t="n"/>
      <c r="C49" s="290" t="n"/>
      <c r="D49" s="291" t="n"/>
      <c r="E49" s="290" t="n"/>
      <c r="F49" s="290" t="n"/>
    </row>
    <row r="50" ht="13" customHeight="1" s="189">
      <c r="A50" s="289" t="n"/>
      <c r="B50" s="290" t="n"/>
      <c r="C50" s="290" t="n"/>
      <c r="D50" s="291" t="n"/>
      <c r="E50" s="290" t="n"/>
      <c r="F50" s="290" t="n"/>
    </row>
    <row r="51" ht="13" customHeight="1" s="189">
      <c r="A51" s="289" t="n"/>
      <c r="B51" s="290" t="n"/>
      <c r="C51" s="290" t="n"/>
      <c r="D51" s="291" t="n"/>
      <c r="E51" s="290" t="n"/>
      <c r="F51" s="290" t="n"/>
    </row>
    <row r="52" ht="13" customHeight="1" s="189">
      <c r="A52" s="289" t="n"/>
      <c r="B52" s="290" t="n"/>
      <c r="C52" s="290" t="n"/>
      <c r="D52" s="291" t="n"/>
      <c r="E52" s="290" t="n"/>
      <c r="F52" s="290" t="n"/>
    </row>
    <row r="53" ht="13" customHeight="1" s="189">
      <c r="A53" s="289" t="n"/>
      <c r="B53" s="290" t="n"/>
      <c r="C53" s="290" t="n"/>
      <c r="D53" s="291" t="n"/>
      <c r="E53" s="290" t="n"/>
      <c r="F53" s="290" t="n"/>
    </row>
    <row r="54" ht="13" customHeight="1" s="189">
      <c r="A54" s="289" t="n"/>
      <c r="B54" s="290" t="n"/>
      <c r="C54" s="290" t="n"/>
      <c r="D54" s="291" t="n"/>
      <c r="E54" s="290" t="n"/>
      <c r="F54" s="290" t="n"/>
    </row>
    <row r="55" ht="13" customHeight="1" s="189">
      <c r="A55" s="289" t="n"/>
      <c r="B55" s="290" t="n"/>
      <c r="C55" s="290" t="n"/>
      <c r="D55" s="291" t="n"/>
      <c r="E55" s="290" t="n"/>
      <c r="F55" s="290" t="n"/>
    </row>
    <row r="56" ht="13" customHeight="1" s="189">
      <c r="A56" s="289" t="n"/>
      <c r="B56" s="290" t="n"/>
      <c r="C56" s="290" t="n"/>
      <c r="D56" s="291" t="n"/>
      <c r="E56" s="290" t="n"/>
      <c r="F56" s="290" t="n"/>
    </row>
    <row r="57" ht="13" customHeight="1" s="189">
      <c r="A57" s="289" t="n"/>
      <c r="B57" s="290" t="n"/>
      <c r="C57" s="290" t="n"/>
      <c r="D57" s="291" t="n"/>
      <c r="E57" s="290" t="n"/>
      <c r="F57" s="290" t="n"/>
    </row>
    <row r="58" ht="13" customHeight="1" s="189">
      <c r="A58" s="289" t="n"/>
      <c r="B58" s="290" t="n"/>
      <c r="C58" s="290" t="n"/>
      <c r="D58" s="291" t="n"/>
      <c r="E58" s="290" t="n"/>
      <c r="F58" s="290" t="n"/>
    </row>
    <row r="59" ht="13" customHeight="1" s="189">
      <c r="A59" s="289" t="n"/>
      <c r="B59" s="290" t="n"/>
      <c r="C59" s="290" t="n"/>
      <c r="D59" s="291" t="n"/>
      <c r="E59" s="290" t="n"/>
      <c r="F59" s="290" t="n"/>
    </row>
    <row r="60" ht="13" customHeight="1" s="189">
      <c r="A60" s="289" t="n"/>
      <c r="B60" s="290" t="n"/>
      <c r="C60" s="290" t="n"/>
      <c r="D60" s="291" t="n"/>
      <c r="E60" s="290" t="n"/>
      <c r="F60" s="290" t="n"/>
    </row>
    <row r="61" ht="13" customHeight="1" s="189">
      <c r="A61" s="289" t="n"/>
      <c r="B61" s="290" t="n"/>
      <c r="C61" s="290" t="n"/>
      <c r="D61" s="291" t="n"/>
      <c r="E61" s="290" t="n"/>
      <c r="F61" s="290" t="n"/>
    </row>
    <row r="62" ht="13" customHeight="1" s="189">
      <c r="A62" s="289" t="n"/>
      <c r="B62" s="290" t="n"/>
      <c r="C62" s="290" t="n"/>
      <c r="D62" s="291" t="n"/>
      <c r="E62" s="290" t="n"/>
      <c r="F62" s="290" t="n"/>
    </row>
    <row r="63" ht="13" customHeight="1" s="189">
      <c r="A63" s="289" t="n"/>
      <c r="B63" s="290" t="n"/>
      <c r="C63" s="290" t="n"/>
      <c r="D63" s="291" t="n"/>
      <c r="E63" s="290" t="n"/>
      <c r="F63" s="290" t="n"/>
    </row>
    <row r="64" ht="13" customHeight="1" s="189">
      <c r="A64" s="289" t="n"/>
      <c r="B64" s="290" t="n"/>
      <c r="C64" s="290" t="n"/>
      <c r="D64" s="291" t="n"/>
      <c r="E64" s="290" t="n"/>
      <c r="F64" s="290" t="n"/>
    </row>
    <row r="65" ht="13" customHeight="1" s="189">
      <c r="A65" s="289" t="n"/>
      <c r="B65" s="290" t="n"/>
      <c r="C65" s="290" t="n"/>
      <c r="D65" s="291" t="n"/>
      <c r="E65" s="290" t="n"/>
      <c r="F65" s="290" t="n"/>
    </row>
    <row r="66" ht="13" customHeight="1" s="189">
      <c r="A66" s="289" t="n"/>
      <c r="B66" s="290" t="n"/>
      <c r="C66" s="290" t="n"/>
      <c r="D66" s="291" t="n"/>
      <c r="E66" s="290" t="n"/>
      <c r="F66" s="290" t="n"/>
    </row>
    <row r="67" ht="13" customHeight="1" s="189">
      <c r="A67" s="289" t="n"/>
      <c r="B67" s="290" t="n"/>
      <c r="C67" s="290" t="n"/>
      <c r="D67" s="291" t="n"/>
      <c r="E67" s="290" t="n"/>
      <c r="F67" s="290" t="n"/>
    </row>
    <row r="68" ht="13" customHeight="1" s="189">
      <c r="A68" s="289" t="n"/>
      <c r="B68" s="290" t="n"/>
      <c r="C68" s="290" t="n"/>
      <c r="D68" s="291" t="n"/>
      <c r="E68" s="290" t="n"/>
      <c r="F68" s="290" t="n"/>
    </row>
    <row r="69" ht="13" customHeight="1" s="189">
      <c r="A69" s="289" t="n"/>
      <c r="B69" s="290" t="n"/>
      <c r="C69" s="290" t="n"/>
      <c r="D69" s="291" t="n"/>
      <c r="E69" s="290" t="n"/>
      <c r="F69" s="290" t="n"/>
    </row>
    <row r="70" ht="13" customHeight="1" s="189">
      <c r="A70" s="289" t="n"/>
      <c r="B70" s="290" t="n"/>
      <c r="C70" s="290" t="n"/>
      <c r="D70" s="291" t="n"/>
      <c r="E70" s="290" t="n"/>
      <c r="F70" s="290" t="n"/>
    </row>
    <row r="71" ht="13" customHeight="1" s="189">
      <c r="A71" s="289" t="n"/>
      <c r="B71" s="290" t="n"/>
      <c r="C71" s="290" t="n"/>
      <c r="D71" s="291" t="n"/>
      <c r="E71" s="290" t="n"/>
      <c r="F71" s="290" t="n"/>
    </row>
    <row r="72" ht="13" customHeight="1" s="189">
      <c r="A72" s="289" t="n"/>
      <c r="B72" s="290" t="n"/>
      <c r="C72" s="290" t="n"/>
      <c r="D72" s="291" t="n"/>
      <c r="E72" s="290" t="n"/>
      <c r="F72" s="290" t="n"/>
    </row>
    <row r="73" ht="13" customHeight="1" s="189">
      <c r="A73" s="289" t="n"/>
      <c r="B73" s="290" t="n"/>
      <c r="C73" s="290" t="n"/>
      <c r="D73" s="291" t="n"/>
      <c r="E73" s="290" t="n"/>
      <c r="F73" s="290" t="n"/>
    </row>
    <row r="74" ht="13" customHeight="1" s="189">
      <c r="A74" s="289" t="n"/>
      <c r="B74" s="290" t="n"/>
      <c r="C74" s="290" t="n"/>
      <c r="D74" s="291" t="n"/>
      <c r="E74" s="290" t="n"/>
      <c r="F74" s="290" t="n"/>
    </row>
    <row r="75" ht="13" customHeight="1" s="189">
      <c r="A75" s="289" t="n"/>
      <c r="B75" s="290" t="n"/>
      <c r="C75" s="290" t="n"/>
      <c r="D75" s="291" t="n"/>
      <c r="E75" s="290" t="n"/>
      <c r="F75" s="290" t="n"/>
    </row>
    <row r="76" ht="13" customHeight="1" s="189">
      <c r="A76" s="289" t="n"/>
      <c r="B76" s="290" t="n"/>
      <c r="C76" s="290" t="n"/>
      <c r="D76" s="291" t="n"/>
      <c r="E76" s="290" t="n"/>
      <c r="F76" s="290" t="n"/>
    </row>
    <row r="77" ht="13" customHeight="1" s="189">
      <c r="A77" s="289" t="n"/>
      <c r="B77" s="290" t="n"/>
      <c r="C77" s="290" t="n"/>
      <c r="D77" s="291" t="n"/>
      <c r="E77" s="290" t="n"/>
      <c r="F77" s="290" t="n"/>
    </row>
    <row r="78" ht="13" customHeight="1" s="189">
      <c r="A78" s="289" t="n"/>
      <c r="B78" s="290" t="n"/>
      <c r="C78" s="290" t="n"/>
      <c r="D78" s="291" t="n"/>
      <c r="E78" s="290" t="n"/>
      <c r="F78" s="290" t="n"/>
    </row>
    <row r="79" ht="13" customHeight="1" s="189">
      <c r="A79" s="289" t="n"/>
      <c r="B79" s="290" t="n"/>
      <c r="C79" s="290" t="n"/>
      <c r="D79" s="291" t="n"/>
      <c r="E79" s="290" t="n"/>
      <c r="F79" s="290" t="n"/>
    </row>
    <row r="80" ht="13" customHeight="1" s="189">
      <c r="A80" s="289" t="n"/>
      <c r="B80" s="290" t="n"/>
      <c r="C80" s="290" t="n"/>
      <c r="D80" s="291" t="n"/>
      <c r="E80" s="290" t="n"/>
      <c r="F80" s="290" t="n"/>
    </row>
    <row r="81" ht="13" customHeight="1" s="189">
      <c r="A81" s="289" t="n"/>
      <c r="B81" s="290" t="n"/>
      <c r="C81" s="290" t="n"/>
      <c r="D81" s="291" t="n"/>
      <c r="E81" s="290" t="n"/>
      <c r="F81" s="290" t="n"/>
    </row>
    <row r="82" ht="13" customHeight="1" s="189">
      <c r="A82" s="289" t="n"/>
      <c r="B82" s="290" t="n"/>
      <c r="C82" s="290" t="n"/>
      <c r="D82" s="291" t="n"/>
      <c r="E82" s="290" t="n"/>
      <c r="F82" s="290" t="n"/>
    </row>
    <row r="83" ht="13" customHeight="1" s="189">
      <c r="A83" s="289" t="n"/>
      <c r="B83" s="290" t="n"/>
      <c r="C83" s="290" t="n"/>
      <c r="D83" s="291" t="n"/>
      <c r="E83" s="290" t="n"/>
      <c r="F83" s="290" t="n"/>
    </row>
    <row r="84" ht="13" customHeight="1" s="189">
      <c r="A84" s="289" t="n"/>
      <c r="B84" s="290" t="n"/>
      <c r="C84" s="290" t="n"/>
      <c r="D84" s="291" t="n"/>
      <c r="E84" s="290" t="n"/>
      <c r="F84" s="290" t="n"/>
    </row>
    <row r="85" ht="13" customHeight="1" s="189">
      <c r="A85" s="289" t="n"/>
      <c r="B85" s="290" t="n"/>
      <c r="C85" s="290" t="n"/>
      <c r="D85" s="291" t="n"/>
      <c r="E85" s="290" t="n"/>
      <c r="F85" s="290" t="n"/>
    </row>
    <row r="86" ht="13" customHeight="1" s="189">
      <c r="A86" s="289" t="n"/>
      <c r="B86" s="290" t="n"/>
      <c r="C86" s="290" t="n"/>
      <c r="D86" s="291" t="n"/>
      <c r="E86" s="290" t="n"/>
      <c r="F86" s="290" t="n"/>
    </row>
    <row r="87" ht="13" customHeight="1" s="189">
      <c r="A87" s="289" t="n"/>
      <c r="B87" s="290" t="n"/>
      <c r="C87" s="290" t="n"/>
      <c r="D87" s="291" t="n"/>
      <c r="E87" s="290" t="n"/>
      <c r="F87" s="290" t="n"/>
    </row>
    <row r="88" ht="13" customHeight="1" s="189">
      <c r="A88" s="289" t="n"/>
      <c r="B88" s="290" t="n"/>
      <c r="C88" s="290" t="n"/>
      <c r="D88" s="291" t="n"/>
      <c r="E88" s="290" t="n"/>
      <c r="F88" s="290" t="n"/>
    </row>
    <row r="89" ht="13" customHeight="1" s="189">
      <c r="A89" s="289" t="n"/>
      <c r="B89" s="290" t="n"/>
      <c r="C89" s="290" t="n"/>
      <c r="D89" s="291" t="n"/>
      <c r="E89" s="290" t="n"/>
      <c r="F89" s="290" t="n"/>
    </row>
    <row r="90" ht="13" customHeight="1" s="189">
      <c r="A90" s="289" t="n"/>
      <c r="B90" s="290" t="n"/>
      <c r="C90" s="290" t="n"/>
      <c r="D90" s="291" t="n"/>
      <c r="E90" s="290" t="n"/>
      <c r="F90" s="290" t="n"/>
    </row>
    <row r="91" ht="13" customHeight="1" s="189">
      <c r="A91" s="289" t="n"/>
      <c r="B91" s="290" t="n"/>
      <c r="C91" s="290" t="n"/>
      <c r="D91" s="291" t="n"/>
      <c r="E91" s="290" t="n"/>
      <c r="F91" s="290" t="n"/>
    </row>
    <row r="92" ht="13" customHeight="1" s="189">
      <c r="A92" s="289" t="n"/>
      <c r="B92" s="290" t="n"/>
      <c r="C92" s="290" t="n"/>
      <c r="D92" s="291" t="n"/>
      <c r="E92" s="290" t="n"/>
      <c r="F92" s="290" t="n"/>
    </row>
    <row r="93" ht="13" customHeight="1" s="189">
      <c r="A93" s="289" t="n"/>
      <c r="B93" s="290" t="n"/>
      <c r="C93" s="290" t="n"/>
      <c r="D93" s="291" t="n"/>
      <c r="E93" s="290" t="n"/>
      <c r="F93" s="290" t="n"/>
    </row>
    <row r="94" ht="13" customHeight="1" s="189">
      <c r="A94" s="289" t="n"/>
      <c r="B94" s="290" t="n"/>
      <c r="C94" s="290" t="n"/>
      <c r="D94" s="291" t="n"/>
      <c r="E94" s="290" t="n"/>
      <c r="F94" s="290" t="n"/>
    </row>
    <row r="95" ht="13" customHeight="1" s="189">
      <c r="A95" s="289" t="n"/>
      <c r="B95" s="290" t="n"/>
      <c r="C95" s="290" t="n"/>
      <c r="D95" s="291" t="n"/>
      <c r="E95" s="290" t="n"/>
      <c r="F95" s="290" t="n"/>
    </row>
    <row r="96" ht="13" customHeight="1" s="189">
      <c r="A96" s="289" t="n"/>
      <c r="B96" s="290" t="n"/>
      <c r="C96" s="290" t="n"/>
      <c r="D96" s="291" t="n"/>
      <c r="E96" s="290" t="n"/>
      <c r="F96" s="290" t="n"/>
    </row>
    <row r="97" ht="13" customHeight="1" s="189">
      <c r="A97" s="289" t="n"/>
      <c r="B97" s="290" t="n"/>
      <c r="C97" s="290" t="n"/>
      <c r="D97" s="291" t="n"/>
      <c r="E97" s="290" t="n"/>
      <c r="F97" s="290" t="n"/>
    </row>
    <row r="98" ht="13" customHeight="1" s="189">
      <c r="A98" s="289" t="n"/>
      <c r="B98" s="290" t="n"/>
      <c r="C98" s="290" t="n"/>
      <c r="D98" s="291" t="n"/>
      <c r="E98" s="290" t="n"/>
      <c r="F98" s="290" t="n"/>
    </row>
    <row r="99" ht="13" customHeight="1" s="189">
      <c r="A99" s="289" t="n"/>
      <c r="B99" s="290" t="n"/>
      <c r="C99" s="290" t="n"/>
      <c r="D99" s="291" t="n"/>
      <c r="E99" s="290" t="n"/>
      <c r="F99" s="290" t="n"/>
    </row>
    <row r="100" ht="13" customHeight="1" s="189">
      <c r="A100" s="289" t="n"/>
      <c r="B100" s="290" t="n"/>
      <c r="C100" s="290" t="n"/>
      <c r="D100" s="291" t="n"/>
      <c r="E100" s="290" t="n"/>
      <c r="F100" s="290" t="n"/>
    </row>
    <row r="101" ht="13" customHeight="1" s="189">
      <c r="A101" s="289" t="n"/>
      <c r="B101" s="290" t="n"/>
      <c r="C101" s="290" t="n"/>
      <c r="D101" s="291" t="n"/>
      <c r="E101" s="290" t="n"/>
      <c r="F101" s="290" t="n"/>
    </row>
    <row r="102" ht="13" customHeight="1" s="189">
      <c r="A102" s="289" t="n"/>
      <c r="B102" s="290" t="n"/>
      <c r="C102" s="290" t="n"/>
      <c r="D102" s="291" t="n"/>
      <c r="E102" s="290" t="n"/>
      <c r="F102" s="290" t="n"/>
    </row>
    <row r="103" ht="13" customHeight="1" s="189">
      <c r="A103" s="289" t="n"/>
      <c r="B103" s="290" t="n"/>
      <c r="C103" s="290" t="n"/>
      <c r="D103" s="291" t="n"/>
      <c r="E103" s="290" t="n"/>
      <c r="F103" s="290" t="n"/>
    </row>
    <row r="104" ht="13" customHeight="1" s="189">
      <c r="A104" s="289" t="n"/>
      <c r="B104" s="290" t="n"/>
      <c r="C104" s="290" t="n"/>
      <c r="D104" s="291" t="n"/>
      <c r="E104" s="290" t="n"/>
      <c r="F104" s="290" t="n"/>
    </row>
    <row r="105" ht="13" customHeight="1" s="189">
      <c r="A105" s="289" t="n"/>
      <c r="B105" s="290" t="n"/>
      <c r="C105" s="290" t="n"/>
      <c r="D105" s="291" t="n"/>
      <c r="E105" s="290" t="n"/>
      <c r="F105" s="290" t="n"/>
    </row>
    <row r="106" ht="13" customHeight="1" s="189">
      <c r="A106" s="289" t="n"/>
      <c r="B106" s="290" t="n"/>
      <c r="C106" s="290" t="n"/>
      <c r="D106" s="291" t="n"/>
      <c r="E106" s="290" t="n"/>
      <c r="F106" s="290" t="n"/>
    </row>
    <row r="107" ht="13" customHeight="1" s="189">
      <c r="A107" s="289" t="n"/>
      <c r="B107" s="290" t="n"/>
      <c r="C107" s="290" t="n"/>
      <c r="D107" s="291" t="n"/>
      <c r="E107" s="290" t="n"/>
      <c r="F107" s="290" t="n"/>
    </row>
    <row r="108" ht="13" customHeight="1" s="189">
      <c r="A108" s="289" t="n"/>
      <c r="B108" s="290" t="n"/>
      <c r="C108" s="290" t="n"/>
      <c r="D108" s="291" t="n"/>
      <c r="E108" s="290" t="n"/>
      <c r="F108" s="290" t="n"/>
    </row>
    <row r="109" ht="13" customHeight="1" s="189">
      <c r="A109" s="289" t="n"/>
      <c r="B109" s="290" t="n"/>
      <c r="C109" s="290" t="n"/>
      <c r="D109" s="291" t="n"/>
      <c r="E109" s="290" t="n"/>
      <c r="F109" s="290" t="n"/>
    </row>
    <row r="110" ht="13" customHeight="1" s="189">
      <c r="A110" s="289" t="n"/>
      <c r="B110" s="290" t="n"/>
      <c r="C110" s="290" t="n"/>
      <c r="D110" s="291" t="n"/>
      <c r="E110" s="290" t="n"/>
      <c r="F110" s="290" t="n"/>
    </row>
    <row r="111" ht="13" customHeight="1" s="189">
      <c r="A111" s="289" t="n"/>
      <c r="B111" s="290" t="n"/>
      <c r="C111" s="290" t="n"/>
      <c r="D111" s="291" t="n"/>
      <c r="E111" s="290" t="n"/>
      <c r="F111" s="290" t="n"/>
    </row>
    <row r="112" ht="13" customHeight="1" s="189">
      <c r="A112" s="289" t="n"/>
      <c r="B112" s="290" t="n"/>
      <c r="C112" s="290" t="n"/>
      <c r="D112" s="291" t="n"/>
      <c r="E112" s="290" t="n"/>
      <c r="F112" s="290" t="n"/>
    </row>
    <row r="113" ht="13" customHeight="1" s="189">
      <c r="A113" s="289" t="n"/>
      <c r="B113" s="290" t="n"/>
      <c r="C113" s="290" t="n"/>
      <c r="D113" s="291" t="n"/>
      <c r="E113" s="290" t="n"/>
      <c r="F113" s="290" t="n"/>
    </row>
    <row r="114" ht="13" customHeight="1" s="189">
      <c r="A114" s="289" t="n"/>
      <c r="B114" s="290" t="n"/>
      <c r="C114" s="290" t="n"/>
      <c r="D114" s="291" t="n"/>
      <c r="E114" s="290" t="n"/>
      <c r="F114" s="290" t="n"/>
    </row>
    <row r="115" ht="13" customHeight="1" s="189">
      <c r="A115" s="289" t="n"/>
      <c r="B115" s="290" t="n"/>
      <c r="C115" s="290" t="n"/>
      <c r="D115" s="291" t="n"/>
      <c r="E115" s="290" t="n"/>
      <c r="F115" s="290" t="n"/>
    </row>
    <row r="116" ht="13" customHeight="1" s="189">
      <c r="A116" s="289" t="n"/>
      <c r="B116" s="290" t="n"/>
      <c r="C116" s="290" t="n"/>
      <c r="D116" s="291" t="n"/>
      <c r="E116" s="290" t="n"/>
      <c r="F116" s="290" t="n"/>
    </row>
    <row r="117" ht="13" customHeight="1" s="189">
      <c r="A117" s="289" t="n"/>
      <c r="B117" s="290" t="n"/>
      <c r="C117" s="290" t="n"/>
      <c r="D117" s="291" t="n"/>
      <c r="E117" s="290" t="n"/>
      <c r="F117" s="290" t="n"/>
    </row>
    <row r="118" ht="13" customHeight="1" s="189">
      <c r="A118" s="289" t="n"/>
      <c r="B118" s="290" t="n"/>
      <c r="C118" s="290" t="n"/>
      <c r="D118" s="291" t="n"/>
      <c r="E118" s="290" t="n"/>
      <c r="F118" s="290" t="n"/>
    </row>
    <row r="119" ht="13" customHeight="1" s="189">
      <c r="A119" s="289" t="n"/>
      <c r="B119" s="290" t="n"/>
      <c r="C119" s="290" t="n"/>
      <c r="D119" s="291" t="n"/>
      <c r="E119" s="290" t="n"/>
      <c r="F119" s="290" t="n"/>
    </row>
    <row r="120" ht="13" customHeight="1" s="189">
      <c r="A120" s="289" t="n"/>
      <c r="B120" s="290" t="n"/>
      <c r="C120" s="290" t="n"/>
      <c r="D120" s="291" t="n"/>
      <c r="E120" s="290" t="n"/>
      <c r="F120" s="290" t="n"/>
    </row>
    <row r="121" ht="13" customHeight="1" s="189">
      <c r="A121" s="289" t="n"/>
      <c r="B121" s="290" t="n"/>
      <c r="C121" s="290" t="n"/>
      <c r="D121" s="291" t="n"/>
      <c r="E121" s="290" t="n"/>
      <c r="F121" s="290" t="n"/>
    </row>
    <row r="122" ht="13" customHeight="1" s="189">
      <c r="A122" s="289" t="n"/>
      <c r="B122" s="290" t="n"/>
      <c r="C122" s="290" t="n"/>
      <c r="D122" s="291" t="n"/>
      <c r="E122" s="290" t="n"/>
      <c r="F122" s="290" t="n"/>
    </row>
    <row r="123" ht="13" customHeight="1" s="189">
      <c r="A123" s="289" t="n"/>
      <c r="B123" s="290" t="n"/>
      <c r="C123" s="290" t="n"/>
      <c r="D123" s="291" t="n"/>
      <c r="E123" s="290" t="n"/>
      <c r="F123" s="290" t="n"/>
    </row>
    <row r="124" ht="13" customHeight="1" s="189">
      <c r="A124" s="289" t="n"/>
      <c r="B124" s="290" t="n"/>
      <c r="C124" s="290" t="n"/>
      <c r="D124" s="291" t="n"/>
      <c r="E124" s="290" t="n"/>
      <c r="F124" s="290" t="n"/>
    </row>
    <row r="125" ht="13" customHeight="1" s="189">
      <c r="A125" s="289" t="n"/>
      <c r="B125" s="290" t="n"/>
      <c r="C125" s="290" t="n"/>
      <c r="D125" s="291" t="n"/>
      <c r="E125" s="290" t="n"/>
      <c r="F125" s="290" t="n"/>
    </row>
    <row r="126" ht="13" customHeight="1" s="189">
      <c r="A126" s="289" t="n"/>
      <c r="B126" s="290" t="n"/>
      <c r="C126" s="290" t="n"/>
      <c r="D126" s="291" t="n"/>
      <c r="E126" s="290" t="n"/>
      <c r="F126" s="290" t="n"/>
    </row>
    <row r="127" ht="13" customHeight="1" s="189">
      <c r="A127" s="289" t="n"/>
      <c r="B127" s="290" t="n"/>
      <c r="C127" s="290" t="n"/>
      <c r="D127" s="291" t="n"/>
      <c r="E127" s="290" t="n"/>
      <c r="F127" s="290" t="n"/>
    </row>
    <row r="128" ht="13" customHeight="1" s="189">
      <c r="A128" s="289" t="n"/>
      <c r="B128" s="290" t="n"/>
      <c r="C128" s="290" t="n"/>
      <c r="D128" s="291" t="n"/>
      <c r="E128" s="290" t="n"/>
      <c r="F128" s="290" t="n"/>
    </row>
    <row r="129" ht="13" customHeight="1" s="189">
      <c r="A129" s="289" t="n"/>
      <c r="B129" s="290" t="n"/>
      <c r="C129" s="290" t="n"/>
      <c r="D129" s="291" t="n"/>
      <c r="E129" s="290" t="n"/>
      <c r="F129" s="290" t="n"/>
    </row>
    <row r="130" ht="13" customHeight="1" s="189">
      <c r="A130" s="289" t="n"/>
      <c r="B130" s="290" t="n"/>
      <c r="C130" s="290" t="n"/>
      <c r="D130" s="291" t="n"/>
      <c r="E130" s="290" t="n"/>
      <c r="F130" s="290" t="n"/>
    </row>
    <row r="131" ht="13" customHeight="1" s="189">
      <c r="A131" s="289" t="n"/>
      <c r="B131" s="290" t="n"/>
      <c r="C131" s="290" t="n"/>
      <c r="D131" s="291" t="n"/>
      <c r="E131" s="290" t="n"/>
      <c r="F131" s="290" t="n"/>
    </row>
    <row r="132" ht="13" customHeight="1" s="189">
      <c r="A132" s="289" t="n"/>
      <c r="B132" s="290" t="n"/>
      <c r="C132" s="290" t="n"/>
      <c r="D132" s="291" t="n"/>
      <c r="E132" s="290" t="n"/>
      <c r="F132" s="290" t="n"/>
    </row>
    <row r="133" ht="13" customHeight="1" s="189">
      <c r="A133" s="289" t="n"/>
      <c r="B133" s="290" t="n"/>
      <c r="C133" s="290" t="n"/>
      <c r="D133" s="291" t="n"/>
      <c r="E133" s="290" t="n"/>
      <c r="F133" s="290" t="n"/>
    </row>
    <row r="134" ht="13" customHeight="1" s="189">
      <c r="A134" s="289" t="n"/>
      <c r="B134" s="290" t="n"/>
      <c r="C134" s="290" t="n"/>
      <c r="D134" s="291" t="n"/>
      <c r="E134" s="290" t="n"/>
      <c r="F134" s="290" t="n"/>
    </row>
    <row r="135" ht="13" customHeight="1" s="189">
      <c r="A135" s="289" t="n"/>
      <c r="B135" s="290" t="n"/>
      <c r="C135" s="290" t="n"/>
      <c r="D135" s="291" t="n"/>
      <c r="E135" s="290" t="n"/>
      <c r="F135" s="290" t="n"/>
    </row>
    <row r="136" ht="13" customHeight="1" s="189">
      <c r="A136" s="289" t="n"/>
      <c r="B136" s="290" t="n"/>
      <c r="C136" s="290" t="n"/>
      <c r="D136" s="291" t="n"/>
      <c r="E136" s="290" t="n"/>
      <c r="F136" s="290" t="n"/>
    </row>
    <row r="137" ht="13" customHeight="1" s="189">
      <c r="A137" s="289" t="n"/>
      <c r="B137" s="290" t="n"/>
      <c r="C137" s="290" t="n"/>
      <c r="D137" s="291" t="n"/>
      <c r="E137" s="290" t="n"/>
      <c r="F137" s="290" t="n"/>
    </row>
    <row r="138" ht="13" customHeight="1" s="189">
      <c r="A138" s="289" t="n"/>
      <c r="B138" s="290" t="n"/>
      <c r="C138" s="290" t="n"/>
      <c r="D138" s="291" t="n"/>
      <c r="E138" s="290" t="n"/>
      <c r="F138" s="290" t="n"/>
    </row>
    <row r="139" ht="13" customHeight="1" s="189">
      <c r="A139" s="289" t="n"/>
      <c r="B139" s="290" t="n"/>
      <c r="C139" s="290" t="n"/>
      <c r="D139" s="291" t="n"/>
      <c r="E139" s="290" t="n"/>
      <c r="F139" s="290" t="n"/>
    </row>
    <row r="140" ht="13" customHeight="1" s="189">
      <c r="A140" s="289" t="n"/>
      <c r="B140" s="290" t="n"/>
      <c r="C140" s="290" t="n"/>
      <c r="D140" s="291" t="n"/>
      <c r="E140" s="290" t="n"/>
      <c r="F140" s="290" t="n"/>
    </row>
    <row r="141" ht="13" customHeight="1" s="189">
      <c r="A141" s="289" t="n"/>
      <c r="B141" s="290" t="n"/>
      <c r="C141" s="290" t="n"/>
      <c r="D141" s="291" t="n"/>
      <c r="E141" s="290" t="n"/>
      <c r="F141" s="290" t="n"/>
    </row>
    <row r="142" ht="13" customHeight="1" s="189">
      <c r="A142" s="289" t="n"/>
      <c r="B142" s="290" t="n"/>
      <c r="C142" s="290" t="n"/>
      <c r="D142" s="291" t="n"/>
      <c r="E142" s="290" t="n"/>
      <c r="F142" s="290" t="n"/>
    </row>
    <row r="143" ht="13" customHeight="1" s="189">
      <c r="A143" s="289" t="n"/>
      <c r="B143" s="290" t="n"/>
      <c r="C143" s="290" t="n"/>
      <c r="D143" s="291" t="n"/>
      <c r="E143" s="290" t="n"/>
      <c r="F143" s="290" t="n"/>
    </row>
    <row r="144" ht="13" customHeight="1" s="189">
      <c r="A144" s="289" t="n"/>
      <c r="B144" s="290" t="n"/>
      <c r="C144" s="290" t="n"/>
      <c r="D144" s="291" t="n"/>
      <c r="E144" s="290" t="n"/>
      <c r="F144" s="290" t="n"/>
    </row>
    <row r="145" ht="13" customHeight="1" s="189">
      <c r="A145" s="289" t="n"/>
      <c r="B145" s="290" t="n"/>
      <c r="C145" s="290" t="n"/>
      <c r="D145" s="291" t="n"/>
      <c r="E145" s="290" t="n"/>
      <c r="F145" s="290" t="n"/>
    </row>
    <row r="146" ht="13" customHeight="1" s="189">
      <c r="A146" s="289" t="n"/>
      <c r="B146" s="290" t="n"/>
      <c r="C146" s="290" t="n"/>
      <c r="D146" s="291" t="n"/>
      <c r="E146" s="290" t="n"/>
      <c r="F146" s="290" t="n"/>
    </row>
    <row r="147" ht="13" customHeight="1" s="189">
      <c r="A147" s="289" t="n"/>
      <c r="B147" s="290" t="n"/>
      <c r="C147" s="290" t="n"/>
      <c r="D147" s="291" t="n"/>
      <c r="E147" s="290" t="n"/>
      <c r="F147" s="290" t="n"/>
    </row>
    <row r="148" ht="13" customHeight="1" s="189">
      <c r="A148" s="289" t="n"/>
      <c r="B148" s="290" t="n"/>
      <c r="C148" s="290" t="n"/>
      <c r="D148" s="291" t="n"/>
      <c r="E148" s="290" t="n"/>
      <c r="F148" s="290" t="n"/>
    </row>
    <row r="149" ht="13" customHeight="1" s="189">
      <c r="A149" s="289" t="n"/>
      <c r="B149" s="290" t="n"/>
      <c r="C149" s="290" t="n"/>
      <c r="D149" s="291" t="n"/>
      <c r="E149" s="290" t="n"/>
      <c r="F149" s="290" t="n"/>
    </row>
    <row r="150" ht="13" customHeight="1" s="189">
      <c r="A150" s="289" t="n"/>
      <c r="B150" s="290" t="n"/>
      <c r="C150" s="290" t="n"/>
      <c r="D150" s="291" t="n"/>
      <c r="E150" s="290" t="n"/>
      <c r="F150" s="290" t="n"/>
    </row>
    <row r="151" ht="13" customHeight="1" s="189">
      <c r="A151" s="289" t="n"/>
      <c r="B151" s="290" t="n"/>
      <c r="C151" s="290" t="n"/>
      <c r="D151" s="291" t="n"/>
      <c r="E151" s="290" t="n"/>
      <c r="F151" s="290" t="n"/>
    </row>
    <row r="152" ht="13" customHeight="1" s="189">
      <c r="A152" s="289" t="n"/>
      <c r="B152" s="290" t="n"/>
      <c r="C152" s="290" t="n"/>
      <c r="D152" s="291" t="n"/>
      <c r="E152" s="290" t="n"/>
      <c r="F152" s="290" t="n"/>
    </row>
    <row r="153" ht="13" customHeight="1" s="189">
      <c r="A153" s="289" t="n"/>
      <c r="B153" s="290" t="n"/>
      <c r="C153" s="290" t="n"/>
      <c r="D153" s="291" t="n"/>
      <c r="E153" s="290" t="n"/>
      <c r="F153" s="290" t="n"/>
    </row>
    <row r="154" ht="13" customHeight="1" s="189">
      <c r="A154" s="289" t="n"/>
      <c r="B154" s="290" t="n"/>
      <c r="C154" s="290" t="n"/>
      <c r="D154" s="291" t="n"/>
      <c r="E154" s="290" t="n"/>
      <c r="F154" s="290" t="n"/>
    </row>
    <row r="155" ht="13" customHeight="1" s="189">
      <c r="A155" s="289" t="n"/>
      <c r="B155" s="290" t="n"/>
      <c r="C155" s="290" t="n"/>
      <c r="D155" s="291" t="n"/>
      <c r="E155" s="290" t="n"/>
      <c r="F155" s="290" t="n"/>
    </row>
    <row r="156" ht="13" customHeight="1" s="189">
      <c r="A156" s="289" t="n"/>
      <c r="B156" s="290" t="n"/>
      <c r="C156" s="290" t="n"/>
      <c r="D156" s="291" t="n"/>
      <c r="E156" s="290" t="n"/>
      <c r="F156" s="290" t="n"/>
    </row>
    <row r="157" ht="13" customHeight="1" s="189">
      <c r="A157" s="289" t="n"/>
      <c r="B157" s="290" t="n"/>
      <c r="C157" s="290" t="n"/>
      <c r="D157" s="291" t="n"/>
      <c r="E157" s="290" t="n"/>
      <c r="F157" s="290" t="n"/>
    </row>
    <row r="158" ht="13" customHeight="1" s="189">
      <c r="A158" s="289" t="n"/>
      <c r="B158" s="290" t="n"/>
      <c r="C158" s="290" t="n"/>
      <c r="D158" s="291" t="n"/>
      <c r="E158" s="290" t="n"/>
      <c r="F158" s="290" t="n"/>
    </row>
    <row r="159" ht="13" customHeight="1" s="189">
      <c r="A159" s="289" t="n"/>
      <c r="B159" s="290" t="n"/>
      <c r="C159" s="290" t="n"/>
      <c r="D159" s="291" t="n"/>
      <c r="E159" s="290" t="n"/>
      <c r="F159" s="290" t="n"/>
    </row>
    <row r="160" ht="13" customHeight="1" s="189">
      <c r="A160" s="289" t="n"/>
      <c r="B160" s="290" t="n"/>
      <c r="C160" s="290" t="n"/>
      <c r="D160" s="291" t="n"/>
      <c r="E160" s="290" t="n"/>
      <c r="F160" s="290" t="n"/>
    </row>
    <row r="161" ht="13" customHeight="1" s="189">
      <c r="A161" s="289" t="n"/>
      <c r="B161" s="290" t="n"/>
      <c r="C161" s="290" t="n"/>
      <c r="D161" s="291" t="n"/>
      <c r="E161" s="290" t="n"/>
      <c r="F161" s="290" t="n"/>
    </row>
    <row r="162" ht="13" customHeight="1" s="189">
      <c r="A162" s="289" t="n"/>
      <c r="B162" s="290" t="n"/>
      <c r="C162" s="290" t="n"/>
      <c r="D162" s="291" t="n"/>
      <c r="E162" s="290" t="n"/>
      <c r="F162" s="290" t="n"/>
    </row>
    <row r="163" ht="13" customHeight="1" s="189">
      <c r="A163" s="289" t="n"/>
      <c r="B163" s="290" t="n"/>
      <c r="C163" s="290" t="n"/>
      <c r="D163" s="291" t="n"/>
      <c r="E163" s="290" t="n"/>
      <c r="F163" s="290" t="n"/>
    </row>
    <row r="164" ht="13" customHeight="1" s="189">
      <c r="A164" s="289" t="n"/>
      <c r="B164" s="290" t="n"/>
      <c r="C164" s="290" t="n"/>
      <c r="D164" s="291" t="n"/>
      <c r="E164" s="290" t="n"/>
      <c r="F164" s="290" t="n"/>
    </row>
    <row r="165" ht="13" customHeight="1" s="189">
      <c r="A165" s="289" t="n"/>
      <c r="B165" s="290" t="n"/>
      <c r="C165" s="290" t="n"/>
      <c r="D165" s="291" t="n"/>
      <c r="E165" s="290" t="n"/>
      <c r="F165" s="290" t="n"/>
    </row>
    <row r="166" ht="13" customHeight="1" s="189">
      <c r="A166" s="289" t="n"/>
      <c r="B166" s="290" t="n"/>
      <c r="C166" s="290" t="n"/>
      <c r="D166" s="291" t="n"/>
      <c r="E166" s="290" t="n"/>
      <c r="F166" s="290" t="n"/>
    </row>
    <row r="167" ht="13" customHeight="1" s="189">
      <c r="A167" s="289" t="n"/>
      <c r="B167" s="290" t="n"/>
      <c r="C167" s="290" t="n"/>
      <c r="D167" s="291" t="n"/>
      <c r="E167" s="290" t="n"/>
      <c r="F167" s="290" t="n"/>
    </row>
    <row r="168" ht="13" customHeight="1" s="189">
      <c r="A168" s="289" t="n"/>
      <c r="B168" s="290" t="n"/>
      <c r="C168" s="290" t="n"/>
      <c r="D168" s="291" t="n"/>
      <c r="E168" s="290" t="n"/>
      <c r="F168" s="290" t="n"/>
    </row>
    <row r="169" ht="13" customHeight="1" s="189">
      <c r="A169" s="289" t="n"/>
      <c r="B169" s="290" t="n"/>
      <c r="C169" s="290" t="n"/>
      <c r="D169" s="291" t="n"/>
      <c r="E169" s="290" t="n"/>
      <c r="F169" s="290" t="n"/>
    </row>
    <row r="170" ht="13" customHeight="1" s="189">
      <c r="A170" s="289" t="n"/>
      <c r="B170" s="290" t="n"/>
      <c r="C170" s="290" t="n"/>
      <c r="D170" s="291" t="n"/>
      <c r="E170" s="290" t="n"/>
      <c r="F170" s="290" t="n"/>
    </row>
    <row r="171" ht="13" customHeight="1" s="189">
      <c r="A171" s="289" t="n"/>
      <c r="B171" s="290" t="n"/>
      <c r="C171" s="290" t="n"/>
      <c r="D171" s="291" t="n"/>
      <c r="E171" s="290" t="n"/>
      <c r="F171" s="290" t="n"/>
    </row>
    <row r="172" ht="13" customHeight="1" s="189">
      <c r="A172" s="289" t="n"/>
      <c r="B172" s="290" t="n"/>
      <c r="C172" s="290" t="n"/>
      <c r="D172" s="291" t="n"/>
      <c r="E172" s="290" t="n"/>
      <c r="F172" s="290" t="n"/>
    </row>
    <row r="173" ht="13" customHeight="1" s="189">
      <c r="A173" s="289" t="n"/>
      <c r="B173" s="290" t="n"/>
      <c r="C173" s="290" t="n"/>
      <c r="D173" s="291" t="n"/>
      <c r="E173" s="290" t="n"/>
      <c r="F173" s="290" t="n"/>
    </row>
    <row r="174" ht="13" customHeight="1" s="189">
      <c r="A174" s="289" t="n"/>
      <c r="B174" s="290" t="n"/>
      <c r="C174" s="290" t="n"/>
      <c r="D174" s="291" t="n"/>
      <c r="E174" s="290" t="n"/>
      <c r="F174" s="290" t="n"/>
    </row>
    <row r="175" ht="13" customHeight="1" s="189">
      <c r="A175" s="289" t="n"/>
      <c r="B175" s="290" t="n"/>
      <c r="C175" s="290" t="n"/>
      <c r="D175" s="291" t="n"/>
      <c r="E175" s="290" t="n"/>
      <c r="F175" s="290" t="n"/>
    </row>
    <row r="176" ht="13" customHeight="1" s="189">
      <c r="A176" s="289" t="n"/>
      <c r="B176" s="290" t="n"/>
      <c r="C176" s="290" t="n"/>
      <c r="D176" s="291" t="n"/>
      <c r="E176" s="290" t="n"/>
      <c r="F176" s="290" t="n"/>
    </row>
    <row r="177" ht="13" customHeight="1" s="189">
      <c r="A177" s="289" t="n"/>
      <c r="B177" s="290" t="n"/>
      <c r="C177" s="290" t="n"/>
      <c r="D177" s="291" t="n"/>
      <c r="E177" s="290" t="n"/>
      <c r="F177" s="290" t="n"/>
    </row>
    <row r="178" ht="13" customHeight="1" s="189">
      <c r="A178" s="289" t="n"/>
      <c r="B178" s="290" t="n"/>
      <c r="C178" s="290" t="n"/>
      <c r="D178" s="291" t="n"/>
      <c r="E178" s="290" t="n"/>
      <c r="F178" s="290" t="n"/>
    </row>
    <row r="179" ht="13" customHeight="1" s="189">
      <c r="A179" s="289" t="n"/>
      <c r="B179" s="290" t="n"/>
      <c r="C179" s="290" t="n"/>
      <c r="D179" s="291" t="n"/>
      <c r="E179" s="290" t="n"/>
      <c r="F179" s="290" t="n"/>
    </row>
    <row r="180" ht="13" customHeight="1" s="189">
      <c r="A180" s="289" t="n"/>
      <c r="B180" s="290" t="n"/>
      <c r="C180" s="290" t="n"/>
      <c r="D180" s="291" t="n"/>
      <c r="E180" s="290" t="n"/>
      <c r="F180" s="290" t="n"/>
    </row>
    <row r="181" ht="13" customHeight="1" s="189">
      <c r="A181" s="289" t="n"/>
      <c r="B181" s="290" t="n"/>
      <c r="C181" s="290" t="n"/>
      <c r="D181" s="291" t="n"/>
      <c r="E181" s="290" t="n"/>
      <c r="F181" s="290" t="n"/>
    </row>
    <row r="182" ht="13" customHeight="1" s="189">
      <c r="A182" s="289" t="n"/>
      <c r="B182" s="290" t="n"/>
      <c r="C182" s="290" t="n"/>
      <c r="D182" s="291" t="n"/>
      <c r="E182" s="290" t="n"/>
      <c r="F182" s="290" t="n"/>
    </row>
    <row r="183" ht="13" customHeight="1" s="189">
      <c r="A183" s="289" t="n"/>
      <c r="B183" s="290" t="n"/>
      <c r="C183" s="290" t="n"/>
      <c r="D183" s="291" t="n"/>
      <c r="E183" s="290" t="n"/>
      <c r="F183" s="290" t="n"/>
    </row>
    <row r="184" ht="13" customHeight="1" s="189">
      <c r="A184" s="289" t="n"/>
      <c r="B184" s="290" t="n"/>
      <c r="C184" s="290" t="n"/>
      <c r="D184" s="291" t="n"/>
      <c r="E184" s="290" t="n"/>
      <c r="F184" s="290" t="n"/>
    </row>
    <row r="185" ht="13" customHeight="1" s="189">
      <c r="A185" s="289" t="n"/>
      <c r="B185" s="290" t="n"/>
      <c r="C185" s="290" t="n"/>
      <c r="D185" s="291" t="n"/>
      <c r="E185" s="290" t="n"/>
      <c r="F185" s="290" t="n"/>
    </row>
    <row r="186" ht="13" customHeight="1" s="189">
      <c r="A186" s="289" t="n"/>
      <c r="B186" s="290" t="n"/>
      <c r="C186" s="290" t="n"/>
      <c r="D186" s="291" t="n"/>
      <c r="E186" s="290" t="n"/>
      <c r="F186" s="290" t="n"/>
    </row>
    <row r="187" ht="13" customHeight="1" s="189">
      <c r="A187" s="289" t="n"/>
      <c r="B187" s="290" t="n"/>
      <c r="C187" s="290" t="n"/>
      <c r="D187" s="291" t="n"/>
      <c r="E187" s="290" t="n"/>
      <c r="F187" s="290" t="n"/>
    </row>
    <row r="188" ht="13" customHeight="1" s="189">
      <c r="A188" s="289" t="n"/>
      <c r="B188" s="290" t="n"/>
      <c r="C188" s="290" t="n"/>
      <c r="D188" s="291" t="n"/>
      <c r="E188" s="290" t="n"/>
      <c r="F188" s="290" t="n"/>
    </row>
    <row r="189" ht="13" customHeight="1" s="189">
      <c r="A189" s="289" t="n"/>
      <c r="B189" s="290" t="n"/>
      <c r="C189" s="290" t="n"/>
      <c r="D189" s="291" t="n"/>
      <c r="E189" s="290" t="n"/>
      <c r="F189" s="290" t="n"/>
    </row>
    <row r="190" ht="13" customHeight="1" s="189">
      <c r="A190" s="289" t="n"/>
      <c r="B190" s="290" t="n"/>
      <c r="C190" s="290" t="n"/>
      <c r="D190" s="291" t="n"/>
      <c r="E190" s="290" t="n"/>
      <c r="F190" s="290" t="n"/>
    </row>
    <row r="191" ht="13" customHeight="1" s="189">
      <c r="A191" s="289" t="n"/>
      <c r="B191" s="290" t="n"/>
      <c r="C191" s="290" t="n"/>
      <c r="D191" s="291" t="n"/>
      <c r="E191" s="290" t="n"/>
      <c r="F191" s="290" t="n"/>
    </row>
    <row r="192" ht="13" customHeight="1" s="189">
      <c r="A192" s="289" t="n"/>
      <c r="B192" s="290" t="n"/>
      <c r="C192" s="290" t="n"/>
      <c r="D192" s="291" t="n"/>
      <c r="E192" s="290" t="n"/>
      <c r="F192" s="290" t="n"/>
    </row>
    <row r="193" ht="13" customHeight="1" s="189">
      <c r="A193" s="289" t="n"/>
      <c r="B193" s="290" t="n"/>
      <c r="C193" s="290" t="n"/>
      <c r="D193" s="291" t="n"/>
      <c r="E193" s="290" t="n"/>
      <c r="F193" s="290" t="n"/>
    </row>
    <row r="194" ht="13" customHeight="1" s="189">
      <c r="A194" s="289" t="n"/>
      <c r="B194" s="290" t="n"/>
      <c r="C194" s="290" t="n"/>
      <c r="D194" s="291" t="n"/>
      <c r="E194" s="290" t="n"/>
      <c r="F194" s="290" t="n"/>
    </row>
    <row r="195" ht="13" customHeight="1" s="189">
      <c r="A195" s="289" t="n"/>
      <c r="B195" s="290" t="n"/>
      <c r="C195" s="290" t="n"/>
      <c r="D195" s="291" t="n"/>
      <c r="E195" s="290" t="n"/>
      <c r="F195" s="290" t="n"/>
    </row>
    <row r="196" ht="13" customHeight="1" s="189">
      <c r="A196" s="289" t="n"/>
      <c r="B196" s="290" t="n"/>
      <c r="C196" s="290" t="n"/>
      <c r="D196" s="291" t="n"/>
      <c r="E196" s="290" t="n"/>
      <c r="F196" s="290" t="n"/>
    </row>
    <row r="197" ht="13" customHeight="1" s="189">
      <c r="A197" s="289" t="n"/>
      <c r="B197" s="290" t="n"/>
      <c r="C197" s="290" t="n"/>
      <c r="D197" s="291" t="n"/>
      <c r="E197" s="290" t="n"/>
      <c r="F197" s="290" t="n"/>
    </row>
    <row r="198" ht="13" customHeight="1" s="189">
      <c r="A198" s="289" t="n"/>
      <c r="B198" s="290" t="n"/>
      <c r="C198" s="290" t="n"/>
      <c r="D198" s="291" t="n"/>
      <c r="E198" s="290" t="n"/>
      <c r="F198" s="290" t="n"/>
    </row>
    <row r="199" ht="13" customHeight="1" s="189">
      <c r="A199" s="289" t="n"/>
      <c r="B199" s="290" t="n"/>
      <c r="C199" s="290" t="n"/>
      <c r="D199" s="291" t="n"/>
      <c r="E199" s="290" t="n"/>
      <c r="F199" s="290" t="n"/>
    </row>
    <row r="200" ht="13" customHeight="1" s="189">
      <c r="A200" s="289" t="n"/>
      <c r="B200" s="290" t="n"/>
      <c r="C200" s="290" t="n"/>
      <c r="D200" s="291" t="n"/>
      <c r="E200" s="290" t="n"/>
      <c r="F200" s="290" t="n"/>
    </row>
    <row r="201" ht="13" customHeight="1" s="189">
      <c r="A201" s="289" t="n"/>
      <c r="B201" s="290" t="n"/>
      <c r="C201" s="290" t="n"/>
      <c r="D201" s="291" t="n"/>
      <c r="E201" s="290" t="n"/>
      <c r="F201" s="290" t="n"/>
    </row>
    <row r="202" ht="13" customHeight="1" s="189">
      <c r="A202" s="289" t="n"/>
      <c r="B202" s="290" t="n"/>
      <c r="C202" s="290" t="n"/>
      <c r="D202" s="291" t="n"/>
      <c r="E202" s="290" t="n"/>
      <c r="F202" s="290" t="n"/>
    </row>
    <row r="203" ht="13" customHeight="1" s="189">
      <c r="A203" s="289" t="n"/>
      <c r="B203" s="290" t="n"/>
      <c r="C203" s="290" t="n"/>
      <c r="D203" s="291" t="n"/>
      <c r="E203" s="290" t="n"/>
      <c r="F203" s="290" t="n"/>
    </row>
    <row r="204" ht="13" customHeight="1" s="189">
      <c r="A204" s="289" t="n"/>
      <c r="B204" s="290" t="n"/>
      <c r="C204" s="290" t="n"/>
      <c r="D204" s="291" t="n"/>
      <c r="E204" s="290" t="n"/>
      <c r="F204" s="290" t="n"/>
    </row>
    <row r="205" ht="13" customHeight="1" s="189">
      <c r="A205" s="289" t="n"/>
      <c r="B205" s="290" t="n"/>
      <c r="C205" s="290" t="n"/>
      <c r="D205" s="291" t="n"/>
      <c r="E205" s="290" t="n"/>
      <c r="F205" s="290" t="n"/>
    </row>
    <row r="206" ht="13" customHeight="1" s="189">
      <c r="A206" s="289" t="n"/>
      <c r="B206" s="290" t="n"/>
      <c r="C206" s="290" t="n"/>
      <c r="D206" s="291" t="n"/>
      <c r="E206" s="290" t="n"/>
      <c r="F206" s="290" t="n"/>
    </row>
    <row r="207" ht="13" customHeight="1" s="189">
      <c r="A207" s="289" t="n"/>
      <c r="B207" s="290" t="n"/>
      <c r="C207" s="290" t="n"/>
      <c r="D207" s="291" t="n"/>
      <c r="E207" s="290" t="n"/>
      <c r="F207" s="290" t="n"/>
    </row>
    <row r="208" ht="13" customHeight="1" s="189">
      <c r="A208" s="289" t="n"/>
      <c r="B208" s="290" t="n"/>
      <c r="C208" s="290" t="n"/>
      <c r="D208" s="291" t="n"/>
      <c r="E208" s="290" t="n"/>
      <c r="F208" s="290" t="n"/>
    </row>
    <row r="209" ht="13" customHeight="1" s="189">
      <c r="A209" s="289" t="n"/>
      <c r="B209" s="290" t="n"/>
      <c r="C209" s="290" t="n"/>
      <c r="D209" s="291" t="n"/>
      <c r="E209" s="290" t="n"/>
      <c r="F209" s="290" t="n"/>
    </row>
    <row r="210" ht="13" customHeight="1" s="189">
      <c r="A210" s="289" t="n"/>
      <c r="B210" s="290" t="n"/>
      <c r="C210" s="290" t="n"/>
      <c r="D210" s="291" t="n"/>
      <c r="E210" s="290" t="n"/>
      <c r="F210" s="290" t="n"/>
    </row>
    <row r="211" ht="13" customHeight="1" s="189">
      <c r="A211" s="289" t="n"/>
      <c r="B211" s="290" t="n"/>
      <c r="C211" s="290" t="n"/>
      <c r="D211" s="291" t="n"/>
      <c r="E211" s="290" t="n"/>
      <c r="F211" s="290" t="n"/>
    </row>
    <row r="212" ht="13" customHeight="1" s="189">
      <c r="A212" s="289" t="n"/>
      <c r="B212" s="290" t="n"/>
      <c r="C212" s="290" t="n"/>
      <c r="D212" s="291" t="n"/>
      <c r="E212" s="290" t="n"/>
      <c r="F212" s="290" t="n"/>
    </row>
    <row r="213" ht="13" customHeight="1" s="189">
      <c r="A213" s="289" t="n"/>
      <c r="B213" s="290" t="n"/>
      <c r="C213" s="290" t="n"/>
      <c r="D213" s="291" t="n"/>
      <c r="E213" s="290" t="n"/>
      <c r="F213" s="290" t="n"/>
    </row>
    <row r="214" ht="13" customHeight="1" s="189">
      <c r="A214" s="289" t="n"/>
      <c r="B214" s="290" t="n"/>
      <c r="C214" s="290" t="n"/>
      <c r="D214" s="291" t="n"/>
      <c r="E214" s="290" t="n"/>
      <c r="F214" s="290" t="n"/>
    </row>
    <row r="215" ht="13" customHeight="1" s="189">
      <c r="A215" s="289" t="n"/>
      <c r="B215" s="290" t="n"/>
      <c r="C215" s="290" t="n"/>
      <c r="D215" s="291" t="n"/>
      <c r="E215" s="290" t="n"/>
      <c r="F215" s="290" t="n"/>
    </row>
    <row r="216" ht="13" customHeight="1" s="189">
      <c r="A216" s="289" t="n"/>
      <c r="B216" s="290" t="n"/>
      <c r="C216" s="290" t="n"/>
      <c r="D216" s="291" t="n"/>
      <c r="E216" s="290" t="n"/>
      <c r="F216" s="290" t="n"/>
    </row>
    <row r="217" ht="13" customHeight="1" s="189">
      <c r="A217" s="289" t="n"/>
      <c r="B217" s="290" t="n"/>
      <c r="C217" s="290" t="n"/>
      <c r="D217" s="291" t="n"/>
      <c r="E217" s="290" t="n"/>
      <c r="F217" s="290" t="n"/>
    </row>
    <row r="218" ht="13" customHeight="1" s="189">
      <c r="A218" s="289" t="n"/>
      <c r="B218" s="290" t="n"/>
      <c r="C218" s="290" t="n"/>
      <c r="D218" s="291" t="n"/>
      <c r="E218" s="290" t="n"/>
      <c r="F218" s="290" t="n"/>
    </row>
    <row r="219" ht="13" customHeight="1" s="189">
      <c r="A219" s="289" t="n"/>
      <c r="B219" s="290" t="n"/>
      <c r="C219" s="290" t="n"/>
      <c r="D219" s="291" t="n"/>
      <c r="E219" s="290" t="n"/>
      <c r="F219" s="290" t="n"/>
    </row>
    <row r="220" ht="13" customHeight="1" s="189">
      <c r="A220" s="289" t="n"/>
      <c r="B220" s="290" t="n"/>
      <c r="C220" s="290" t="n"/>
      <c r="D220" s="291" t="n"/>
      <c r="E220" s="290" t="n"/>
      <c r="F220" s="290" t="n"/>
    </row>
    <row r="221" ht="13" customHeight="1" s="189">
      <c r="A221" s="289" t="n"/>
      <c r="B221" s="290" t="n"/>
      <c r="C221" s="290" t="n"/>
      <c r="D221" s="291" t="n"/>
      <c r="E221" s="290" t="n"/>
      <c r="F221" s="290" t="n"/>
    </row>
    <row r="222" ht="13" customHeight="1" s="189">
      <c r="A222" s="289" t="n"/>
      <c r="B222" s="290" t="n"/>
      <c r="C222" s="290" t="n"/>
      <c r="D222" s="291" t="n"/>
      <c r="E222" s="290" t="n"/>
      <c r="F222" s="290" t="n"/>
    </row>
    <row r="223" ht="13" customHeight="1" s="189">
      <c r="A223" s="289" t="n"/>
      <c r="B223" s="290" t="n"/>
      <c r="C223" s="290" t="n"/>
      <c r="D223" s="291" t="n"/>
      <c r="E223" s="290" t="n"/>
      <c r="F223" s="290" t="n"/>
    </row>
    <row r="224" ht="13" customHeight="1" s="189">
      <c r="A224" s="289" t="n"/>
      <c r="B224" s="290" t="n"/>
      <c r="C224" s="290" t="n"/>
      <c r="D224" s="291" t="n"/>
      <c r="E224" s="290" t="n"/>
      <c r="F224" s="290" t="n"/>
    </row>
    <row r="225" ht="13" customHeight="1" s="189">
      <c r="A225" s="289" t="n"/>
      <c r="B225" s="290" t="n"/>
      <c r="C225" s="290" t="n"/>
      <c r="D225" s="291" t="n"/>
      <c r="E225" s="290" t="n"/>
      <c r="F225" s="290" t="n"/>
    </row>
    <row r="226" ht="13" customHeight="1" s="189">
      <c r="A226" s="289" t="n"/>
      <c r="B226" s="290" t="n"/>
      <c r="C226" s="290" t="n"/>
      <c r="D226" s="291" t="n"/>
      <c r="E226" s="290" t="n"/>
      <c r="F226" s="290" t="n"/>
    </row>
    <row r="227" ht="13" customHeight="1" s="189">
      <c r="A227" s="289" t="n"/>
      <c r="B227" s="290" t="n"/>
      <c r="C227" s="290" t="n"/>
      <c r="D227" s="291" t="n"/>
      <c r="E227" s="290" t="n"/>
      <c r="F227" s="290" t="n"/>
    </row>
    <row r="228" ht="13" customHeight="1" s="189">
      <c r="A228" s="289" t="n"/>
      <c r="B228" s="290" t="n"/>
      <c r="C228" s="290" t="n"/>
      <c r="D228" s="291" t="n"/>
      <c r="E228" s="290" t="n"/>
      <c r="F228" s="290" t="n"/>
    </row>
    <row r="229" ht="13" customHeight="1" s="189">
      <c r="A229" s="289" t="n"/>
      <c r="B229" s="290" t="n"/>
      <c r="C229" s="290" t="n"/>
      <c r="D229" s="291" t="n"/>
      <c r="E229" s="290" t="n"/>
      <c r="F229" s="290" t="n"/>
    </row>
    <row r="230" ht="13" customHeight="1" s="189">
      <c r="A230" s="289" t="n"/>
      <c r="B230" s="290" t="n"/>
      <c r="C230" s="290" t="n"/>
      <c r="D230" s="291" t="n"/>
      <c r="E230" s="290" t="n"/>
      <c r="F230" s="290" t="n"/>
    </row>
    <row r="231" ht="13" customHeight="1" s="189">
      <c r="A231" s="289" t="n"/>
      <c r="B231" s="290" t="n"/>
      <c r="C231" s="290" t="n"/>
      <c r="D231" s="291" t="n"/>
      <c r="E231" s="290" t="n"/>
      <c r="F231" s="290" t="n"/>
    </row>
    <row r="232" ht="13" customHeight="1" s="189">
      <c r="A232" s="289" t="n"/>
      <c r="B232" s="290" t="n"/>
      <c r="C232" s="290" t="n"/>
      <c r="D232" s="291" t="n"/>
      <c r="E232" s="290" t="n"/>
      <c r="F232" s="290" t="n"/>
    </row>
    <row r="233" ht="13" customHeight="1" s="189">
      <c r="A233" s="289" t="n"/>
      <c r="B233" s="290" t="n"/>
      <c r="C233" s="290" t="n"/>
      <c r="D233" s="291" t="n"/>
      <c r="E233" s="290" t="n"/>
      <c r="F233" s="290" t="n"/>
    </row>
    <row r="234" ht="13" customHeight="1" s="189">
      <c r="A234" s="289" t="n"/>
      <c r="B234" s="290" t="n"/>
      <c r="C234" s="290" t="n"/>
      <c r="D234" s="291" t="n"/>
      <c r="E234" s="290" t="n"/>
      <c r="F234" s="290" t="n"/>
    </row>
    <row r="235" ht="13" customHeight="1" s="189">
      <c r="A235" s="289" t="n"/>
      <c r="B235" s="290" t="n"/>
      <c r="C235" s="290" t="n"/>
      <c r="D235" s="291" t="n"/>
      <c r="E235" s="290" t="n"/>
      <c r="F235" s="290" t="n"/>
    </row>
    <row r="236" ht="13" customHeight="1" s="189">
      <c r="A236" s="289" t="n"/>
      <c r="B236" s="290" t="n"/>
      <c r="C236" s="290" t="n"/>
      <c r="D236" s="291" t="n"/>
      <c r="E236" s="290" t="n"/>
      <c r="F236" s="290" t="n"/>
    </row>
    <row r="237" ht="13" customHeight="1" s="189">
      <c r="A237" s="289" t="n"/>
      <c r="B237" s="290" t="n"/>
      <c r="C237" s="290" t="n"/>
      <c r="D237" s="291" t="n"/>
      <c r="E237" s="290" t="n"/>
      <c r="F237" s="290" t="n"/>
    </row>
    <row r="238" ht="13" customHeight="1" s="189">
      <c r="A238" s="289" t="n"/>
      <c r="B238" s="290" t="n"/>
      <c r="C238" s="290" t="n"/>
      <c r="D238" s="291" t="n"/>
      <c r="E238" s="290" t="n"/>
      <c r="F238" s="290" t="n"/>
    </row>
    <row r="239" ht="13" customHeight="1" s="189">
      <c r="A239" s="289" t="n"/>
      <c r="B239" s="290" t="n"/>
      <c r="C239" s="290" t="n"/>
      <c r="D239" s="291" t="n"/>
      <c r="E239" s="290" t="n"/>
      <c r="F239" s="290" t="n"/>
    </row>
    <row r="240" ht="13" customHeight="1" s="189">
      <c r="A240" s="289" t="n"/>
      <c r="B240" s="290" t="n"/>
      <c r="C240" s="290" t="n"/>
      <c r="D240" s="291" t="n"/>
      <c r="E240" s="290" t="n"/>
      <c r="F240" s="290" t="n"/>
    </row>
    <row r="241" ht="13" customHeight="1" s="189">
      <c r="A241" s="289" t="n"/>
      <c r="B241" s="290" t="n"/>
      <c r="C241" s="290" t="n"/>
      <c r="D241" s="291" t="n"/>
      <c r="E241" s="290" t="n"/>
      <c r="F241" s="290" t="n"/>
    </row>
    <row r="242" ht="13" customHeight="1" s="189">
      <c r="A242" s="289" t="n"/>
      <c r="B242" s="290" t="n"/>
      <c r="C242" s="290" t="n"/>
      <c r="D242" s="291" t="n"/>
      <c r="E242" s="290" t="n"/>
      <c r="F242" s="290" t="n"/>
    </row>
    <row r="243" ht="13" customHeight="1" s="189">
      <c r="A243" s="289" t="n"/>
      <c r="B243" s="290" t="n"/>
      <c r="C243" s="290" t="n"/>
      <c r="D243" s="291" t="n"/>
      <c r="E243" s="290" t="n"/>
      <c r="F243" s="290" t="n"/>
    </row>
    <row r="244" ht="13" customHeight="1" s="189">
      <c r="A244" s="289" t="n"/>
      <c r="B244" s="290" t="n"/>
      <c r="C244" s="290" t="n"/>
      <c r="D244" s="291" t="n"/>
      <c r="E244" s="290" t="n"/>
      <c r="F244" s="290" t="n"/>
    </row>
    <row r="245" ht="13" customHeight="1" s="189">
      <c r="A245" s="289" t="n"/>
      <c r="B245" s="290" t="n"/>
      <c r="C245" s="290" t="n"/>
      <c r="D245" s="291" t="n"/>
      <c r="E245" s="290" t="n"/>
      <c r="F245" s="290" t="n"/>
    </row>
    <row r="246" ht="13" customHeight="1" s="189">
      <c r="A246" s="289" t="n"/>
      <c r="B246" s="290" t="n"/>
      <c r="C246" s="290" t="n"/>
      <c r="D246" s="291" t="n"/>
      <c r="E246" s="290" t="n"/>
      <c r="F246" s="290" t="n"/>
    </row>
    <row r="247" ht="13" customHeight="1" s="189">
      <c r="A247" s="289" t="n"/>
      <c r="B247" s="290" t="n"/>
      <c r="C247" s="290" t="n"/>
      <c r="D247" s="291" t="n"/>
      <c r="E247" s="290" t="n"/>
      <c r="F247" s="290" t="n"/>
    </row>
    <row r="248" ht="13" customHeight="1" s="189">
      <c r="A248" s="289" t="n"/>
      <c r="B248" s="290" t="n"/>
      <c r="C248" s="290" t="n"/>
      <c r="D248" s="291" t="n"/>
      <c r="E248" s="290" t="n"/>
      <c r="F248" s="290" t="n"/>
    </row>
    <row r="249" ht="13" customHeight="1" s="189">
      <c r="A249" s="289" t="n"/>
      <c r="B249" s="290" t="n"/>
      <c r="C249" s="290" t="n"/>
      <c r="D249" s="291" t="n"/>
      <c r="E249" s="290" t="n"/>
      <c r="F249" s="290" t="n"/>
    </row>
    <row r="250" ht="13" customHeight="1" s="189">
      <c r="A250" s="289" t="n"/>
      <c r="B250" s="290" t="n"/>
      <c r="C250" s="290" t="n"/>
      <c r="D250" s="291" t="n"/>
      <c r="E250" s="290" t="n"/>
      <c r="F250" s="290" t="n"/>
    </row>
    <row r="251" ht="13" customHeight="1" s="189">
      <c r="A251" s="289" t="n"/>
      <c r="B251" s="290" t="n"/>
      <c r="C251" s="290" t="n"/>
      <c r="D251" s="291" t="n"/>
      <c r="E251" s="290" t="n"/>
      <c r="F251" s="290" t="n"/>
    </row>
    <row r="252" ht="13" customHeight="1" s="189">
      <c r="A252" s="289" t="n"/>
      <c r="B252" s="290" t="n"/>
      <c r="C252" s="290" t="n"/>
      <c r="D252" s="291" t="n"/>
      <c r="E252" s="290" t="n"/>
      <c r="F252" s="290" t="n"/>
    </row>
    <row r="253" ht="13" customHeight="1" s="189">
      <c r="A253" s="289" t="n"/>
      <c r="B253" s="290" t="n"/>
      <c r="C253" s="290" t="n"/>
      <c r="D253" s="291" t="n"/>
      <c r="E253" s="290" t="n"/>
      <c r="F253" s="290" t="n"/>
    </row>
    <row r="254" ht="13" customHeight="1" s="189">
      <c r="A254" s="289" t="n"/>
      <c r="B254" s="290" t="n"/>
      <c r="C254" s="290" t="n"/>
      <c r="D254" s="291" t="n"/>
      <c r="E254" s="290" t="n"/>
      <c r="F254" s="290" t="n"/>
    </row>
    <row r="255" ht="13" customHeight="1" s="189">
      <c r="A255" s="289" t="n"/>
      <c r="B255" s="290" t="n"/>
      <c r="C255" s="290" t="n"/>
      <c r="D255" s="291" t="n"/>
      <c r="E255" s="290" t="n"/>
      <c r="F255" s="290" t="n"/>
    </row>
    <row r="256" ht="13" customHeight="1" s="189">
      <c r="A256" s="289" t="n"/>
      <c r="B256" s="290" t="n"/>
      <c r="C256" s="290" t="n"/>
      <c r="D256" s="291" t="n"/>
      <c r="E256" s="290" t="n"/>
      <c r="F256" s="290" t="n"/>
    </row>
    <row r="257" ht="13" customHeight="1" s="189">
      <c r="A257" s="289" t="n"/>
      <c r="B257" s="290" t="n"/>
      <c r="C257" s="290" t="n"/>
      <c r="D257" s="291" t="n"/>
      <c r="E257" s="290" t="n"/>
      <c r="F257" s="290" t="n"/>
    </row>
    <row r="258" ht="13" customHeight="1" s="189">
      <c r="A258" s="289" t="n"/>
      <c r="B258" s="290" t="n"/>
      <c r="C258" s="290" t="n"/>
      <c r="D258" s="291" t="n"/>
      <c r="E258" s="290" t="n"/>
      <c r="F258" s="290" t="n"/>
    </row>
    <row r="259" ht="13" customHeight="1" s="189">
      <c r="A259" s="289" t="n"/>
      <c r="B259" s="290" t="n"/>
      <c r="C259" s="290" t="n"/>
      <c r="D259" s="291" t="n"/>
      <c r="E259" s="290" t="n"/>
      <c r="F259" s="290" t="n"/>
    </row>
    <row r="260" ht="13" customHeight="1" s="189">
      <c r="A260" s="289" t="n"/>
      <c r="B260" s="290" t="n"/>
      <c r="C260" s="290" t="n"/>
      <c r="D260" s="291" t="n"/>
      <c r="E260" s="290" t="n"/>
      <c r="F260" s="290" t="n"/>
    </row>
    <row r="261" ht="13" customHeight="1" s="189">
      <c r="A261" s="289" t="n"/>
      <c r="B261" s="290" t="n"/>
      <c r="C261" s="290" t="n"/>
      <c r="D261" s="291" t="n"/>
      <c r="E261" s="290" t="n"/>
      <c r="F261" s="290" t="n"/>
    </row>
    <row r="262" ht="13" customHeight="1" s="189">
      <c r="A262" s="289" t="n"/>
      <c r="B262" s="290" t="n"/>
      <c r="C262" s="290" t="n"/>
      <c r="D262" s="291" t="n"/>
      <c r="E262" s="290" t="n"/>
      <c r="F262" s="290" t="n"/>
    </row>
    <row r="263" ht="13" customHeight="1" s="189">
      <c r="A263" s="289" t="n"/>
      <c r="B263" s="290" t="n"/>
      <c r="C263" s="290" t="n"/>
      <c r="D263" s="291" t="n"/>
      <c r="E263" s="290" t="n"/>
      <c r="F263" s="290" t="n"/>
    </row>
    <row r="264" ht="13" customHeight="1" s="189">
      <c r="A264" s="289" t="n"/>
      <c r="B264" s="290" t="n"/>
      <c r="C264" s="290" t="n"/>
      <c r="D264" s="291" t="n"/>
      <c r="E264" s="290" t="n"/>
      <c r="F264" s="290" t="n"/>
    </row>
    <row r="265" ht="13" customHeight="1" s="189">
      <c r="A265" s="289" t="n"/>
      <c r="B265" s="290" t="n"/>
      <c r="C265" s="290" t="n"/>
      <c r="D265" s="291" t="n"/>
      <c r="E265" s="290" t="n"/>
      <c r="F265" s="290" t="n"/>
    </row>
    <row r="266" ht="13" customHeight="1" s="189">
      <c r="A266" s="289" t="n"/>
      <c r="B266" s="290" t="n"/>
      <c r="C266" s="290" t="n"/>
      <c r="D266" s="291" t="n"/>
      <c r="E266" s="290" t="n"/>
      <c r="F266" s="290" t="n"/>
    </row>
    <row r="267" ht="13" customHeight="1" s="189">
      <c r="A267" s="289" t="n"/>
      <c r="B267" s="290" t="n"/>
      <c r="C267" s="290" t="n"/>
      <c r="D267" s="291" t="n"/>
      <c r="E267" s="290" t="n"/>
      <c r="F267" s="290" t="n"/>
    </row>
    <row r="268" ht="13" customHeight="1" s="189">
      <c r="A268" s="289" t="n"/>
      <c r="B268" s="290" t="n"/>
      <c r="C268" s="290" t="n"/>
      <c r="D268" s="291" t="n"/>
      <c r="E268" s="290" t="n"/>
      <c r="F268" s="290" t="n"/>
    </row>
    <row r="269" ht="13" customHeight="1" s="189">
      <c r="A269" s="289" t="n"/>
      <c r="B269" s="290" t="n"/>
      <c r="C269" s="290" t="n"/>
      <c r="D269" s="291" t="n"/>
      <c r="E269" s="290" t="n"/>
      <c r="F269" s="290" t="n"/>
    </row>
    <row r="270" ht="13" customHeight="1" s="189">
      <c r="A270" s="289" t="n"/>
      <c r="B270" s="290" t="n"/>
      <c r="C270" s="290" t="n"/>
      <c r="D270" s="291" t="n"/>
      <c r="E270" s="290" t="n"/>
      <c r="F270" s="290" t="n"/>
    </row>
    <row r="271" ht="13" customHeight="1" s="189">
      <c r="A271" s="289" t="n"/>
      <c r="B271" s="290" t="n"/>
      <c r="C271" s="290" t="n"/>
      <c r="D271" s="291" t="n"/>
      <c r="E271" s="290" t="n"/>
      <c r="F271" s="290" t="n"/>
    </row>
    <row r="272" ht="13" customHeight="1" s="189">
      <c r="A272" s="289" t="n"/>
      <c r="B272" s="290" t="n"/>
      <c r="C272" s="290" t="n"/>
      <c r="D272" s="291" t="n"/>
      <c r="E272" s="290" t="n"/>
      <c r="F272" s="290" t="n"/>
    </row>
    <row r="273" ht="13" customHeight="1" s="189">
      <c r="A273" s="289" t="n"/>
      <c r="B273" s="290" t="n"/>
      <c r="C273" s="290" t="n"/>
      <c r="D273" s="291" t="n"/>
      <c r="E273" s="290" t="n"/>
      <c r="F273" s="290" t="n"/>
    </row>
    <row r="274" ht="13" customHeight="1" s="189">
      <c r="A274" s="289" t="n"/>
      <c r="B274" s="290" t="n"/>
      <c r="C274" s="290" t="n"/>
      <c r="D274" s="291" t="n"/>
      <c r="E274" s="290" t="n"/>
      <c r="F274" s="290" t="n"/>
    </row>
    <row r="275" ht="13" customHeight="1" s="189">
      <c r="A275" s="289" t="n"/>
      <c r="B275" s="290" t="n"/>
      <c r="C275" s="290" t="n"/>
      <c r="D275" s="291" t="n"/>
      <c r="E275" s="290" t="n"/>
      <c r="F275" s="290" t="n"/>
    </row>
    <row r="276" ht="13" customHeight="1" s="189">
      <c r="A276" s="289" t="n"/>
      <c r="B276" s="290" t="n"/>
      <c r="C276" s="290" t="n"/>
      <c r="D276" s="291" t="n"/>
      <c r="E276" s="290" t="n"/>
      <c r="F276" s="290" t="n"/>
    </row>
    <row r="277" ht="13" customHeight="1" s="189">
      <c r="A277" s="289" t="n"/>
      <c r="B277" s="290" t="n"/>
      <c r="C277" s="290" t="n"/>
      <c r="D277" s="291" t="n"/>
      <c r="E277" s="290" t="n"/>
      <c r="F277" s="290" t="n"/>
    </row>
    <row r="278" ht="13" customHeight="1" s="189">
      <c r="A278" s="289" t="n"/>
      <c r="B278" s="290" t="n"/>
      <c r="C278" s="290" t="n"/>
      <c r="D278" s="291" t="n"/>
      <c r="E278" s="290" t="n"/>
      <c r="F278" s="290" t="n"/>
    </row>
    <row r="279" ht="13" customHeight="1" s="189">
      <c r="A279" s="289" t="n"/>
      <c r="B279" s="290" t="n"/>
      <c r="C279" s="290" t="n"/>
      <c r="D279" s="291" t="n"/>
      <c r="E279" s="290" t="n"/>
      <c r="F279" s="290" t="n"/>
    </row>
    <row r="280" ht="13" customHeight="1" s="189">
      <c r="A280" s="289" t="n"/>
      <c r="B280" s="290" t="n"/>
      <c r="C280" s="290" t="n"/>
      <c r="D280" s="291" t="n"/>
      <c r="E280" s="290" t="n"/>
      <c r="F280" s="290" t="n"/>
    </row>
    <row r="281" ht="13" customHeight="1" s="189">
      <c r="A281" s="289" t="n"/>
      <c r="B281" s="290" t="n"/>
      <c r="C281" s="290" t="n"/>
      <c r="D281" s="291" t="n"/>
      <c r="E281" s="290" t="n"/>
      <c r="F281" s="290" t="n"/>
    </row>
    <row r="282" ht="13" customHeight="1" s="189">
      <c r="A282" s="289" t="n"/>
      <c r="B282" s="290" t="n"/>
      <c r="C282" s="290" t="n"/>
      <c r="D282" s="291" t="n"/>
      <c r="E282" s="290" t="n"/>
      <c r="F282" s="290" t="n"/>
    </row>
    <row r="283" ht="13" customHeight="1" s="189">
      <c r="A283" s="289" t="n"/>
      <c r="B283" s="290" t="n"/>
      <c r="C283" s="290" t="n"/>
      <c r="D283" s="291" t="n"/>
      <c r="E283" s="290" t="n"/>
      <c r="F283" s="290" t="n"/>
    </row>
    <row r="284" ht="13" customHeight="1" s="189">
      <c r="A284" s="289" t="n"/>
      <c r="B284" s="290" t="n"/>
      <c r="C284" s="290" t="n"/>
      <c r="D284" s="291" t="n"/>
      <c r="E284" s="290" t="n"/>
      <c r="F284" s="290" t="n"/>
    </row>
    <row r="285" ht="13" customHeight="1" s="189">
      <c r="A285" s="289" t="n"/>
      <c r="B285" s="290" t="n"/>
      <c r="C285" s="290" t="n"/>
      <c r="D285" s="291" t="n"/>
      <c r="E285" s="290" t="n"/>
      <c r="F285" s="290" t="n"/>
    </row>
    <row r="286" ht="13" customHeight="1" s="189">
      <c r="A286" s="289" t="n"/>
      <c r="B286" s="290" t="n"/>
      <c r="C286" s="290" t="n"/>
      <c r="D286" s="291" t="n"/>
      <c r="E286" s="290" t="n"/>
      <c r="F286" s="290" t="n"/>
    </row>
    <row r="287" ht="13" customHeight="1" s="189">
      <c r="A287" s="289" t="n"/>
      <c r="B287" s="290" t="n"/>
      <c r="C287" s="290" t="n"/>
      <c r="D287" s="291" t="n"/>
      <c r="E287" s="290" t="n"/>
      <c r="F287" s="290" t="n"/>
    </row>
    <row r="288" ht="13" customHeight="1" s="189">
      <c r="A288" s="289" t="n"/>
      <c r="B288" s="290" t="n"/>
      <c r="C288" s="290" t="n"/>
      <c r="D288" s="291" t="n"/>
      <c r="E288" s="290" t="n"/>
      <c r="F288" s="290" t="n"/>
    </row>
    <row r="289" ht="13" customHeight="1" s="189">
      <c r="A289" s="289" t="n"/>
      <c r="B289" s="290" t="n"/>
      <c r="C289" s="290" t="n"/>
      <c r="D289" s="291" t="n"/>
      <c r="E289" s="290" t="n"/>
      <c r="F289" s="290" t="n"/>
    </row>
    <row r="290" ht="13" customHeight="1" s="189">
      <c r="A290" s="289" t="n"/>
      <c r="B290" s="290" t="n"/>
      <c r="C290" s="290" t="n"/>
      <c r="D290" s="291" t="n"/>
      <c r="E290" s="290" t="n"/>
      <c r="F290" s="290" t="n"/>
    </row>
    <row r="291" ht="13" customHeight="1" s="189">
      <c r="A291" s="289" t="n"/>
      <c r="B291" s="290" t="n"/>
      <c r="C291" s="290" t="n"/>
      <c r="D291" s="291" t="n"/>
      <c r="E291" s="290" t="n"/>
      <c r="F291" s="290" t="n"/>
    </row>
    <row r="292" ht="13" customHeight="1" s="189">
      <c r="A292" s="289" t="n"/>
      <c r="B292" s="290" t="n"/>
      <c r="C292" s="290" t="n"/>
      <c r="D292" s="291" t="n"/>
      <c r="E292" s="290" t="n"/>
      <c r="F292" s="290" t="n"/>
    </row>
    <row r="293" ht="13" customHeight="1" s="189">
      <c r="A293" s="289" t="n"/>
      <c r="B293" s="290" t="n"/>
      <c r="C293" s="290" t="n"/>
      <c r="D293" s="291" t="n"/>
      <c r="E293" s="290" t="n"/>
      <c r="F293" s="290" t="n"/>
    </row>
    <row r="294" ht="13" customHeight="1" s="189">
      <c r="A294" s="289" t="n"/>
      <c r="B294" s="290" t="n"/>
      <c r="C294" s="290" t="n"/>
      <c r="D294" s="291" t="n"/>
      <c r="E294" s="290" t="n"/>
      <c r="F294" s="290" t="n"/>
    </row>
    <row r="295" ht="13" customHeight="1" s="189">
      <c r="A295" s="289" t="n"/>
      <c r="B295" s="290" t="n"/>
      <c r="C295" s="290" t="n"/>
      <c r="D295" s="291" t="n"/>
      <c r="E295" s="290" t="n"/>
      <c r="F295" s="290" t="n"/>
    </row>
    <row r="296" ht="13" customHeight="1" s="189">
      <c r="A296" s="289" t="n"/>
      <c r="B296" s="290" t="n"/>
      <c r="C296" s="290" t="n"/>
      <c r="D296" s="291" t="n"/>
      <c r="E296" s="290" t="n"/>
      <c r="F296" s="290" t="n"/>
    </row>
    <row r="297" ht="13" customHeight="1" s="189">
      <c r="A297" s="289" t="n"/>
      <c r="B297" s="290" t="n"/>
      <c r="C297" s="290" t="n"/>
      <c r="D297" s="291" t="n"/>
      <c r="E297" s="290" t="n"/>
      <c r="F297" s="290" t="n"/>
    </row>
    <row r="298" ht="13" customHeight="1" s="189">
      <c r="A298" s="289" t="n"/>
      <c r="B298" s="290" t="n"/>
      <c r="C298" s="290" t="n"/>
      <c r="D298" s="291" t="n"/>
      <c r="E298" s="290" t="n"/>
      <c r="F298" s="290" t="n"/>
    </row>
    <row r="299" ht="13" customHeight="1" s="189">
      <c r="A299" s="289" t="n"/>
      <c r="B299" s="290" t="n"/>
      <c r="C299" s="290" t="n"/>
      <c r="D299" s="291" t="n"/>
      <c r="E299" s="290" t="n"/>
      <c r="F299" s="290" t="n"/>
    </row>
    <row r="300" ht="13" customHeight="1" s="189">
      <c r="A300" s="289" t="n"/>
      <c r="B300" s="290" t="n"/>
      <c r="C300" s="290" t="n"/>
      <c r="D300" s="291" t="n"/>
      <c r="E300" s="290" t="n"/>
      <c r="F300" s="290" t="n"/>
    </row>
    <row r="301" ht="13" customHeight="1" s="189">
      <c r="A301" s="289" t="n"/>
      <c r="B301" s="290" t="n"/>
      <c r="C301" s="290" t="n"/>
      <c r="D301" s="291" t="n"/>
      <c r="E301" s="290" t="n"/>
      <c r="F301" s="290" t="n"/>
    </row>
    <row r="302" ht="13" customHeight="1" s="189">
      <c r="A302" s="289" t="n"/>
      <c r="B302" s="290" t="n"/>
      <c r="C302" s="290" t="n"/>
      <c r="D302" s="291" t="n"/>
      <c r="E302" s="290" t="n"/>
      <c r="F302" s="290" t="n"/>
    </row>
    <row r="303" ht="13" customHeight="1" s="189">
      <c r="A303" s="289" t="n"/>
      <c r="B303" s="290" t="n"/>
      <c r="C303" s="290" t="n"/>
      <c r="D303" s="291" t="n"/>
      <c r="E303" s="290" t="n"/>
      <c r="F303" s="290" t="n"/>
    </row>
    <row r="304" ht="13" customHeight="1" s="189">
      <c r="A304" s="289" t="n"/>
      <c r="B304" s="290" t="n"/>
      <c r="C304" s="290" t="n"/>
      <c r="D304" s="291" t="n"/>
      <c r="E304" s="290" t="n"/>
      <c r="F304" s="290" t="n"/>
    </row>
    <row r="305" ht="13" customHeight="1" s="189">
      <c r="A305" s="289" t="n"/>
      <c r="B305" s="290" t="n"/>
      <c r="C305" s="290" t="n"/>
      <c r="D305" s="291" t="n"/>
      <c r="E305" s="290" t="n"/>
      <c r="F305" s="290" t="n"/>
    </row>
    <row r="306" ht="13" customHeight="1" s="189">
      <c r="A306" s="289" t="n"/>
      <c r="B306" s="290" t="n"/>
      <c r="C306" s="290" t="n"/>
      <c r="D306" s="291" t="n"/>
      <c r="E306" s="290" t="n"/>
      <c r="F306" s="290" t="n"/>
    </row>
    <row r="307" ht="13" customHeight="1" s="189">
      <c r="A307" s="289" t="n"/>
      <c r="B307" s="290" t="n"/>
      <c r="C307" s="290" t="n"/>
      <c r="D307" s="291" t="n"/>
      <c r="E307" s="290" t="n"/>
      <c r="F307" s="290" t="n"/>
    </row>
    <row r="308" ht="13" customHeight="1" s="189">
      <c r="A308" s="289" t="n"/>
      <c r="B308" s="290" t="n"/>
      <c r="C308" s="290" t="n"/>
      <c r="D308" s="291" t="n"/>
      <c r="E308" s="290" t="n"/>
      <c r="F308" s="290" t="n"/>
    </row>
    <row r="309" ht="13" customHeight="1" s="189">
      <c r="A309" s="289" t="n"/>
      <c r="B309" s="290" t="n"/>
      <c r="C309" s="290" t="n"/>
      <c r="D309" s="291" t="n"/>
      <c r="E309" s="290" t="n"/>
      <c r="F309" s="290" t="n"/>
    </row>
    <row r="310" ht="13" customHeight="1" s="189">
      <c r="A310" s="289" t="n"/>
      <c r="B310" s="290" t="n"/>
      <c r="C310" s="290" t="n"/>
      <c r="D310" s="291" t="n"/>
      <c r="E310" s="290" t="n"/>
      <c r="F310" s="290" t="n"/>
    </row>
    <row r="311" ht="13" customHeight="1" s="189">
      <c r="A311" s="289" t="n"/>
      <c r="B311" s="290" t="n"/>
      <c r="C311" s="290" t="n"/>
      <c r="D311" s="291" t="n"/>
      <c r="E311" s="290" t="n"/>
      <c r="F311" s="290" t="n"/>
    </row>
    <row r="312" ht="13" customHeight="1" s="189">
      <c r="A312" s="289" t="n"/>
      <c r="B312" s="290" t="n"/>
      <c r="C312" s="290" t="n"/>
      <c r="D312" s="291" t="n"/>
      <c r="E312" s="290" t="n"/>
      <c r="F312" s="290" t="n"/>
    </row>
    <row r="313" ht="13" customHeight="1" s="189">
      <c r="A313" s="289" t="n"/>
      <c r="B313" s="290" t="n"/>
      <c r="C313" s="290" t="n"/>
      <c r="D313" s="291" t="n"/>
      <c r="E313" s="290" t="n"/>
      <c r="F313" s="290" t="n"/>
    </row>
    <row r="314" ht="13" customHeight="1" s="189">
      <c r="A314" s="289" t="n"/>
      <c r="B314" s="290" t="n"/>
      <c r="C314" s="290" t="n"/>
      <c r="D314" s="291" t="n"/>
      <c r="E314" s="290" t="n"/>
      <c r="F314" s="290" t="n"/>
    </row>
    <row r="315" ht="13" customHeight="1" s="189">
      <c r="A315" s="289" t="n"/>
      <c r="B315" s="290" t="n"/>
      <c r="C315" s="290" t="n"/>
      <c r="D315" s="291" t="n"/>
      <c r="E315" s="290" t="n"/>
      <c r="F315" s="290" t="n"/>
    </row>
    <row r="316" ht="13" customHeight="1" s="189">
      <c r="A316" s="289" t="n"/>
      <c r="B316" s="290" t="n"/>
      <c r="C316" s="290" t="n"/>
      <c r="D316" s="291" t="n"/>
      <c r="E316" s="290" t="n"/>
      <c r="F316" s="290" t="n"/>
    </row>
    <row r="317" ht="13" customHeight="1" s="189">
      <c r="A317" s="289" t="n"/>
      <c r="B317" s="290" t="n"/>
      <c r="C317" s="290" t="n"/>
      <c r="D317" s="291" t="n"/>
      <c r="E317" s="290" t="n"/>
      <c r="F317" s="290" t="n"/>
    </row>
    <row r="318" ht="13" customHeight="1" s="189">
      <c r="A318" s="289" t="n"/>
      <c r="B318" s="290" t="n"/>
      <c r="C318" s="290" t="n"/>
      <c r="D318" s="291" t="n"/>
      <c r="E318" s="290" t="n"/>
      <c r="F318" s="290" t="n"/>
    </row>
    <row r="319" ht="13" customHeight="1" s="189">
      <c r="A319" s="289" t="n"/>
      <c r="B319" s="290" t="n"/>
      <c r="C319" s="290" t="n"/>
      <c r="D319" s="291" t="n"/>
      <c r="E319" s="290" t="n"/>
      <c r="F319" s="290" t="n"/>
    </row>
    <row r="320" ht="13" customHeight="1" s="189">
      <c r="A320" s="289" t="n"/>
      <c r="B320" s="290" t="n"/>
      <c r="C320" s="290" t="n"/>
      <c r="D320" s="291" t="n"/>
      <c r="E320" s="290" t="n"/>
      <c r="F320" s="290" t="n"/>
    </row>
    <row r="321" ht="13" customHeight="1" s="189">
      <c r="A321" s="289" t="n"/>
      <c r="B321" s="290" t="n"/>
      <c r="C321" s="290" t="n"/>
      <c r="D321" s="291" t="n"/>
      <c r="E321" s="290" t="n"/>
      <c r="F321" s="290" t="n"/>
    </row>
    <row r="322" ht="13" customHeight="1" s="189">
      <c r="A322" s="289" t="n"/>
      <c r="B322" s="290" t="n"/>
      <c r="C322" s="290" t="n"/>
      <c r="D322" s="291" t="n"/>
      <c r="E322" s="290" t="n"/>
      <c r="F322" s="290" t="n"/>
    </row>
    <row r="323" ht="13" customHeight="1" s="189">
      <c r="A323" s="289" t="n"/>
      <c r="B323" s="290" t="n"/>
      <c r="C323" s="290" t="n"/>
      <c r="D323" s="291" t="n"/>
      <c r="E323" s="290" t="n"/>
      <c r="F323" s="290" t="n"/>
    </row>
    <row r="324" ht="13" customHeight="1" s="189">
      <c r="A324" s="289" t="n"/>
      <c r="B324" s="290" t="n"/>
      <c r="C324" s="290" t="n"/>
      <c r="D324" s="291" t="n"/>
      <c r="E324" s="290" t="n"/>
      <c r="F324" s="290" t="n"/>
    </row>
    <row r="325" ht="13" customHeight="1" s="189">
      <c r="A325" s="289" t="n"/>
      <c r="B325" s="290" t="n"/>
      <c r="C325" s="290" t="n"/>
      <c r="D325" s="291" t="n"/>
      <c r="E325" s="290" t="n"/>
      <c r="F325" s="290" t="n"/>
    </row>
    <row r="326" ht="13" customHeight="1" s="189">
      <c r="A326" s="289" t="n"/>
      <c r="B326" s="290" t="n"/>
      <c r="C326" s="290" t="n"/>
      <c r="D326" s="291" t="n"/>
      <c r="E326" s="290" t="n"/>
      <c r="F326" s="290" t="n"/>
    </row>
    <row r="327" ht="13" customHeight="1" s="189">
      <c r="A327" s="289" t="n"/>
      <c r="B327" s="290" t="n"/>
      <c r="C327" s="290" t="n"/>
      <c r="D327" s="291" t="n"/>
      <c r="E327" s="290" t="n"/>
      <c r="F327" s="290" t="n"/>
    </row>
    <row r="328" ht="13" customHeight="1" s="189">
      <c r="A328" s="289" t="n"/>
      <c r="B328" s="290" t="n"/>
      <c r="C328" s="290" t="n"/>
      <c r="D328" s="291" t="n"/>
      <c r="E328" s="290" t="n"/>
      <c r="F328" s="290" t="n"/>
    </row>
    <row r="329" ht="13" customHeight="1" s="189">
      <c r="A329" s="289" t="n"/>
      <c r="B329" s="290" t="n"/>
      <c r="C329" s="290" t="n"/>
      <c r="D329" s="291" t="n"/>
      <c r="E329" s="290" t="n"/>
      <c r="F329" s="290" t="n"/>
    </row>
    <row r="330" ht="13" customHeight="1" s="189">
      <c r="A330" s="289" t="n"/>
      <c r="B330" s="290" t="n"/>
      <c r="C330" s="290" t="n"/>
      <c r="D330" s="291" t="n"/>
      <c r="E330" s="290" t="n"/>
      <c r="F330" s="290" t="n"/>
    </row>
    <row r="331" ht="13" customHeight="1" s="189">
      <c r="A331" s="289" t="n"/>
      <c r="B331" s="290" t="n"/>
      <c r="C331" s="290" t="n"/>
      <c r="D331" s="291" t="n"/>
      <c r="E331" s="290" t="n"/>
      <c r="F331" s="290" t="n"/>
    </row>
    <row r="332" ht="13" customHeight="1" s="189">
      <c r="A332" s="289" t="n"/>
      <c r="B332" s="290" t="n"/>
      <c r="C332" s="290" t="n"/>
      <c r="D332" s="291" t="n"/>
      <c r="E332" s="290" t="n"/>
      <c r="F332" s="290" t="n"/>
    </row>
    <row r="333" ht="13" customHeight="1" s="189">
      <c r="A333" s="289" t="n"/>
      <c r="B333" s="290" t="n"/>
      <c r="C333" s="290" t="n"/>
      <c r="D333" s="291" t="n"/>
      <c r="E333" s="290" t="n"/>
      <c r="F333" s="290" t="n"/>
    </row>
    <row r="334" ht="13" customHeight="1" s="189">
      <c r="A334" s="289" t="n"/>
      <c r="B334" s="290" t="n"/>
      <c r="C334" s="290" t="n"/>
      <c r="D334" s="291" t="n"/>
      <c r="E334" s="290" t="n"/>
      <c r="F334" s="290" t="n"/>
    </row>
    <row r="335" ht="13" customHeight="1" s="189">
      <c r="A335" s="289" t="n"/>
      <c r="B335" s="290" t="n"/>
      <c r="C335" s="290" t="n"/>
      <c r="D335" s="291" t="n"/>
      <c r="E335" s="290" t="n"/>
      <c r="F335" s="290" t="n"/>
    </row>
    <row r="336" ht="13" customHeight="1" s="189">
      <c r="A336" s="289" t="n"/>
      <c r="B336" s="290" t="n"/>
      <c r="C336" s="290" t="n"/>
      <c r="D336" s="291" t="n"/>
      <c r="E336" s="290" t="n"/>
      <c r="F336" s="290" t="n"/>
    </row>
    <row r="337" ht="13" customHeight="1" s="189">
      <c r="A337" s="289" t="n"/>
      <c r="B337" s="290" t="n"/>
      <c r="C337" s="290" t="n"/>
      <c r="D337" s="291" t="n"/>
      <c r="E337" s="290" t="n"/>
      <c r="F337" s="290" t="n"/>
    </row>
    <row r="338" ht="13" customHeight="1" s="189">
      <c r="A338" s="289" t="n"/>
      <c r="B338" s="290" t="n"/>
      <c r="C338" s="290" t="n"/>
      <c r="D338" s="291" t="n"/>
      <c r="E338" s="290" t="n"/>
      <c r="F338" s="290" t="n"/>
    </row>
    <row r="339" ht="13" customHeight="1" s="189">
      <c r="A339" s="289" t="n"/>
      <c r="B339" s="290" t="n"/>
      <c r="C339" s="290" t="n"/>
      <c r="D339" s="291" t="n"/>
      <c r="E339" s="290" t="n"/>
      <c r="F339" s="290" t="n"/>
    </row>
    <row r="340" ht="13" customHeight="1" s="189">
      <c r="A340" s="289" t="n"/>
      <c r="B340" s="290" t="n"/>
      <c r="C340" s="290" t="n"/>
      <c r="D340" s="291" t="n"/>
      <c r="E340" s="290" t="n"/>
      <c r="F340" s="290" t="n"/>
    </row>
    <row r="341" ht="13" customHeight="1" s="189">
      <c r="A341" s="289" t="n"/>
      <c r="B341" s="290" t="n"/>
      <c r="C341" s="290" t="n"/>
      <c r="D341" s="291" t="n"/>
      <c r="E341" s="290" t="n"/>
      <c r="F341" s="290" t="n"/>
    </row>
    <row r="342" ht="13" customHeight="1" s="189">
      <c r="A342" s="289" t="n"/>
      <c r="B342" s="290" t="n"/>
      <c r="C342" s="290" t="n"/>
      <c r="D342" s="291" t="n"/>
      <c r="E342" s="290" t="n"/>
      <c r="F342" s="290" t="n"/>
    </row>
    <row r="343" ht="13" customHeight="1" s="189">
      <c r="A343" s="289" t="n"/>
      <c r="B343" s="290" t="n"/>
      <c r="C343" s="290" t="n"/>
      <c r="D343" s="291" t="n"/>
      <c r="E343" s="290" t="n"/>
      <c r="F343" s="290" t="n"/>
    </row>
    <row r="344" ht="13" customHeight="1" s="189">
      <c r="A344" s="289" t="n"/>
      <c r="B344" s="290" t="n"/>
      <c r="C344" s="290" t="n"/>
      <c r="D344" s="291" t="n"/>
      <c r="E344" s="290" t="n"/>
      <c r="F344" s="290" t="n"/>
    </row>
    <row r="345" ht="13" customHeight="1" s="189">
      <c r="A345" s="289" t="n"/>
      <c r="B345" s="290" t="n"/>
      <c r="C345" s="290" t="n"/>
      <c r="D345" s="291" t="n"/>
      <c r="E345" s="290" t="n"/>
      <c r="F345" s="290" t="n"/>
    </row>
    <row r="346" ht="13" customHeight="1" s="189">
      <c r="A346" s="289" t="n"/>
      <c r="B346" s="290" t="n"/>
      <c r="C346" s="290" t="n"/>
      <c r="D346" s="291" t="n"/>
      <c r="E346" s="290" t="n"/>
      <c r="F346" s="290" t="n"/>
    </row>
    <row r="347" ht="13" customHeight="1" s="189">
      <c r="A347" s="289" t="n"/>
      <c r="B347" s="290" t="n"/>
      <c r="C347" s="290" t="n"/>
      <c r="D347" s="291" t="n"/>
      <c r="E347" s="290" t="n"/>
      <c r="F347" s="290" t="n"/>
    </row>
    <row r="348" ht="13" customHeight="1" s="189">
      <c r="A348" s="289" t="n"/>
      <c r="B348" s="290" t="n"/>
      <c r="C348" s="290" t="n"/>
      <c r="D348" s="291" t="n"/>
      <c r="E348" s="290" t="n"/>
      <c r="F348" s="290" t="n"/>
    </row>
    <row r="349" ht="13" customHeight="1" s="189">
      <c r="A349" s="289" t="n"/>
      <c r="B349" s="290" t="n"/>
      <c r="C349" s="290" t="n"/>
      <c r="D349" s="291" t="n"/>
      <c r="E349" s="290" t="n"/>
      <c r="F349" s="290" t="n"/>
    </row>
    <row r="350" ht="13" customHeight="1" s="189">
      <c r="A350" s="289" t="n"/>
      <c r="B350" s="290" t="n"/>
      <c r="C350" s="290" t="n"/>
      <c r="D350" s="291" t="n"/>
      <c r="E350" s="290" t="n"/>
      <c r="F350" s="290" t="n"/>
    </row>
    <row r="351" ht="13" customHeight="1" s="189">
      <c r="A351" s="289" t="n"/>
      <c r="B351" s="290" t="n"/>
      <c r="C351" s="290" t="n"/>
      <c r="D351" s="291" t="n"/>
      <c r="E351" s="290" t="n"/>
      <c r="F351" s="290" t="n"/>
    </row>
    <row r="352" ht="13" customHeight="1" s="189">
      <c r="A352" s="289" t="n"/>
      <c r="B352" s="290" t="n"/>
      <c r="C352" s="290" t="n"/>
      <c r="D352" s="291" t="n"/>
      <c r="E352" s="290" t="n"/>
      <c r="F352" s="290" t="n"/>
    </row>
    <row r="353" ht="13" customHeight="1" s="189">
      <c r="A353" s="289" t="n"/>
      <c r="B353" s="290" t="n"/>
      <c r="C353" s="290" t="n"/>
      <c r="D353" s="291" t="n"/>
      <c r="E353" s="290" t="n"/>
      <c r="F353" s="290" t="n"/>
    </row>
    <row r="354" ht="13" customHeight="1" s="189">
      <c r="A354" s="289" t="n"/>
      <c r="B354" s="290" t="n"/>
      <c r="C354" s="290" t="n"/>
      <c r="D354" s="291" t="n"/>
      <c r="E354" s="290" t="n"/>
      <c r="F354" s="290" t="n"/>
    </row>
    <row r="355" ht="13" customHeight="1" s="189">
      <c r="A355" s="289" t="n"/>
      <c r="B355" s="290" t="n"/>
      <c r="C355" s="290" t="n"/>
      <c r="D355" s="291" t="n"/>
      <c r="E355" s="290" t="n"/>
      <c r="F355" s="290" t="n"/>
    </row>
    <row r="356" ht="13" customHeight="1" s="189">
      <c r="A356" s="289" t="n"/>
      <c r="B356" s="290" t="n"/>
      <c r="C356" s="290" t="n"/>
      <c r="D356" s="291" t="n"/>
      <c r="E356" s="290" t="n"/>
      <c r="F356" s="290" t="n"/>
    </row>
    <row r="357" ht="13" customHeight="1" s="189">
      <c r="A357" s="289" t="n"/>
      <c r="B357" s="290" t="n"/>
      <c r="C357" s="290" t="n"/>
      <c r="D357" s="291" t="n"/>
      <c r="E357" s="290" t="n"/>
      <c r="F357" s="290" t="n"/>
    </row>
    <row r="358" ht="13" customHeight="1" s="189">
      <c r="A358" s="289" t="n"/>
      <c r="B358" s="290" t="n"/>
      <c r="C358" s="290" t="n"/>
      <c r="D358" s="291" t="n"/>
      <c r="E358" s="290" t="n"/>
      <c r="F358" s="290" t="n"/>
    </row>
    <row r="359" ht="13" customHeight="1" s="189">
      <c r="A359" s="289" t="n"/>
      <c r="B359" s="290" t="n"/>
      <c r="C359" s="290" t="n"/>
      <c r="D359" s="291" t="n"/>
      <c r="E359" s="290" t="n"/>
      <c r="F359" s="290" t="n"/>
    </row>
    <row r="360" ht="13" customHeight="1" s="189">
      <c r="A360" s="289" t="n"/>
      <c r="B360" s="290" t="n"/>
      <c r="C360" s="290" t="n"/>
      <c r="D360" s="291" t="n"/>
      <c r="E360" s="290" t="n"/>
      <c r="F360" s="290" t="n"/>
    </row>
    <row r="361" ht="13" customHeight="1" s="189">
      <c r="A361" s="289" t="n"/>
      <c r="B361" s="290" t="n"/>
      <c r="C361" s="290" t="n"/>
      <c r="D361" s="291" t="n"/>
      <c r="E361" s="290" t="n"/>
      <c r="F361" s="290" t="n"/>
    </row>
    <row r="362" ht="13" customHeight="1" s="189">
      <c r="A362" s="289" t="n"/>
      <c r="B362" s="290" t="n"/>
      <c r="C362" s="290" t="n"/>
      <c r="D362" s="291" t="n"/>
      <c r="E362" s="290" t="n"/>
      <c r="F362" s="290" t="n"/>
    </row>
    <row r="363" ht="13" customHeight="1" s="189">
      <c r="A363" s="289" t="n"/>
      <c r="B363" s="290" t="n"/>
      <c r="C363" s="290" t="n"/>
      <c r="D363" s="291" t="n"/>
      <c r="E363" s="290" t="n"/>
      <c r="F363" s="290" t="n"/>
    </row>
    <row r="364" ht="13" customHeight="1" s="189">
      <c r="A364" s="289" t="n"/>
      <c r="B364" s="290" t="n"/>
      <c r="C364" s="290" t="n"/>
      <c r="D364" s="291" t="n"/>
      <c r="E364" s="290" t="n"/>
      <c r="F364" s="290" t="n"/>
    </row>
    <row r="365" ht="13" customHeight="1" s="189">
      <c r="A365" s="289" t="n"/>
      <c r="B365" s="290" t="n"/>
      <c r="C365" s="290" t="n"/>
      <c r="D365" s="291" t="n"/>
      <c r="E365" s="290" t="n"/>
      <c r="F365" s="290" t="n"/>
    </row>
    <row r="366" ht="13" customHeight="1" s="189">
      <c r="A366" s="289" t="n"/>
      <c r="B366" s="290" t="n"/>
      <c r="C366" s="290" t="n"/>
      <c r="D366" s="291" t="n"/>
      <c r="E366" s="290" t="n"/>
      <c r="F366" s="290" t="n"/>
    </row>
    <row r="367" ht="13" customHeight="1" s="189">
      <c r="A367" s="289" t="n"/>
      <c r="B367" s="290" t="n"/>
      <c r="C367" s="290" t="n"/>
      <c r="D367" s="291" t="n"/>
      <c r="E367" s="290" t="n"/>
      <c r="F367" s="290" t="n"/>
    </row>
    <row r="368" ht="13" customHeight="1" s="189">
      <c r="A368" s="289" t="n"/>
      <c r="B368" s="290" t="n"/>
      <c r="C368" s="290" t="n"/>
      <c r="D368" s="291" t="n"/>
      <c r="E368" s="290" t="n"/>
      <c r="F368" s="290" t="n"/>
    </row>
    <row r="369" ht="13" customHeight="1" s="189">
      <c r="A369" s="289" t="n"/>
      <c r="B369" s="290" t="n"/>
      <c r="C369" s="290" t="n"/>
      <c r="D369" s="291" t="n"/>
      <c r="E369" s="290" t="n"/>
      <c r="F369" s="290" t="n"/>
    </row>
    <row r="370" ht="13" customHeight="1" s="189">
      <c r="A370" s="289" t="n"/>
      <c r="B370" s="290" t="n"/>
      <c r="C370" s="290" t="n"/>
      <c r="D370" s="291" t="n"/>
      <c r="E370" s="290" t="n"/>
      <c r="F370" s="290" t="n"/>
    </row>
    <row r="371" ht="13" customHeight="1" s="189">
      <c r="A371" s="289" t="n"/>
      <c r="B371" s="290" t="n"/>
      <c r="C371" s="290" t="n"/>
      <c r="D371" s="291" t="n"/>
      <c r="E371" s="290" t="n"/>
      <c r="F371" s="290" t="n"/>
    </row>
    <row r="372" ht="13" customHeight="1" s="189">
      <c r="A372" s="289" t="n"/>
      <c r="B372" s="290" t="n"/>
      <c r="C372" s="290" t="n"/>
      <c r="D372" s="291" t="n"/>
      <c r="E372" s="290" t="n"/>
      <c r="F372" s="290" t="n"/>
    </row>
    <row r="373" ht="13" customHeight="1" s="189">
      <c r="A373" s="289" t="n"/>
      <c r="B373" s="290" t="n"/>
      <c r="C373" s="290" t="n"/>
      <c r="D373" s="291" t="n"/>
      <c r="E373" s="290" t="n"/>
      <c r="F373" s="290" t="n"/>
    </row>
    <row r="374" ht="13" customHeight="1" s="189">
      <c r="A374" s="289" t="n"/>
      <c r="B374" s="290" t="n"/>
      <c r="C374" s="290" t="n"/>
      <c r="D374" s="291" t="n"/>
      <c r="E374" s="290" t="n"/>
      <c r="F374" s="290" t="n"/>
    </row>
    <row r="375" ht="13" customHeight="1" s="189">
      <c r="A375" s="289" t="n"/>
      <c r="B375" s="290" t="n"/>
      <c r="C375" s="290" t="n"/>
      <c r="D375" s="291" t="n"/>
      <c r="E375" s="290" t="n"/>
      <c r="F375" s="290" t="n"/>
    </row>
    <row r="376" ht="13" customHeight="1" s="189">
      <c r="A376" s="289" t="n"/>
      <c r="B376" s="290" t="n"/>
      <c r="C376" s="290" t="n"/>
      <c r="D376" s="291" t="n"/>
      <c r="E376" s="290" t="n"/>
      <c r="F376" s="290" t="n"/>
    </row>
    <row r="377" ht="13" customHeight="1" s="189">
      <c r="A377" s="289" t="n"/>
      <c r="B377" s="290" t="n"/>
      <c r="C377" s="290" t="n"/>
      <c r="D377" s="291" t="n"/>
      <c r="E377" s="290" t="n"/>
      <c r="F377" s="290" t="n"/>
    </row>
    <row r="378" ht="13" customHeight="1" s="189">
      <c r="A378" s="289" t="n"/>
      <c r="B378" s="290" t="n"/>
      <c r="C378" s="290" t="n"/>
      <c r="D378" s="291" t="n"/>
      <c r="E378" s="290" t="n"/>
      <c r="F378" s="290" t="n"/>
    </row>
    <row r="379" ht="13" customHeight="1" s="189">
      <c r="A379" s="289" t="n"/>
      <c r="B379" s="290" t="n"/>
      <c r="C379" s="290" t="n"/>
      <c r="D379" s="291" t="n"/>
      <c r="E379" s="290" t="n"/>
      <c r="F379" s="290" t="n"/>
    </row>
    <row r="380" ht="13" customHeight="1" s="189">
      <c r="A380" s="289" t="n"/>
      <c r="B380" s="290" t="n"/>
      <c r="C380" s="290" t="n"/>
      <c r="D380" s="291" t="n"/>
      <c r="E380" s="290" t="n"/>
      <c r="F380" s="290" t="n"/>
    </row>
    <row r="381" ht="13" customHeight="1" s="189">
      <c r="A381" s="289" t="n"/>
      <c r="B381" s="290" t="n"/>
      <c r="C381" s="290" t="n"/>
      <c r="D381" s="291" t="n"/>
      <c r="E381" s="290" t="n"/>
      <c r="F381" s="290" t="n"/>
    </row>
    <row r="382" ht="13" customHeight="1" s="189">
      <c r="A382" s="289" t="n"/>
      <c r="B382" s="290" t="n"/>
      <c r="C382" s="290" t="n"/>
      <c r="D382" s="291" t="n"/>
      <c r="E382" s="290" t="n"/>
      <c r="F382" s="290" t="n"/>
    </row>
    <row r="383" ht="13" customHeight="1" s="189">
      <c r="A383" s="289" t="n"/>
      <c r="B383" s="290" t="n"/>
      <c r="C383" s="290" t="n"/>
      <c r="D383" s="291" t="n"/>
      <c r="E383" s="290" t="n"/>
      <c r="F383" s="290" t="n"/>
    </row>
    <row r="384" ht="13" customHeight="1" s="189">
      <c r="A384" s="289" t="n"/>
      <c r="B384" s="290" t="n"/>
      <c r="C384" s="290" t="n"/>
      <c r="D384" s="291" t="n"/>
      <c r="E384" s="290" t="n"/>
      <c r="F384" s="290" t="n"/>
    </row>
    <row r="385" ht="13" customHeight="1" s="189">
      <c r="A385" s="289" t="n"/>
      <c r="B385" s="290" t="n"/>
      <c r="C385" s="290" t="n"/>
      <c r="D385" s="291" t="n"/>
      <c r="E385" s="290" t="n"/>
      <c r="F385" s="290" t="n"/>
    </row>
    <row r="386" ht="13" customHeight="1" s="189">
      <c r="A386" s="289" t="n"/>
      <c r="B386" s="290" t="n"/>
      <c r="C386" s="290" t="n"/>
      <c r="D386" s="291" t="n"/>
      <c r="E386" s="290" t="n"/>
      <c r="F386" s="290" t="n"/>
    </row>
    <row r="387" ht="13" customHeight="1" s="189">
      <c r="A387" s="289" t="n"/>
      <c r="B387" s="290" t="n"/>
      <c r="C387" s="290" t="n"/>
      <c r="D387" s="291" t="n"/>
      <c r="E387" s="290" t="n"/>
      <c r="F387" s="290" t="n"/>
    </row>
    <row r="388" ht="13" customHeight="1" s="189">
      <c r="A388" s="289" t="n"/>
      <c r="B388" s="290" t="n"/>
      <c r="C388" s="290" t="n"/>
      <c r="D388" s="291" t="n"/>
      <c r="E388" s="290" t="n"/>
      <c r="F388" s="290" t="n"/>
    </row>
    <row r="389" ht="13" customHeight="1" s="189">
      <c r="A389" s="289" t="n"/>
      <c r="B389" s="290" t="n"/>
      <c r="C389" s="290" t="n"/>
      <c r="D389" s="291" t="n"/>
      <c r="E389" s="290" t="n"/>
      <c r="F389" s="290" t="n"/>
    </row>
    <row r="390" ht="13" customHeight="1" s="189">
      <c r="A390" s="289" t="n"/>
      <c r="B390" s="290" t="n"/>
      <c r="C390" s="290" t="n"/>
      <c r="D390" s="291" t="n"/>
      <c r="E390" s="290" t="n"/>
      <c r="F390" s="290" t="n"/>
    </row>
    <row r="391" ht="13" customHeight="1" s="189">
      <c r="A391" s="289" t="n"/>
      <c r="B391" s="290" t="n"/>
      <c r="C391" s="290" t="n"/>
      <c r="D391" s="291" t="n"/>
      <c r="E391" s="290" t="n"/>
      <c r="F391" s="290" t="n"/>
    </row>
    <row r="392" ht="13" customHeight="1" s="189">
      <c r="A392" s="289" t="n"/>
      <c r="B392" s="290" t="n"/>
      <c r="C392" s="290" t="n"/>
      <c r="D392" s="291" t="n"/>
      <c r="E392" s="290" t="n"/>
      <c r="F392" s="290" t="n"/>
    </row>
    <row r="393" ht="13" customHeight="1" s="189">
      <c r="A393" s="289" t="n"/>
      <c r="B393" s="290" t="n"/>
      <c r="C393" s="290" t="n"/>
      <c r="D393" s="291" t="n"/>
      <c r="E393" s="290" t="n"/>
      <c r="F393" s="290" t="n"/>
    </row>
    <row r="394" ht="13" customHeight="1" s="189">
      <c r="A394" s="289" t="n"/>
      <c r="B394" s="290" t="n"/>
      <c r="C394" s="290" t="n"/>
      <c r="D394" s="291" t="n"/>
      <c r="E394" s="290" t="n"/>
      <c r="F394" s="290" t="n"/>
    </row>
    <row r="395" ht="13" customHeight="1" s="189">
      <c r="A395" s="289" t="n"/>
      <c r="B395" s="290" t="n"/>
      <c r="C395" s="290" t="n"/>
      <c r="D395" s="291" t="n"/>
      <c r="E395" s="290" t="n"/>
      <c r="F395" s="290" t="n"/>
    </row>
    <row r="396" ht="13" customHeight="1" s="189">
      <c r="A396" s="289" t="n"/>
      <c r="B396" s="290" t="n"/>
      <c r="C396" s="290" t="n"/>
      <c r="D396" s="291" t="n"/>
      <c r="E396" s="290" t="n"/>
      <c r="F396" s="290" t="n"/>
    </row>
    <row r="397" ht="13" customHeight="1" s="189">
      <c r="A397" s="289" t="n"/>
      <c r="B397" s="290" t="n"/>
      <c r="C397" s="290" t="n"/>
      <c r="D397" s="291" t="n"/>
      <c r="E397" s="290" t="n"/>
      <c r="F397" s="290" t="n"/>
    </row>
    <row r="398" ht="13" customHeight="1" s="189">
      <c r="A398" s="289" t="n"/>
      <c r="B398" s="290" t="n"/>
      <c r="C398" s="290" t="n"/>
      <c r="D398" s="291" t="n"/>
      <c r="E398" s="290" t="n"/>
      <c r="F398" s="290" t="n"/>
    </row>
    <row r="399" ht="13" customHeight="1" s="189">
      <c r="A399" s="289" t="n"/>
      <c r="B399" s="290" t="n"/>
      <c r="C399" s="290" t="n"/>
      <c r="D399" s="291" t="n"/>
      <c r="E399" s="290" t="n"/>
      <c r="F399" s="290" t="n"/>
    </row>
    <row r="400" ht="13" customHeight="1" s="189">
      <c r="A400" s="289" t="n"/>
      <c r="B400" s="290" t="n"/>
      <c r="C400" s="290" t="n"/>
      <c r="D400" s="291" t="n"/>
      <c r="E400" s="290" t="n"/>
      <c r="F400" s="290" t="n"/>
    </row>
    <row r="401" ht="13" customHeight="1" s="189">
      <c r="A401" s="289" t="n"/>
      <c r="B401" s="290" t="n"/>
      <c r="C401" s="290" t="n"/>
      <c r="D401" s="291" t="n"/>
      <c r="E401" s="290" t="n"/>
      <c r="F401" s="290" t="n"/>
    </row>
    <row r="402" ht="13" customHeight="1" s="189">
      <c r="A402" s="289" t="n"/>
      <c r="B402" s="290" t="n"/>
      <c r="C402" s="290" t="n"/>
      <c r="D402" s="291" t="n"/>
      <c r="E402" s="290" t="n"/>
      <c r="F402" s="290" t="n"/>
    </row>
    <row r="403" ht="13" customHeight="1" s="189">
      <c r="A403" s="289" t="n"/>
      <c r="B403" s="290" t="n"/>
      <c r="C403" s="290" t="n"/>
      <c r="D403" s="291" t="n"/>
      <c r="E403" s="290" t="n"/>
      <c r="F403" s="290" t="n"/>
    </row>
    <row r="404" ht="13" customHeight="1" s="189">
      <c r="A404" s="289" t="n"/>
      <c r="B404" s="290" t="n"/>
      <c r="C404" s="290" t="n"/>
      <c r="D404" s="291" t="n"/>
      <c r="E404" s="290" t="n"/>
      <c r="F404" s="290" t="n"/>
    </row>
    <row r="405" ht="13" customHeight="1" s="189">
      <c r="A405" s="289" t="n"/>
      <c r="B405" s="290" t="n"/>
      <c r="C405" s="290" t="n"/>
      <c r="D405" s="291" t="n"/>
      <c r="E405" s="290" t="n"/>
      <c r="F405" s="290" t="n"/>
    </row>
    <row r="406" ht="13" customHeight="1" s="189">
      <c r="A406" s="289" t="n"/>
      <c r="B406" s="290" t="n"/>
      <c r="C406" s="290" t="n"/>
      <c r="D406" s="291" t="n"/>
      <c r="E406" s="290" t="n"/>
      <c r="F406" s="290" t="n"/>
    </row>
    <row r="407" ht="13" customHeight="1" s="189">
      <c r="A407" s="289" t="n"/>
      <c r="B407" s="290" t="n"/>
      <c r="C407" s="290" t="n"/>
      <c r="D407" s="291" t="n"/>
      <c r="E407" s="290" t="n"/>
      <c r="F407" s="290" t="n"/>
    </row>
    <row r="408" ht="13" customHeight="1" s="189">
      <c r="A408" s="289" t="n"/>
      <c r="B408" s="290" t="n"/>
      <c r="C408" s="290" t="n"/>
      <c r="D408" s="291" t="n"/>
      <c r="E408" s="290" t="n"/>
      <c r="F408" s="290" t="n"/>
    </row>
    <row r="409" ht="13" customHeight="1" s="189">
      <c r="A409" s="289" t="n"/>
      <c r="B409" s="290" t="n"/>
      <c r="C409" s="290" t="n"/>
      <c r="D409" s="291" t="n"/>
      <c r="E409" s="290" t="n"/>
      <c r="F409" s="290" t="n"/>
    </row>
    <row r="410" ht="13" customHeight="1" s="189">
      <c r="A410" s="289" t="n"/>
      <c r="B410" s="290" t="n"/>
      <c r="C410" s="290" t="n"/>
      <c r="D410" s="291" t="n"/>
      <c r="E410" s="290" t="n"/>
      <c r="F410" s="290" t="n"/>
    </row>
    <row r="411" ht="13" customHeight="1" s="189">
      <c r="A411" s="289" t="n"/>
      <c r="B411" s="290" t="n"/>
      <c r="C411" s="290" t="n"/>
      <c r="D411" s="291" t="n"/>
      <c r="E411" s="290" t="n"/>
      <c r="F411" s="290" t="n"/>
    </row>
    <row r="412" ht="13" customHeight="1" s="189">
      <c r="A412" s="289" t="n"/>
      <c r="B412" s="290" t="n"/>
      <c r="C412" s="290" t="n"/>
      <c r="D412" s="291" t="n"/>
      <c r="E412" s="290" t="n"/>
      <c r="F412" s="290" t="n"/>
    </row>
    <row r="413" ht="13" customHeight="1" s="189">
      <c r="A413" s="289" t="n"/>
      <c r="B413" s="290" t="n"/>
      <c r="C413" s="290" t="n"/>
      <c r="D413" s="291" t="n"/>
      <c r="E413" s="290" t="n"/>
      <c r="F413" s="290" t="n"/>
    </row>
    <row r="414" ht="13" customHeight="1" s="189">
      <c r="A414" s="289" t="n"/>
      <c r="B414" s="290" t="n"/>
      <c r="C414" s="290" t="n"/>
      <c r="D414" s="291" t="n"/>
      <c r="E414" s="290" t="n"/>
      <c r="F414" s="290" t="n"/>
    </row>
    <row r="415" ht="13" customHeight="1" s="189">
      <c r="A415" s="289" t="n"/>
      <c r="B415" s="290" t="n"/>
      <c r="C415" s="290" t="n"/>
      <c r="D415" s="291" t="n"/>
      <c r="E415" s="290" t="n"/>
      <c r="F415" s="290" t="n"/>
    </row>
    <row r="416" ht="13" customHeight="1" s="189">
      <c r="A416" s="289" t="n"/>
      <c r="B416" s="290" t="n"/>
      <c r="C416" s="290" t="n"/>
      <c r="D416" s="291" t="n"/>
      <c r="E416" s="290" t="n"/>
      <c r="F416" s="290" t="n"/>
    </row>
    <row r="417" ht="13" customHeight="1" s="189">
      <c r="A417" s="289" t="n"/>
      <c r="B417" s="290" t="n"/>
      <c r="C417" s="290" t="n"/>
      <c r="D417" s="291" t="n"/>
      <c r="E417" s="290" t="n"/>
      <c r="F417" s="290" t="n"/>
    </row>
    <row r="418" ht="13" customHeight="1" s="189">
      <c r="A418" s="289" t="n"/>
      <c r="B418" s="290" t="n"/>
      <c r="C418" s="290" t="n"/>
      <c r="D418" s="291" t="n"/>
      <c r="E418" s="290" t="n"/>
      <c r="F418" s="290" t="n"/>
    </row>
    <row r="419" ht="13" customHeight="1" s="189">
      <c r="A419" s="289" t="n"/>
      <c r="B419" s="290" t="n"/>
      <c r="C419" s="290" t="n"/>
      <c r="D419" s="291" t="n"/>
      <c r="E419" s="290" t="n"/>
      <c r="F419" s="290" t="n"/>
    </row>
    <row r="420" ht="13" customHeight="1" s="189">
      <c r="A420" s="289" t="n"/>
      <c r="B420" s="290" t="n"/>
      <c r="C420" s="290" t="n"/>
      <c r="D420" s="291" t="n"/>
      <c r="E420" s="290" t="n"/>
      <c r="F420" s="290" t="n"/>
    </row>
    <row r="421" ht="13" customHeight="1" s="189">
      <c r="A421" s="289" t="n"/>
      <c r="B421" s="290" t="n"/>
      <c r="C421" s="290" t="n"/>
      <c r="D421" s="291" t="n"/>
      <c r="E421" s="290" t="n"/>
      <c r="F421" s="290" t="n"/>
    </row>
    <row r="422" ht="13" customHeight="1" s="189">
      <c r="A422" s="289" t="n"/>
      <c r="B422" s="290" t="n"/>
      <c r="C422" s="290" t="n"/>
      <c r="D422" s="291" t="n"/>
      <c r="E422" s="290" t="n"/>
      <c r="F422" s="290" t="n"/>
    </row>
    <row r="423" ht="13" customHeight="1" s="189">
      <c r="A423" s="289" t="n"/>
      <c r="B423" s="290" t="n"/>
      <c r="C423" s="290" t="n"/>
      <c r="D423" s="291" t="n"/>
      <c r="E423" s="290" t="n"/>
      <c r="F423" s="290" t="n"/>
    </row>
    <row r="424" ht="13" customHeight="1" s="189">
      <c r="A424" s="289" t="n"/>
      <c r="B424" s="290" t="n"/>
      <c r="C424" s="290" t="n"/>
      <c r="D424" s="291" t="n"/>
      <c r="E424" s="290" t="n"/>
      <c r="F424" s="290" t="n"/>
    </row>
    <row r="425" ht="13" customHeight="1" s="189">
      <c r="A425" s="289" t="n"/>
      <c r="B425" s="290" t="n"/>
      <c r="C425" s="290" t="n"/>
      <c r="D425" s="291" t="n"/>
      <c r="E425" s="290" t="n"/>
      <c r="F425" s="290" t="n"/>
    </row>
    <row r="426" ht="13" customHeight="1" s="189">
      <c r="A426" s="289" t="n"/>
      <c r="B426" s="290" t="n"/>
      <c r="C426" s="290" t="n"/>
      <c r="D426" s="291" t="n"/>
      <c r="E426" s="290" t="n"/>
      <c r="F426" s="290" t="n"/>
    </row>
    <row r="427" ht="13" customHeight="1" s="189">
      <c r="A427" s="289" t="n"/>
      <c r="B427" s="290" t="n"/>
      <c r="C427" s="290" t="n"/>
      <c r="D427" s="291" t="n"/>
      <c r="E427" s="290" t="n"/>
      <c r="F427" s="290" t="n"/>
    </row>
    <row r="428" ht="13" customHeight="1" s="189">
      <c r="A428" s="289" t="n"/>
      <c r="B428" s="290" t="n"/>
      <c r="C428" s="290" t="n"/>
      <c r="D428" s="291" t="n"/>
      <c r="E428" s="290" t="n"/>
      <c r="F428" s="290" t="n"/>
    </row>
    <row r="429" ht="13" customHeight="1" s="189">
      <c r="A429" s="289" t="n"/>
      <c r="B429" s="290" t="n"/>
      <c r="C429" s="290" t="n"/>
      <c r="D429" s="291" t="n"/>
      <c r="E429" s="290" t="n"/>
      <c r="F429" s="290" t="n"/>
    </row>
    <row r="430" ht="13" customHeight="1" s="189">
      <c r="A430" s="289" t="n"/>
      <c r="B430" s="290" t="n"/>
      <c r="C430" s="290" t="n"/>
      <c r="D430" s="291" t="n"/>
      <c r="E430" s="290" t="n"/>
      <c r="F430" s="290" t="n"/>
    </row>
    <row r="431" ht="13" customHeight="1" s="189">
      <c r="A431" s="289" t="n"/>
      <c r="B431" s="290" t="n"/>
      <c r="C431" s="290" t="n"/>
      <c r="D431" s="291" t="n"/>
      <c r="E431" s="290" t="n"/>
      <c r="F431" s="290" t="n"/>
    </row>
    <row r="432" ht="13" customHeight="1" s="189">
      <c r="A432" s="289" t="n"/>
      <c r="B432" s="290" t="n"/>
      <c r="C432" s="290" t="n"/>
      <c r="D432" s="291" t="n"/>
      <c r="E432" s="290" t="n"/>
      <c r="F432" s="290" t="n"/>
    </row>
    <row r="433" ht="13" customHeight="1" s="189">
      <c r="A433" s="289" t="n"/>
      <c r="B433" s="290" t="n"/>
      <c r="C433" s="290" t="n"/>
      <c r="D433" s="291" t="n"/>
      <c r="E433" s="290" t="n"/>
      <c r="F433" s="290" t="n"/>
    </row>
    <row r="434" ht="13" customHeight="1" s="189">
      <c r="A434" s="289" t="n"/>
      <c r="B434" s="290" t="n"/>
      <c r="C434" s="290" t="n"/>
      <c r="D434" s="291" t="n"/>
      <c r="E434" s="290" t="n"/>
      <c r="F434" s="290" t="n"/>
    </row>
    <row r="435" ht="13" customHeight="1" s="189">
      <c r="A435" s="289" t="n"/>
      <c r="B435" s="290" t="n"/>
      <c r="C435" s="290" t="n"/>
      <c r="D435" s="291" t="n"/>
      <c r="E435" s="290" t="n"/>
      <c r="F435" s="290" t="n"/>
    </row>
    <row r="436" ht="13" customHeight="1" s="189">
      <c r="A436" s="289" t="n"/>
      <c r="B436" s="290" t="n"/>
      <c r="C436" s="290" t="n"/>
      <c r="D436" s="291" t="n"/>
      <c r="E436" s="290" t="n"/>
      <c r="F436" s="290" t="n"/>
    </row>
    <row r="437" ht="13" customHeight="1" s="189">
      <c r="A437" s="289" t="n"/>
      <c r="B437" s="290" t="n"/>
      <c r="C437" s="290" t="n"/>
      <c r="D437" s="291" t="n"/>
      <c r="E437" s="290" t="n"/>
      <c r="F437" s="290" t="n"/>
    </row>
    <row r="438" ht="13" customHeight="1" s="189">
      <c r="A438" s="289" t="n"/>
      <c r="B438" s="290" t="n"/>
      <c r="C438" s="290" t="n"/>
      <c r="D438" s="291" t="n"/>
      <c r="E438" s="290" t="n"/>
      <c r="F438" s="290" t="n"/>
    </row>
    <row r="439" ht="13" customHeight="1" s="189">
      <c r="A439" s="289" t="n"/>
      <c r="B439" s="290" t="n"/>
      <c r="C439" s="290" t="n"/>
      <c r="D439" s="291" t="n"/>
      <c r="E439" s="290" t="n"/>
      <c r="F439" s="290" t="n"/>
    </row>
    <row r="440" ht="13" customHeight="1" s="189">
      <c r="A440" s="289" t="n"/>
      <c r="B440" s="290" t="n"/>
      <c r="C440" s="290" t="n"/>
      <c r="D440" s="291" t="n"/>
      <c r="E440" s="290" t="n"/>
      <c r="F440" s="290" t="n"/>
    </row>
    <row r="441" ht="13" customHeight="1" s="189">
      <c r="A441" s="289" t="n"/>
      <c r="B441" s="290" t="n"/>
      <c r="C441" s="290" t="n"/>
      <c r="D441" s="291" t="n"/>
      <c r="E441" s="290" t="n"/>
      <c r="F441" s="290" t="n"/>
    </row>
    <row r="442" ht="13" customHeight="1" s="189">
      <c r="A442" s="289" t="n"/>
      <c r="B442" s="290" t="n"/>
      <c r="C442" s="290" t="n"/>
      <c r="D442" s="291" t="n"/>
      <c r="E442" s="290" t="n"/>
      <c r="F442" s="290" t="n"/>
    </row>
    <row r="443" ht="13" customHeight="1" s="189">
      <c r="A443" s="289" t="n"/>
      <c r="B443" s="290" t="n"/>
      <c r="C443" s="290" t="n"/>
      <c r="D443" s="291" t="n"/>
      <c r="E443" s="290" t="n"/>
      <c r="F443" s="290" t="n"/>
    </row>
    <row r="444" ht="13" customHeight="1" s="189">
      <c r="A444" s="289" t="n"/>
      <c r="B444" s="290" t="n"/>
      <c r="C444" s="290" t="n"/>
      <c r="D444" s="291" t="n"/>
      <c r="E444" s="290" t="n"/>
      <c r="F444" s="290" t="n"/>
    </row>
    <row r="445" ht="13" customHeight="1" s="189">
      <c r="A445" s="289" t="n"/>
      <c r="B445" s="290" t="n"/>
      <c r="C445" s="290" t="n"/>
      <c r="D445" s="291" t="n"/>
      <c r="E445" s="290" t="n"/>
      <c r="F445" s="290" t="n"/>
    </row>
    <row r="446" ht="13" customHeight="1" s="189">
      <c r="A446" s="289" t="n"/>
      <c r="B446" s="290" t="n"/>
      <c r="C446" s="290" t="n"/>
      <c r="D446" s="291" t="n"/>
      <c r="E446" s="290" t="n"/>
      <c r="F446" s="290" t="n"/>
    </row>
    <row r="447" ht="13" customHeight="1" s="189">
      <c r="A447" s="289" t="n"/>
      <c r="B447" s="290" t="n"/>
      <c r="C447" s="290" t="n"/>
      <c r="D447" s="291" t="n"/>
      <c r="E447" s="290" t="n"/>
      <c r="F447" s="290" t="n"/>
    </row>
    <row r="448" ht="13" customHeight="1" s="189">
      <c r="A448" s="289" t="n"/>
      <c r="B448" s="290" t="n"/>
      <c r="C448" s="290" t="n"/>
      <c r="D448" s="291" t="n"/>
      <c r="E448" s="290" t="n"/>
      <c r="F448" s="290" t="n"/>
    </row>
    <row r="449" ht="13" customHeight="1" s="189">
      <c r="A449" s="289" t="n"/>
      <c r="B449" s="290" t="n"/>
      <c r="C449" s="290" t="n"/>
      <c r="D449" s="291" t="n"/>
      <c r="E449" s="290" t="n"/>
      <c r="F449" s="290" t="n"/>
    </row>
    <row r="450" ht="13" customHeight="1" s="189">
      <c r="A450" s="289" t="n"/>
      <c r="B450" s="290" t="n"/>
      <c r="C450" s="290" t="n"/>
      <c r="D450" s="291" t="n"/>
      <c r="E450" s="290" t="n"/>
      <c r="F450" s="290" t="n"/>
    </row>
    <row r="451" ht="13" customHeight="1" s="189">
      <c r="A451" s="289" t="n"/>
      <c r="B451" s="290" t="n"/>
      <c r="C451" s="290" t="n"/>
      <c r="D451" s="291" t="n"/>
      <c r="E451" s="290" t="n"/>
      <c r="F451" s="290" t="n"/>
    </row>
    <row r="452" ht="13" customHeight="1" s="189">
      <c r="A452" s="289" t="n"/>
      <c r="B452" s="290" t="n"/>
      <c r="C452" s="290" t="n"/>
      <c r="D452" s="291" t="n"/>
      <c r="E452" s="290" t="n"/>
      <c r="F452" s="290" t="n"/>
    </row>
    <row r="453" ht="13" customHeight="1" s="189">
      <c r="A453" s="289" t="n"/>
      <c r="B453" s="290" t="n"/>
      <c r="C453" s="290" t="n"/>
      <c r="D453" s="291" t="n"/>
      <c r="E453" s="290" t="n"/>
      <c r="F453" s="290" t="n"/>
    </row>
    <row r="454" ht="13" customHeight="1" s="189">
      <c r="A454" s="289" t="n"/>
      <c r="B454" s="290" t="n"/>
      <c r="C454" s="290" t="n"/>
      <c r="D454" s="291" t="n"/>
      <c r="E454" s="290" t="n"/>
      <c r="F454" s="290" t="n"/>
    </row>
    <row r="455" ht="13" customHeight="1" s="189">
      <c r="A455" s="289" t="n"/>
      <c r="B455" s="290" t="n"/>
      <c r="C455" s="290" t="n"/>
      <c r="D455" s="291" t="n"/>
      <c r="E455" s="290" t="n"/>
      <c r="F455" s="290" t="n"/>
    </row>
    <row r="456" ht="13" customHeight="1" s="189">
      <c r="A456" s="289" t="n"/>
      <c r="B456" s="290" t="n"/>
      <c r="C456" s="290" t="n"/>
      <c r="D456" s="291" t="n"/>
      <c r="E456" s="290" t="n"/>
      <c r="F456" s="290" t="n"/>
    </row>
    <row r="457" ht="13" customHeight="1" s="189">
      <c r="A457" s="289" t="n"/>
      <c r="B457" s="290" t="n"/>
      <c r="C457" s="290" t="n"/>
      <c r="D457" s="291" t="n"/>
      <c r="E457" s="290" t="n"/>
      <c r="F457" s="290" t="n"/>
    </row>
    <row r="458" ht="13" customHeight="1" s="189">
      <c r="A458" s="289" t="n"/>
      <c r="B458" s="290" t="n"/>
      <c r="C458" s="290" t="n"/>
      <c r="D458" s="291" t="n"/>
      <c r="E458" s="290" t="n"/>
      <c r="F458" s="290" t="n"/>
    </row>
    <row r="459" ht="13" customHeight="1" s="189">
      <c r="A459" s="289" t="n"/>
      <c r="B459" s="290" t="n"/>
      <c r="C459" s="290" t="n"/>
      <c r="D459" s="291" t="n"/>
      <c r="E459" s="290" t="n"/>
      <c r="F459" s="290" t="n"/>
    </row>
    <row r="460" ht="13" customHeight="1" s="189">
      <c r="A460" s="289" t="n"/>
      <c r="B460" s="290" t="n"/>
      <c r="C460" s="290" t="n"/>
      <c r="D460" s="291" t="n"/>
      <c r="E460" s="290" t="n"/>
      <c r="F460" s="290" t="n"/>
    </row>
    <row r="461" ht="13" customHeight="1" s="189">
      <c r="A461" s="289" t="n"/>
      <c r="B461" s="290" t="n"/>
      <c r="C461" s="290" t="n"/>
      <c r="D461" s="291" t="n"/>
      <c r="E461" s="290" t="n"/>
      <c r="F461" s="290" t="n"/>
    </row>
    <row r="462" ht="13" customHeight="1" s="189">
      <c r="A462" s="289" t="n"/>
      <c r="B462" s="290" t="n"/>
      <c r="C462" s="290" t="n"/>
      <c r="D462" s="291" t="n"/>
      <c r="E462" s="290" t="n"/>
      <c r="F462" s="290" t="n"/>
    </row>
    <row r="463" ht="13" customHeight="1" s="189">
      <c r="A463" s="289" t="n"/>
      <c r="B463" s="290" t="n"/>
      <c r="C463" s="290" t="n"/>
      <c r="D463" s="291" t="n"/>
      <c r="E463" s="290" t="n"/>
      <c r="F463" s="290" t="n"/>
    </row>
    <row r="464" ht="13" customHeight="1" s="189">
      <c r="A464" s="289" t="n"/>
      <c r="B464" s="290" t="n"/>
      <c r="C464" s="290" t="n"/>
      <c r="D464" s="291" t="n"/>
      <c r="E464" s="290" t="n"/>
      <c r="F464" s="290" t="n"/>
    </row>
    <row r="465" ht="13" customHeight="1" s="189">
      <c r="A465" s="289" t="n"/>
      <c r="B465" s="290" t="n"/>
      <c r="C465" s="290" t="n"/>
      <c r="D465" s="291" t="n"/>
      <c r="E465" s="290" t="n"/>
      <c r="F465" s="290" t="n"/>
    </row>
    <row r="466" ht="13" customHeight="1" s="189">
      <c r="A466" s="289" t="n"/>
      <c r="B466" s="290" t="n"/>
      <c r="C466" s="290" t="n"/>
      <c r="D466" s="291" t="n"/>
      <c r="E466" s="290" t="n"/>
      <c r="F466" s="290" t="n"/>
    </row>
    <row r="467" ht="13" customHeight="1" s="189">
      <c r="A467" s="289" t="n"/>
      <c r="B467" s="290" t="n"/>
      <c r="C467" s="290" t="n"/>
      <c r="D467" s="291" t="n"/>
      <c r="E467" s="290" t="n"/>
      <c r="F467" s="290" t="n"/>
    </row>
    <row r="468" ht="13" customHeight="1" s="189">
      <c r="A468" s="289" t="n"/>
      <c r="B468" s="290" t="n"/>
      <c r="C468" s="290" t="n"/>
      <c r="D468" s="291" t="n"/>
      <c r="E468" s="290" t="n"/>
      <c r="F468" s="290" t="n"/>
    </row>
    <row r="469" ht="13" customHeight="1" s="189">
      <c r="A469" s="289" t="n"/>
      <c r="B469" s="290" t="n"/>
      <c r="C469" s="290" t="n"/>
      <c r="D469" s="291" t="n"/>
      <c r="E469" s="290" t="n"/>
      <c r="F469" s="290" t="n"/>
    </row>
    <row r="470" ht="13" customHeight="1" s="189">
      <c r="A470" s="289" t="n"/>
      <c r="B470" s="290" t="n"/>
      <c r="C470" s="290" t="n"/>
      <c r="D470" s="291" t="n"/>
      <c r="E470" s="290" t="n"/>
      <c r="F470" s="290" t="n"/>
    </row>
    <row r="471" ht="13" customHeight="1" s="189">
      <c r="A471" s="289" t="n"/>
      <c r="B471" s="290" t="n"/>
      <c r="C471" s="290" t="n"/>
      <c r="D471" s="291" t="n"/>
      <c r="E471" s="290" t="n"/>
      <c r="F471" s="290" t="n"/>
    </row>
    <row r="472" ht="13" customHeight="1" s="189">
      <c r="A472" s="289" t="n"/>
      <c r="B472" s="290" t="n"/>
      <c r="C472" s="290" t="n"/>
      <c r="D472" s="291" t="n"/>
      <c r="E472" s="290" t="n"/>
      <c r="F472" s="290" t="n"/>
    </row>
    <row r="473" ht="13" customHeight="1" s="189">
      <c r="A473" s="289" t="n"/>
      <c r="B473" s="290" t="n"/>
      <c r="C473" s="290" t="n"/>
      <c r="D473" s="291" t="n"/>
      <c r="E473" s="290" t="n"/>
      <c r="F473" s="290" t="n"/>
    </row>
    <row r="474" ht="13" customHeight="1" s="189">
      <c r="A474" s="289" t="n"/>
      <c r="B474" s="290" t="n"/>
      <c r="C474" s="290" t="n"/>
      <c r="D474" s="291" t="n"/>
      <c r="E474" s="290" t="n"/>
      <c r="F474" s="290" t="n"/>
    </row>
    <row r="475" ht="13" customHeight="1" s="189">
      <c r="A475" s="289" t="n"/>
      <c r="B475" s="290" t="n"/>
      <c r="C475" s="290" t="n"/>
      <c r="D475" s="291" t="n"/>
      <c r="E475" s="290" t="n"/>
      <c r="F475" s="290" t="n"/>
    </row>
    <row r="476" ht="13" customHeight="1" s="189">
      <c r="A476" s="289" t="n"/>
      <c r="B476" s="290" t="n"/>
      <c r="C476" s="290" t="n"/>
      <c r="D476" s="291" t="n"/>
      <c r="E476" s="290" t="n"/>
      <c r="F476" s="290" t="n"/>
    </row>
    <row r="477" ht="13" customHeight="1" s="189">
      <c r="A477" s="289" t="n"/>
      <c r="B477" s="290" t="n"/>
      <c r="C477" s="290" t="n"/>
      <c r="D477" s="291" t="n"/>
      <c r="E477" s="290" t="n"/>
      <c r="F477" s="290" t="n"/>
    </row>
    <row r="478" ht="13" customHeight="1" s="189">
      <c r="A478" s="289" t="n"/>
      <c r="B478" s="290" t="n"/>
      <c r="C478" s="290" t="n"/>
      <c r="D478" s="291" t="n"/>
      <c r="E478" s="290" t="n"/>
      <c r="F478" s="290" t="n"/>
    </row>
    <row r="479" ht="13" customHeight="1" s="189">
      <c r="A479" s="289" t="n"/>
      <c r="B479" s="290" t="n"/>
      <c r="C479" s="290" t="n"/>
      <c r="D479" s="291" t="n"/>
      <c r="E479" s="290" t="n"/>
      <c r="F479" s="290" t="n"/>
    </row>
    <row r="480" ht="13" customHeight="1" s="189">
      <c r="A480" s="289" t="n"/>
      <c r="B480" s="290" t="n"/>
      <c r="C480" s="290" t="n"/>
      <c r="D480" s="291" t="n"/>
      <c r="E480" s="290" t="n"/>
      <c r="F480" s="290" t="n"/>
    </row>
    <row r="481" ht="13" customHeight="1" s="189">
      <c r="A481" s="289" t="n"/>
      <c r="B481" s="290" t="n"/>
      <c r="C481" s="290" t="n"/>
      <c r="D481" s="291" t="n"/>
      <c r="E481" s="290" t="n"/>
      <c r="F481" s="290" t="n"/>
    </row>
    <row r="482" ht="13" customHeight="1" s="189">
      <c r="A482" s="289" t="n"/>
      <c r="B482" s="290" t="n"/>
      <c r="C482" s="290" t="n"/>
      <c r="D482" s="291" t="n"/>
      <c r="E482" s="290" t="n"/>
      <c r="F482" s="290" t="n"/>
    </row>
    <row r="483" ht="13" customHeight="1" s="189">
      <c r="A483" s="289" t="n"/>
      <c r="B483" s="290" t="n"/>
      <c r="C483" s="290" t="n"/>
      <c r="D483" s="291" t="n"/>
      <c r="E483" s="290" t="n"/>
      <c r="F483" s="290" t="n"/>
    </row>
    <row r="484" ht="13" customHeight="1" s="189">
      <c r="A484" s="289" t="n"/>
      <c r="B484" s="290" t="n"/>
      <c r="C484" s="290" t="n"/>
      <c r="D484" s="291" t="n"/>
      <c r="E484" s="290" t="n"/>
      <c r="F484" s="290" t="n"/>
    </row>
    <row r="485" ht="13" customHeight="1" s="189">
      <c r="A485" s="289" t="n"/>
      <c r="B485" s="290" t="n"/>
      <c r="C485" s="290" t="n"/>
      <c r="D485" s="291" t="n"/>
      <c r="E485" s="290" t="n"/>
      <c r="F485" s="290" t="n"/>
    </row>
    <row r="486" ht="13" customHeight="1" s="189">
      <c r="A486" s="289" t="n"/>
      <c r="B486" s="290" t="n"/>
      <c r="C486" s="290" t="n"/>
      <c r="D486" s="291" t="n"/>
      <c r="E486" s="290" t="n"/>
      <c r="F486" s="290" t="n"/>
    </row>
    <row r="487" ht="13" customHeight="1" s="189">
      <c r="A487" s="289" t="n"/>
      <c r="B487" s="290" t="n"/>
      <c r="C487" s="290" t="n"/>
      <c r="D487" s="291" t="n"/>
      <c r="E487" s="290" t="n"/>
      <c r="F487" s="290" t="n"/>
    </row>
    <row r="488" ht="13" customHeight="1" s="189">
      <c r="A488" s="289" t="n"/>
      <c r="B488" s="290" t="n"/>
      <c r="C488" s="290" t="n"/>
      <c r="D488" s="291" t="n"/>
      <c r="E488" s="290" t="n"/>
      <c r="F488" s="290" t="n"/>
    </row>
    <row r="489" ht="13" customHeight="1" s="189">
      <c r="A489" s="289" t="n"/>
      <c r="B489" s="290" t="n"/>
      <c r="C489" s="290" t="n"/>
      <c r="D489" s="291" t="n"/>
      <c r="E489" s="290" t="n"/>
      <c r="F489" s="290" t="n"/>
    </row>
    <row r="490" ht="13" customHeight="1" s="189">
      <c r="A490" s="289" t="n"/>
      <c r="B490" s="290" t="n"/>
      <c r="C490" s="290" t="n"/>
      <c r="D490" s="291" t="n"/>
      <c r="E490" s="290" t="n"/>
      <c r="F490" s="290" t="n"/>
    </row>
    <row r="491" ht="13" customHeight="1" s="189">
      <c r="A491" s="289" t="n"/>
      <c r="B491" s="290" t="n"/>
      <c r="C491" s="290" t="n"/>
      <c r="D491" s="291" t="n"/>
      <c r="E491" s="290" t="n"/>
      <c r="F491" s="290" t="n"/>
    </row>
    <row r="492" ht="13" customHeight="1" s="189">
      <c r="A492" s="289" t="n"/>
      <c r="B492" s="290" t="n"/>
      <c r="C492" s="290" t="n"/>
      <c r="D492" s="291" t="n"/>
      <c r="E492" s="290" t="n"/>
      <c r="F492" s="290" t="n"/>
    </row>
    <row r="493" ht="13" customHeight="1" s="189">
      <c r="A493" s="289" t="n"/>
      <c r="B493" s="290" t="n"/>
      <c r="C493" s="290" t="n"/>
      <c r="D493" s="291" t="n"/>
      <c r="E493" s="290" t="n"/>
      <c r="F493" s="290" t="n"/>
    </row>
    <row r="494" ht="13" customHeight="1" s="189">
      <c r="A494" s="289" t="n"/>
      <c r="B494" s="290" t="n"/>
      <c r="C494" s="290" t="n"/>
      <c r="D494" s="291" t="n"/>
      <c r="E494" s="290" t="n"/>
      <c r="F494" s="290" t="n"/>
    </row>
    <row r="495" ht="13" customHeight="1" s="189">
      <c r="A495" s="289" t="n"/>
      <c r="B495" s="290" t="n"/>
      <c r="C495" s="290" t="n"/>
      <c r="D495" s="291" t="n"/>
      <c r="E495" s="290" t="n"/>
      <c r="F495" s="290" t="n"/>
    </row>
    <row r="496" ht="13" customHeight="1" s="189">
      <c r="A496" s="289" t="n"/>
      <c r="B496" s="290" t="n"/>
      <c r="C496" s="290" t="n"/>
      <c r="D496" s="291" t="n"/>
      <c r="E496" s="290" t="n"/>
      <c r="F496" s="290" t="n"/>
    </row>
    <row r="497" ht="13" customHeight="1" s="189">
      <c r="A497" s="289" t="n"/>
      <c r="B497" s="290" t="n"/>
      <c r="C497" s="290" t="n"/>
      <c r="D497" s="291" t="n"/>
      <c r="E497" s="290" t="n"/>
      <c r="F497" s="290" t="n"/>
    </row>
    <row r="498" ht="13" customHeight="1" s="189">
      <c r="A498" s="289" t="n"/>
      <c r="B498" s="290" t="n"/>
      <c r="C498" s="290" t="n"/>
      <c r="D498" s="291" t="n"/>
      <c r="E498" s="290" t="n"/>
      <c r="F498" s="290" t="n"/>
    </row>
    <row r="499" ht="13" customHeight="1" s="189">
      <c r="A499" s="289" t="n"/>
      <c r="B499" s="290" t="n"/>
      <c r="C499" s="290" t="n"/>
      <c r="D499" s="291" t="n"/>
      <c r="E499" s="290" t="n"/>
      <c r="F499" s="290" t="n"/>
    </row>
    <row r="500" ht="13" customHeight="1" s="189">
      <c r="A500" s="289" t="n"/>
      <c r="B500" s="290" t="n"/>
      <c r="C500" s="290" t="n"/>
      <c r="D500" s="291" t="n"/>
      <c r="E500" s="290" t="n"/>
      <c r="F500" s="290" t="n"/>
    </row>
    <row r="501" ht="13" customHeight="1" s="189">
      <c r="A501" s="289" t="n"/>
      <c r="B501" s="290" t="n"/>
      <c r="C501" s="290" t="n"/>
      <c r="D501" s="291" t="n"/>
      <c r="E501" s="290" t="n"/>
      <c r="F501" s="290" t="n"/>
    </row>
    <row r="502" ht="13" customHeight="1" s="189">
      <c r="A502" s="289" t="n"/>
      <c r="B502" s="290" t="n"/>
      <c r="C502" s="290" t="n"/>
      <c r="D502" s="291" t="n"/>
      <c r="E502" s="290" t="n"/>
      <c r="F502" s="290" t="n"/>
    </row>
    <row r="503" ht="13" customHeight="1" s="189">
      <c r="A503" s="289" t="n"/>
      <c r="B503" s="290" t="n"/>
      <c r="C503" s="290" t="n"/>
      <c r="D503" s="291" t="n"/>
      <c r="E503" s="290" t="n"/>
      <c r="F503" s="290" t="n"/>
    </row>
    <row r="504" ht="13" customHeight="1" s="189">
      <c r="A504" s="289" t="n"/>
      <c r="B504" s="290" t="n"/>
      <c r="C504" s="290" t="n"/>
      <c r="D504" s="291" t="n"/>
      <c r="E504" s="290" t="n"/>
      <c r="F504" s="290" t="n"/>
    </row>
    <row r="505" ht="13" customHeight="1" s="189">
      <c r="A505" s="289" t="n"/>
      <c r="B505" s="290" t="n"/>
      <c r="C505" s="290" t="n"/>
      <c r="D505" s="291" t="n"/>
      <c r="E505" s="290" t="n"/>
      <c r="F505" s="290" t="n"/>
    </row>
    <row r="506" ht="13" customHeight="1" s="189">
      <c r="A506" s="289" t="n"/>
      <c r="B506" s="290" t="n"/>
      <c r="C506" s="290" t="n"/>
      <c r="D506" s="291" t="n"/>
      <c r="E506" s="290" t="n"/>
      <c r="F506" s="290" t="n"/>
    </row>
    <row r="507" ht="13" customHeight="1" s="189">
      <c r="A507" s="289" t="n"/>
      <c r="B507" s="290" t="n"/>
      <c r="C507" s="290" t="n"/>
      <c r="D507" s="291" t="n"/>
      <c r="E507" s="290" t="n"/>
      <c r="F507" s="290" t="n"/>
    </row>
    <row r="508" ht="13" customHeight="1" s="189">
      <c r="A508" s="289" t="n"/>
      <c r="B508" s="290" t="n"/>
      <c r="C508" s="290" t="n"/>
      <c r="D508" s="291" t="n"/>
      <c r="E508" s="290" t="n"/>
      <c r="F508" s="290" t="n"/>
    </row>
    <row r="509" ht="13" customHeight="1" s="189">
      <c r="A509" s="289" t="n"/>
      <c r="B509" s="290" t="n"/>
      <c r="C509" s="290" t="n"/>
      <c r="D509" s="291" t="n"/>
      <c r="E509" s="290" t="n"/>
      <c r="F509" s="290" t="n"/>
    </row>
    <row r="510" ht="13" customHeight="1" s="189">
      <c r="A510" s="289" t="n"/>
      <c r="B510" s="290" t="n"/>
      <c r="C510" s="290" t="n"/>
      <c r="D510" s="291" t="n"/>
      <c r="E510" s="290" t="n"/>
      <c r="F510" s="290" t="n"/>
    </row>
    <row r="511" ht="13" customHeight="1" s="189">
      <c r="A511" s="289" t="n"/>
      <c r="B511" s="290" t="n"/>
      <c r="C511" s="290" t="n"/>
      <c r="D511" s="291" t="n"/>
      <c r="E511" s="290" t="n"/>
      <c r="F511" s="290" t="n"/>
    </row>
    <row r="512" ht="13" customHeight="1" s="189">
      <c r="A512" s="289" t="n"/>
      <c r="B512" s="290" t="n"/>
      <c r="C512" s="290" t="n"/>
      <c r="D512" s="291" t="n"/>
      <c r="E512" s="290" t="n"/>
      <c r="F512" s="290" t="n"/>
    </row>
    <row r="513" ht="13" customHeight="1" s="189">
      <c r="A513" s="289" t="n"/>
      <c r="B513" s="290" t="n"/>
      <c r="C513" s="290" t="n"/>
      <c r="D513" s="291" t="n"/>
      <c r="E513" s="290" t="n"/>
      <c r="F513" s="290" t="n"/>
    </row>
    <row r="514" ht="13" customHeight="1" s="189">
      <c r="A514" s="289" t="n"/>
      <c r="B514" s="290" t="n"/>
      <c r="C514" s="290" t="n"/>
      <c r="D514" s="291" t="n"/>
      <c r="E514" s="290" t="n"/>
      <c r="F514" s="290" t="n"/>
    </row>
    <row r="515" ht="13" customHeight="1" s="189">
      <c r="A515" s="289" t="n"/>
      <c r="B515" s="290" t="n"/>
      <c r="C515" s="290" t="n"/>
      <c r="D515" s="291" t="n"/>
      <c r="E515" s="290" t="n"/>
      <c r="F515" s="290" t="n"/>
    </row>
    <row r="516" ht="13" customHeight="1" s="189">
      <c r="A516" s="289" t="n"/>
      <c r="B516" s="290" t="n"/>
      <c r="C516" s="290" t="n"/>
      <c r="D516" s="291" t="n"/>
      <c r="E516" s="290" t="n"/>
      <c r="F516" s="290" t="n"/>
    </row>
    <row r="517" ht="13" customHeight="1" s="189">
      <c r="A517" s="289" t="n"/>
      <c r="B517" s="290" t="n"/>
      <c r="C517" s="290" t="n"/>
      <c r="D517" s="291" t="n"/>
      <c r="E517" s="290" t="n"/>
      <c r="F517" s="290" t="n"/>
    </row>
    <row r="518" ht="13" customHeight="1" s="189">
      <c r="A518" s="289" t="n"/>
      <c r="B518" s="290" t="n"/>
      <c r="C518" s="290" t="n"/>
      <c r="D518" s="291" t="n"/>
      <c r="E518" s="290" t="n"/>
      <c r="F518" s="290" t="n"/>
    </row>
    <row r="519" ht="13" customHeight="1" s="189">
      <c r="A519" s="289" t="n"/>
      <c r="B519" s="290" t="n"/>
      <c r="C519" s="290" t="n"/>
      <c r="D519" s="291" t="n"/>
      <c r="E519" s="290" t="n"/>
      <c r="F519" s="290" t="n"/>
    </row>
    <row r="520" ht="13" customHeight="1" s="189">
      <c r="A520" s="289" t="n"/>
      <c r="B520" s="290" t="n"/>
      <c r="C520" s="290" t="n"/>
      <c r="D520" s="291" t="n"/>
      <c r="E520" s="290" t="n"/>
      <c r="F520" s="290" t="n"/>
    </row>
    <row r="521" ht="13" customHeight="1" s="189">
      <c r="A521" s="289" t="n"/>
      <c r="B521" s="290" t="n"/>
      <c r="C521" s="290" t="n"/>
      <c r="D521" s="291" t="n"/>
      <c r="E521" s="290" t="n"/>
      <c r="F521" s="290" t="n"/>
    </row>
    <row r="522" ht="13" customHeight="1" s="189">
      <c r="A522" s="289" t="n"/>
      <c r="B522" s="290" t="n"/>
      <c r="C522" s="290" t="n"/>
      <c r="D522" s="291" t="n"/>
      <c r="E522" s="290" t="n"/>
      <c r="F522" s="290" t="n"/>
    </row>
    <row r="523" ht="13" customHeight="1" s="189">
      <c r="A523" s="289" t="n"/>
      <c r="B523" s="290" t="n"/>
      <c r="C523" s="290" t="n"/>
      <c r="D523" s="291" t="n"/>
      <c r="E523" s="290" t="n"/>
      <c r="F523" s="290" t="n"/>
    </row>
    <row r="524" ht="13" customHeight="1" s="189">
      <c r="A524" s="289" t="n"/>
      <c r="B524" s="290" t="n"/>
      <c r="C524" s="290" t="n"/>
      <c r="D524" s="291" t="n"/>
      <c r="E524" s="290" t="n"/>
      <c r="F524" s="290" t="n"/>
    </row>
    <row r="525" ht="13" customHeight="1" s="189">
      <c r="A525" s="289" t="n"/>
      <c r="B525" s="290" t="n"/>
      <c r="C525" s="290" t="n"/>
      <c r="D525" s="291" t="n"/>
      <c r="E525" s="290" t="n"/>
      <c r="F525" s="290" t="n"/>
    </row>
    <row r="526" ht="13" customHeight="1" s="189">
      <c r="A526" s="289" t="n"/>
      <c r="B526" s="290" t="n"/>
      <c r="C526" s="290" t="n"/>
      <c r="D526" s="291" t="n"/>
      <c r="E526" s="290" t="n"/>
      <c r="F526" s="290" t="n"/>
    </row>
    <row r="527" ht="13" customHeight="1" s="189">
      <c r="A527" s="289" t="n"/>
      <c r="B527" s="290" t="n"/>
      <c r="C527" s="290" t="n"/>
      <c r="D527" s="291" t="n"/>
      <c r="E527" s="290" t="n"/>
      <c r="F527" s="290" t="n"/>
    </row>
    <row r="528" ht="13" customHeight="1" s="189">
      <c r="A528" s="289" t="n"/>
      <c r="B528" s="290" t="n"/>
      <c r="C528" s="290" t="n"/>
      <c r="D528" s="291" t="n"/>
      <c r="E528" s="290" t="n"/>
      <c r="F528" s="290" t="n"/>
    </row>
    <row r="529" ht="13" customHeight="1" s="189">
      <c r="A529" s="289" t="n"/>
      <c r="B529" s="290" t="n"/>
      <c r="C529" s="290" t="n"/>
      <c r="D529" s="291" t="n"/>
      <c r="E529" s="290" t="n"/>
      <c r="F529" s="290" t="n"/>
    </row>
    <row r="530" ht="13" customHeight="1" s="189">
      <c r="A530" s="289" t="n"/>
      <c r="B530" s="290" t="n"/>
      <c r="C530" s="290" t="n"/>
      <c r="D530" s="291" t="n"/>
      <c r="E530" s="290" t="n"/>
      <c r="F530" s="290" t="n"/>
    </row>
    <row r="531" ht="13" customHeight="1" s="189">
      <c r="A531" s="289" t="n"/>
      <c r="B531" s="290" t="n"/>
      <c r="C531" s="290" t="n"/>
      <c r="D531" s="291" t="n"/>
      <c r="E531" s="290" t="n"/>
      <c r="F531" s="290" t="n"/>
    </row>
    <row r="532" ht="13" customHeight="1" s="189">
      <c r="A532" s="289" t="n"/>
      <c r="B532" s="290" t="n"/>
      <c r="C532" s="290" t="n"/>
      <c r="D532" s="291" t="n"/>
      <c r="E532" s="290" t="n"/>
      <c r="F532" s="290" t="n"/>
    </row>
    <row r="533" ht="13" customHeight="1" s="189">
      <c r="A533" s="289" t="n"/>
      <c r="B533" s="290" t="n"/>
      <c r="C533" s="290" t="n"/>
      <c r="D533" s="291" t="n"/>
      <c r="E533" s="290" t="n"/>
      <c r="F533" s="290" t="n"/>
    </row>
    <row r="534" ht="13" customHeight="1" s="189">
      <c r="A534" s="289" t="n"/>
      <c r="B534" s="290" t="n"/>
      <c r="C534" s="290" t="n"/>
      <c r="D534" s="291" t="n"/>
      <c r="E534" s="290" t="n"/>
      <c r="F534" s="290" t="n"/>
    </row>
    <row r="535" ht="13" customHeight="1" s="189">
      <c r="A535" s="289" t="n"/>
      <c r="B535" s="290" t="n"/>
      <c r="C535" s="290" t="n"/>
      <c r="D535" s="291" t="n"/>
      <c r="E535" s="290" t="n"/>
      <c r="F535" s="290" t="n"/>
    </row>
    <row r="536" ht="13" customHeight="1" s="189">
      <c r="A536" s="289" t="n"/>
      <c r="B536" s="290" t="n"/>
      <c r="C536" s="290" t="n"/>
      <c r="D536" s="291" t="n"/>
      <c r="E536" s="290" t="n"/>
      <c r="F536" s="290" t="n"/>
    </row>
    <row r="537" ht="13" customHeight="1" s="189">
      <c r="A537" s="289" t="n"/>
      <c r="B537" s="290" t="n"/>
      <c r="C537" s="290" t="n"/>
      <c r="D537" s="291" t="n"/>
      <c r="E537" s="290" t="n"/>
      <c r="F537" s="290" t="n"/>
    </row>
    <row r="538" ht="13" customHeight="1" s="189">
      <c r="A538" s="289" t="n"/>
      <c r="B538" s="290" t="n"/>
      <c r="C538" s="290" t="n"/>
      <c r="D538" s="291" t="n"/>
      <c r="E538" s="290" t="n"/>
      <c r="F538" s="290" t="n"/>
    </row>
    <row r="539" ht="13" customHeight="1" s="189">
      <c r="A539" s="289" t="n"/>
      <c r="B539" s="290" t="n"/>
      <c r="C539" s="290" t="n"/>
      <c r="D539" s="291" t="n"/>
      <c r="E539" s="290" t="n"/>
      <c r="F539" s="290" t="n"/>
    </row>
    <row r="540" ht="13" customHeight="1" s="189">
      <c r="A540" s="289" t="n"/>
      <c r="B540" s="290" t="n"/>
      <c r="C540" s="290" t="n"/>
      <c r="D540" s="291" t="n"/>
      <c r="E540" s="290" t="n"/>
      <c r="F540" s="290" t="n"/>
    </row>
    <row r="541" ht="13" customHeight="1" s="189">
      <c r="A541" s="289" t="n"/>
      <c r="B541" s="290" t="n"/>
      <c r="C541" s="290" t="n"/>
      <c r="D541" s="291" t="n"/>
      <c r="E541" s="290" t="n"/>
      <c r="F541" s="290" t="n"/>
    </row>
    <row r="542" ht="13" customHeight="1" s="189">
      <c r="A542" s="289" t="n"/>
      <c r="B542" s="290" t="n"/>
      <c r="C542" s="290" t="n"/>
      <c r="D542" s="291" t="n"/>
      <c r="E542" s="290" t="n"/>
      <c r="F542" s="290" t="n"/>
    </row>
    <row r="543" ht="13" customHeight="1" s="189">
      <c r="A543" s="289" t="n"/>
      <c r="B543" s="290" t="n"/>
      <c r="C543" s="290" t="n"/>
      <c r="D543" s="291" t="n"/>
      <c r="E543" s="290" t="n"/>
      <c r="F543" s="290" t="n"/>
    </row>
    <row r="544" ht="13" customHeight="1" s="189">
      <c r="A544" s="289" t="n"/>
      <c r="B544" s="290" t="n"/>
      <c r="C544" s="290" t="n"/>
      <c r="D544" s="291" t="n"/>
      <c r="E544" s="290" t="n"/>
      <c r="F544" s="290" t="n"/>
    </row>
    <row r="545" ht="13" customHeight="1" s="189">
      <c r="A545" s="289" t="n"/>
      <c r="B545" s="290" t="n"/>
      <c r="C545" s="290" t="n"/>
      <c r="D545" s="291" t="n"/>
      <c r="E545" s="290" t="n"/>
      <c r="F545" s="290" t="n"/>
    </row>
    <row r="546" ht="13" customHeight="1" s="189">
      <c r="A546" s="289" t="n"/>
      <c r="B546" s="290" t="n"/>
      <c r="C546" s="290" t="n"/>
      <c r="D546" s="291" t="n"/>
      <c r="E546" s="290" t="n"/>
      <c r="F546" s="290" t="n"/>
    </row>
    <row r="547" ht="13" customHeight="1" s="189">
      <c r="A547" s="289" t="n"/>
      <c r="B547" s="290" t="n"/>
      <c r="C547" s="290" t="n"/>
      <c r="D547" s="291" t="n"/>
      <c r="E547" s="290" t="n"/>
      <c r="F547" s="290" t="n"/>
    </row>
    <row r="548" ht="13" customHeight="1" s="189">
      <c r="A548" s="289" t="n"/>
      <c r="B548" s="290" t="n"/>
      <c r="C548" s="290" t="n"/>
      <c r="D548" s="291" t="n"/>
      <c r="E548" s="290" t="n"/>
      <c r="F548" s="290" t="n"/>
    </row>
    <row r="549" ht="13" customHeight="1" s="189">
      <c r="A549" s="289" t="n"/>
      <c r="B549" s="290" t="n"/>
      <c r="C549" s="290" t="n"/>
      <c r="D549" s="291" t="n"/>
      <c r="E549" s="290" t="n"/>
      <c r="F549" s="290" t="n"/>
    </row>
    <row r="550" ht="13" customHeight="1" s="189">
      <c r="A550" s="289" t="n"/>
      <c r="B550" s="290" t="n"/>
      <c r="C550" s="290" t="n"/>
      <c r="D550" s="291" t="n"/>
      <c r="E550" s="290" t="n"/>
      <c r="F550" s="290" t="n"/>
    </row>
    <row r="551" ht="13" customHeight="1" s="189">
      <c r="A551" s="289" t="n"/>
      <c r="B551" s="290" t="n"/>
      <c r="C551" s="290" t="n"/>
      <c r="D551" s="291" t="n"/>
      <c r="E551" s="290" t="n"/>
      <c r="F551" s="290" t="n"/>
    </row>
    <row r="552" ht="13" customHeight="1" s="189">
      <c r="A552" s="289" t="n"/>
      <c r="B552" s="290" t="n"/>
      <c r="C552" s="290" t="n"/>
      <c r="D552" s="291" t="n"/>
      <c r="E552" s="290" t="n"/>
      <c r="F552" s="290" t="n"/>
    </row>
    <row r="553" ht="13" customHeight="1" s="189">
      <c r="A553" s="289" t="n"/>
      <c r="B553" s="290" t="n"/>
      <c r="C553" s="290" t="n"/>
      <c r="D553" s="291" t="n"/>
      <c r="E553" s="290" t="n"/>
      <c r="F553" s="290" t="n"/>
    </row>
    <row r="554" ht="13" customHeight="1" s="189">
      <c r="A554" s="289" t="n"/>
      <c r="B554" s="290" t="n"/>
      <c r="C554" s="290" t="n"/>
      <c r="D554" s="291" t="n"/>
      <c r="E554" s="290" t="n"/>
      <c r="F554" s="290" t="n"/>
    </row>
    <row r="555" ht="13" customHeight="1" s="189">
      <c r="A555" s="289" t="n"/>
      <c r="B555" s="290" t="n"/>
      <c r="C555" s="290" t="n"/>
      <c r="D555" s="291" t="n"/>
      <c r="E555" s="290" t="n"/>
      <c r="F555" s="290" t="n"/>
    </row>
    <row r="556" ht="13" customHeight="1" s="189">
      <c r="A556" s="289" t="n"/>
      <c r="B556" s="290" t="n"/>
      <c r="C556" s="290" t="n"/>
      <c r="D556" s="291" t="n"/>
      <c r="E556" s="290" t="n"/>
      <c r="F556" s="290" t="n"/>
    </row>
    <row r="557" ht="13" customHeight="1" s="189">
      <c r="A557" s="289" t="n"/>
      <c r="B557" s="290" t="n"/>
      <c r="C557" s="290" t="n"/>
      <c r="D557" s="291" t="n"/>
      <c r="E557" s="290" t="n"/>
      <c r="F557" s="290" t="n"/>
    </row>
    <row r="558" ht="13" customHeight="1" s="189">
      <c r="A558" s="289" t="n"/>
      <c r="B558" s="290" t="n"/>
      <c r="C558" s="290" t="n"/>
      <c r="D558" s="291" t="n"/>
      <c r="E558" s="290" t="n"/>
      <c r="F558" s="290" t="n"/>
    </row>
    <row r="559" ht="13" customHeight="1" s="189">
      <c r="A559" s="289" t="n"/>
      <c r="B559" s="290" t="n"/>
      <c r="C559" s="290" t="n"/>
      <c r="D559" s="291" t="n"/>
      <c r="E559" s="290" t="n"/>
      <c r="F559" s="290" t="n"/>
    </row>
    <row r="560" ht="13" customHeight="1" s="189">
      <c r="A560" s="289" t="n"/>
      <c r="B560" s="290" t="n"/>
      <c r="C560" s="290" t="n"/>
      <c r="D560" s="291" t="n"/>
      <c r="E560" s="290" t="n"/>
      <c r="F560" s="290" t="n"/>
    </row>
    <row r="561" ht="13" customHeight="1" s="189">
      <c r="A561" s="289" t="n"/>
      <c r="B561" s="290" t="n"/>
      <c r="C561" s="290" t="n"/>
      <c r="D561" s="291" t="n"/>
      <c r="E561" s="290" t="n"/>
      <c r="F561" s="290" t="n"/>
    </row>
    <row r="562" ht="13" customHeight="1" s="189">
      <c r="A562" s="289" t="n"/>
      <c r="B562" s="290" t="n"/>
      <c r="C562" s="290" t="n"/>
      <c r="D562" s="291" t="n"/>
      <c r="E562" s="290" t="n"/>
      <c r="F562" s="290" t="n"/>
    </row>
    <row r="563" ht="13" customHeight="1" s="189">
      <c r="A563" s="289" t="n"/>
      <c r="B563" s="290" t="n"/>
      <c r="C563" s="290" t="n"/>
      <c r="D563" s="291" t="n"/>
      <c r="E563" s="290" t="n"/>
      <c r="F563" s="290" t="n"/>
    </row>
    <row r="564" ht="13" customHeight="1" s="189">
      <c r="A564" s="289" t="n"/>
      <c r="B564" s="290" t="n"/>
      <c r="C564" s="290" t="n"/>
      <c r="D564" s="291" t="n"/>
      <c r="E564" s="290" t="n"/>
      <c r="F564" s="290" t="n"/>
    </row>
    <row r="565" ht="13" customHeight="1" s="189">
      <c r="A565" s="289" t="n"/>
      <c r="B565" s="290" t="n"/>
      <c r="C565" s="290" t="n"/>
      <c r="D565" s="291" t="n"/>
      <c r="E565" s="290" t="n"/>
      <c r="F565" s="290" t="n"/>
    </row>
    <row r="566" ht="13" customHeight="1" s="189">
      <c r="A566" s="289" t="n"/>
      <c r="B566" s="290" t="n"/>
      <c r="C566" s="290" t="n"/>
      <c r="D566" s="291" t="n"/>
      <c r="E566" s="290" t="n"/>
      <c r="F566" s="290" t="n"/>
    </row>
    <row r="567" ht="13" customHeight="1" s="189">
      <c r="A567" s="289" t="n"/>
      <c r="B567" s="290" t="n"/>
      <c r="C567" s="290" t="n"/>
      <c r="D567" s="291" t="n"/>
      <c r="E567" s="290" t="n"/>
      <c r="F567" s="290" t="n"/>
    </row>
    <row r="568" ht="13" customHeight="1" s="189">
      <c r="A568" s="289" t="n"/>
      <c r="B568" s="290" t="n"/>
      <c r="C568" s="290" t="n"/>
      <c r="D568" s="291" t="n"/>
      <c r="E568" s="290" t="n"/>
      <c r="F568" s="290" t="n"/>
    </row>
    <row r="569" ht="13" customHeight="1" s="189">
      <c r="A569" s="289" t="n"/>
      <c r="B569" s="290" t="n"/>
      <c r="C569" s="290" t="n"/>
      <c r="D569" s="291" t="n"/>
      <c r="E569" s="290" t="n"/>
      <c r="F569" s="290" t="n"/>
    </row>
    <row r="570" ht="13" customHeight="1" s="189">
      <c r="A570" s="289" t="n"/>
      <c r="B570" s="290" t="n"/>
      <c r="C570" s="290" t="n"/>
      <c r="D570" s="291" t="n"/>
      <c r="E570" s="290" t="n"/>
      <c r="F570" s="290" t="n"/>
    </row>
    <row r="571" ht="13" customHeight="1" s="189">
      <c r="A571" s="289" t="n"/>
      <c r="B571" s="290" t="n"/>
      <c r="C571" s="290" t="n"/>
      <c r="D571" s="291" t="n"/>
      <c r="E571" s="290" t="n"/>
      <c r="F571" s="290" t="n"/>
    </row>
    <row r="572" ht="13" customHeight="1" s="189">
      <c r="A572" s="289" t="n"/>
      <c r="B572" s="290" t="n"/>
      <c r="C572" s="290" t="n"/>
      <c r="D572" s="291" t="n"/>
      <c r="E572" s="290" t="n"/>
      <c r="F572" s="290" t="n"/>
    </row>
    <row r="573" ht="13" customHeight="1" s="189">
      <c r="A573" s="289" t="n"/>
      <c r="B573" s="290" t="n"/>
      <c r="C573" s="290" t="n"/>
      <c r="D573" s="291" t="n"/>
      <c r="E573" s="290" t="n"/>
      <c r="F573" s="290" t="n"/>
    </row>
    <row r="574" ht="13" customHeight="1" s="189">
      <c r="A574" s="289" t="n"/>
      <c r="B574" s="290" t="n"/>
      <c r="C574" s="290" t="n"/>
      <c r="D574" s="291" t="n"/>
      <c r="E574" s="290" t="n"/>
      <c r="F574" s="290" t="n"/>
    </row>
    <row r="575" ht="13" customHeight="1" s="189">
      <c r="A575" s="289" t="n"/>
      <c r="B575" s="290" t="n"/>
      <c r="C575" s="290" t="n"/>
      <c r="D575" s="291" t="n"/>
      <c r="E575" s="290" t="n"/>
      <c r="F575" s="290" t="n"/>
    </row>
    <row r="576" ht="13" customHeight="1" s="189">
      <c r="A576" s="289" t="n"/>
      <c r="B576" s="290" t="n"/>
      <c r="C576" s="290" t="n"/>
      <c r="D576" s="291" t="n"/>
      <c r="E576" s="290" t="n"/>
      <c r="F576" s="290" t="n"/>
    </row>
    <row r="577" ht="13" customHeight="1" s="189">
      <c r="A577" s="289" t="n"/>
      <c r="B577" s="290" t="n"/>
      <c r="C577" s="290" t="n"/>
      <c r="D577" s="291" t="n"/>
      <c r="E577" s="290" t="n"/>
      <c r="F577" s="290" t="n"/>
    </row>
    <row r="578" ht="13" customHeight="1" s="189">
      <c r="A578" s="289" t="n"/>
      <c r="B578" s="290" t="n"/>
      <c r="C578" s="290" t="n"/>
      <c r="D578" s="291" t="n"/>
      <c r="E578" s="290" t="n"/>
      <c r="F578" s="290" t="n"/>
    </row>
    <row r="579" ht="13" customHeight="1" s="189">
      <c r="A579" s="289" t="n"/>
      <c r="B579" s="290" t="n"/>
      <c r="C579" s="290" t="n"/>
      <c r="D579" s="291" t="n"/>
      <c r="E579" s="290" t="n"/>
      <c r="F579" s="290" t="n"/>
    </row>
    <row r="580" ht="13" customHeight="1" s="189">
      <c r="A580" s="289" t="n"/>
      <c r="B580" s="290" t="n"/>
      <c r="C580" s="290" t="n"/>
      <c r="D580" s="291" t="n"/>
      <c r="E580" s="290" t="n"/>
      <c r="F580" s="290" t="n"/>
    </row>
    <row r="581" ht="13" customHeight="1" s="189">
      <c r="A581" s="289" t="n"/>
      <c r="B581" s="290" t="n"/>
      <c r="C581" s="290" t="n"/>
      <c r="D581" s="291" t="n"/>
      <c r="E581" s="290" t="n"/>
      <c r="F581" s="290" t="n"/>
    </row>
    <row r="582" ht="13" customHeight="1" s="189">
      <c r="A582" s="289" t="n"/>
      <c r="B582" s="290" t="n"/>
      <c r="C582" s="290" t="n"/>
      <c r="D582" s="291" t="n"/>
      <c r="E582" s="290" t="n"/>
      <c r="F582" s="290" t="n"/>
    </row>
    <row r="583" ht="13" customHeight="1" s="189">
      <c r="A583" s="289" t="n"/>
      <c r="B583" s="290" t="n"/>
      <c r="C583" s="290" t="n"/>
      <c r="D583" s="291" t="n"/>
      <c r="E583" s="290" t="n"/>
      <c r="F583" s="290" t="n"/>
    </row>
    <row r="584" ht="13" customHeight="1" s="189">
      <c r="A584" s="289" t="n"/>
      <c r="B584" s="290" t="n"/>
      <c r="C584" s="290" t="n"/>
      <c r="D584" s="291" t="n"/>
      <c r="E584" s="290" t="n"/>
      <c r="F584" s="290" t="n"/>
    </row>
    <row r="585" ht="13" customHeight="1" s="189">
      <c r="A585" s="289" t="n"/>
      <c r="B585" s="290" t="n"/>
      <c r="C585" s="290" t="n"/>
      <c r="D585" s="291" t="n"/>
      <c r="E585" s="290" t="n"/>
      <c r="F585" s="290" t="n"/>
    </row>
    <row r="586" ht="13" customHeight="1" s="189">
      <c r="A586" s="289" t="n"/>
      <c r="B586" s="290" t="n"/>
      <c r="C586" s="290" t="n"/>
      <c r="D586" s="291" t="n"/>
      <c r="E586" s="290" t="n"/>
      <c r="F586" s="290" t="n"/>
    </row>
    <row r="587" ht="13" customHeight="1" s="189">
      <c r="A587" s="289" t="n"/>
      <c r="B587" s="290" t="n"/>
      <c r="C587" s="290" t="n"/>
      <c r="D587" s="291" t="n"/>
      <c r="E587" s="290" t="n"/>
      <c r="F587" s="290" t="n"/>
    </row>
    <row r="588" ht="13" customHeight="1" s="189">
      <c r="A588" s="289" t="n"/>
      <c r="B588" s="290" t="n"/>
      <c r="C588" s="290" t="n"/>
      <c r="D588" s="291" t="n"/>
      <c r="E588" s="290" t="n"/>
      <c r="F588" s="290" t="n"/>
    </row>
    <row r="589" ht="13" customHeight="1" s="189">
      <c r="A589" s="289" t="n"/>
      <c r="B589" s="290" t="n"/>
      <c r="C589" s="290" t="n"/>
      <c r="D589" s="291" t="n"/>
      <c r="E589" s="290" t="n"/>
      <c r="F589" s="290" t="n"/>
    </row>
    <row r="590" ht="13" customHeight="1" s="189">
      <c r="A590" s="289" t="n"/>
      <c r="B590" s="290" t="n"/>
      <c r="C590" s="290" t="n"/>
      <c r="D590" s="291" t="n"/>
      <c r="E590" s="290" t="n"/>
      <c r="F590" s="290" t="n"/>
    </row>
    <row r="591" ht="13" customHeight="1" s="189">
      <c r="A591" s="289" t="n"/>
      <c r="B591" s="290" t="n"/>
      <c r="C591" s="290" t="n"/>
      <c r="D591" s="291" t="n"/>
      <c r="E591" s="290" t="n"/>
      <c r="F591" s="290" t="n"/>
    </row>
    <row r="592" ht="13" customHeight="1" s="189">
      <c r="A592" s="289" t="n"/>
      <c r="B592" s="290" t="n"/>
      <c r="C592" s="290" t="n"/>
      <c r="D592" s="291" t="n"/>
      <c r="E592" s="290" t="n"/>
      <c r="F592" s="290" t="n"/>
    </row>
    <row r="593" ht="13" customHeight="1" s="189">
      <c r="A593" s="289" t="n"/>
      <c r="B593" s="290" t="n"/>
      <c r="C593" s="290" t="n"/>
      <c r="D593" s="291" t="n"/>
      <c r="E593" s="290" t="n"/>
      <c r="F593" s="290" t="n"/>
    </row>
    <row r="594" ht="13" customHeight="1" s="189">
      <c r="A594" s="289" t="n"/>
      <c r="B594" s="290" t="n"/>
      <c r="C594" s="290" t="n"/>
      <c r="D594" s="291" t="n"/>
      <c r="E594" s="290" t="n"/>
      <c r="F594" s="290" t="n"/>
    </row>
    <row r="595" ht="13" customHeight="1" s="189">
      <c r="A595" s="289" t="n"/>
      <c r="B595" s="290" t="n"/>
      <c r="C595" s="290" t="n"/>
      <c r="D595" s="291" t="n"/>
      <c r="E595" s="290" t="n"/>
      <c r="F595" s="290" t="n"/>
    </row>
    <row r="596" ht="13" customHeight="1" s="189">
      <c r="A596" s="289" t="n"/>
      <c r="B596" s="290" t="n"/>
      <c r="C596" s="290" t="n"/>
      <c r="D596" s="291" t="n"/>
      <c r="E596" s="290" t="n"/>
      <c r="F596" s="290" t="n"/>
    </row>
    <row r="597" ht="13" customHeight="1" s="189">
      <c r="A597" s="289" t="n"/>
      <c r="B597" s="290" t="n"/>
      <c r="C597" s="290" t="n"/>
      <c r="D597" s="291" t="n"/>
      <c r="E597" s="290" t="n"/>
      <c r="F597" s="290" t="n"/>
    </row>
    <row r="598" ht="13" customHeight="1" s="189">
      <c r="A598" s="289" t="n"/>
      <c r="B598" s="290" t="n"/>
      <c r="C598" s="290" t="n"/>
      <c r="D598" s="291" t="n"/>
      <c r="E598" s="290" t="n"/>
      <c r="F598" s="290" t="n"/>
    </row>
    <row r="599" ht="13" customHeight="1" s="189">
      <c r="A599" s="289" t="n"/>
      <c r="B599" s="290" t="n"/>
      <c r="C599" s="290" t="n"/>
      <c r="D599" s="291" t="n"/>
      <c r="E599" s="290" t="n"/>
      <c r="F599" s="290" t="n"/>
    </row>
    <row r="600" ht="13" customHeight="1" s="189">
      <c r="A600" s="289" t="n"/>
      <c r="B600" s="290" t="n"/>
      <c r="C600" s="290" t="n"/>
      <c r="D600" s="291" t="n"/>
      <c r="E600" s="290" t="n"/>
      <c r="F600" s="290" t="n"/>
    </row>
    <row r="601" ht="13" customHeight="1" s="189">
      <c r="A601" s="289" t="n"/>
      <c r="B601" s="290" t="n"/>
      <c r="C601" s="290" t="n"/>
      <c r="D601" s="291" t="n"/>
      <c r="E601" s="290" t="n"/>
      <c r="F601" s="290" t="n"/>
    </row>
    <row r="602" ht="13" customHeight="1" s="189">
      <c r="A602" s="289" t="n"/>
      <c r="B602" s="290" t="n"/>
      <c r="C602" s="290" t="n"/>
      <c r="D602" s="291" t="n"/>
      <c r="E602" s="290" t="n"/>
      <c r="F602" s="290" t="n"/>
    </row>
    <row r="603" ht="13" customHeight="1" s="189">
      <c r="A603" s="289" t="n"/>
      <c r="B603" s="290" t="n"/>
      <c r="C603" s="290" t="n"/>
      <c r="D603" s="291" t="n"/>
      <c r="E603" s="290" t="n"/>
      <c r="F603" s="290" t="n"/>
    </row>
    <row r="604" ht="13" customHeight="1" s="189">
      <c r="A604" s="289" t="n"/>
      <c r="B604" s="290" t="n"/>
      <c r="C604" s="290" t="n"/>
      <c r="D604" s="291" t="n"/>
      <c r="E604" s="290" t="n"/>
      <c r="F604" s="290" t="n"/>
    </row>
    <row r="605" ht="13" customHeight="1" s="189">
      <c r="A605" s="289" t="n"/>
      <c r="B605" s="290" t="n"/>
      <c r="C605" s="290" t="n"/>
      <c r="D605" s="291" t="n"/>
      <c r="E605" s="290" t="n"/>
      <c r="F605" s="290" t="n"/>
    </row>
    <row r="606" ht="13" customHeight="1" s="189">
      <c r="A606" s="289" t="n"/>
      <c r="B606" s="290" t="n"/>
      <c r="C606" s="290" t="n"/>
      <c r="D606" s="291" t="n"/>
      <c r="E606" s="290" t="n"/>
      <c r="F606" s="290" t="n"/>
    </row>
    <row r="607" ht="13" customHeight="1" s="189">
      <c r="A607" s="289" t="n"/>
      <c r="B607" s="290" t="n"/>
      <c r="C607" s="290" t="n"/>
      <c r="D607" s="291" t="n"/>
      <c r="E607" s="290" t="n"/>
      <c r="F607" s="290" t="n"/>
    </row>
    <row r="608" ht="13" customHeight="1" s="189">
      <c r="A608" s="289" t="n"/>
      <c r="B608" s="290" t="n"/>
      <c r="C608" s="290" t="n"/>
      <c r="D608" s="291" t="n"/>
      <c r="E608" s="290" t="n"/>
      <c r="F608" s="290" t="n"/>
    </row>
    <row r="609" ht="13" customHeight="1" s="189">
      <c r="A609" s="289" t="n"/>
      <c r="B609" s="290" t="n"/>
      <c r="C609" s="290" t="n"/>
      <c r="D609" s="291" t="n"/>
      <c r="E609" s="290" t="n"/>
      <c r="F609" s="290" t="n"/>
    </row>
    <row r="610" ht="13" customHeight="1" s="189">
      <c r="A610" s="289" t="n"/>
      <c r="B610" s="290" t="n"/>
      <c r="C610" s="290" t="n"/>
      <c r="D610" s="291" t="n"/>
      <c r="E610" s="290" t="n"/>
      <c r="F610" s="290" t="n"/>
    </row>
    <row r="611" ht="13" customHeight="1" s="189">
      <c r="A611" s="289" t="n"/>
      <c r="B611" s="290" t="n"/>
      <c r="C611" s="290" t="n"/>
      <c r="D611" s="291" t="n"/>
      <c r="E611" s="290" t="n"/>
      <c r="F611" s="290" t="n"/>
    </row>
    <row r="612" ht="13" customHeight="1" s="189">
      <c r="A612" s="289" t="n"/>
      <c r="B612" s="290" t="n"/>
      <c r="C612" s="290" t="n"/>
      <c r="D612" s="291" t="n"/>
      <c r="E612" s="290" t="n"/>
      <c r="F612" s="290" t="n"/>
    </row>
    <row r="613" ht="13" customHeight="1" s="189">
      <c r="A613" s="289" t="n"/>
      <c r="B613" s="290" t="n"/>
      <c r="C613" s="290" t="n"/>
      <c r="D613" s="291" t="n"/>
      <c r="E613" s="290" t="n"/>
      <c r="F613" s="290" t="n"/>
    </row>
    <row r="614" ht="13" customHeight="1" s="189">
      <c r="A614" s="289" t="n"/>
      <c r="B614" s="290" t="n"/>
      <c r="C614" s="290" t="n"/>
      <c r="D614" s="291" t="n"/>
      <c r="E614" s="290" t="n"/>
      <c r="F614" s="290" t="n"/>
    </row>
    <row r="615" ht="13" customHeight="1" s="189">
      <c r="A615" s="289" t="n"/>
      <c r="B615" s="290" t="n"/>
      <c r="C615" s="290" t="n"/>
      <c r="D615" s="291" t="n"/>
      <c r="E615" s="290" t="n"/>
      <c r="F615" s="290" t="n"/>
    </row>
    <row r="616" ht="13" customHeight="1" s="189">
      <c r="A616" s="289" t="n"/>
      <c r="B616" s="290" t="n"/>
      <c r="C616" s="290" t="n"/>
      <c r="D616" s="291" t="n"/>
      <c r="E616" s="290" t="n"/>
      <c r="F616" s="290" t="n"/>
    </row>
    <row r="617" ht="13" customHeight="1" s="189">
      <c r="A617" s="289" t="n"/>
      <c r="B617" s="290" t="n"/>
      <c r="C617" s="290" t="n"/>
      <c r="D617" s="291" t="n"/>
      <c r="E617" s="290" t="n"/>
      <c r="F617" s="290" t="n"/>
    </row>
    <row r="618" ht="13" customHeight="1" s="189">
      <c r="A618" s="289" t="n"/>
      <c r="B618" s="290" t="n"/>
      <c r="C618" s="290" t="n"/>
      <c r="D618" s="291" t="n"/>
      <c r="E618" s="290" t="n"/>
      <c r="F618" s="290" t="n"/>
    </row>
    <row r="619" ht="13" customHeight="1" s="189">
      <c r="A619" s="289" t="n"/>
      <c r="B619" s="290" t="n"/>
      <c r="C619" s="290" t="n"/>
      <c r="D619" s="291" t="n"/>
      <c r="E619" s="290" t="n"/>
      <c r="F619" s="290" t="n"/>
    </row>
    <row r="620" ht="13" customHeight="1" s="189">
      <c r="A620" s="289" t="n"/>
      <c r="B620" s="290" t="n"/>
      <c r="C620" s="290" t="n"/>
      <c r="D620" s="291" t="n"/>
      <c r="E620" s="290" t="n"/>
      <c r="F620" s="290" t="n"/>
    </row>
    <row r="621" ht="13" customHeight="1" s="189">
      <c r="A621" s="289" t="n"/>
      <c r="B621" s="290" t="n"/>
      <c r="C621" s="290" t="n"/>
      <c r="D621" s="291" t="n"/>
      <c r="E621" s="290" t="n"/>
      <c r="F621" s="290" t="n"/>
    </row>
    <row r="622" ht="13" customHeight="1" s="189">
      <c r="A622" s="289" t="n"/>
      <c r="B622" s="290" t="n"/>
      <c r="C622" s="290" t="n"/>
      <c r="D622" s="291" t="n"/>
      <c r="E622" s="290" t="n"/>
      <c r="F622" s="290" t="n"/>
    </row>
    <row r="623" ht="13" customHeight="1" s="189">
      <c r="A623" s="289" t="n"/>
      <c r="B623" s="290" t="n"/>
      <c r="C623" s="290" t="n"/>
      <c r="D623" s="291" t="n"/>
      <c r="E623" s="290" t="n"/>
      <c r="F623" s="290" t="n"/>
    </row>
    <row r="624" ht="13" customHeight="1" s="189">
      <c r="A624" s="289" t="n"/>
      <c r="B624" s="290" t="n"/>
      <c r="C624" s="290" t="n"/>
      <c r="D624" s="291" t="n"/>
      <c r="E624" s="290" t="n"/>
      <c r="F624" s="290" t="n"/>
    </row>
    <row r="625" ht="13" customHeight="1" s="189">
      <c r="A625" s="289" t="n"/>
      <c r="B625" s="290" t="n"/>
      <c r="C625" s="290" t="n"/>
      <c r="D625" s="291" t="n"/>
      <c r="E625" s="290" t="n"/>
      <c r="F625" s="290" t="n"/>
    </row>
    <row r="626" ht="13" customHeight="1" s="189">
      <c r="A626" s="289" t="n"/>
      <c r="B626" s="290" t="n"/>
      <c r="C626" s="290" t="n"/>
      <c r="D626" s="291" t="n"/>
      <c r="E626" s="290" t="n"/>
      <c r="F626" s="290" t="n"/>
    </row>
    <row r="627" ht="13" customHeight="1" s="189">
      <c r="A627" s="289" t="n"/>
      <c r="B627" s="290" t="n"/>
      <c r="C627" s="290" t="n"/>
      <c r="D627" s="291" t="n"/>
      <c r="E627" s="290" t="n"/>
      <c r="F627" s="290" t="n"/>
    </row>
    <row r="628" ht="13" customHeight="1" s="189">
      <c r="A628" s="289" t="n"/>
      <c r="B628" s="290" t="n"/>
      <c r="C628" s="290" t="n"/>
      <c r="D628" s="291" t="n"/>
      <c r="E628" s="290" t="n"/>
      <c r="F628" s="290" t="n"/>
    </row>
    <row r="629" ht="13" customHeight="1" s="189">
      <c r="A629" s="289" t="n"/>
      <c r="B629" s="290" t="n"/>
      <c r="C629" s="290" t="n"/>
      <c r="D629" s="291" t="n"/>
      <c r="E629" s="290" t="n"/>
      <c r="F629" s="290" t="n"/>
    </row>
    <row r="630" ht="13" customHeight="1" s="189">
      <c r="A630" s="289" t="n"/>
      <c r="B630" s="290" t="n"/>
      <c r="C630" s="290" t="n"/>
      <c r="D630" s="291" t="n"/>
      <c r="E630" s="290" t="n"/>
      <c r="F630" s="290" t="n"/>
    </row>
    <row r="631" ht="13" customHeight="1" s="189">
      <c r="A631" s="289" t="n"/>
      <c r="B631" s="290" t="n"/>
      <c r="C631" s="290" t="n"/>
      <c r="D631" s="291" t="n"/>
      <c r="E631" s="290" t="n"/>
      <c r="F631" s="290" t="n"/>
    </row>
    <row r="632" ht="13" customHeight="1" s="189">
      <c r="A632" s="289" t="n"/>
      <c r="B632" s="290" t="n"/>
      <c r="C632" s="290" t="n"/>
      <c r="D632" s="291" t="n"/>
      <c r="E632" s="290" t="n"/>
      <c r="F632" s="290" t="n"/>
    </row>
    <row r="633" ht="13" customHeight="1" s="189">
      <c r="A633" s="289" t="n"/>
      <c r="B633" s="290" t="n"/>
      <c r="C633" s="290" t="n"/>
      <c r="D633" s="291" t="n"/>
      <c r="E633" s="290" t="n"/>
      <c r="F633" s="290" t="n"/>
    </row>
    <row r="634" ht="13" customHeight="1" s="189">
      <c r="A634" s="289" t="n"/>
      <c r="B634" s="290" t="n"/>
      <c r="C634" s="290" t="n"/>
      <c r="D634" s="291" t="n"/>
      <c r="E634" s="290" t="n"/>
      <c r="F634" s="290" t="n"/>
    </row>
    <row r="635" ht="13" customHeight="1" s="189">
      <c r="A635" s="289" t="n"/>
      <c r="B635" s="290" t="n"/>
      <c r="C635" s="290" t="n"/>
      <c r="D635" s="291" t="n"/>
      <c r="E635" s="290" t="n"/>
      <c r="F635" s="290" t="n"/>
    </row>
    <row r="636" ht="13" customHeight="1" s="189">
      <c r="A636" s="289" t="n"/>
      <c r="B636" s="290" t="n"/>
      <c r="C636" s="290" t="n"/>
      <c r="D636" s="291" t="n"/>
      <c r="E636" s="290" t="n"/>
      <c r="F636" s="290" t="n"/>
    </row>
    <row r="637" ht="13" customHeight="1" s="189">
      <c r="A637" s="289" t="n"/>
      <c r="B637" s="290" t="n"/>
      <c r="C637" s="290" t="n"/>
      <c r="D637" s="291" t="n"/>
      <c r="E637" s="290" t="n"/>
      <c r="F637" s="290" t="n"/>
    </row>
    <row r="638" ht="13" customHeight="1" s="189">
      <c r="A638" s="289" t="n"/>
      <c r="B638" s="290" t="n"/>
      <c r="C638" s="290" t="n"/>
      <c r="D638" s="291" t="n"/>
      <c r="E638" s="290" t="n"/>
      <c r="F638" s="290" t="n"/>
    </row>
    <row r="639" ht="13" customHeight="1" s="189">
      <c r="A639" s="289" t="n"/>
      <c r="B639" s="290" t="n"/>
      <c r="C639" s="290" t="n"/>
      <c r="D639" s="291" t="n"/>
      <c r="E639" s="290" t="n"/>
      <c r="F639" s="290" t="n"/>
    </row>
    <row r="640" ht="13" customHeight="1" s="189">
      <c r="A640" s="289" t="n"/>
      <c r="B640" s="290" t="n"/>
      <c r="C640" s="290" t="n"/>
      <c r="D640" s="291" t="n"/>
      <c r="E640" s="290" t="n"/>
      <c r="F640" s="290" t="n"/>
    </row>
    <row r="641" ht="13" customHeight="1" s="189">
      <c r="A641" s="289" t="n"/>
      <c r="B641" s="290" t="n"/>
      <c r="C641" s="290" t="n"/>
      <c r="D641" s="291" t="n"/>
      <c r="E641" s="290" t="n"/>
      <c r="F641" s="290" t="n"/>
    </row>
    <row r="642" ht="13" customHeight="1" s="189">
      <c r="A642" s="289" t="n"/>
      <c r="B642" s="290" t="n"/>
      <c r="C642" s="290" t="n"/>
      <c r="D642" s="291" t="n"/>
      <c r="E642" s="290" t="n"/>
      <c r="F642" s="290" t="n"/>
    </row>
    <row r="643" ht="13" customHeight="1" s="189">
      <c r="A643" s="289" t="n"/>
      <c r="B643" s="290" t="n"/>
      <c r="C643" s="290" t="n"/>
      <c r="D643" s="291" t="n"/>
      <c r="E643" s="290" t="n"/>
      <c r="F643" s="290" t="n"/>
    </row>
    <row r="644" ht="13" customHeight="1" s="189">
      <c r="A644" s="289" t="n"/>
      <c r="B644" s="290" t="n"/>
      <c r="C644" s="290" t="n"/>
      <c r="D644" s="291" t="n"/>
      <c r="E644" s="290" t="n"/>
      <c r="F644" s="290" t="n"/>
    </row>
    <row r="645" ht="13" customHeight="1" s="189">
      <c r="A645" s="289" t="n"/>
      <c r="B645" s="290" t="n"/>
      <c r="C645" s="290" t="n"/>
      <c r="D645" s="291" t="n"/>
      <c r="E645" s="290" t="n"/>
      <c r="F645" s="290" t="n"/>
    </row>
    <row r="646" ht="13" customHeight="1" s="189">
      <c r="A646" s="289" t="n"/>
      <c r="B646" s="290" t="n"/>
      <c r="C646" s="290" t="n"/>
      <c r="D646" s="291" t="n"/>
      <c r="E646" s="290" t="n"/>
      <c r="F646" s="290" t="n"/>
    </row>
    <row r="647" ht="13" customHeight="1" s="189">
      <c r="A647" s="289" t="n"/>
      <c r="B647" s="290" t="n"/>
      <c r="C647" s="290" t="n"/>
      <c r="D647" s="291" t="n"/>
      <c r="E647" s="290" t="n"/>
      <c r="F647" s="290" t="n"/>
    </row>
    <row r="648" ht="13" customHeight="1" s="189">
      <c r="A648" s="289" t="n"/>
      <c r="B648" s="290" t="n"/>
      <c r="C648" s="290" t="n"/>
      <c r="D648" s="291" t="n"/>
      <c r="E648" s="290" t="n"/>
      <c r="F648" s="290" t="n"/>
    </row>
    <row r="649" ht="13" customHeight="1" s="189">
      <c r="A649" s="289" t="n"/>
      <c r="B649" s="290" t="n"/>
      <c r="C649" s="290" t="n"/>
      <c r="D649" s="291" t="n"/>
      <c r="E649" s="290" t="n"/>
      <c r="F649" s="290" t="n"/>
    </row>
    <row r="650" ht="13" customHeight="1" s="189">
      <c r="A650" s="289" t="n"/>
      <c r="B650" s="290" t="n"/>
      <c r="C650" s="290" t="n"/>
      <c r="D650" s="291" t="n"/>
      <c r="E650" s="290" t="n"/>
      <c r="F650" s="290" t="n"/>
    </row>
    <row r="651" ht="13" customHeight="1" s="189">
      <c r="A651" s="289" t="n"/>
      <c r="B651" s="290" t="n"/>
      <c r="C651" s="290" t="n"/>
      <c r="D651" s="291" t="n"/>
      <c r="E651" s="290" t="n"/>
      <c r="F651" s="290" t="n"/>
    </row>
    <row r="652" ht="13" customHeight="1" s="189">
      <c r="A652" s="289" t="n"/>
      <c r="B652" s="290" t="n"/>
      <c r="C652" s="290" t="n"/>
      <c r="D652" s="291" t="n"/>
      <c r="E652" s="290" t="n"/>
      <c r="F652" s="290" t="n"/>
    </row>
    <row r="653" ht="13" customHeight="1" s="189">
      <c r="A653" s="289" t="n"/>
      <c r="B653" s="290" t="n"/>
      <c r="C653" s="290" t="n"/>
      <c r="D653" s="291" t="n"/>
      <c r="E653" s="290" t="n"/>
      <c r="F653" s="290" t="n"/>
    </row>
    <row r="654" ht="13" customHeight="1" s="189">
      <c r="A654" s="289" t="n"/>
      <c r="B654" s="290" t="n"/>
      <c r="C654" s="290" t="n"/>
      <c r="D654" s="291" t="n"/>
      <c r="E654" s="290" t="n"/>
      <c r="F654" s="290" t="n"/>
    </row>
    <row r="655" ht="13" customHeight="1" s="189">
      <c r="A655" s="289" t="n"/>
      <c r="B655" s="290" t="n"/>
      <c r="C655" s="290" t="n"/>
      <c r="D655" s="291" t="n"/>
      <c r="E655" s="290" t="n"/>
      <c r="F655" s="290" t="n"/>
    </row>
    <row r="656" ht="13" customHeight="1" s="189">
      <c r="A656" s="289" t="n"/>
      <c r="B656" s="290" t="n"/>
      <c r="C656" s="290" t="n"/>
      <c r="D656" s="291" t="n"/>
      <c r="E656" s="290" t="n"/>
      <c r="F656" s="290" t="n"/>
    </row>
    <row r="657" ht="13" customHeight="1" s="189">
      <c r="A657" s="289" t="n"/>
      <c r="B657" s="290" t="n"/>
      <c r="C657" s="290" t="n"/>
      <c r="D657" s="291" t="n"/>
      <c r="E657" s="290" t="n"/>
      <c r="F657" s="290" t="n"/>
    </row>
    <row r="658" ht="13" customHeight="1" s="189">
      <c r="A658" s="289" t="n"/>
      <c r="B658" s="290" t="n"/>
      <c r="C658" s="290" t="n"/>
      <c r="D658" s="291" t="n"/>
      <c r="E658" s="290" t="n"/>
      <c r="F658" s="290" t="n"/>
    </row>
    <row r="659" ht="13" customHeight="1" s="189">
      <c r="A659" s="289" t="n"/>
      <c r="B659" s="290" t="n"/>
      <c r="C659" s="290" t="n"/>
      <c r="D659" s="291" t="n"/>
      <c r="E659" s="290" t="n"/>
      <c r="F659" s="290" t="n"/>
    </row>
    <row r="660" ht="13" customHeight="1" s="189">
      <c r="A660" s="289" t="n"/>
      <c r="B660" s="290" t="n"/>
      <c r="C660" s="290" t="n"/>
      <c r="D660" s="291" t="n"/>
      <c r="E660" s="290" t="n"/>
      <c r="F660" s="290" t="n"/>
    </row>
    <row r="661" ht="13" customHeight="1" s="189">
      <c r="A661" s="289" t="n"/>
      <c r="B661" s="290" t="n"/>
      <c r="C661" s="290" t="n"/>
      <c r="D661" s="291" t="n"/>
      <c r="E661" s="290" t="n"/>
      <c r="F661" s="290" t="n"/>
    </row>
    <row r="662" ht="13" customHeight="1" s="189">
      <c r="A662" s="289" t="n"/>
      <c r="B662" s="290" t="n"/>
      <c r="C662" s="290" t="n"/>
      <c r="D662" s="291" t="n"/>
      <c r="E662" s="290" t="n"/>
      <c r="F662" s="290" t="n"/>
    </row>
    <row r="663" ht="13" customHeight="1" s="189">
      <c r="A663" s="289" t="n"/>
      <c r="B663" s="290" t="n"/>
      <c r="C663" s="290" t="n"/>
      <c r="D663" s="291" t="n"/>
      <c r="E663" s="290" t="n"/>
      <c r="F663" s="290" t="n"/>
    </row>
    <row r="664" ht="13" customHeight="1" s="189">
      <c r="A664" s="289" t="n"/>
      <c r="B664" s="290" t="n"/>
      <c r="C664" s="290" t="n"/>
      <c r="D664" s="291" t="n"/>
      <c r="E664" s="290" t="n"/>
      <c r="F664" s="290" t="n"/>
    </row>
    <row r="665" ht="13" customHeight="1" s="189">
      <c r="A665" s="289" t="n"/>
      <c r="B665" s="290" t="n"/>
      <c r="C665" s="290" t="n"/>
      <c r="D665" s="291" t="n"/>
      <c r="E665" s="290" t="n"/>
      <c r="F665" s="290" t="n"/>
    </row>
    <row r="666" ht="13" customHeight="1" s="189">
      <c r="A666" s="289" t="n"/>
      <c r="B666" s="290" t="n"/>
      <c r="C666" s="290" t="n"/>
      <c r="D666" s="291" t="n"/>
      <c r="E666" s="290" t="n"/>
      <c r="F666" s="290" t="n"/>
    </row>
    <row r="667" ht="13" customHeight="1" s="189">
      <c r="A667" s="289" t="n"/>
      <c r="B667" s="290" t="n"/>
      <c r="C667" s="290" t="n"/>
      <c r="D667" s="291" t="n"/>
      <c r="E667" s="290" t="n"/>
      <c r="F667" s="290" t="n"/>
    </row>
    <row r="668" ht="13" customHeight="1" s="189">
      <c r="A668" s="289" t="n"/>
      <c r="B668" s="290" t="n"/>
      <c r="C668" s="290" t="n"/>
      <c r="D668" s="291" t="n"/>
      <c r="E668" s="290" t="n"/>
      <c r="F668" s="290" t="n"/>
    </row>
    <row r="669" ht="13" customHeight="1" s="189">
      <c r="A669" s="289" t="n"/>
      <c r="B669" s="290" t="n"/>
      <c r="C669" s="290" t="n"/>
      <c r="D669" s="291" t="n"/>
      <c r="E669" s="290" t="n"/>
      <c r="F669" s="290" t="n"/>
    </row>
    <row r="670" ht="13" customHeight="1" s="189">
      <c r="A670" s="289" t="n"/>
      <c r="B670" s="290" t="n"/>
      <c r="C670" s="290" t="n"/>
      <c r="D670" s="291" t="n"/>
      <c r="E670" s="290" t="n"/>
      <c r="F670" s="290" t="n"/>
    </row>
    <row r="671" ht="13" customHeight="1" s="189">
      <c r="A671" s="289" t="n"/>
      <c r="B671" s="290" t="n"/>
      <c r="C671" s="290" t="n"/>
      <c r="D671" s="291" t="n"/>
      <c r="E671" s="290" t="n"/>
      <c r="F671" s="290" t="n"/>
    </row>
    <row r="672" ht="13" customHeight="1" s="189">
      <c r="A672" s="289" t="n"/>
      <c r="B672" s="290" t="n"/>
      <c r="C672" s="290" t="n"/>
      <c r="D672" s="291" t="n"/>
      <c r="E672" s="290" t="n"/>
      <c r="F672" s="290" t="n"/>
    </row>
    <row r="673" ht="13" customHeight="1" s="189">
      <c r="A673" s="289" t="n"/>
      <c r="B673" s="290" t="n"/>
      <c r="C673" s="290" t="n"/>
      <c r="D673" s="291" t="n"/>
      <c r="E673" s="290" t="n"/>
      <c r="F673" s="290" t="n"/>
    </row>
    <row r="674" ht="13" customHeight="1" s="189">
      <c r="A674" s="289" t="n"/>
      <c r="B674" s="290" t="n"/>
      <c r="C674" s="290" t="n"/>
      <c r="D674" s="291" t="n"/>
      <c r="E674" s="290" t="n"/>
      <c r="F674" s="290" t="n"/>
    </row>
    <row r="675" ht="13" customHeight="1" s="189">
      <c r="A675" s="289" t="n"/>
      <c r="B675" s="290" t="n"/>
      <c r="C675" s="290" t="n"/>
      <c r="D675" s="291" t="n"/>
      <c r="E675" s="290" t="n"/>
      <c r="F675" s="290" t="n"/>
    </row>
    <row r="676" ht="13" customHeight="1" s="189">
      <c r="A676" s="289" t="n"/>
      <c r="B676" s="290" t="n"/>
      <c r="C676" s="290" t="n"/>
      <c r="D676" s="291" t="n"/>
      <c r="E676" s="290" t="n"/>
      <c r="F676" s="290" t="n"/>
    </row>
    <row r="677" ht="13" customHeight="1" s="189">
      <c r="A677" s="289" t="n"/>
      <c r="B677" s="290" t="n"/>
      <c r="C677" s="290" t="n"/>
      <c r="D677" s="291" t="n"/>
      <c r="E677" s="290" t="n"/>
      <c r="F677" s="290" t="n"/>
    </row>
    <row r="678" ht="13" customHeight="1" s="189">
      <c r="A678" s="289" t="n"/>
      <c r="B678" s="290" t="n"/>
      <c r="C678" s="290" t="n"/>
      <c r="D678" s="291" t="n"/>
      <c r="E678" s="290" t="n"/>
      <c r="F678" s="290" t="n"/>
    </row>
    <row r="679" ht="13" customHeight="1" s="189">
      <c r="A679" s="289" t="n"/>
      <c r="B679" s="290" t="n"/>
      <c r="C679" s="290" t="n"/>
      <c r="D679" s="291" t="n"/>
      <c r="E679" s="290" t="n"/>
      <c r="F679" s="290" t="n"/>
    </row>
    <row r="680" ht="13" customHeight="1" s="189">
      <c r="A680" s="289" t="n"/>
      <c r="B680" s="290" t="n"/>
      <c r="C680" s="290" t="n"/>
      <c r="D680" s="291" t="n"/>
      <c r="E680" s="290" t="n"/>
      <c r="F680" s="290" t="n"/>
    </row>
    <row r="681" ht="13" customHeight="1" s="189">
      <c r="A681" s="289" t="n"/>
      <c r="B681" s="290" t="n"/>
      <c r="C681" s="290" t="n"/>
      <c r="D681" s="291" t="n"/>
      <c r="E681" s="290" t="n"/>
      <c r="F681" s="290" t="n"/>
    </row>
    <row r="682" ht="13" customHeight="1" s="189">
      <c r="A682" s="289" t="n"/>
      <c r="B682" s="290" t="n"/>
      <c r="C682" s="290" t="n"/>
      <c r="D682" s="291" t="n"/>
      <c r="E682" s="290" t="n"/>
      <c r="F682" s="290" t="n"/>
    </row>
    <row r="683" ht="13" customHeight="1" s="189">
      <c r="A683" s="289" t="n"/>
      <c r="B683" s="290" t="n"/>
      <c r="C683" s="290" t="n"/>
      <c r="D683" s="291" t="n"/>
      <c r="E683" s="290" t="n"/>
      <c r="F683" s="290" t="n"/>
    </row>
    <row r="684" ht="13" customHeight="1" s="189">
      <c r="A684" s="289" t="n"/>
      <c r="B684" s="290" t="n"/>
      <c r="C684" s="290" t="n"/>
      <c r="D684" s="291" t="n"/>
      <c r="E684" s="290" t="n"/>
      <c r="F684" s="290" t="n"/>
    </row>
    <row r="685" ht="13" customHeight="1" s="189">
      <c r="A685" s="289" t="n"/>
      <c r="B685" s="290" t="n"/>
      <c r="C685" s="290" t="n"/>
      <c r="D685" s="291" t="n"/>
      <c r="E685" s="290" t="n"/>
      <c r="F685" s="290" t="n"/>
    </row>
    <row r="686" ht="13" customHeight="1" s="189">
      <c r="A686" s="289" t="n"/>
      <c r="B686" s="290" t="n"/>
      <c r="C686" s="290" t="n"/>
      <c r="D686" s="291" t="n"/>
      <c r="E686" s="290" t="n"/>
      <c r="F686" s="290" t="n"/>
    </row>
    <row r="687" ht="13" customHeight="1" s="189">
      <c r="A687" s="289" t="n"/>
      <c r="B687" s="290" t="n"/>
      <c r="C687" s="290" t="n"/>
      <c r="D687" s="291" t="n"/>
      <c r="E687" s="290" t="n"/>
      <c r="F687" s="290" t="n"/>
    </row>
    <row r="688" ht="13" customHeight="1" s="189">
      <c r="A688" s="289" t="n"/>
      <c r="B688" s="290" t="n"/>
      <c r="C688" s="290" t="n"/>
      <c r="D688" s="291" t="n"/>
      <c r="E688" s="290" t="n"/>
      <c r="F688" s="290" t="n"/>
    </row>
    <row r="689" ht="13" customHeight="1" s="189">
      <c r="A689" s="289" t="n"/>
      <c r="B689" s="290" t="n"/>
      <c r="C689" s="290" t="n"/>
      <c r="D689" s="291" t="n"/>
      <c r="E689" s="290" t="n"/>
      <c r="F689" s="290" t="n"/>
    </row>
    <row r="690" ht="13" customHeight="1" s="189">
      <c r="A690" s="289" t="n"/>
      <c r="B690" s="290" t="n"/>
      <c r="C690" s="290" t="n"/>
      <c r="D690" s="291" t="n"/>
      <c r="E690" s="290" t="n"/>
      <c r="F690" s="290" t="n"/>
    </row>
    <row r="691" ht="13" customHeight="1" s="189">
      <c r="A691" s="289" t="n"/>
      <c r="B691" s="290" t="n"/>
      <c r="C691" s="290" t="n"/>
      <c r="D691" s="291" t="n"/>
      <c r="E691" s="290" t="n"/>
      <c r="F691" s="290" t="n"/>
    </row>
    <row r="692" ht="13" customHeight="1" s="189">
      <c r="A692" s="289" t="n"/>
      <c r="B692" s="290" t="n"/>
      <c r="C692" s="290" t="n"/>
      <c r="D692" s="291" t="n"/>
      <c r="E692" s="290" t="n"/>
      <c r="F692" s="290" t="n"/>
    </row>
    <row r="693" ht="13" customHeight="1" s="189">
      <c r="A693" s="289" t="n"/>
      <c r="B693" s="290" t="n"/>
      <c r="C693" s="290" t="n"/>
      <c r="D693" s="291" t="n"/>
      <c r="E693" s="290" t="n"/>
      <c r="F693" s="290" t="n"/>
    </row>
    <row r="694" ht="13" customHeight="1" s="189">
      <c r="A694" s="289" t="n"/>
      <c r="B694" s="290" t="n"/>
      <c r="C694" s="290" t="n"/>
      <c r="D694" s="291" t="n"/>
      <c r="E694" s="290" t="n"/>
      <c r="F694" s="290" t="n"/>
    </row>
    <row r="695" ht="13" customHeight="1" s="189">
      <c r="A695" s="289" t="n"/>
      <c r="B695" s="290" t="n"/>
      <c r="C695" s="290" t="n"/>
      <c r="D695" s="291" t="n"/>
      <c r="E695" s="290" t="n"/>
      <c r="F695" s="290" t="n"/>
    </row>
    <row r="696" ht="13" customHeight="1" s="189">
      <c r="A696" s="289" t="n"/>
      <c r="B696" s="290" t="n"/>
      <c r="C696" s="290" t="n"/>
      <c r="D696" s="291" t="n"/>
      <c r="E696" s="290" t="n"/>
      <c r="F696" s="290" t="n"/>
    </row>
    <row r="697" ht="13" customHeight="1" s="189">
      <c r="A697" s="289" t="n"/>
      <c r="B697" s="290" t="n"/>
      <c r="C697" s="290" t="n"/>
      <c r="D697" s="291" t="n"/>
      <c r="E697" s="290" t="n"/>
      <c r="F697" s="290" t="n"/>
    </row>
    <row r="698" ht="13" customHeight="1" s="189">
      <c r="A698" s="289" t="n"/>
      <c r="B698" s="290" t="n"/>
      <c r="C698" s="290" t="n"/>
      <c r="D698" s="291" t="n"/>
      <c r="E698" s="290" t="n"/>
      <c r="F698" s="290" t="n"/>
    </row>
    <row r="699" ht="13" customHeight="1" s="189">
      <c r="A699" s="289" t="n"/>
      <c r="B699" s="290" t="n"/>
      <c r="C699" s="290" t="n"/>
      <c r="D699" s="291" t="n"/>
      <c r="E699" s="290" t="n"/>
      <c r="F699" s="290" t="n"/>
    </row>
    <row r="700" ht="13" customHeight="1" s="189">
      <c r="A700" s="289" t="n"/>
      <c r="B700" s="290" t="n"/>
      <c r="C700" s="290" t="n"/>
      <c r="D700" s="291" t="n"/>
      <c r="E700" s="290" t="n"/>
      <c r="F700" s="290" t="n"/>
    </row>
    <row r="701" ht="13" customHeight="1" s="189">
      <c r="A701" s="289" t="n"/>
      <c r="B701" s="290" t="n"/>
      <c r="C701" s="290" t="n"/>
      <c r="D701" s="291" t="n"/>
      <c r="E701" s="290" t="n"/>
      <c r="F701" s="290" t="n"/>
    </row>
    <row r="702" ht="13" customHeight="1" s="189">
      <c r="A702" s="289" t="n"/>
      <c r="B702" s="290" t="n"/>
      <c r="C702" s="290" t="n"/>
      <c r="D702" s="291" t="n"/>
      <c r="E702" s="290" t="n"/>
      <c r="F702" s="290" t="n"/>
    </row>
    <row r="703" ht="13" customHeight="1" s="189">
      <c r="A703" s="289" t="n"/>
      <c r="B703" s="290" t="n"/>
      <c r="C703" s="290" t="n"/>
      <c r="D703" s="291" t="n"/>
      <c r="E703" s="290" t="n"/>
      <c r="F703" s="290" t="n"/>
    </row>
    <row r="704" ht="13" customHeight="1" s="189">
      <c r="A704" s="289" t="n"/>
      <c r="B704" s="290" t="n"/>
      <c r="C704" s="290" t="n"/>
      <c r="D704" s="291" t="n"/>
      <c r="E704" s="290" t="n"/>
      <c r="F704" s="290" t="n"/>
    </row>
    <row r="705" ht="13" customHeight="1" s="189">
      <c r="A705" s="289" t="n"/>
      <c r="B705" s="290" t="n"/>
      <c r="C705" s="290" t="n"/>
      <c r="D705" s="291" t="n"/>
      <c r="E705" s="290" t="n"/>
      <c r="F705" s="290" t="n"/>
    </row>
    <row r="706" ht="13" customHeight="1" s="189">
      <c r="A706" s="289" t="n"/>
      <c r="B706" s="290" t="n"/>
      <c r="C706" s="290" t="n"/>
      <c r="D706" s="291" t="n"/>
      <c r="E706" s="290" t="n"/>
      <c r="F706" s="290" t="n"/>
    </row>
    <row r="707" ht="13" customHeight="1" s="189">
      <c r="A707" s="289" t="n"/>
      <c r="B707" s="290" t="n"/>
      <c r="C707" s="290" t="n"/>
      <c r="D707" s="291" t="n"/>
      <c r="E707" s="290" t="n"/>
      <c r="F707" s="290" t="n"/>
    </row>
    <row r="708" ht="13" customHeight="1" s="189">
      <c r="A708" s="289" t="n"/>
      <c r="B708" s="290" t="n"/>
      <c r="C708" s="290" t="n"/>
      <c r="D708" s="291" t="n"/>
      <c r="E708" s="290" t="n"/>
      <c r="F708" s="290" t="n"/>
    </row>
    <row r="709" ht="13" customHeight="1" s="189">
      <c r="A709" s="289" t="n"/>
      <c r="B709" s="290" t="n"/>
      <c r="C709" s="290" t="n"/>
      <c r="D709" s="291" t="n"/>
      <c r="E709" s="290" t="n"/>
      <c r="F709" s="290" t="n"/>
    </row>
    <row r="710" ht="13" customHeight="1" s="189">
      <c r="A710" s="289" t="n"/>
      <c r="B710" s="290" t="n"/>
      <c r="C710" s="290" t="n"/>
      <c r="D710" s="291" t="n"/>
      <c r="E710" s="290" t="n"/>
      <c r="F710" s="290" t="n"/>
    </row>
    <row r="711" ht="13" customHeight="1" s="189">
      <c r="A711" s="289" t="n"/>
      <c r="B711" s="290" t="n"/>
      <c r="C711" s="290" t="n"/>
      <c r="D711" s="291" t="n"/>
      <c r="E711" s="290" t="n"/>
      <c r="F711" s="290" t="n"/>
    </row>
    <row r="712" ht="13" customHeight="1" s="189">
      <c r="A712" s="289" t="n"/>
      <c r="B712" s="290" t="n"/>
      <c r="C712" s="290" t="n"/>
      <c r="D712" s="291" t="n"/>
      <c r="E712" s="290" t="n"/>
      <c r="F712" s="290" t="n"/>
    </row>
    <row r="713" ht="13" customHeight="1" s="189">
      <c r="A713" s="289" t="n"/>
      <c r="B713" s="290" t="n"/>
      <c r="C713" s="290" t="n"/>
      <c r="D713" s="291" t="n"/>
      <c r="E713" s="290" t="n"/>
      <c r="F713" s="290" t="n"/>
    </row>
    <row r="714" ht="13" customHeight="1" s="189">
      <c r="A714" s="289" t="n"/>
      <c r="B714" s="290" t="n"/>
      <c r="C714" s="290" t="n"/>
      <c r="D714" s="291" t="n"/>
      <c r="E714" s="290" t="n"/>
      <c r="F714" s="290" t="n"/>
    </row>
    <row r="715" ht="13" customHeight="1" s="189">
      <c r="A715" s="289" t="n"/>
      <c r="B715" s="290" t="n"/>
      <c r="C715" s="290" t="n"/>
      <c r="D715" s="291" t="n"/>
      <c r="E715" s="290" t="n"/>
      <c r="F715" s="290" t="n"/>
    </row>
    <row r="716" ht="13" customHeight="1" s="189">
      <c r="A716" s="289" t="n"/>
      <c r="B716" s="290" t="n"/>
      <c r="C716" s="290" t="n"/>
      <c r="D716" s="291" t="n"/>
      <c r="E716" s="290" t="n"/>
      <c r="F716" s="290" t="n"/>
    </row>
    <row r="717" ht="13" customHeight="1" s="189">
      <c r="A717" s="289" t="n"/>
      <c r="B717" s="290" t="n"/>
      <c r="C717" s="290" t="n"/>
      <c r="D717" s="291" t="n"/>
      <c r="E717" s="290" t="n"/>
      <c r="F717" s="290" t="n"/>
    </row>
    <row r="718" ht="13" customHeight="1" s="189">
      <c r="A718" s="289" t="n"/>
      <c r="B718" s="290" t="n"/>
      <c r="C718" s="290" t="n"/>
      <c r="D718" s="291" t="n"/>
      <c r="E718" s="290" t="n"/>
      <c r="F718" s="290" t="n"/>
    </row>
    <row r="719" ht="13" customHeight="1" s="189">
      <c r="A719" s="289" t="n"/>
      <c r="B719" s="290" t="n"/>
      <c r="C719" s="290" t="n"/>
      <c r="D719" s="291" t="n"/>
      <c r="E719" s="290" t="n"/>
      <c r="F719" s="290" t="n"/>
    </row>
    <row r="720" ht="13" customHeight="1" s="189">
      <c r="A720" s="289" t="n"/>
      <c r="B720" s="290" t="n"/>
      <c r="C720" s="290" t="n"/>
      <c r="D720" s="291" t="n"/>
      <c r="E720" s="290" t="n"/>
      <c r="F720" s="290" t="n"/>
    </row>
    <row r="721" ht="13" customHeight="1" s="189">
      <c r="A721" s="289" t="n"/>
      <c r="B721" s="290" t="n"/>
      <c r="C721" s="290" t="n"/>
      <c r="D721" s="291" t="n"/>
      <c r="E721" s="290" t="n"/>
      <c r="F721" s="290" t="n"/>
    </row>
    <row r="722" ht="13" customHeight="1" s="189">
      <c r="A722" s="289" t="n"/>
      <c r="B722" s="290" t="n"/>
      <c r="C722" s="290" t="n"/>
      <c r="D722" s="291" t="n"/>
      <c r="E722" s="290" t="n"/>
      <c r="F722" s="290" t="n"/>
    </row>
    <row r="723" ht="13" customHeight="1" s="189">
      <c r="A723" s="289" t="n"/>
      <c r="B723" s="290" t="n"/>
      <c r="C723" s="290" t="n"/>
      <c r="D723" s="291" t="n"/>
      <c r="E723" s="290" t="n"/>
      <c r="F723" s="290" t="n"/>
    </row>
    <row r="724" ht="13" customHeight="1" s="189">
      <c r="A724" s="289" t="n"/>
      <c r="B724" s="290" t="n"/>
      <c r="C724" s="290" t="n"/>
      <c r="D724" s="291" t="n"/>
      <c r="E724" s="290" t="n"/>
      <c r="F724" s="290" t="n"/>
    </row>
    <row r="725" ht="13" customHeight="1" s="189">
      <c r="A725" s="289" t="n"/>
      <c r="B725" s="290" t="n"/>
      <c r="C725" s="290" t="n"/>
      <c r="D725" s="291" t="n"/>
      <c r="E725" s="290" t="n"/>
      <c r="F725" s="290" t="n"/>
    </row>
    <row r="726" ht="13" customHeight="1" s="189">
      <c r="A726" s="289" t="n"/>
      <c r="B726" s="290" t="n"/>
      <c r="C726" s="290" t="n"/>
      <c r="D726" s="291" t="n"/>
      <c r="E726" s="290" t="n"/>
      <c r="F726" s="290" t="n"/>
    </row>
    <row r="727" ht="13" customHeight="1" s="189">
      <c r="A727" s="289" t="n"/>
      <c r="B727" s="290" t="n"/>
      <c r="C727" s="290" t="n"/>
      <c r="D727" s="291" t="n"/>
      <c r="E727" s="290" t="n"/>
      <c r="F727" s="290" t="n"/>
    </row>
    <row r="728" ht="13" customHeight="1" s="189">
      <c r="A728" s="289" t="n"/>
      <c r="B728" s="290" t="n"/>
      <c r="C728" s="290" t="n"/>
      <c r="D728" s="291" t="n"/>
      <c r="E728" s="290" t="n"/>
      <c r="F728" s="290" t="n"/>
    </row>
    <row r="729" ht="13" customHeight="1" s="189">
      <c r="A729" s="289" t="n"/>
      <c r="B729" s="290" t="n"/>
      <c r="C729" s="290" t="n"/>
      <c r="D729" s="291" t="n"/>
      <c r="E729" s="290" t="n"/>
      <c r="F729" s="290" t="n"/>
    </row>
    <row r="730" ht="13" customHeight="1" s="189">
      <c r="A730" s="289" t="n"/>
      <c r="B730" s="290" t="n"/>
      <c r="C730" s="290" t="n"/>
      <c r="D730" s="291" t="n"/>
      <c r="E730" s="290" t="n"/>
      <c r="F730" s="290" t="n"/>
    </row>
    <row r="731" ht="13" customHeight="1" s="189">
      <c r="A731" s="289" t="n"/>
      <c r="B731" s="290" t="n"/>
      <c r="C731" s="290" t="n"/>
      <c r="D731" s="291" t="n"/>
      <c r="E731" s="290" t="n"/>
      <c r="F731" s="290" t="n"/>
    </row>
    <row r="732" ht="13" customHeight="1" s="189">
      <c r="A732" s="289" t="n"/>
      <c r="B732" s="290" t="n"/>
      <c r="C732" s="290" t="n"/>
      <c r="D732" s="291" t="n"/>
      <c r="E732" s="290" t="n"/>
      <c r="F732" s="290" t="n"/>
    </row>
    <row r="733" ht="13" customHeight="1" s="189">
      <c r="A733" s="289" t="n"/>
      <c r="B733" s="290" t="n"/>
      <c r="C733" s="290" t="n"/>
      <c r="D733" s="291" t="n"/>
      <c r="E733" s="290" t="n"/>
      <c r="F733" s="290" t="n"/>
    </row>
    <row r="734" ht="13" customHeight="1" s="189">
      <c r="A734" s="289" t="n"/>
      <c r="B734" s="290" t="n"/>
      <c r="C734" s="290" t="n"/>
      <c r="D734" s="291" t="n"/>
      <c r="E734" s="290" t="n"/>
      <c r="F734" s="290" t="n"/>
    </row>
    <row r="735" ht="13" customHeight="1" s="189">
      <c r="A735" s="289" t="n"/>
      <c r="B735" s="290" t="n"/>
      <c r="C735" s="290" t="n"/>
      <c r="D735" s="291" t="n"/>
      <c r="E735" s="290" t="n"/>
      <c r="F735" s="290" t="n"/>
    </row>
    <row r="736" ht="13" customHeight="1" s="189">
      <c r="A736" s="289" t="n"/>
      <c r="B736" s="290" t="n"/>
      <c r="C736" s="290" t="n"/>
      <c r="D736" s="291" t="n"/>
      <c r="E736" s="290" t="n"/>
      <c r="F736" s="290" t="n"/>
    </row>
    <row r="737" ht="13" customHeight="1" s="189">
      <c r="A737" s="289" t="n"/>
      <c r="B737" s="290" t="n"/>
      <c r="C737" s="290" t="n"/>
      <c r="D737" s="291" t="n"/>
      <c r="E737" s="290" t="n"/>
      <c r="F737" s="290" t="n"/>
    </row>
    <row r="738" ht="13" customHeight="1" s="189">
      <c r="A738" s="289" t="n"/>
      <c r="B738" s="290" t="n"/>
      <c r="C738" s="290" t="n"/>
      <c r="D738" s="291" t="n"/>
      <c r="E738" s="290" t="n"/>
      <c r="F738" s="290" t="n"/>
    </row>
    <row r="739" ht="13" customHeight="1" s="189">
      <c r="A739" s="289" t="n"/>
      <c r="B739" s="290" t="n"/>
      <c r="C739" s="290" t="n"/>
      <c r="D739" s="291" t="n"/>
      <c r="E739" s="290" t="n"/>
      <c r="F739" s="290" t="n"/>
    </row>
    <row r="740" ht="13" customHeight="1" s="189">
      <c r="A740" s="289" t="n"/>
      <c r="B740" s="290" t="n"/>
      <c r="C740" s="290" t="n"/>
      <c r="D740" s="291" t="n"/>
      <c r="E740" s="290" t="n"/>
      <c r="F740" s="290" t="n"/>
    </row>
    <row r="741" ht="13" customHeight="1" s="189">
      <c r="A741" s="289" t="n"/>
      <c r="B741" s="290" t="n"/>
      <c r="C741" s="290" t="n"/>
      <c r="D741" s="291" t="n"/>
      <c r="E741" s="290" t="n"/>
      <c r="F741" s="290" t="n"/>
    </row>
    <row r="742" ht="13" customHeight="1" s="189">
      <c r="A742" s="289" t="n"/>
      <c r="B742" s="290" t="n"/>
      <c r="C742" s="290" t="n"/>
      <c r="D742" s="291" t="n"/>
      <c r="E742" s="290" t="n"/>
      <c r="F742" s="290" t="n"/>
    </row>
    <row r="743" ht="13" customHeight="1" s="189">
      <c r="A743" s="289" t="n"/>
      <c r="B743" s="290" t="n"/>
      <c r="C743" s="290" t="n"/>
      <c r="D743" s="291" t="n"/>
      <c r="E743" s="290" t="n"/>
      <c r="F743" s="290" t="n"/>
    </row>
    <row r="744" ht="13" customHeight="1" s="189">
      <c r="A744" s="289" t="n"/>
      <c r="B744" s="290" t="n"/>
      <c r="C744" s="290" t="n"/>
      <c r="D744" s="291" t="n"/>
      <c r="E744" s="290" t="n"/>
      <c r="F744" s="290" t="n"/>
    </row>
    <row r="745" ht="13" customHeight="1" s="189">
      <c r="A745" s="289" t="n"/>
      <c r="B745" s="290" t="n"/>
      <c r="C745" s="290" t="n"/>
      <c r="D745" s="291" t="n"/>
      <c r="E745" s="290" t="n"/>
      <c r="F745" s="290" t="n"/>
    </row>
    <row r="746" ht="13" customHeight="1" s="189">
      <c r="A746" s="289" t="n"/>
      <c r="B746" s="290" t="n"/>
      <c r="C746" s="290" t="n"/>
      <c r="D746" s="291" t="n"/>
      <c r="E746" s="290" t="n"/>
      <c r="F746" s="290" t="n"/>
    </row>
    <row r="747" ht="13" customHeight="1" s="189">
      <c r="A747" s="289" t="n"/>
      <c r="B747" s="290" t="n"/>
      <c r="C747" s="290" t="n"/>
      <c r="D747" s="291" t="n"/>
      <c r="E747" s="290" t="n"/>
      <c r="F747" s="290" t="n"/>
    </row>
    <row r="748" ht="13" customHeight="1" s="189">
      <c r="A748" s="289" t="n"/>
      <c r="B748" s="290" t="n"/>
      <c r="C748" s="290" t="n"/>
      <c r="D748" s="291" t="n"/>
      <c r="E748" s="290" t="n"/>
      <c r="F748" s="290" t="n"/>
    </row>
    <row r="749" ht="13" customHeight="1" s="189">
      <c r="A749" s="289" t="n"/>
      <c r="B749" s="290" t="n"/>
      <c r="C749" s="290" t="n"/>
      <c r="D749" s="291" t="n"/>
      <c r="E749" s="290" t="n"/>
      <c r="F749" s="290" t="n"/>
    </row>
    <row r="750" ht="13" customHeight="1" s="189">
      <c r="A750" s="289" t="n"/>
      <c r="B750" s="290" t="n"/>
      <c r="C750" s="290" t="n"/>
      <c r="D750" s="291" t="n"/>
      <c r="E750" s="290" t="n"/>
      <c r="F750" s="290" t="n"/>
    </row>
    <row r="751" ht="13" customHeight="1" s="189">
      <c r="A751" s="289" t="n"/>
      <c r="B751" s="290" t="n"/>
      <c r="C751" s="290" t="n"/>
      <c r="D751" s="291" t="n"/>
      <c r="E751" s="290" t="n"/>
      <c r="F751" s="290" t="n"/>
    </row>
    <row r="752" ht="13" customHeight="1" s="189">
      <c r="A752" s="289" t="n"/>
      <c r="B752" s="290" t="n"/>
      <c r="C752" s="290" t="n"/>
      <c r="D752" s="291" t="n"/>
      <c r="E752" s="290" t="n"/>
      <c r="F752" s="290" t="n"/>
    </row>
    <row r="753" ht="13" customHeight="1" s="189">
      <c r="A753" s="289" t="n"/>
      <c r="B753" s="290" t="n"/>
      <c r="C753" s="290" t="n"/>
      <c r="D753" s="291" t="n"/>
      <c r="E753" s="290" t="n"/>
      <c r="F753" s="290" t="n"/>
    </row>
    <row r="754" ht="13" customHeight="1" s="189">
      <c r="A754" s="289" t="n"/>
      <c r="B754" s="290" t="n"/>
      <c r="C754" s="290" t="n"/>
      <c r="D754" s="291" t="n"/>
      <c r="E754" s="290" t="n"/>
      <c r="F754" s="290" t="n"/>
    </row>
    <row r="755" ht="13" customHeight="1" s="189">
      <c r="A755" s="289" t="n"/>
      <c r="B755" s="290" t="n"/>
      <c r="C755" s="290" t="n"/>
      <c r="D755" s="291" t="n"/>
      <c r="E755" s="290" t="n"/>
      <c r="F755" s="290" t="n"/>
    </row>
    <row r="756" ht="13" customHeight="1" s="189">
      <c r="A756" s="289" t="n"/>
      <c r="B756" s="290" t="n"/>
      <c r="C756" s="290" t="n"/>
      <c r="D756" s="291" t="n"/>
      <c r="E756" s="290" t="n"/>
      <c r="F756" s="290" t="n"/>
    </row>
    <row r="757" ht="13" customHeight="1" s="189">
      <c r="A757" s="289" t="n"/>
      <c r="B757" s="290" t="n"/>
      <c r="C757" s="290" t="n"/>
      <c r="D757" s="291" t="n"/>
      <c r="E757" s="290" t="n"/>
      <c r="F757" s="290" t="n"/>
    </row>
    <row r="758" ht="13" customHeight="1" s="189">
      <c r="A758" s="289" t="n"/>
      <c r="B758" s="290" t="n"/>
      <c r="C758" s="290" t="n"/>
      <c r="D758" s="291" t="n"/>
      <c r="E758" s="290" t="n"/>
      <c r="F758" s="290" t="n"/>
    </row>
    <row r="759" ht="13" customHeight="1" s="189">
      <c r="A759" s="289" t="n"/>
      <c r="B759" s="290" t="n"/>
      <c r="C759" s="290" t="n"/>
      <c r="D759" s="291" t="n"/>
      <c r="E759" s="290" t="n"/>
      <c r="F759" s="290" t="n"/>
    </row>
    <row r="760" ht="13" customHeight="1" s="189">
      <c r="A760" s="289" t="n"/>
      <c r="B760" s="290" t="n"/>
      <c r="C760" s="290" t="n"/>
      <c r="D760" s="291" t="n"/>
      <c r="E760" s="290" t="n"/>
      <c r="F760" s="290" t="n"/>
    </row>
    <row r="761" ht="13" customHeight="1" s="189">
      <c r="A761" s="289" t="n"/>
      <c r="B761" s="290" t="n"/>
      <c r="C761" s="290" t="n"/>
      <c r="D761" s="291" t="n"/>
      <c r="E761" s="290" t="n"/>
      <c r="F761" s="290" t="n"/>
    </row>
    <row r="762" ht="13" customHeight="1" s="189">
      <c r="A762" s="289" t="n"/>
      <c r="B762" s="290" t="n"/>
      <c r="C762" s="290" t="n"/>
      <c r="D762" s="291" t="n"/>
      <c r="E762" s="290" t="n"/>
      <c r="F762" s="290" t="n"/>
    </row>
    <row r="763" ht="13" customHeight="1" s="189">
      <c r="A763" s="289" t="n"/>
      <c r="B763" s="290" t="n"/>
      <c r="C763" s="290" t="n"/>
      <c r="D763" s="291" t="n"/>
      <c r="E763" s="290" t="n"/>
      <c r="F763" s="290" t="n"/>
    </row>
    <row r="764" ht="13" customHeight="1" s="189">
      <c r="A764" s="289" t="n"/>
      <c r="B764" s="290" t="n"/>
      <c r="C764" s="290" t="n"/>
      <c r="D764" s="291" t="n"/>
      <c r="E764" s="290" t="n"/>
      <c r="F764" s="290" t="n"/>
    </row>
    <row r="765" ht="13" customHeight="1" s="189">
      <c r="A765" s="289" t="n"/>
      <c r="B765" s="290" t="n"/>
      <c r="C765" s="290" t="n"/>
      <c r="D765" s="291" t="n"/>
      <c r="E765" s="290" t="n"/>
      <c r="F765" s="290" t="n"/>
    </row>
    <row r="766" ht="13" customHeight="1" s="189">
      <c r="A766" s="289" t="n"/>
      <c r="B766" s="290" t="n"/>
      <c r="C766" s="290" t="n"/>
      <c r="D766" s="291" t="n"/>
      <c r="E766" s="290" t="n"/>
      <c r="F766" s="290" t="n"/>
    </row>
    <row r="767" ht="13" customHeight="1" s="189">
      <c r="A767" s="289" t="n"/>
      <c r="B767" s="290" t="n"/>
      <c r="C767" s="290" t="n"/>
      <c r="D767" s="291" t="n"/>
      <c r="E767" s="290" t="n"/>
      <c r="F767" s="290" t="n"/>
    </row>
    <row r="768" ht="13" customHeight="1" s="189">
      <c r="A768" s="289" t="n"/>
      <c r="B768" s="290" t="n"/>
      <c r="C768" s="290" t="n"/>
      <c r="D768" s="291" t="n"/>
      <c r="E768" s="290" t="n"/>
      <c r="F768" s="290" t="n"/>
    </row>
    <row r="769" ht="13" customHeight="1" s="189">
      <c r="A769" s="289" t="n"/>
      <c r="B769" s="290" t="n"/>
      <c r="C769" s="290" t="n"/>
      <c r="D769" s="291" t="n"/>
      <c r="E769" s="290" t="n"/>
      <c r="F769" s="290" t="n"/>
    </row>
    <row r="770" ht="13" customHeight="1" s="189">
      <c r="A770" s="289" t="n"/>
      <c r="B770" s="290" t="n"/>
      <c r="C770" s="290" t="n"/>
      <c r="D770" s="291" t="n"/>
      <c r="E770" s="290" t="n"/>
      <c r="F770" s="290" t="n"/>
    </row>
    <row r="771" ht="13" customHeight="1" s="189">
      <c r="A771" s="289" t="n"/>
      <c r="B771" s="290" t="n"/>
      <c r="C771" s="290" t="n"/>
      <c r="D771" s="291" t="n"/>
      <c r="E771" s="290" t="n"/>
      <c r="F771" s="290" t="n"/>
    </row>
    <row r="772" ht="13" customHeight="1" s="189">
      <c r="A772" s="289" t="n"/>
      <c r="B772" s="290" t="n"/>
      <c r="C772" s="290" t="n"/>
      <c r="D772" s="291" t="n"/>
      <c r="E772" s="290" t="n"/>
      <c r="F772" s="290" t="n"/>
    </row>
    <row r="773" ht="13" customHeight="1" s="189">
      <c r="A773" s="289" t="n"/>
      <c r="B773" s="290" t="n"/>
      <c r="C773" s="290" t="n"/>
      <c r="D773" s="291" t="n"/>
      <c r="E773" s="290" t="n"/>
      <c r="F773" s="290" t="n"/>
    </row>
    <row r="774" ht="13" customHeight="1" s="189">
      <c r="A774" s="289" t="n"/>
      <c r="B774" s="290" t="n"/>
      <c r="C774" s="290" t="n"/>
      <c r="D774" s="291" t="n"/>
      <c r="E774" s="290" t="n"/>
      <c r="F774" s="290" t="n"/>
    </row>
    <row r="775" ht="13" customHeight="1" s="189">
      <c r="A775" s="289" t="n"/>
      <c r="B775" s="290" t="n"/>
      <c r="C775" s="290" t="n"/>
      <c r="D775" s="291" t="n"/>
      <c r="E775" s="290" t="n"/>
      <c r="F775" s="290" t="n"/>
    </row>
    <row r="776" ht="13" customHeight="1" s="189">
      <c r="A776" s="289" t="n"/>
      <c r="B776" s="290" t="n"/>
      <c r="C776" s="290" t="n"/>
      <c r="D776" s="291" t="n"/>
      <c r="E776" s="290" t="n"/>
      <c r="F776" s="290" t="n"/>
    </row>
    <row r="777" ht="13" customHeight="1" s="189">
      <c r="A777" s="289" t="n"/>
      <c r="B777" s="290" t="n"/>
      <c r="C777" s="290" t="n"/>
      <c r="D777" s="291" t="n"/>
      <c r="E777" s="290" t="n"/>
      <c r="F777" s="290" t="n"/>
    </row>
    <row r="778" ht="13" customHeight="1" s="189">
      <c r="A778" s="289" t="n"/>
      <c r="B778" s="290" t="n"/>
      <c r="C778" s="290" t="n"/>
      <c r="D778" s="291" t="n"/>
      <c r="E778" s="290" t="n"/>
      <c r="F778" s="290" t="n"/>
    </row>
    <row r="779" ht="13" customHeight="1" s="189">
      <c r="A779" s="289" t="n"/>
      <c r="B779" s="290" t="n"/>
      <c r="C779" s="290" t="n"/>
      <c r="D779" s="291" t="n"/>
      <c r="E779" s="290" t="n"/>
      <c r="F779" s="290" t="n"/>
    </row>
    <row r="780" ht="13" customHeight="1" s="189">
      <c r="A780" s="289" t="n"/>
      <c r="B780" s="290" t="n"/>
      <c r="C780" s="290" t="n"/>
      <c r="D780" s="291" t="n"/>
      <c r="E780" s="290" t="n"/>
      <c r="F780" s="290" t="n"/>
    </row>
    <row r="781" ht="13" customHeight="1" s="189">
      <c r="A781" s="289" t="n"/>
      <c r="B781" s="290" t="n"/>
      <c r="C781" s="290" t="n"/>
      <c r="D781" s="291" t="n"/>
      <c r="E781" s="290" t="n"/>
      <c r="F781" s="290" t="n"/>
    </row>
    <row r="782" ht="13" customHeight="1" s="189">
      <c r="A782" s="289" t="n"/>
      <c r="B782" s="290" t="n"/>
      <c r="C782" s="290" t="n"/>
      <c r="D782" s="291" t="n"/>
      <c r="E782" s="290" t="n"/>
      <c r="F782" s="290" t="n"/>
    </row>
    <row r="783" ht="13" customHeight="1" s="189">
      <c r="A783" s="289" t="n"/>
      <c r="B783" s="290" t="n"/>
      <c r="C783" s="290" t="n"/>
      <c r="D783" s="291" t="n"/>
      <c r="E783" s="290" t="n"/>
      <c r="F783" s="290" t="n"/>
    </row>
    <row r="784" ht="13" customHeight="1" s="189">
      <c r="A784" s="289" t="n"/>
      <c r="B784" s="290" t="n"/>
      <c r="C784" s="290" t="n"/>
      <c r="D784" s="291" t="n"/>
      <c r="E784" s="290" t="n"/>
      <c r="F784" s="290" t="n"/>
    </row>
    <row r="785" ht="13" customHeight="1" s="189">
      <c r="A785" s="289" t="n"/>
      <c r="B785" s="290" t="n"/>
      <c r="C785" s="290" t="n"/>
      <c r="D785" s="291" t="n"/>
      <c r="E785" s="290" t="n"/>
      <c r="F785" s="290" t="n"/>
    </row>
    <row r="786" ht="13" customHeight="1" s="189">
      <c r="A786" s="289" t="n"/>
      <c r="B786" s="290" t="n"/>
      <c r="C786" s="290" t="n"/>
      <c r="D786" s="291" t="n"/>
      <c r="E786" s="290" t="n"/>
      <c r="F786" s="290" t="n"/>
    </row>
    <row r="787" ht="13" customHeight="1" s="189">
      <c r="A787" s="289" t="n"/>
      <c r="B787" s="290" t="n"/>
      <c r="C787" s="290" t="n"/>
      <c r="D787" s="291" t="n"/>
      <c r="E787" s="290" t="n"/>
      <c r="F787" s="290" t="n"/>
    </row>
    <row r="788" ht="13" customHeight="1" s="189">
      <c r="A788" s="289" t="n"/>
      <c r="B788" s="290" t="n"/>
      <c r="C788" s="290" t="n"/>
      <c r="D788" s="291" t="n"/>
      <c r="E788" s="290" t="n"/>
      <c r="F788" s="290" t="n"/>
    </row>
    <row r="789" ht="13" customHeight="1" s="189">
      <c r="A789" s="289" t="n"/>
      <c r="B789" s="290" t="n"/>
      <c r="C789" s="290" t="n"/>
      <c r="D789" s="291" t="n"/>
      <c r="E789" s="290" t="n"/>
      <c r="F789" s="290" t="n"/>
    </row>
    <row r="790" ht="13" customHeight="1" s="189">
      <c r="A790" s="289" t="n"/>
      <c r="B790" s="290" t="n"/>
      <c r="C790" s="290" t="n"/>
      <c r="D790" s="291" t="n"/>
      <c r="E790" s="290" t="n"/>
      <c r="F790" s="290" t="n"/>
    </row>
    <row r="791" ht="13" customHeight="1" s="189">
      <c r="A791" s="289" t="n"/>
      <c r="B791" s="290" t="n"/>
      <c r="C791" s="290" t="n"/>
      <c r="D791" s="291" t="n"/>
      <c r="E791" s="290" t="n"/>
      <c r="F791" s="290" t="n"/>
    </row>
    <row r="792" ht="13" customHeight="1" s="189">
      <c r="A792" s="289" t="n"/>
      <c r="B792" s="290" t="n"/>
      <c r="C792" s="290" t="n"/>
      <c r="D792" s="291" t="n"/>
      <c r="E792" s="290" t="n"/>
      <c r="F792" s="290" t="n"/>
    </row>
    <row r="793" ht="13" customHeight="1" s="189">
      <c r="A793" s="289" t="n"/>
      <c r="B793" s="290" t="n"/>
      <c r="C793" s="290" t="n"/>
      <c r="D793" s="291" t="n"/>
      <c r="E793" s="290" t="n"/>
      <c r="F793" s="290" t="n"/>
    </row>
    <row r="794" ht="13" customHeight="1" s="189">
      <c r="A794" s="289" t="n"/>
      <c r="B794" s="290" t="n"/>
      <c r="C794" s="290" t="n"/>
      <c r="D794" s="291" t="n"/>
      <c r="E794" s="290" t="n"/>
      <c r="F794" s="290" t="n"/>
    </row>
    <row r="795" ht="13" customHeight="1" s="189">
      <c r="A795" s="289" t="n"/>
      <c r="B795" s="290" t="n"/>
      <c r="C795" s="290" t="n"/>
      <c r="D795" s="291" t="n"/>
      <c r="E795" s="290" t="n"/>
      <c r="F795" s="290" t="n"/>
    </row>
    <row r="796" ht="13" customHeight="1" s="189">
      <c r="A796" s="289" t="n"/>
      <c r="B796" s="290" t="n"/>
      <c r="C796" s="290" t="n"/>
      <c r="D796" s="291" t="n"/>
      <c r="E796" s="290" t="n"/>
      <c r="F796" s="290" t="n"/>
    </row>
    <row r="797" ht="13" customHeight="1" s="189">
      <c r="A797" s="289" t="n"/>
      <c r="B797" s="290" t="n"/>
      <c r="C797" s="290" t="n"/>
      <c r="D797" s="291" t="n"/>
      <c r="E797" s="290" t="n"/>
      <c r="F797" s="290" t="n"/>
    </row>
    <row r="798" ht="13" customHeight="1" s="189">
      <c r="A798" s="289" t="n"/>
      <c r="B798" s="290" t="n"/>
      <c r="C798" s="290" t="n"/>
      <c r="D798" s="291" t="n"/>
      <c r="E798" s="290" t="n"/>
      <c r="F798" s="290" t="n"/>
    </row>
    <row r="799" ht="13" customHeight="1" s="189">
      <c r="A799" s="289" t="n"/>
      <c r="B799" s="290" t="n"/>
      <c r="C799" s="290" t="n"/>
      <c r="D799" s="291" t="n"/>
      <c r="E799" s="290" t="n"/>
      <c r="F799" s="290" t="n"/>
    </row>
    <row r="800" ht="13" customHeight="1" s="189">
      <c r="A800" s="289" t="n"/>
      <c r="B800" s="290" t="n"/>
      <c r="C800" s="290" t="n"/>
      <c r="D800" s="291" t="n"/>
      <c r="E800" s="290" t="n"/>
      <c r="F800" s="290" t="n"/>
    </row>
    <row r="801" ht="13" customHeight="1" s="189">
      <c r="A801" s="289" t="n"/>
      <c r="B801" s="290" t="n"/>
      <c r="C801" s="290" t="n"/>
      <c r="D801" s="291" t="n"/>
      <c r="E801" s="290" t="n"/>
      <c r="F801" s="290" t="n"/>
    </row>
    <row r="802" ht="13" customHeight="1" s="189">
      <c r="A802" s="289" t="n"/>
      <c r="B802" s="290" t="n"/>
      <c r="C802" s="290" t="n"/>
      <c r="D802" s="291" t="n"/>
      <c r="E802" s="290" t="n"/>
      <c r="F802" s="290" t="n"/>
    </row>
    <row r="803" ht="13" customHeight="1" s="189">
      <c r="A803" s="289" t="n"/>
      <c r="B803" s="290" t="n"/>
      <c r="C803" s="290" t="n"/>
      <c r="D803" s="291" t="n"/>
      <c r="E803" s="290" t="n"/>
      <c r="F803" s="290" t="n"/>
    </row>
    <row r="804" ht="13" customHeight="1" s="189">
      <c r="A804" s="289" t="n"/>
      <c r="B804" s="290" t="n"/>
      <c r="C804" s="290" t="n"/>
      <c r="D804" s="291" t="n"/>
      <c r="E804" s="290" t="n"/>
      <c r="F804" s="290" t="n"/>
    </row>
    <row r="805" ht="13" customHeight="1" s="189">
      <c r="A805" s="289" t="n"/>
      <c r="B805" s="290" t="n"/>
      <c r="C805" s="290" t="n"/>
      <c r="D805" s="291" t="n"/>
      <c r="E805" s="290" t="n"/>
      <c r="F805" s="290" t="n"/>
    </row>
    <row r="806" ht="13" customHeight="1" s="189">
      <c r="A806" s="289" t="n"/>
      <c r="B806" s="290" t="n"/>
      <c r="C806" s="290" t="n"/>
      <c r="D806" s="291" t="n"/>
      <c r="E806" s="290" t="n"/>
      <c r="F806" s="290" t="n"/>
    </row>
    <row r="807" ht="13" customHeight="1" s="189">
      <c r="A807" s="289" t="n"/>
      <c r="B807" s="290" t="n"/>
      <c r="C807" s="290" t="n"/>
      <c r="D807" s="291" t="n"/>
      <c r="E807" s="290" t="n"/>
      <c r="F807" s="290" t="n"/>
    </row>
    <row r="808" ht="13" customHeight="1" s="189">
      <c r="A808" s="289" t="n"/>
      <c r="B808" s="290" t="n"/>
      <c r="C808" s="290" t="n"/>
      <c r="D808" s="291" t="n"/>
      <c r="E808" s="290" t="n"/>
      <c r="F808" s="290" t="n"/>
    </row>
    <row r="809" ht="13" customHeight="1" s="189">
      <c r="A809" s="289" t="n"/>
      <c r="B809" s="290" t="n"/>
      <c r="C809" s="290" t="n"/>
      <c r="D809" s="291" t="n"/>
      <c r="E809" s="290" t="n"/>
      <c r="F809" s="290" t="n"/>
    </row>
    <row r="810" ht="13" customHeight="1" s="189">
      <c r="A810" s="289" t="n"/>
      <c r="B810" s="290" t="n"/>
      <c r="C810" s="290" t="n"/>
      <c r="D810" s="291" t="n"/>
      <c r="E810" s="290" t="n"/>
      <c r="F810" s="290" t="n"/>
    </row>
    <row r="811" ht="13" customHeight="1" s="189">
      <c r="A811" s="289" t="n"/>
      <c r="B811" s="290" t="n"/>
      <c r="C811" s="290" t="n"/>
      <c r="D811" s="291" t="n"/>
      <c r="E811" s="290" t="n"/>
      <c r="F811" s="290" t="n"/>
    </row>
    <row r="812" ht="13" customHeight="1" s="189">
      <c r="A812" s="289" t="n"/>
      <c r="B812" s="290" t="n"/>
      <c r="C812" s="290" t="n"/>
      <c r="D812" s="291" t="n"/>
      <c r="E812" s="290" t="n"/>
      <c r="F812" s="290" t="n"/>
    </row>
    <row r="813" ht="13" customHeight="1" s="189">
      <c r="A813" s="289" t="n"/>
      <c r="B813" s="290" t="n"/>
      <c r="C813" s="290" t="n"/>
      <c r="D813" s="291" t="n"/>
      <c r="E813" s="290" t="n"/>
      <c r="F813" s="290" t="n"/>
    </row>
    <row r="814" ht="13" customHeight="1" s="189">
      <c r="A814" s="289" t="n"/>
      <c r="B814" s="290" t="n"/>
      <c r="C814" s="290" t="n"/>
      <c r="D814" s="291" t="n"/>
      <c r="E814" s="290" t="n"/>
      <c r="F814" s="290" t="n"/>
    </row>
    <row r="815" ht="13" customHeight="1" s="189">
      <c r="A815" s="289" t="n"/>
      <c r="B815" s="290" t="n"/>
      <c r="C815" s="290" t="n"/>
      <c r="D815" s="291" t="n"/>
      <c r="E815" s="290" t="n"/>
      <c r="F815" s="290" t="n"/>
    </row>
    <row r="816" ht="13" customHeight="1" s="189">
      <c r="A816" s="289" t="n"/>
      <c r="B816" s="290" t="n"/>
      <c r="C816" s="290" t="n"/>
      <c r="D816" s="291" t="n"/>
      <c r="E816" s="290" t="n"/>
      <c r="F816" s="290" t="n"/>
    </row>
    <row r="817" ht="13" customHeight="1" s="189">
      <c r="A817" s="289" t="n"/>
      <c r="B817" s="290" t="n"/>
      <c r="C817" s="290" t="n"/>
      <c r="D817" s="291" t="n"/>
      <c r="E817" s="290" t="n"/>
      <c r="F817" s="290" t="n"/>
    </row>
    <row r="818" ht="13" customHeight="1" s="189">
      <c r="A818" s="289" t="n"/>
      <c r="B818" s="290" t="n"/>
      <c r="C818" s="290" t="n"/>
      <c r="D818" s="291" t="n"/>
      <c r="E818" s="290" t="n"/>
      <c r="F818" s="290" t="n"/>
    </row>
    <row r="819" ht="13" customHeight="1" s="189">
      <c r="A819" s="289" t="n"/>
      <c r="B819" s="290" t="n"/>
      <c r="C819" s="290" t="n"/>
      <c r="D819" s="291" t="n"/>
      <c r="E819" s="290" t="n"/>
      <c r="F819" s="290" t="n"/>
    </row>
    <row r="820" ht="13" customHeight="1" s="189">
      <c r="A820" s="289" t="n"/>
      <c r="B820" s="290" t="n"/>
      <c r="C820" s="290" t="n"/>
      <c r="D820" s="291" t="n"/>
      <c r="E820" s="290" t="n"/>
      <c r="F820" s="290" t="n"/>
    </row>
    <row r="821" ht="13" customHeight="1" s="189">
      <c r="A821" s="289" t="n"/>
      <c r="B821" s="290" t="n"/>
      <c r="C821" s="290" t="n"/>
      <c r="D821" s="291" t="n"/>
      <c r="E821" s="290" t="n"/>
      <c r="F821" s="290" t="n"/>
    </row>
    <row r="822" ht="13" customHeight="1" s="189">
      <c r="A822" s="289" t="n"/>
      <c r="B822" s="290" t="n"/>
      <c r="C822" s="290" t="n"/>
      <c r="D822" s="291" t="n"/>
      <c r="E822" s="290" t="n"/>
      <c r="F822" s="290" t="n"/>
    </row>
    <row r="823" ht="13" customHeight="1" s="189">
      <c r="A823" s="289" t="n"/>
      <c r="B823" s="290" t="n"/>
      <c r="C823" s="290" t="n"/>
      <c r="D823" s="291" t="n"/>
      <c r="E823" s="290" t="n"/>
      <c r="F823" s="290" t="n"/>
    </row>
    <row r="824" ht="13" customHeight="1" s="189">
      <c r="A824" s="289" t="n"/>
      <c r="B824" s="290" t="n"/>
      <c r="C824" s="290" t="n"/>
      <c r="D824" s="291" t="n"/>
      <c r="E824" s="290" t="n"/>
      <c r="F824" s="290" t="n"/>
    </row>
    <row r="825" ht="13" customHeight="1" s="189">
      <c r="A825" s="289" t="n"/>
      <c r="B825" s="290" t="n"/>
      <c r="C825" s="290" t="n"/>
      <c r="D825" s="291" t="n"/>
      <c r="E825" s="290" t="n"/>
      <c r="F825" s="290" t="n"/>
    </row>
    <row r="826" ht="13" customHeight="1" s="189">
      <c r="A826" s="289" t="n"/>
      <c r="B826" s="290" t="n"/>
      <c r="C826" s="290" t="n"/>
      <c r="D826" s="291" t="n"/>
      <c r="E826" s="290" t="n"/>
      <c r="F826" s="290" t="n"/>
    </row>
    <row r="827" ht="13" customHeight="1" s="189">
      <c r="A827" s="289" t="n"/>
      <c r="B827" s="290" t="n"/>
      <c r="C827" s="290" t="n"/>
      <c r="D827" s="291" t="n"/>
      <c r="E827" s="290" t="n"/>
      <c r="F827" s="290" t="n"/>
    </row>
    <row r="828" ht="13" customHeight="1" s="189">
      <c r="A828" s="289" t="n"/>
      <c r="B828" s="290" t="n"/>
      <c r="C828" s="290" t="n"/>
      <c r="D828" s="291" t="n"/>
      <c r="E828" s="290" t="n"/>
      <c r="F828" s="290" t="n"/>
    </row>
    <row r="829" ht="13" customHeight="1" s="189">
      <c r="A829" s="289" t="n"/>
      <c r="B829" s="290" t="n"/>
      <c r="C829" s="290" t="n"/>
      <c r="D829" s="291" t="n"/>
      <c r="E829" s="290" t="n"/>
      <c r="F829" s="290" t="n"/>
    </row>
    <row r="830" ht="13" customHeight="1" s="189">
      <c r="A830" s="289" t="n"/>
      <c r="B830" s="290" t="n"/>
      <c r="C830" s="290" t="n"/>
      <c r="D830" s="291" t="n"/>
      <c r="E830" s="290" t="n"/>
      <c r="F830" s="290" t="n"/>
    </row>
    <row r="831" ht="13" customHeight="1" s="189">
      <c r="A831" s="289" t="n"/>
      <c r="B831" s="290" t="n"/>
      <c r="C831" s="290" t="n"/>
      <c r="D831" s="291" t="n"/>
      <c r="E831" s="290" t="n"/>
      <c r="F831" s="290" t="n"/>
    </row>
    <row r="832" ht="13" customHeight="1" s="189">
      <c r="A832" s="289" t="n"/>
      <c r="B832" s="290" t="n"/>
      <c r="C832" s="290" t="n"/>
      <c r="D832" s="291" t="n"/>
      <c r="E832" s="290" t="n"/>
      <c r="F832" s="290" t="n"/>
    </row>
    <row r="833" ht="13" customHeight="1" s="189">
      <c r="A833" s="289" t="n"/>
      <c r="B833" s="290" t="n"/>
      <c r="C833" s="290" t="n"/>
      <c r="D833" s="291" t="n"/>
      <c r="E833" s="290" t="n"/>
      <c r="F833" s="290" t="n"/>
    </row>
    <row r="834" ht="13" customHeight="1" s="189">
      <c r="A834" s="289" t="n"/>
      <c r="B834" s="290" t="n"/>
      <c r="C834" s="290" t="n"/>
      <c r="D834" s="291" t="n"/>
      <c r="E834" s="290" t="n"/>
      <c r="F834" s="290" t="n"/>
    </row>
    <row r="835" ht="13" customHeight="1" s="189">
      <c r="A835" s="289" t="n"/>
      <c r="B835" s="290" t="n"/>
      <c r="C835" s="290" t="n"/>
      <c r="D835" s="291" t="n"/>
      <c r="E835" s="290" t="n"/>
      <c r="F835" s="290" t="n"/>
    </row>
    <row r="836" ht="13" customHeight="1" s="189">
      <c r="A836" s="289" t="n"/>
      <c r="B836" s="290" t="n"/>
      <c r="C836" s="290" t="n"/>
      <c r="D836" s="291" t="n"/>
      <c r="E836" s="290" t="n"/>
      <c r="F836" s="290" t="n"/>
    </row>
    <row r="837" ht="13" customHeight="1" s="189">
      <c r="A837" s="289" t="n"/>
      <c r="B837" s="290" t="n"/>
      <c r="C837" s="290" t="n"/>
      <c r="D837" s="291" t="n"/>
      <c r="E837" s="290" t="n"/>
      <c r="F837" s="290" t="n"/>
    </row>
    <row r="838" ht="13" customHeight="1" s="189">
      <c r="A838" s="289" t="n"/>
      <c r="B838" s="290" t="n"/>
      <c r="C838" s="290" t="n"/>
      <c r="D838" s="291" t="n"/>
      <c r="E838" s="290" t="n"/>
      <c r="F838" s="290" t="n"/>
    </row>
    <row r="839" ht="13" customHeight="1" s="189">
      <c r="A839" s="289" t="n"/>
      <c r="B839" s="290" t="n"/>
      <c r="C839" s="290" t="n"/>
      <c r="D839" s="291" t="n"/>
      <c r="E839" s="290" t="n"/>
      <c r="F839" s="290" t="n"/>
    </row>
    <row r="840" ht="13" customHeight="1" s="189">
      <c r="A840" s="289" t="n"/>
      <c r="B840" s="290" t="n"/>
      <c r="C840" s="290" t="n"/>
      <c r="D840" s="291" t="n"/>
      <c r="E840" s="290" t="n"/>
      <c r="F840" s="290" t="n"/>
    </row>
    <row r="841" ht="13" customHeight="1" s="189">
      <c r="A841" s="289" t="n"/>
      <c r="B841" s="290" t="n"/>
      <c r="C841" s="290" t="n"/>
      <c r="D841" s="291" t="n"/>
      <c r="E841" s="290" t="n"/>
      <c r="F841" s="290" t="n"/>
    </row>
    <row r="842" ht="13" customHeight="1" s="189">
      <c r="A842" s="289" t="n"/>
      <c r="B842" s="290" t="n"/>
      <c r="C842" s="290" t="n"/>
      <c r="D842" s="291" t="n"/>
      <c r="E842" s="290" t="n"/>
      <c r="F842" s="290" t="n"/>
    </row>
    <row r="843" ht="13" customHeight="1" s="189">
      <c r="A843" s="289" t="n"/>
      <c r="B843" s="290" t="n"/>
      <c r="C843" s="290" t="n"/>
      <c r="D843" s="291" t="n"/>
      <c r="E843" s="290" t="n"/>
      <c r="F843" s="290" t="n"/>
    </row>
    <row r="844" ht="13" customHeight="1" s="189">
      <c r="A844" s="289" t="n"/>
      <c r="B844" s="290" t="n"/>
      <c r="C844" s="290" t="n"/>
      <c r="D844" s="291" t="n"/>
      <c r="E844" s="290" t="n"/>
      <c r="F844" s="290" t="n"/>
    </row>
    <row r="845" ht="13" customHeight="1" s="189">
      <c r="A845" s="289" t="n"/>
      <c r="B845" s="290" t="n"/>
      <c r="C845" s="290" t="n"/>
      <c r="D845" s="291" t="n"/>
      <c r="E845" s="290" t="n"/>
      <c r="F845" s="290" t="n"/>
    </row>
    <row r="846" ht="13" customHeight="1" s="189">
      <c r="A846" s="289" t="n"/>
      <c r="B846" s="290" t="n"/>
      <c r="C846" s="290" t="n"/>
      <c r="D846" s="291" t="n"/>
      <c r="E846" s="290" t="n"/>
      <c r="F846" s="290" t="n"/>
    </row>
    <row r="847" ht="13" customHeight="1" s="189">
      <c r="A847" s="289" t="n"/>
      <c r="B847" s="290" t="n"/>
      <c r="C847" s="290" t="n"/>
      <c r="D847" s="291" t="n"/>
      <c r="E847" s="290" t="n"/>
      <c r="F847" s="290" t="n"/>
    </row>
    <row r="848" ht="13" customHeight="1" s="189">
      <c r="A848" s="289" t="n"/>
      <c r="B848" s="290" t="n"/>
      <c r="C848" s="290" t="n"/>
      <c r="D848" s="291" t="n"/>
      <c r="E848" s="290" t="n"/>
      <c r="F848" s="290" t="n"/>
    </row>
    <row r="849" ht="13" customHeight="1" s="189">
      <c r="A849" s="289" t="n"/>
      <c r="B849" s="290" t="n"/>
      <c r="C849" s="290" t="n"/>
      <c r="D849" s="291" t="n"/>
      <c r="E849" s="290" t="n"/>
      <c r="F849" s="290" t="n"/>
    </row>
    <row r="850" ht="13" customHeight="1" s="189">
      <c r="A850" s="289" t="n"/>
      <c r="B850" s="290" t="n"/>
      <c r="C850" s="290" t="n"/>
      <c r="D850" s="291" t="n"/>
      <c r="E850" s="290" t="n"/>
      <c r="F850" s="290" t="n"/>
    </row>
    <row r="851" ht="13" customHeight="1" s="189">
      <c r="A851" s="289" t="n"/>
      <c r="B851" s="290" t="n"/>
      <c r="C851" s="290" t="n"/>
      <c r="D851" s="291" t="n"/>
      <c r="E851" s="290" t="n"/>
      <c r="F851" s="290" t="n"/>
    </row>
    <row r="852" ht="13" customHeight="1" s="189">
      <c r="A852" s="289" t="n"/>
      <c r="B852" s="290" t="n"/>
      <c r="C852" s="290" t="n"/>
      <c r="D852" s="291" t="n"/>
      <c r="E852" s="290" t="n"/>
      <c r="F852" s="290" t="n"/>
    </row>
    <row r="853" ht="13" customHeight="1" s="189">
      <c r="A853" s="289" t="n"/>
      <c r="B853" s="290" t="n"/>
      <c r="C853" s="290" t="n"/>
      <c r="D853" s="291" t="n"/>
      <c r="E853" s="290" t="n"/>
      <c r="F853" s="290" t="n"/>
    </row>
    <row r="854" ht="13" customHeight="1" s="189">
      <c r="A854" s="289" t="n"/>
      <c r="B854" s="290" t="n"/>
      <c r="C854" s="290" t="n"/>
      <c r="D854" s="291" t="n"/>
      <c r="E854" s="290" t="n"/>
      <c r="F854" s="290" t="n"/>
    </row>
    <row r="855" ht="13" customHeight="1" s="189">
      <c r="A855" s="289" t="n"/>
      <c r="B855" s="290" t="n"/>
      <c r="C855" s="290" t="n"/>
      <c r="D855" s="291" t="n"/>
      <c r="E855" s="290" t="n"/>
      <c r="F855" s="290" t="n"/>
    </row>
    <row r="856" ht="13" customHeight="1" s="189">
      <c r="A856" s="289" t="n"/>
      <c r="B856" s="290" t="n"/>
      <c r="C856" s="290" t="n"/>
      <c r="D856" s="291" t="n"/>
      <c r="E856" s="290" t="n"/>
      <c r="F856" s="290" t="n"/>
    </row>
    <row r="857" ht="13" customHeight="1" s="189">
      <c r="A857" s="289" t="n"/>
      <c r="B857" s="290" t="n"/>
      <c r="C857" s="290" t="n"/>
      <c r="D857" s="291" t="n"/>
      <c r="E857" s="290" t="n"/>
      <c r="F857" s="290" t="n"/>
    </row>
    <row r="858" ht="13" customHeight="1" s="189">
      <c r="A858" s="289" t="n"/>
      <c r="B858" s="290" t="n"/>
      <c r="C858" s="290" t="n"/>
      <c r="D858" s="291" t="n"/>
      <c r="E858" s="290" t="n"/>
      <c r="F858" s="290" t="n"/>
    </row>
    <row r="859" ht="13" customHeight="1" s="189">
      <c r="A859" s="289" t="n"/>
      <c r="B859" s="290" t="n"/>
      <c r="C859" s="290" t="n"/>
      <c r="D859" s="291" t="n"/>
      <c r="E859" s="290" t="n"/>
      <c r="F859" s="290" t="n"/>
    </row>
    <row r="860" ht="13" customHeight="1" s="189">
      <c r="A860" s="289" t="n"/>
      <c r="B860" s="290" t="n"/>
      <c r="C860" s="290" t="n"/>
      <c r="D860" s="291" t="n"/>
      <c r="E860" s="290" t="n"/>
      <c r="F860" s="290" t="n"/>
    </row>
    <row r="861" ht="13" customHeight="1" s="189">
      <c r="A861" s="289" t="n"/>
      <c r="B861" s="290" t="n"/>
      <c r="C861" s="290" t="n"/>
      <c r="D861" s="291" t="n"/>
      <c r="E861" s="290" t="n"/>
      <c r="F861" s="290" t="n"/>
    </row>
    <row r="862" ht="13" customHeight="1" s="189">
      <c r="A862" s="289" t="n"/>
      <c r="B862" s="290" t="n"/>
      <c r="C862" s="290" t="n"/>
      <c r="D862" s="291" t="n"/>
      <c r="E862" s="290" t="n"/>
      <c r="F862" s="290" t="n"/>
    </row>
    <row r="863" ht="13" customHeight="1" s="189">
      <c r="A863" s="289" t="n"/>
      <c r="B863" s="290" t="n"/>
      <c r="C863" s="290" t="n"/>
      <c r="D863" s="291" t="n"/>
      <c r="E863" s="290" t="n"/>
      <c r="F863" s="290" t="n"/>
    </row>
    <row r="864" ht="13" customHeight="1" s="189">
      <c r="A864" s="289" t="n"/>
      <c r="B864" s="290" t="n"/>
      <c r="C864" s="290" t="n"/>
      <c r="D864" s="291" t="n"/>
      <c r="E864" s="290" t="n"/>
      <c r="F864" s="290" t="n"/>
    </row>
    <row r="865" ht="13" customHeight="1" s="189">
      <c r="A865" s="289" t="n"/>
      <c r="B865" s="290" t="n"/>
      <c r="C865" s="290" t="n"/>
      <c r="D865" s="291" t="n"/>
      <c r="E865" s="290" t="n"/>
      <c r="F865" s="290" t="n"/>
    </row>
    <row r="866" ht="13" customHeight="1" s="189">
      <c r="A866" s="289" t="n"/>
      <c r="B866" s="290" t="n"/>
      <c r="C866" s="290" t="n"/>
      <c r="D866" s="291" t="n"/>
      <c r="E866" s="290" t="n"/>
      <c r="F866" s="290" t="n"/>
    </row>
    <row r="867" ht="13" customHeight="1" s="189">
      <c r="A867" s="289" t="n"/>
      <c r="B867" s="290" t="n"/>
      <c r="C867" s="290" t="n"/>
      <c r="D867" s="291" t="n"/>
      <c r="E867" s="290" t="n"/>
      <c r="F867" s="290" t="n"/>
    </row>
    <row r="868" ht="13" customHeight="1" s="189">
      <c r="A868" s="289" t="n"/>
      <c r="B868" s="290" t="n"/>
      <c r="C868" s="290" t="n"/>
      <c r="D868" s="291" t="n"/>
      <c r="E868" s="290" t="n"/>
      <c r="F868" s="290" t="n"/>
    </row>
    <row r="869" ht="13" customHeight="1" s="189">
      <c r="A869" s="289" t="n"/>
      <c r="B869" s="290" t="n"/>
      <c r="C869" s="290" t="n"/>
      <c r="D869" s="291" t="n"/>
      <c r="E869" s="290" t="n"/>
      <c r="F869" s="290" t="n"/>
    </row>
    <row r="870" ht="13" customHeight="1" s="189">
      <c r="A870" s="289" t="n"/>
      <c r="B870" s="290" t="n"/>
      <c r="C870" s="290" t="n"/>
      <c r="D870" s="291" t="n"/>
      <c r="E870" s="290" t="n"/>
      <c r="F870" s="290" t="n"/>
    </row>
    <row r="871" ht="13" customHeight="1" s="189">
      <c r="A871" s="289" t="n"/>
      <c r="B871" s="290" t="n"/>
      <c r="C871" s="290" t="n"/>
      <c r="D871" s="291" t="n"/>
      <c r="E871" s="290" t="n"/>
      <c r="F871" s="290" t="n"/>
    </row>
    <row r="872" ht="13" customHeight="1" s="189">
      <c r="A872" s="289" t="n"/>
      <c r="B872" s="290" t="n"/>
      <c r="C872" s="290" t="n"/>
      <c r="D872" s="291" t="n"/>
      <c r="E872" s="290" t="n"/>
      <c r="F872" s="290" t="n"/>
    </row>
    <row r="873" ht="13" customHeight="1" s="189">
      <c r="A873" s="289" t="n"/>
      <c r="B873" s="290" t="n"/>
      <c r="C873" s="290" t="n"/>
      <c r="D873" s="291" t="n"/>
      <c r="E873" s="290" t="n"/>
      <c r="F873" s="290" t="n"/>
    </row>
    <row r="874" ht="13" customHeight="1" s="189">
      <c r="A874" s="289" t="n"/>
      <c r="B874" s="290" t="n"/>
      <c r="C874" s="290" t="n"/>
      <c r="D874" s="291" t="n"/>
      <c r="E874" s="290" t="n"/>
      <c r="F874" s="290" t="n"/>
    </row>
    <row r="875" ht="13" customHeight="1" s="189">
      <c r="A875" s="289" t="n"/>
      <c r="B875" s="290" t="n"/>
      <c r="C875" s="290" t="n"/>
      <c r="D875" s="291" t="n"/>
      <c r="E875" s="290" t="n"/>
      <c r="F875" s="290" t="n"/>
    </row>
    <row r="876" ht="13" customHeight="1" s="189">
      <c r="A876" s="289" t="n"/>
      <c r="B876" s="290" t="n"/>
      <c r="C876" s="290" t="n"/>
      <c r="D876" s="291" t="n"/>
      <c r="E876" s="290" t="n"/>
      <c r="F876" s="290" t="n"/>
    </row>
    <row r="877" ht="13" customHeight="1" s="189">
      <c r="A877" s="289" t="n"/>
      <c r="B877" s="290" t="n"/>
      <c r="C877" s="290" t="n"/>
      <c r="D877" s="291" t="n"/>
      <c r="E877" s="290" t="n"/>
      <c r="F877" s="290" t="n"/>
    </row>
    <row r="878" ht="13" customHeight="1" s="189">
      <c r="A878" s="289" t="n"/>
      <c r="B878" s="290" t="n"/>
      <c r="C878" s="290" t="n"/>
      <c r="D878" s="291" t="n"/>
      <c r="E878" s="290" t="n"/>
      <c r="F878" s="290" t="n"/>
    </row>
    <row r="879" ht="13" customHeight="1" s="189">
      <c r="A879" s="289" t="n"/>
      <c r="B879" s="290" t="n"/>
      <c r="C879" s="290" t="n"/>
      <c r="D879" s="291" t="n"/>
      <c r="E879" s="290" t="n"/>
      <c r="F879" s="290" t="n"/>
    </row>
    <row r="880" ht="13" customHeight="1" s="189">
      <c r="A880" s="289" t="n"/>
      <c r="B880" s="290" t="n"/>
      <c r="C880" s="290" t="n"/>
      <c r="D880" s="291" t="n"/>
      <c r="E880" s="290" t="n"/>
      <c r="F880" s="290" t="n"/>
    </row>
    <row r="881" ht="13" customHeight="1" s="189">
      <c r="A881" s="289" t="n"/>
      <c r="B881" s="290" t="n"/>
      <c r="C881" s="290" t="n"/>
      <c r="D881" s="291" t="n"/>
      <c r="E881" s="290" t="n"/>
      <c r="F881" s="290" t="n"/>
    </row>
    <row r="882" ht="13" customHeight="1" s="189">
      <c r="A882" s="289" t="n"/>
      <c r="B882" s="290" t="n"/>
      <c r="C882" s="290" t="n"/>
      <c r="D882" s="291" t="n"/>
      <c r="E882" s="290" t="n"/>
      <c r="F882" s="290" t="n"/>
    </row>
    <row r="883" ht="13" customHeight="1" s="189">
      <c r="A883" s="289" t="n"/>
      <c r="B883" s="290" t="n"/>
      <c r="C883" s="290" t="n"/>
      <c r="D883" s="291" t="n"/>
      <c r="E883" s="290" t="n"/>
      <c r="F883" s="290" t="n"/>
    </row>
    <row r="884" ht="13" customHeight="1" s="189">
      <c r="A884" s="289" t="n"/>
      <c r="B884" s="290" t="n"/>
      <c r="C884" s="290" t="n"/>
      <c r="D884" s="291" t="n"/>
      <c r="E884" s="290" t="n"/>
      <c r="F884" s="290" t="n"/>
    </row>
    <row r="885" ht="13" customHeight="1" s="189">
      <c r="A885" s="289" t="n"/>
      <c r="B885" s="290" t="n"/>
      <c r="C885" s="290" t="n"/>
      <c r="D885" s="291" t="n"/>
      <c r="E885" s="290" t="n"/>
      <c r="F885" s="290" t="n"/>
    </row>
    <row r="886" ht="13" customHeight="1" s="189">
      <c r="A886" s="289" t="n"/>
      <c r="B886" s="290" t="n"/>
      <c r="C886" s="290" t="n"/>
      <c r="D886" s="291" t="n"/>
      <c r="E886" s="290" t="n"/>
      <c r="F886" s="290" t="n"/>
    </row>
    <row r="887" ht="13" customHeight="1" s="189">
      <c r="A887" s="289" t="n"/>
      <c r="B887" s="290" t="n"/>
      <c r="C887" s="290" t="n"/>
      <c r="D887" s="291" t="n"/>
      <c r="E887" s="290" t="n"/>
      <c r="F887" s="290" t="n"/>
    </row>
    <row r="888" ht="13" customHeight="1" s="189">
      <c r="A888" s="289" t="n"/>
      <c r="B888" s="290" t="n"/>
      <c r="C888" s="290" t="n"/>
      <c r="D888" s="291" t="n"/>
      <c r="E888" s="290" t="n"/>
      <c r="F888" s="290" t="n"/>
    </row>
    <row r="889" ht="13" customHeight="1" s="189">
      <c r="A889" s="289" t="n"/>
      <c r="B889" s="290" t="n"/>
      <c r="C889" s="290" t="n"/>
      <c r="D889" s="291" t="n"/>
      <c r="E889" s="290" t="n"/>
      <c r="F889" s="290" t="n"/>
    </row>
    <row r="890" ht="13" customHeight="1" s="189">
      <c r="A890" s="289" t="n"/>
      <c r="B890" s="290" t="n"/>
      <c r="C890" s="290" t="n"/>
      <c r="D890" s="291" t="n"/>
      <c r="E890" s="290" t="n"/>
      <c r="F890" s="290" t="n"/>
    </row>
    <row r="891" ht="13" customHeight="1" s="189">
      <c r="A891" s="289" t="n"/>
      <c r="B891" s="290" t="n"/>
      <c r="C891" s="290" t="n"/>
      <c r="D891" s="291" t="n"/>
      <c r="E891" s="290" t="n"/>
      <c r="F891" s="290" t="n"/>
    </row>
    <row r="892" ht="13" customHeight="1" s="189">
      <c r="A892" s="289" t="n"/>
      <c r="B892" s="290" t="n"/>
      <c r="C892" s="290" t="n"/>
      <c r="D892" s="291" t="n"/>
      <c r="E892" s="290" t="n"/>
      <c r="F892" s="290" t="n"/>
    </row>
    <row r="893" ht="13" customHeight="1" s="189">
      <c r="A893" s="289" t="n"/>
      <c r="B893" s="290" t="n"/>
      <c r="C893" s="290" t="n"/>
      <c r="D893" s="291" t="n"/>
      <c r="E893" s="290" t="n"/>
      <c r="F893" s="290" t="n"/>
    </row>
    <row r="894" ht="13" customHeight="1" s="189">
      <c r="A894" s="289" t="n"/>
      <c r="B894" s="290" t="n"/>
      <c r="C894" s="290" t="n"/>
      <c r="D894" s="291" t="n"/>
      <c r="E894" s="290" t="n"/>
      <c r="F894" s="290" t="n"/>
    </row>
    <row r="895" ht="13" customHeight="1" s="189">
      <c r="A895" s="289" t="n"/>
      <c r="B895" s="290" t="n"/>
      <c r="C895" s="290" t="n"/>
      <c r="D895" s="291" t="n"/>
      <c r="E895" s="290" t="n"/>
      <c r="F895" s="290" t="n"/>
    </row>
    <row r="896" ht="13" customHeight="1" s="189">
      <c r="A896" s="289" t="n"/>
      <c r="B896" s="290" t="n"/>
      <c r="C896" s="290" t="n"/>
      <c r="D896" s="291" t="n"/>
      <c r="E896" s="290" t="n"/>
      <c r="F896" s="290" t="n"/>
    </row>
    <row r="897" ht="13" customHeight="1" s="189">
      <c r="A897" s="289" t="n"/>
      <c r="B897" s="290" t="n"/>
      <c r="C897" s="290" t="n"/>
      <c r="D897" s="291" t="n"/>
      <c r="E897" s="290" t="n"/>
      <c r="F897" s="290" t="n"/>
    </row>
    <row r="898" ht="13" customHeight="1" s="189">
      <c r="A898" s="289" t="n"/>
      <c r="B898" s="290" t="n"/>
      <c r="C898" s="290" t="n"/>
      <c r="D898" s="291" t="n"/>
      <c r="E898" s="290" t="n"/>
      <c r="F898" s="290" t="n"/>
    </row>
    <row r="899" ht="13" customHeight="1" s="189">
      <c r="A899" s="289" t="n"/>
      <c r="B899" s="290" t="n"/>
      <c r="C899" s="290" t="n"/>
      <c r="D899" s="291" t="n"/>
      <c r="E899" s="290" t="n"/>
      <c r="F899" s="290" t="n"/>
    </row>
    <row r="900" ht="13" customHeight="1" s="189">
      <c r="A900" s="289" t="n"/>
      <c r="B900" s="290" t="n"/>
      <c r="C900" s="290" t="n"/>
      <c r="D900" s="291" t="n"/>
      <c r="E900" s="290" t="n"/>
      <c r="F900" s="290" t="n"/>
    </row>
    <row r="901" ht="13" customHeight="1" s="189">
      <c r="A901" s="289" t="n"/>
      <c r="B901" s="290" t="n"/>
      <c r="C901" s="290" t="n"/>
      <c r="D901" s="291" t="n"/>
      <c r="E901" s="290" t="n"/>
      <c r="F901" s="290" t="n"/>
    </row>
    <row r="902" ht="13" customHeight="1" s="189">
      <c r="A902" s="289" t="n"/>
      <c r="B902" s="290" t="n"/>
      <c r="C902" s="290" t="n"/>
      <c r="D902" s="291" t="n"/>
      <c r="E902" s="290" t="n"/>
      <c r="F902" s="290" t="n"/>
    </row>
    <row r="903" ht="13" customHeight="1" s="189">
      <c r="A903" s="289" t="n"/>
      <c r="B903" s="290" t="n"/>
      <c r="C903" s="290" t="n"/>
      <c r="D903" s="291" t="n"/>
      <c r="E903" s="290" t="n"/>
      <c r="F903" s="290" t="n"/>
    </row>
    <row r="904" ht="13" customHeight="1" s="189">
      <c r="A904" s="289" t="n"/>
      <c r="B904" s="290" t="n"/>
      <c r="C904" s="290" t="n"/>
      <c r="D904" s="291" t="n"/>
      <c r="E904" s="290" t="n"/>
      <c r="F904" s="290" t="n"/>
    </row>
    <row r="905" ht="13" customHeight="1" s="189">
      <c r="A905" s="289" t="n"/>
      <c r="B905" s="290" t="n"/>
      <c r="C905" s="290" t="n"/>
      <c r="D905" s="291" t="n"/>
      <c r="E905" s="290" t="n"/>
      <c r="F905" s="290" t="n"/>
    </row>
    <row r="906" ht="13" customHeight="1" s="189">
      <c r="A906" s="289" t="n"/>
      <c r="B906" s="290" t="n"/>
      <c r="C906" s="290" t="n"/>
      <c r="D906" s="291" t="n"/>
      <c r="E906" s="290" t="n"/>
      <c r="F906" s="290" t="n"/>
    </row>
    <row r="907" ht="13" customHeight="1" s="189">
      <c r="A907" s="289" t="n"/>
      <c r="B907" s="290" t="n"/>
      <c r="C907" s="290" t="n"/>
      <c r="D907" s="291" t="n"/>
      <c r="E907" s="290" t="n"/>
      <c r="F907" s="290" t="n"/>
    </row>
    <row r="908" ht="13" customHeight="1" s="189">
      <c r="A908" s="289" t="n"/>
      <c r="B908" s="290" t="n"/>
      <c r="C908" s="290" t="n"/>
      <c r="D908" s="291" t="n"/>
      <c r="E908" s="290" t="n"/>
      <c r="F908" s="290" t="n"/>
    </row>
    <row r="909" ht="13" customHeight="1" s="189">
      <c r="A909" s="289" t="n"/>
      <c r="B909" s="290" t="n"/>
      <c r="C909" s="290" t="n"/>
      <c r="D909" s="291" t="n"/>
      <c r="E909" s="290" t="n"/>
      <c r="F909" s="290" t="n"/>
    </row>
    <row r="910" ht="13" customHeight="1" s="189">
      <c r="A910" s="289" t="n"/>
      <c r="B910" s="290" t="n"/>
      <c r="C910" s="290" t="n"/>
      <c r="D910" s="291" t="n"/>
      <c r="E910" s="290" t="n"/>
      <c r="F910" s="290" t="n"/>
    </row>
    <row r="911" ht="13" customHeight="1" s="189">
      <c r="A911" s="289" t="n"/>
      <c r="B911" s="290" t="n"/>
      <c r="C911" s="290" t="n"/>
      <c r="D911" s="291" t="n"/>
      <c r="E911" s="290" t="n"/>
      <c r="F911" s="290" t="n"/>
    </row>
    <row r="912" ht="13" customHeight="1" s="189">
      <c r="A912" s="289" t="n"/>
      <c r="B912" s="290" t="n"/>
      <c r="C912" s="290" t="n"/>
      <c r="D912" s="291" t="n"/>
      <c r="E912" s="290" t="n"/>
      <c r="F912" s="290" t="n"/>
    </row>
    <row r="913" ht="13" customHeight="1" s="189">
      <c r="A913" s="289" t="n"/>
      <c r="B913" s="290" t="n"/>
      <c r="C913" s="290" t="n"/>
      <c r="D913" s="291" t="n"/>
      <c r="E913" s="290" t="n"/>
      <c r="F913" s="290" t="n"/>
    </row>
    <row r="914" ht="13" customHeight="1" s="189">
      <c r="A914" s="289" t="n"/>
      <c r="B914" s="290" t="n"/>
      <c r="C914" s="290" t="n"/>
      <c r="D914" s="291" t="n"/>
      <c r="E914" s="290" t="n"/>
      <c r="F914" s="290" t="n"/>
    </row>
    <row r="915" ht="13" customHeight="1" s="189">
      <c r="A915" s="289" t="n"/>
      <c r="B915" s="290" t="n"/>
      <c r="C915" s="290" t="n"/>
      <c r="D915" s="291" t="n"/>
      <c r="E915" s="290" t="n"/>
      <c r="F915" s="290" t="n"/>
    </row>
    <row r="916" ht="13" customHeight="1" s="189">
      <c r="A916" s="289" t="n"/>
      <c r="B916" s="290" t="n"/>
      <c r="C916" s="290" t="n"/>
      <c r="D916" s="291" t="n"/>
      <c r="E916" s="290" t="n"/>
      <c r="F916" s="290" t="n"/>
    </row>
    <row r="917" ht="13" customHeight="1" s="189">
      <c r="A917" s="289" t="n"/>
      <c r="B917" s="290" t="n"/>
      <c r="C917" s="290" t="n"/>
      <c r="D917" s="291" t="n"/>
      <c r="E917" s="290" t="n"/>
      <c r="F917" s="290" t="n"/>
    </row>
    <row r="918" ht="13" customHeight="1" s="189">
      <c r="A918" s="289" t="n"/>
      <c r="B918" s="290" t="n"/>
      <c r="C918" s="290" t="n"/>
      <c r="D918" s="291" t="n"/>
      <c r="E918" s="290" t="n"/>
      <c r="F918" s="290" t="n"/>
    </row>
    <row r="919" ht="13" customHeight="1" s="189">
      <c r="A919" s="289" t="n"/>
      <c r="B919" s="290" t="n"/>
      <c r="C919" s="290" t="n"/>
      <c r="D919" s="291" t="n"/>
      <c r="E919" s="290" t="n"/>
      <c r="F919" s="290" t="n"/>
    </row>
    <row r="920" ht="13" customHeight="1" s="189">
      <c r="A920" s="289" t="n"/>
      <c r="B920" s="290" t="n"/>
      <c r="C920" s="290" t="n"/>
      <c r="D920" s="291" t="n"/>
      <c r="E920" s="290" t="n"/>
      <c r="F920" s="290" t="n"/>
    </row>
    <row r="921" ht="13" customHeight="1" s="189">
      <c r="A921" s="289" t="n"/>
      <c r="B921" s="290" t="n"/>
      <c r="C921" s="290" t="n"/>
      <c r="D921" s="291" t="n"/>
      <c r="E921" s="290" t="n"/>
      <c r="F921" s="290" t="n"/>
    </row>
    <row r="922" ht="13" customHeight="1" s="189">
      <c r="A922" s="289" t="n"/>
      <c r="B922" s="290" t="n"/>
      <c r="C922" s="290" t="n"/>
      <c r="D922" s="291" t="n"/>
      <c r="E922" s="290" t="n"/>
      <c r="F922" s="290" t="n"/>
    </row>
    <row r="923" ht="13" customHeight="1" s="189">
      <c r="A923" s="289" t="n"/>
      <c r="B923" s="290" t="n"/>
      <c r="C923" s="290" t="n"/>
      <c r="D923" s="291" t="n"/>
      <c r="E923" s="290" t="n"/>
      <c r="F923" s="290" t="n"/>
    </row>
    <row r="924" ht="13" customHeight="1" s="189">
      <c r="A924" s="289" t="n"/>
      <c r="B924" s="290" t="n"/>
      <c r="C924" s="290" t="n"/>
      <c r="D924" s="291" t="n"/>
      <c r="E924" s="290" t="n"/>
      <c r="F924" s="290" t="n"/>
    </row>
    <row r="925" ht="13" customHeight="1" s="189">
      <c r="A925" s="289" t="n"/>
      <c r="B925" s="290" t="n"/>
      <c r="C925" s="290" t="n"/>
      <c r="D925" s="291" t="n"/>
      <c r="E925" s="290" t="n"/>
      <c r="F925" s="290" t="n"/>
    </row>
    <row r="926" ht="13" customHeight="1" s="189">
      <c r="A926" s="289" t="n"/>
      <c r="B926" s="290" t="n"/>
      <c r="C926" s="290" t="n"/>
      <c r="D926" s="291" t="n"/>
      <c r="E926" s="290" t="n"/>
      <c r="F926" s="290" t="n"/>
    </row>
    <row r="927" ht="13" customHeight="1" s="189">
      <c r="A927" s="289" t="n"/>
      <c r="B927" s="290" t="n"/>
      <c r="C927" s="290" t="n"/>
      <c r="D927" s="291" t="n"/>
      <c r="E927" s="290" t="n"/>
      <c r="F927" s="290" t="n"/>
    </row>
    <row r="928" ht="13" customHeight="1" s="189">
      <c r="A928" s="289" t="n"/>
      <c r="B928" s="290" t="n"/>
      <c r="C928" s="290" t="n"/>
      <c r="D928" s="291" t="n"/>
      <c r="E928" s="290" t="n"/>
      <c r="F928" s="290" t="n"/>
    </row>
    <row r="929" ht="13" customHeight="1" s="189">
      <c r="A929" s="289" t="n"/>
      <c r="B929" s="290" t="n"/>
      <c r="C929" s="290" t="n"/>
      <c r="D929" s="291" t="n"/>
      <c r="E929" s="290" t="n"/>
      <c r="F929" s="290" t="n"/>
    </row>
    <row r="930" ht="13" customHeight="1" s="189">
      <c r="A930" s="289" t="n"/>
      <c r="B930" s="290" t="n"/>
      <c r="C930" s="290" t="n"/>
      <c r="D930" s="291" t="n"/>
      <c r="E930" s="290" t="n"/>
      <c r="F930" s="290" t="n"/>
    </row>
    <row r="931" ht="13" customHeight="1" s="189">
      <c r="A931" s="289" t="n"/>
      <c r="B931" s="290" t="n"/>
      <c r="C931" s="290" t="n"/>
      <c r="D931" s="291" t="n"/>
      <c r="E931" s="290" t="n"/>
      <c r="F931" s="290" t="n"/>
    </row>
    <row r="932" ht="13" customHeight="1" s="189">
      <c r="A932" s="289" t="n"/>
      <c r="B932" s="290" t="n"/>
      <c r="C932" s="290" t="n"/>
      <c r="D932" s="291" t="n"/>
      <c r="E932" s="290" t="n"/>
      <c r="F932" s="290" t="n"/>
    </row>
    <row r="933" ht="13" customHeight="1" s="189">
      <c r="A933" s="289" t="n"/>
      <c r="B933" s="290" t="n"/>
      <c r="C933" s="290" t="n"/>
      <c r="D933" s="291" t="n"/>
      <c r="E933" s="290" t="n"/>
      <c r="F933" s="290" t="n"/>
    </row>
    <row r="934" ht="13" customHeight="1" s="189">
      <c r="A934" s="289" t="n"/>
      <c r="B934" s="290" t="n"/>
      <c r="C934" s="290" t="n"/>
      <c r="D934" s="291" t="n"/>
      <c r="E934" s="290" t="n"/>
      <c r="F934" s="290" t="n"/>
    </row>
    <row r="935" ht="13" customHeight="1" s="189">
      <c r="A935" s="289" t="n"/>
      <c r="B935" s="290" t="n"/>
      <c r="C935" s="290" t="n"/>
      <c r="D935" s="291" t="n"/>
      <c r="E935" s="290" t="n"/>
      <c r="F935" s="290" t="n"/>
    </row>
    <row r="936" ht="13" customHeight="1" s="189">
      <c r="A936" s="289" t="n"/>
      <c r="B936" s="290" t="n"/>
      <c r="C936" s="290" t="n"/>
      <c r="D936" s="291" t="n"/>
      <c r="E936" s="290" t="n"/>
      <c r="F936" s="290" t="n"/>
    </row>
    <row r="937" ht="13" customHeight="1" s="189">
      <c r="A937" s="289" t="n"/>
      <c r="B937" s="290" t="n"/>
      <c r="C937" s="290" t="n"/>
      <c r="D937" s="291" t="n"/>
      <c r="E937" s="290" t="n"/>
      <c r="F937" s="290" t="n"/>
    </row>
    <row r="938" ht="13" customHeight="1" s="189">
      <c r="A938" s="289" t="n"/>
      <c r="B938" s="290" t="n"/>
      <c r="C938" s="290" t="n"/>
      <c r="D938" s="291" t="n"/>
      <c r="E938" s="290" t="n"/>
      <c r="F938" s="290" t="n"/>
    </row>
    <row r="939" ht="13" customHeight="1" s="189">
      <c r="A939" s="289" t="n"/>
      <c r="B939" s="290" t="n"/>
      <c r="C939" s="290" t="n"/>
      <c r="D939" s="291" t="n"/>
      <c r="E939" s="290" t="n"/>
      <c r="F939" s="290" t="n"/>
    </row>
    <row r="940" ht="13" customHeight="1" s="189">
      <c r="A940" s="289" t="n"/>
      <c r="B940" s="290" t="n"/>
      <c r="C940" s="290" t="n"/>
      <c r="D940" s="291" t="n"/>
      <c r="E940" s="290" t="n"/>
      <c r="F940" s="290" t="n"/>
    </row>
    <row r="941" ht="13" customHeight="1" s="189">
      <c r="A941" s="289" t="n"/>
      <c r="B941" s="290" t="n"/>
      <c r="C941" s="290" t="n"/>
      <c r="D941" s="291" t="n"/>
      <c r="E941" s="290" t="n"/>
      <c r="F941" s="290" t="n"/>
    </row>
    <row r="942" ht="13" customHeight="1" s="189">
      <c r="A942" s="289" t="n"/>
      <c r="B942" s="290" t="n"/>
      <c r="C942" s="290" t="n"/>
      <c r="D942" s="291" t="n"/>
      <c r="E942" s="290" t="n"/>
      <c r="F942" s="290" t="n"/>
    </row>
    <row r="943" ht="13" customHeight="1" s="189">
      <c r="A943" s="289" t="n"/>
      <c r="B943" s="290" t="n"/>
      <c r="C943" s="290" t="n"/>
      <c r="D943" s="291" t="n"/>
      <c r="E943" s="290" t="n"/>
      <c r="F943" s="290" t="n"/>
    </row>
    <row r="944" ht="13" customHeight="1" s="189">
      <c r="A944" s="289" t="n"/>
      <c r="B944" s="290" t="n"/>
      <c r="C944" s="290" t="n"/>
      <c r="D944" s="291" t="n"/>
      <c r="E944" s="290" t="n"/>
      <c r="F944" s="290" t="n"/>
    </row>
    <row r="945" ht="13" customHeight="1" s="189">
      <c r="A945" s="289" t="n"/>
      <c r="B945" s="290" t="n"/>
      <c r="C945" s="290" t="n"/>
      <c r="D945" s="291" t="n"/>
      <c r="E945" s="290" t="n"/>
      <c r="F945" s="290" t="n"/>
    </row>
    <row r="946" ht="13" customHeight="1" s="189">
      <c r="A946" s="289" t="n"/>
      <c r="B946" s="290" t="n"/>
      <c r="C946" s="290" t="n"/>
      <c r="D946" s="291" t="n"/>
      <c r="E946" s="290" t="n"/>
      <c r="F946" s="290" t="n"/>
    </row>
    <row r="947" ht="13" customHeight="1" s="189">
      <c r="A947" s="289" t="n"/>
      <c r="B947" s="290" t="n"/>
      <c r="C947" s="290" t="n"/>
      <c r="D947" s="291" t="n"/>
      <c r="E947" s="290" t="n"/>
      <c r="F947" s="290" t="n"/>
    </row>
    <row r="948" ht="13" customHeight="1" s="189">
      <c r="A948" s="289" t="n"/>
      <c r="B948" s="290" t="n"/>
      <c r="C948" s="290" t="n"/>
      <c r="D948" s="291" t="n"/>
      <c r="E948" s="290" t="n"/>
      <c r="F948" s="290" t="n"/>
    </row>
    <row r="949" ht="13" customHeight="1" s="189">
      <c r="A949" s="289" t="n"/>
      <c r="B949" s="290" t="n"/>
      <c r="C949" s="290" t="n"/>
      <c r="D949" s="291" t="n"/>
      <c r="E949" s="290" t="n"/>
      <c r="F949" s="290" t="n"/>
    </row>
    <row r="950" ht="13" customHeight="1" s="189">
      <c r="A950" s="289" t="n"/>
      <c r="B950" s="290" t="n"/>
      <c r="C950" s="290" t="n"/>
      <c r="D950" s="291" t="n"/>
      <c r="E950" s="290" t="n"/>
      <c r="F950" s="290" t="n"/>
    </row>
    <row r="951" ht="13" customHeight="1" s="189">
      <c r="A951" s="289" t="n"/>
      <c r="B951" s="290" t="n"/>
      <c r="C951" s="290" t="n"/>
      <c r="D951" s="291" t="n"/>
      <c r="E951" s="290" t="n"/>
      <c r="F951" s="290" t="n"/>
    </row>
    <row r="952" ht="13" customHeight="1" s="189">
      <c r="A952" s="289" t="n"/>
      <c r="B952" s="290" t="n"/>
      <c r="C952" s="290" t="n"/>
      <c r="D952" s="291" t="n"/>
      <c r="E952" s="290" t="n"/>
      <c r="F952" s="290" t="n"/>
    </row>
    <row r="953" ht="13" customHeight="1" s="189">
      <c r="A953" s="289" t="n"/>
      <c r="B953" s="290" t="n"/>
      <c r="C953" s="290" t="n"/>
      <c r="D953" s="291" t="n"/>
      <c r="E953" s="290" t="n"/>
      <c r="F953" s="290" t="n"/>
    </row>
    <row r="954" ht="13" customHeight="1" s="189">
      <c r="A954" s="289" t="n"/>
      <c r="B954" s="290" t="n"/>
      <c r="C954" s="290" t="n"/>
      <c r="D954" s="291" t="n"/>
      <c r="E954" s="290" t="n"/>
      <c r="F954" s="290" t="n"/>
    </row>
    <row r="955" ht="13" customHeight="1" s="189">
      <c r="A955" s="289" t="n"/>
      <c r="B955" s="290" t="n"/>
      <c r="C955" s="290" t="n"/>
      <c r="D955" s="291" t="n"/>
      <c r="E955" s="290" t="n"/>
      <c r="F955" s="290" t="n"/>
    </row>
    <row r="956" ht="13" customHeight="1" s="189">
      <c r="A956" s="289" t="n"/>
      <c r="B956" s="290" t="n"/>
      <c r="C956" s="290" t="n"/>
      <c r="D956" s="291" t="n"/>
      <c r="E956" s="290" t="n"/>
      <c r="F956" s="290" t="n"/>
    </row>
    <row r="957" ht="13" customHeight="1" s="189">
      <c r="A957" s="289" t="n"/>
      <c r="B957" s="290" t="n"/>
      <c r="C957" s="290" t="n"/>
      <c r="D957" s="291" t="n"/>
      <c r="E957" s="290" t="n"/>
      <c r="F957" s="290" t="n"/>
    </row>
    <row r="958" ht="13" customHeight="1" s="189">
      <c r="A958" s="289" t="n"/>
      <c r="B958" s="290" t="n"/>
      <c r="C958" s="290" t="n"/>
      <c r="D958" s="291" t="n"/>
      <c r="E958" s="290" t="n"/>
      <c r="F958" s="290" t="n"/>
    </row>
    <row r="959" ht="13" customHeight="1" s="189">
      <c r="A959" s="289" t="n"/>
      <c r="B959" s="290" t="n"/>
      <c r="C959" s="290" t="n"/>
      <c r="D959" s="291" t="n"/>
      <c r="E959" s="290" t="n"/>
      <c r="F959" s="290" t="n"/>
    </row>
    <row r="960" ht="13" customHeight="1" s="189">
      <c r="A960" s="289" t="n"/>
      <c r="B960" s="290" t="n"/>
      <c r="C960" s="290" t="n"/>
      <c r="D960" s="291" t="n"/>
      <c r="E960" s="290" t="n"/>
      <c r="F960" s="290" t="n"/>
    </row>
    <row r="961" ht="13" customHeight="1" s="189">
      <c r="A961" s="289" t="n"/>
      <c r="B961" s="290" t="n"/>
      <c r="C961" s="290" t="n"/>
      <c r="D961" s="291" t="n"/>
      <c r="E961" s="290" t="n"/>
      <c r="F961" s="290" t="n"/>
    </row>
    <row r="962" ht="13" customHeight="1" s="189">
      <c r="A962" s="289" t="n"/>
      <c r="B962" s="290" t="n"/>
      <c r="C962" s="290" t="n"/>
      <c r="D962" s="291" t="n"/>
      <c r="E962" s="290" t="n"/>
      <c r="F962" s="290" t="n"/>
    </row>
    <row r="963" ht="13" customHeight="1" s="189">
      <c r="A963" s="289" t="n"/>
      <c r="B963" s="290" t="n"/>
      <c r="C963" s="290" t="n"/>
      <c r="D963" s="291" t="n"/>
      <c r="E963" s="290" t="n"/>
      <c r="F963" s="290" t="n"/>
    </row>
    <row r="964" ht="13" customHeight="1" s="189">
      <c r="A964" s="289" t="n"/>
      <c r="B964" s="290" t="n"/>
      <c r="C964" s="290" t="n"/>
      <c r="D964" s="291" t="n"/>
      <c r="E964" s="290" t="n"/>
      <c r="F964" s="290" t="n"/>
    </row>
    <row r="965" ht="13" customHeight="1" s="189">
      <c r="A965" s="289" t="n"/>
      <c r="B965" s="290" t="n"/>
      <c r="C965" s="290" t="n"/>
      <c r="D965" s="291" t="n"/>
      <c r="E965" s="290" t="n"/>
      <c r="F965" s="290" t="n"/>
    </row>
    <row r="966" ht="13" customHeight="1" s="189">
      <c r="A966" s="289" t="n"/>
      <c r="B966" s="290" t="n"/>
      <c r="C966" s="290" t="n"/>
      <c r="D966" s="291" t="n"/>
      <c r="E966" s="290" t="n"/>
      <c r="F966" s="290" t="n"/>
    </row>
    <row r="967" ht="13" customHeight="1" s="189">
      <c r="A967" s="289" t="n"/>
      <c r="B967" s="290" t="n"/>
      <c r="C967" s="290" t="n"/>
      <c r="D967" s="291" t="n"/>
      <c r="E967" s="290" t="n"/>
      <c r="F967" s="290" t="n"/>
    </row>
    <row r="968" ht="13" customHeight="1" s="189">
      <c r="A968" s="289" t="n"/>
      <c r="B968" s="290" t="n"/>
      <c r="C968" s="290" t="n"/>
      <c r="D968" s="291" t="n"/>
      <c r="E968" s="290" t="n"/>
      <c r="F968" s="290" t="n"/>
    </row>
    <row r="969" ht="13" customHeight="1" s="189">
      <c r="A969" s="289" t="n"/>
      <c r="B969" s="290" t="n"/>
      <c r="C969" s="290" t="n"/>
      <c r="D969" s="291" t="n"/>
      <c r="E969" s="290" t="n"/>
      <c r="F969" s="290" t="n"/>
    </row>
    <row r="970" ht="13" customHeight="1" s="189">
      <c r="A970" s="289" t="n"/>
      <c r="B970" s="290" t="n"/>
      <c r="C970" s="290" t="n"/>
      <c r="D970" s="291" t="n"/>
      <c r="E970" s="290" t="n"/>
      <c r="F970" s="290" t="n"/>
    </row>
    <row r="971" ht="13" customHeight="1" s="189">
      <c r="A971" s="289" t="n"/>
      <c r="B971" s="290" t="n"/>
      <c r="C971" s="290" t="n"/>
      <c r="D971" s="291" t="n"/>
      <c r="E971" s="290" t="n"/>
      <c r="F971" s="290" t="n"/>
    </row>
    <row r="972" ht="13" customHeight="1" s="189">
      <c r="A972" s="289" t="n"/>
      <c r="B972" s="290" t="n"/>
      <c r="C972" s="290" t="n"/>
      <c r="D972" s="291" t="n"/>
      <c r="E972" s="290" t="n"/>
      <c r="F972" s="290" t="n"/>
    </row>
    <row r="973" ht="13" customHeight="1" s="189">
      <c r="A973" s="289" t="n"/>
      <c r="B973" s="290" t="n"/>
      <c r="C973" s="290" t="n"/>
      <c r="D973" s="291" t="n"/>
      <c r="E973" s="290" t="n"/>
      <c r="F973" s="290" t="n"/>
    </row>
    <row r="974" ht="13" customHeight="1" s="189">
      <c r="A974" s="289" t="n"/>
      <c r="B974" s="290" t="n"/>
      <c r="C974" s="290" t="n"/>
      <c r="D974" s="291" t="n"/>
      <c r="E974" s="290" t="n"/>
      <c r="F974" s="290" t="n"/>
    </row>
    <row r="975" ht="13" customHeight="1" s="189">
      <c r="A975" s="289" t="n"/>
      <c r="B975" s="290" t="n"/>
      <c r="C975" s="290" t="n"/>
      <c r="D975" s="291" t="n"/>
      <c r="E975" s="290" t="n"/>
      <c r="F975" s="290" t="n"/>
    </row>
    <row r="976" ht="13" customHeight="1" s="189">
      <c r="A976" s="289" t="n"/>
      <c r="B976" s="290" t="n"/>
      <c r="C976" s="290" t="n"/>
      <c r="D976" s="291" t="n"/>
      <c r="E976" s="290" t="n"/>
      <c r="F976" s="290" t="n"/>
    </row>
    <row r="977" ht="13" customHeight="1" s="189">
      <c r="A977" s="289" t="n"/>
      <c r="B977" s="290" t="n"/>
      <c r="C977" s="290" t="n"/>
      <c r="D977" s="291" t="n"/>
      <c r="E977" s="290" t="n"/>
      <c r="F977" s="290" t="n"/>
    </row>
    <row r="978" ht="13" customHeight="1" s="189">
      <c r="A978" s="289" t="n"/>
      <c r="B978" s="290" t="n"/>
      <c r="C978" s="290" t="n"/>
      <c r="D978" s="291" t="n"/>
      <c r="E978" s="290" t="n"/>
      <c r="F978" s="290" t="n"/>
    </row>
    <row r="979" ht="13" customHeight="1" s="189">
      <c r="A979" s="289" t="n"/>
      <c r="B979" s="290" t="n"/>
      <c r="C979" s="290" t="n"/>
      <c r="D979" s="291" t="n"/>
      <c r="E979" s="290" t="n"/>
      <c r="F979" s="290" t="n"/>
    </row>
    <row r="980" ht="13" customHeight="1" s="189">
      <c r="A980" s="289" t="n"/>
      <c r="B980" s="290" t="n"/>
      <c r="C980" s="290" t="n"/>
      <c r="D980" s="291" t="n"/>
      <c r="E980" s="290" t="n"/>
      <c r="F980" s="290" t="n"/>
    </row>
    <row r="981" ht="13" customHeight="1" s="189">
      <c r="A981" s="289" t="n"/>
      <c r="B981" s="290" t="n"/>
      <c r="C981" s="290" t="n"/>
      <c r="D981" s="291" t="n"/>
      <c r="E981" s="290" t="n"/>
      <c r="F981" s="290" t="n"/>
    </row>
    <row r="982" ht="13" customHeight="1" s="189">
      <c r="A982" s="289" t="n"/>
      <c r="B982" s="290" t="n"/>
      <c r="C982" s="290" t="n"/>
      <c r="D982" s="291" t="n"/>
      <c r="E982" s="290" t="n"/>
      <c r="F982" s="290" t="n"/>
    </row>
    <row r="983" ht="13" customHeight="1" s="189">
      <c r="A983" s="289" t="n"/>
      <c r="B983" s="290" t="n"/>
      <c r="C983" s="290" t="n"/>
      <c r="D983" s="291" t="n"/>
      <c r="E983" s="290" t="n"/>
      <c r="F983" s="290" t="n"/>
    </row>
    <row r="984" ht="13" customHeight="1" s="189">
      <c r="A984" s="289" t="n"/>
      <c r="B984" s="290" t="n"/>
      <c r="C984" s="290" t="n"/>
      <c r="D984" s="291" t="n"/>
      <c r="E984" s="290" t="n"/>
      <c r="F984" s="290" t="n"/>
    </row>
    <row r="985" ht="13" customHeight="1" s="189">
      <c r="A985" s="289" t="n"/>
      <c r="B985" s="290" t="n"/>
      <c r="C985" s="290" t="n"/>
      <c r="D985" s="291" t="n"/>
      <c r="E985" s="290" t="n"/>
      <c r="F985" s="290" t="n"/>
    </row>
    <row r="986" ht="13" customHeight="1" s="189">
      <c r="A986" s="289" t="n"/>
      <c r="B986" s="290" t="n"/>
      <c r="C986" s="290" t="n"/>
      <c r="D986" s="291" t="n"/>
      <c r="E986" s="290" t="n"/>
      <c r="F986" s="290" t="n"/>
    </row>
    <row r="987" ht="13" customHeight="1" s="189">
      <c r="A987" s="289" t="n"/>
      <c r="B987" s="290" t="n"/>
      <c r="C987" s="290" t="n"/>
      <c r="D987" s="291" t="n"/>
      <c r="E987" s="290" t="n"/>
      <c r="F987" s="290" t="n"/>
    </row>
    <row r="988" ht="13" customHeight="1" s="189">
      <c r="A988" s="289" t="n"/>
      <c r="B988" s="290" t="n"/>
      <c r="C988" s="290" t="n"/>
      <c r="D988" s="291" t="n"/>
      <c r="E988" s="290" t="n"/>
      <c r="F988" s="290" t="n"/>
    </row>
    <row r="989" ht="13" customHeight="1" s="189">
      <c r="A989" s="289" t="n"/>
      <c r="B989" s="290" t="n"/>
      <c r="C989" s="290" t="n"/>
      <c r="D989" s="291" t="n"/>
      <c r="E989" s="290" t="n"/>
      <c r="F989" s="290" t="n"/>
    </row>
    <row r="990" ht="13" customHeight="1" s="189">
      <c r="A990" s="289" t="n"/>
      <c r="B990" s="290" t="n"/>
      <c r="C990" s="290" t="n"/>
      <c r="D990" s="291" t="n"/>
      <c r="E990" s="290" t="n"/>
      <c r="F990" s="290" t="n"/>
    </row>
    <row r="991" ht="13" customHeight="1" s="189">
      <c r="A991" s="289" t="n"/>
      <c r="B991" s="290" t="n"/>
      <c r="C991" s="290" t="n"/>
      <c r="D991" s="291" t="n"/>
      <c r="E991" s="290" t="n"/>
      <c r="F991" s="290" t="n"/>
    </row>
    <row r="992" ht="13" customHeight="1" s="189">
      <c r="A992" s="289" t="n"/>
      <c r="B992" s="290" t="n"/>
      <c r="C992" s="290" t="n"/>
      <c r="D992" s="291" t="n"/>
      <c r="E992" s="290" t="n"/>
      <c r="F992" s="290" t="n"/>
    </row>
    <row r="993" ht="13" customHeight="1" s="189">
      <c r="A993" s="289" t="n"/>
      <c r="B993" s="290" t="n"/>
      <c r="C993" s="290" t="n"/>
      <c r="D993" s="291" t="n"/>
      <c r="E993" s="290" t="n"/>
      <c r="F993" s="290" t="n"/>
    </row>
    <row r="994" ht="13" customHeight="1" s="189">
      <c r="A994" s="289" t="n"/>
      <c r="B994" s="290" t="n"/>
      <c r="C994" s="290" t="n"/>
      <c r="D994" s="291" t="n"/>
      <c r="E994" s="290" t="n"/>
      <c r="F994" s="290" t="n"/>
    </row>
    <row r="995" ht="13" customHeight="1" s="189">
      <c r="A995" s="289" t="n"/>
      <c r="B995" s="290" t="n"/>
      <c r="C995" s="290" t="n"/>
      <c r="D995" s="291" t="n"/>
      <c r="E995" s="290" t="n"/>
      <c r="F995" s="290" t="n"/>
    </row>
    <row r="996" ht="13" customHeight="1" s="189">
      <c r="A996" s="289" t="n"/>
      <c r="B996" s="290" t="n"/>
      <c r="C996" s="290" t="n"/>
      <c r="D996" s="291" t="n"/>
      <c r="E996" s="290" t="n"/>
      <c r="F996" s="290" t="n"/>
    </row>
    <row r="997" ht="13" customHeight="1" s="189">
      <c r="A997" s="289" t="n"/>
      <c r="B997" s="290" t="n"/>
      <c r="C997" s="290" t="n"/>
      <c r="D997" s="291" t="n"/>
      <c r="E997" s="290" t="n"/>
      <c r="F997" s="290" t="n"/>
    </row>
    <row r="998" ht="13" customHeight="1" s="189">
      <c r="A998" s="289" t="n"/>
      <c r="B998" s="290" t="n"/>
      <c r="C998" s="290" t="n"/>
      <c r="D998" s="291" t="n"/>
      <c r="E998" s="290" t="n"/>
      <c r="F998" s="290" t="n"/>
    </row>
    <row r="999" ht="13" customHeight="1" s="189">
      <c r="A999" s="289" t="n"/>
      <c r="B999" s="290" t="n"/>
      <c r="C999" s="290" t="n"/>
      <c r="D999" s="291" t="n"/>
      <c r="E999" s="290" t="n"/>
      <c r="F999" s="290" t="n"/>
    </row>
    <row r="1000" ht="13" customHeight="1" s="189">
      <c r="A1000" s="289" t="n"/>
      <c r="B1000" s="290" t="n"/>
      <c r="C1000" s="290" t="n"/>
      <c r="D1000" s="291" t="n"/>
      <c r="E1000" s="290" t="n"/>
      <c r="F1000" s="290" t="n"/>
    </row>
    <row r="1001" ht="13" customHeight="1" s="189">
      <c r="A1001" s="289" t="n"/>
      <c r="B1001" s="290" t="n"/>
      <c r="C1001" s="290" t="n"/>
      <c r="D1001" s="291" t="n"/>
      <c r="E1001" s="290" t="n"/>
      <c r="F1001" s="290" t="n"/>
    </row>
    <row r="1002" ht="13" customHeight="1" s="189">
      <c r="A1002" s="289" t="n"/>
      <c r="B1002" s="290" t="n"/>
      <c r="C1002" s="290" t="n"/>
      <c r="D1002" s="291" t="n"/>
      <c r="E1002" s="290" t="n"/>
      <c r="F1002" s="290" t="n"/>
    </row>
    <row r="1003" ht="13" customHeight="1" s="189">
      <c r="A1003" s="289" t="n"/>
      <c r="B1003" s="290" t="n"/>
      <c r="C1003" s="290" t="n"/>
      <c r="D1003" s="291" t="n"/>
      <c r="E1003" s="290" t="n"/>
      <c r="F1003" s="290" t="n"/>
    </row>
    <row r="1004" ht="13" customHeight="1" s="189">
      <c r="A1004" s="289" t="n"/>
      <c r="B1004" s="290" t="n"/>
      <c r="C1004" s="290" t="n"/>
      <c r="D1004" s="291" t="n"/>
      <c r="E1004" s="290" t="n"/>
      <c r="F1004" s="290" t="n"/>
    </row>
    <row r="1005" ht="13" customHeight="1" s="189">
      <c r="A1005" s="289" t="n"/>
      <c r="B1005" s="290" t="n"/>
      <c r="C1005" s="290" t="n"/>
      <c r="D1005" s="291" t="n"/>
      <c r="E1005" s="290" t="n"/>
      <c r="F1005" s="290" t="n"/>
    </row>
    <row r="1006" ht="13" customHeight="1" s="189">
      <c r="A1006" s="289" t="n"/>
      <c r="B1006" s="290" t="n"/>
      <c r="C1006" s="290" t="n"/>
      <c r="D1006" s="291" t="n"/>
      <c r="E1006" s="290" t="n"/>
      <c r="F1006" s="290" t="n"/>
    </row>
    <row r="1007" ht="13" customHeight="1" s="189">
      <c r="A1007" s="289" t="n"/>
      <c r="B1007" s="290" t="n"/>
      <c r="C1007" s="290" t="n"/>
      <c r="D1007" s="291" t="n"/>
      <c r="E1007" s="290" t="n"/>
      <c r="F1007" s="290" t="n"/>
    </row>
    <row r="1008" ht="13" customHeight="1" s="189">
      <c r="A1008" s="289" t="n"/>
      <c r="B1008" s="290" t="n"/>
      <c r="C1008" s="290" t="n"/>
      <c r="D1008" s="291" t="n"/>
      <c r="E1008" s="290" t="n"/>
      <c r="F1008" s="290" t="n"/>
    </row>
    <row r="1009" ht="13" customHeight="1" s="189">
      <c r="A1009" s="289" t="n"/>
      <c r="B1009" s="290" t="n"/>
      <c r="C1009" s="290" t="n"/>
      <c r="D1009" s="291" t="n"/>
      <c r="E1009" s="290" t="n"/>
      <c r="F1009" s="290" t="n"/>
    </row>
    <row r="1010" ht="13" customHeight="1" s="189">
      <c r="A1010" s="289" t="n"/>
      <c r="B1010" s="290" t="n"/>
      <c r="C1010" s="290" t="n"/>
      <c r="D1010" s="291" t="n"/>
      <c r="E1010" s="290" t="n"/>
      <c r="F1010" s="290" t="n"/>
    </row>
    <row r="1011" ht="13" customHeight="1" s="189">
      <c r="A1011" s="289" t="n"/>
      <c r="B1011" s="290" t="n"/>
      <c r="C1011" s="290" t="n"/>
      <c r="D1011" s="291" t="n"/>
      <c r="E1011" s="290" t="n"/>
      <c r="F1011" s="290" t="n"/>
    </row>
    <row r="1012" ht="13" customHeight="1" s="189">
      <c r="A1012" s="289" t="n"/>
      <c r="B1012" s="290" t="n"/>
      <c r="C1012" s="290" t="n"/>
      <c r="D1012" s="291" t="n"/>
      <c r="E1012" s="290" t="n"/>
      <c r="F1012" s="290" t="n"/>
    </row>
    <row r="1013" ht="13" customHeight="1" s="189">
      <c r="A1013" s="289" t="n"/>
      <c r="B1013" s="290" t="n"/>
      <c r="C1013" s="290" t="n"/>
      <c r="D1013" s="291" t="n"/>
      <c r="E1013" s="290" t="n"/>
      <c r="F1013" s="290" t="n"/>
    </row>
    <row r="1014" ht="13" customHeight="1" s="189">
      <c r="A1014" s="289" t="n"/>
      <c r="B1014" s="290" t="n"/>
      <c r="C1014" s="290" t="n"/>
      <c r="D1014" s="291" t="n"/>
      <c r="E1014" s="290" t="n"/>
      <c r="F1014" s="290" t="n"/>
    </row>
    <row r="1015" ht="13" customHeight="1" s="189">
      <c r="A1015" s="289" t="n"/>
      <c r="B1015" s="290" t="n"/>
      <c r="C1015" s="290" t="n"/>
      <c r="D1015" s="291" t="n"/>
      <c r="E1015" s="290" t="n"/>
      <c r="F1015" s="290" t="n"/>
    </row>
    <row r="1016" ht="13" customHeight="1" s="189">
      <c r="A1016" s="289" t="n"/>
      <c r="B1016" s="290" t="n"/>
      <c r="C1016" s="290" t="n"/>
      <c r="D1016" s="291" t="n"/>
      <c r="E1016" s="290" t="n"/>
      <c r="F1016" s="290" t="n"/>
    </row>
    <row r="1017" ht="13" customHeight="1" s="189">
      <c r="A1017" s="289" t="n"/>
      <c r="B1017" s="290" t="n"/>
      <c r="C1017" s="290" t="n"/>
      <c r="D1017" s="291" t="n"/>
      <c r="E1017" s="290" t="n"/>
      <c r="F1017" s="290" t="n"/>
    </row>
    <row r="1018" ht="13" customHeight="1" s="189">
      <c r="A1018" s="289" t="n"/>
      <c r="B1018" s="290" t="n"/>
      <c r="C1018" s="290" t="n"/>
      <c r="D1018" s="291" t="n"/>
      <c r="E1018" s="290" t="n"/>
      <c r="F1018" s="290" t="n"/>
    </row>
    <row r="1019" ht="13" customHeight="1" s="189">
      <c r="A1019" s="289" t="n"/>
      <c r="B1019" s="290" t="n"/>
      <c r="C1019" s="290" t="n"/>
      <c r="D1019" s="291" t="n"/>
      <c r="E1019" s="290" t="n"/>
      <c r="F1019" s="290" t="n"/>
    </row>
    <row r="1020" ht="13" customHeight="1" s="189">
      <c r="A1020" s="289" t="n"/>
      <c r="B1020" s="290" t="n"/>
      <c r="C1020" s="290" t="n"/>
      <c r="D1020" s="291" t="n"/>
      <c r="E1020" s="290" t="n"/>
      <c r="F1020" s="290" t="n"/>
    </row>
    <row r="1021" ht="13" customHeight="1" s="189">
      <c r="A1021" s="289" t="n"/>
      <c r="B1021" s="290" t="n"/>
      <c r="C1021" s="290" t="n"/>
      <c r="D1021" s="291" t="n"/>
      <c r="E1021" s="290" t="n"/>
      <c r="F1021" s="290" t="n"/>
    </row>
    <row r="1022" ht="13" customHeight="1" s="189">
      <c r="A1022" s="289" t="n"/>
      <c r="B1022" s="290" t="n"/>
      <c r="C1022" s="290" t="n"/>
      <c r="D1022" s="291" t="n"/>
      <c r="E1022" s="290" t="n"/>
      <c r="F1022" s="290" t="n"/>
    </row>
    <row r="1023" ht="13" customHeight="1" s="189">
      <c r="A1023" s="289" t="n"/>
      <c r="B1023" s="290" t="n"/>
      <c r="C1023" s="290" t="n"/>
      <c r="D1023" s="291" t="n"/>
      <c r="E1023" s="290" t="n"/>
      <c r="F1023" s="290" t="n"/>
    </row>
    <row r="1024" ht="13" customHeight="1" s="189">
      <c r="A1024" s="289" t="n"/>
      <c r="B1024" s="290" t="n"/>
      <c r="C1024" s="290" t="n"/>
      <c r="D1024" s="291" t="n"/>
      <c r="E1024" s="290" t="n"/>
      <c r="F1024" s="290" t="n"/>
    </row>
    <row r="1025" ht="13" customHeight="1" s="189"/>
    <row r="1026" ht="13" customHeight="1" s="189"/>
    <row r="1027" ht="13" customHeight="1" s="189"/>
    <row r="1028" ht="13" customHeight="1" s="189"/>
    <row r="1029" ht="13" customHeight="1" s="189"/>
    <row r="1030" ht="13" customHeight="1" s="189"/>
    <row r="1031" ht="13" customHeight="1" s="189"/>
    <row r="1032" ht="13" customHeight="1" s="189"/>
    <row r="1033" ht="13" customHeight="1" s="189"/>
    <row r="1034" ht="13" customHeight="1" s="189"/>
    <row r="1035" ht="13" customHeight="1" s="189"/>
    <row r="1036" ht="13" customHeight="1" s="189"/>
    <row r="1037" ht="13" customHeight="1" s="189"/>
    <row r="1038" ht="13" customHeight="1" s="189"/>
    <row r="1039" ht="13" customHeight="1" s="189"/>
    <row r="1040" ht="13" customHeight="1" s="189"/>
    <row r="1041" ht="13" customHeight="1" s="189"/>
    <row r="1042" ht="13" customHeight="1" s="189"/>
    <row r="1043" ht="13" customHeight="1" s="189"/>
    <row r="1044" ht="13" customHeight="1" s="189"/>
    <row r="1045" ht="13" customHeight="1" s="189"/>
    <row r="1046" ht="13" customHeight="1" s="189"/>
    <row r="1047" ht="13" customHeight="1" s="189"/>
    <row r="1048" ht="13" customHeight="1" s="189"/>
    <row r="1049" ht="13" customHeight="1" s="189"/>
    <row r="1050" ht="13" customHeight="1" s="189"/>
    <row r="1051" ht="13" customHeight="1" s="189"/>
    <row r="1052" ht="13" customHeight="1" s="189"/>
    <row r="1053" ht="13" customHeight="1" s="189"/>
    <row r="1054" ht="13" customHeight="1" s="189"/>
    <row r="1055" ht="13" customHeight="1" s="189"/>
    <row r="1056" ht="13" customHeight="1" s="189"/>
    <row r="1057" ht="13" customHeight="1" s="189"/>
    <row r="1058" ht="13" customHeight="1" s="189"/>
    <row r="1059" ht="13" customHeight="1" s="189"/>
    <row r="1060" ht="13" customHeight="1" s="189"/>
    <row r="1061" ht="13" customHeight="1" s="189"/>
    <row r="1062" ht="13" customHeight="1" s="189"/>
    <row r="1063" ht="13" customHeight="1" s="189"/>
    <row r="1064" ht="13" customHeight="1" s="189"/>
    <row r="1065" ht="13" customHeight="1" s="189"/>
    <row r="1066" ht="13" customHeight="1" s="189"/>
    <row r="1067" ht="13" customHeight="1" s="189"/>
    <row r="1068" ht="13" customHeight="1" s="189"/>
    <row r="1069" ht="13" customHeight="1" s="189"/>
    <row r="1070" ht="13" customHeight="1" s="189"/>
    <row r="1071" ht="13" customHeight="1" s="189"/>
    <row r="1072" ht="13" customHeight="1" s="189"/>
    <row r="1073" ht="13" customHeight="1" s="189"/>
    <row r="1074" ht="13" customHeight="1" s="189"/>
    <row r="1075" ht="13" customHeight="1" s="189"/>
    <row r="1076" ht="13" customHeight="1" s="189"/>
    <row r="1077" ht="13" customHeight="1" s="189"/>
    <row r="1078" ht="13" customHeight="1" s="189"/>
    <row r="1079" ht="13" customHeight="1" s="189"/>
    <row r="1080" ht="13" customHeight="1" s="189"/>
    <row r="1081" ht="13" customHeight="1" s="189"/>
    <row r="1082" ht="13" customHeight="1" s="189"/>
    <row r="1083" ht="13" customHeight="1" s="189"/>
    <row r="1084" ht="13" customHeight="1" s="189"/>
    <row r="1085" ht="13" customHeight="1" s="189"/>
    <row r="1086" ht="13" customHeight="1" s="189"/>
    <row r="1087" ht="13" customHeight="1" s="189"/>
    <row r="1088" ht="13" customHeight="1" s="189"/>
    <row r="1089" ht="13" customHeight="1" s="189"/>
    <row r="1090" ht="13" customHeight="1" s="189"/>
    <row r="1091" ht="13" customHeight="1" s="189"/>
    <row r="1092" ht="13" customHeight="1" s="189"/>
    <row r="1093" ht="13" customHeight="1" s="189"/>
    <row r="1094" ht="13" customHeight="1" s="189"/>
    <row r="1095" ht="13" customHeight="1" s="189"/>
    <row r="1096" ht="13" customHeight="1" s="189"/>
    <row r="1097" ht="13" customHeight="1" s="189"/>
    <row r="1098" ht="13" customHeight="1" s="189"/>
    <row r="1099" ht="13" customHeight="1" s="189"/>
    <row r="1100" ht="13" customHeight="1" s="189"/>
    <row r="1101" ht="13" customHeight="1" s="189"/>
    <row r="1102" ht="13" customHeight="1" s="189"/>
    <row r="1103" ht="13" customHeight="1" s="189"/>
    <row r="1104" ht="13" customHeight="1" s="189"/>
    <row r="1105" ht="13" customHeight="1" s="189"/>
    <row r="1106" ht="13" customHeight="1" s="189"/>
    <row r="1107" ht="13" customHeight="1" s="189"/>
    <row r="1108" ht="13" customHeight="1" s="189"/>
    <row r="1109" ht="13" customHeight="1" s="189"/>
    <row r="1110" ht="13" customHeight="1" s="189"/>
    <row r="1111" ht="13" customHeight="1" s="189"/>
    <row r="1112" ht="13" customHeight="1" s="189"/>
    <row r="1113" ht="13" customHeight="1" s="189"/>
    <row r="1114" ht="13" customHeight="1" s="189"/>
    <row r="1115" ht="13" customHeight="1" s="189"/>
    <row r="1116" ht="13" customHeight="1" s="189"/>
    <row r="1117" ht="13" customHeight="1" s="189"/>
    <row r="1118" ht="13" customHeight="1" s="189"/>
    <row r="1119" ht="13" customHeight="1" s="189"/>
    <row r="1120" ht="13" customHeight="1" s="189"/>
    <row r="1121" ht="13" customHeight="1" s="189"/>
    <row r="1122" ht="13" customHeight="1" s="189"/>
    <row r="1123" ht="13" customHeight="1" s="189"/>
    <row r="1124" ht="13" customHeight="1" s="189"/>
    <row r="1125" ht="13" customHeight="1" s="189"/>
    <row r="1126" ht="13" customHeight="1" s="189"/>
    <row r="1127" ht="13" customHeight="1" s="189"/>
    <row r="1128" ht="13" customHeight="1" s="189"/>
    <row r="1129" ht="13" customHeight="1" s="189"/>
    <row r="1130" ht="13" customHeight="1" s="189"/>
    <row r="1131" ht="13" customHeight="1" s="189"/>
    <row r="1132" ht="13" customHeight="1" s="189"/>
    <row r="1133" ht="13" customHeight="1" s="189"/>
    <row r="1134" ht="13" customHeight="1" s="189"/>
    <row r="1135" ht="13" customHeight="1" s="189"/>
    <row r="1136" ht="13" customHeight="1" s="189"/>
    <row r="1137" ht="13" customHeight="1" s="189"/>
    <row r="1138" ht="13" customHeight="1" s="189"/>
    <row r="1139" ht="13" customHeight="1" s="189"/>
    <row r="1140" ht="13" customHeight="1" s="189"/>
    <row r="1141" ht="13" customHeight="1" s="189"/>
    <row r="1142" ht="13" customHeight="1" s="189"/>
    <row r="1143" ht="13" customHeight="1" s="189"/>
    <row r="1144" ht="13" customHeight="1" s="189"/>
    <row r="1145" ht="13" customHeight="1" s="189"/>
    <row r="1146" ht="13" customHeight="1" s="189"/>
    <row r="1147" ht="13" customHeight="1" s="189"/>
    <row r="1148" ht="13" customHeight="1" s="189"/>
    <row r="1149" ht="13" customHeight="1" s="189"/>
    <row r="1150" ht="13" customHeight="1" s="189"/>
    <row r="1151" ht="13" customHeight="1" s="189"/>
    <row r="1152" ht="13" customHeight="1" s="189"/>
    <row r="1153" ht="13" customHeight="1" s="189"/>
    <row r="1154" ht="13" customHeight="1" s="189"/>
    <row r="1155" ht="13" customHeight="1" s="189"/>
    <row r="1156" ht="13" customHeight="1" s="189"/>
    <row r="1157" ht="13" customHeight="1" s="189"/>
    <row r="1158" ht="13" customHeight="1" s="189"/>
    <row r="1159" ht="13" customHeight="1" s="189"/>
    <row r="1160" ht="13" customHeight="1" s="189"/>
    <row r="1161" ht="13" customHeight="1" s="189"/>
    <row r="1162" ht="13" customHeight="1" s="189"/>
    <row r="1163" ht="13" customHeight="1" s="189"/>
    <row r="1164" ht="13" customHeight="1" s="189"/>
    <row r="1165" ht="13" customHeight="1" s="189"/>
    <row r="1166" ht="13" customHeight="1" s="189"/>
    <row r="1167" ht="13" customHeight="1" s="189"/>
    <row r="1168" ht="13" customHeight="1" s="189"/>
    <row r="1169" ht="13" customHeight="1" s="189"/>
    <row r="1170" ht="13" customHeight="1" s="189"/>
    <row r="1171" ht="13" customHeight="1" s="189"/>
    <row r="1172" ht="13" customHeight="1" s="189"/>
    <row r="1173" ht="13" customHeight="1" s="189"/>
    <row r="1174" ht="13" customHeight="1" s="189"/>
    <row r="1175" ht="13" customHeight="1" s="189"/>
    <row r="1176" ht="13" customHeight="1" s="189"/>
    <row r="1177" ht="13" customHeight="1" s="189"/>
    <row r="1178" ht="13" customHeight="1" s="189"/>
    <row r="1179" ht="13" customHeight="1" s="189"/>
    <row r="1180" ht="13" customHeight="1" s="189"/>
    <row r="1181" ht="13" customHeight="1" s="189"/>
    <row r="1182" ht="13" customHeight="1" s="189"/>
    <row r="1183" ht="13" customHeight="1" s="189"/>
    <row r="1184" ht="13" customHeight="1" s="189"/>
    <row r="1185" ht="13" customHeight="1" s="189"/>
    <row r="1186" ht="13" customHeight="1" s="189"/>
    <row r="1187" ht="13" customHeight="1" s="189"/>
    <row r="1188" ht="13" customHeight="1" s="189"/>
    <row r="1189" ht="13" customHeight="1" s="189"/>
    <row r="1190" ht="13" customHeight="1" s="189"/>
    <row r="1191" ht="13" customHeight="1" s="189"/>
    <row r="1192" ht="13" customHeight="1" s="189"/>
    <row r="1193" ht="13" customHeight="1" s="189"/>
    <row r="1194" ht="13" customHeight="1" s="189"/>
    <row r="1195" ht="13" customHeight="1" s="189"/>
    <row r="1196" ht="13" customHeight="1" s="189"/>
    <row r="1197" ht="13" customHeight="1" s="189"/>
    <row r="1198" ht="13" customHeight="1" s="189"/>
    <row r="1199" ht="13" customHeight="1" s="189"/>
    <row r="1200" ht="13" customHeight="1" s="189"/>
    <row r="1201" ht="13" customHeight="1" s="189"/>
    <row r="1202" ht="13" customHeight="1" s="189"/>
    <row r="1203" ht="13" customHeight="1" s="189"/>
    <row r="1204" ht="13" customHeight="1" s="189"/>
    <row r="1205" ht="13" customHeight="1" s="189"/>
    <row r="1206" ht="13" customHeight="1" s="189"/>
    <row r="1207" ht="13" customHeight="1" s="189"/>
    <row r="1208" ht="13" customHeight="1" s="189"/>
    <row r="1209" ht="13" customHeight="1" s="189"/>
    <row r="1210" ht="13" customHeight="1" s="189"/>
    <row r="1211" ht="13" customHeight="1" s="189"/>
    <row r="1212" ht="13" customHeight="1" s="189"/>
    <row r="1213" ht="13" customHeight="1" s="189"/>
    <row r="1214" ht="13" customHeight="1" s="189"/>
    <row r="1215" ht="13" customHeight="1" s="189"/>
    <row r="1216" ht="13" customHeight="1" s="189"/>
    <row r="1217" ht="13" customHeight="1" s="189"/>
    <row r="1218" ht="13" customHeight="1" s="189"/>
    <row r="1219" ht="13" customHeight="1" s="189"/>
    <row r="1220" ht="13" customHeight="1" s="189"/>
    <row r="1221" ht="13" customHeight="1" s="189"/>
    <row r="1222" ht="13" customHeight="1" s="189"/>
    <row r="1223" ht="13" customHeight="1" s="189"/>
    <row r="1224" ht="13" customHeight="1" s="189"/>
    <row r="1225" ht="13" customHeight="1" s="189"/>
    <row r="1226" ht="13" customHeight="1" s="189"/>
    <row r="1227" ht="13" customHeight="1" s="189"/>
    <row r="1228" ht="13" customHeight="1" s="189"/>
    <row r="1229" ht="13" customHeight="1" s="189"/>
    <row r="1230" ht="13" customHeight="1" s="189"/>
    <row r="1231" ht="13" customHeight="1" s="189"/>
    <row r="1232" ht="13" customHeight="1" s="189"/>
    <row r="1233" ht="13" customHeight="1" s="189"/>
    <row r="1234" ht="13" customHeight="1" s="189"/>
    <row r="1235" ht="13" customHeight="1" s="189"/>
    <row r="1236" ht="13" customHeight="1" s="189"/>
    <row r="1237" ht="13" customHeight="1" s="189"/>
    <row r="1238" ht="13" customHeight="1" s="189"/>
    <row r="1239" ht="13" customHeight="1" s="189"/>
    <row r="1240" ht="13" customHeight="1" s="189"/>
    <row r="1241" ht="13" customHeight="1" s="189"/>
    <row r="1242" ht="13" customHeight="1" s="189"/>
    <row r="1243" ht="13" customHeight="1" s="189"/>
    <row r="1244" ht="13" customHeight="1" s="189"/>
    <row r="1245" ht="13" customHeight="1" s="189"/>
    <row r="1246" ht="13" customHeight="1" s="189"/>
    <row r="1247" ht="13" customHeight="1" s="189"/>
    <row r="1248" ht="13" customHeight="1" s="189"/>
    <row r="1249" ht="13" customHeight="1" s="189"/>
    <row r="1250" ht="13" customHeight="1" s="189"/>
    <row r="1251" ht="13" customHeight="1" s="189"/>
    <row r="1252" ht="13" customHeight="1" s="189"/>
    <row r="1253" ht="13" customHeight="1" s="189"/>
    <row r="1254" ht="13" customHeight="1" s="189"/>
    <row r="1255" ht="13" customHeight="1" s="189"/>
    <row r="1256" ht="13" customHeight="1" s="189"/>
    <row r="1257" ht="13" customHeight="1" s="189"/>
    <row r="1258" ht="13" customHeight="1" s="189"/>
    <row r="1259" ht="13" customHeight="1" s="189"/>
    <row r="1260" ht="13" customHeight="1" s="189"/>
    <row r="1261" ht="13" customHeight="1" s="189"/>
    <row r="1262" ht="13" customHeight="1" s="189"/>
    <row r="1263" ht="13" customHeight="1" s="189"/>
    <row r="1264" ht="13" customHeight="1" s="189"/>
    <row r="1265" ht="13" customHeight="1" s="189"/>
    <row r="1266" ht="13" customHeight="1" s="189"/>
    <row r="1267" ht="13" customHeight="1" s="189"/>
    <row r="1268" ht="13" customHeight="1" s="189"/>
    <row r="1269" ht="13" customHeight="1" s="189"/>
    <row r="1270" ht="13" customHeight="1" s="189"/>
    <row r="1271" ht="13" customHeight="1" s="189"/>
    <row r="1272" ht="13" customHeight="1" s="189"/>
    <row r="1273" ht="13" customHeight="1" s="189"/>
    <row r="1274" ht="13" customHeight="1" s="189"/>
    <row r="1275" ht="13" customHeight="1" s="189"/>
    <row r="1276" ht="13" customHeight="1" s="189"/>
    <row r="1277" ht="13" customHeight="1" s="189"/>
    <row r="1278" ht="13" customHeight="1" s="189"/>
    <row r="1279" ht="13" customHeight="1" s="189"/>
    <row r="1280" ht="13" customHeight="1" s="189"/>
    <row r="1281" ht="13" customHeight="1" s="189"/>
    <row r="1282" ht="13" customHeight="1" s="189"/>
    <row r="1283" ht="13" customHeight="1" s="189"/>
    <row r="1284" ht="13" customHeight="1" s="189"/>
    <row r="1285" ht="13" customHeight="1" s="189"/>
    <row r="1286" ht="13" customHeight="1" s="189"/>
    <row r="1287" ht="13" customHeight="1" s="189"/>
    <row r="1288" ht="13" customHeight="1" s="189"/>
    <row r="1289" ht="13" customHeight="1" s="189"/>
    <row r="1290" ht="13" customHeight="1" s="189"/>
    <row r="1291" ht="13" customHeight="1" s="189"/>
    <row r="1292" ht="13" customHeight="1" s="189"/>
    <row r="1293" ht="13" customHeight="1" s="189"/>
    <row r="1294" ht="13" customHeight="1" s="189"/>
    <row r="1295" ht="13" customHeight="1" s="189"/>
    <row r="1296" ht="13" customHeight="1" s="189"/>
    <row r="1297" ht="13" customHeight="1" s="189"/>
    <row r="1298" ht="13" customHeight="1" s="189"/>
    <row r="1299" ht="13" customHeight="1" s="189"/>
    <row r="1300" ht="13" customHeight="1" s="189"/>
    <row r="1301" ht="13" customHeight="1" s="189"/>
    <row r="1302" ht="13" customHeight="1" s="189"/>
    <row r="1303" ht="13" customHeight="1" s="189"/>
    <row r="1304" ht="13" customHeight="1" s="189"/>
    <row r="1305" ht="13" customHeight="1" s="189"/>
    <row r="1306" ht="13" customHeight="1" s="189"/>
    <row r="1307" ht="13" customHeight="1" s="189"/>
    <row r="1308" ht="13" customHeight="1" s="189"/>
    <row r="1309" ht="13" customHeight="1" s="189"/>
    <row r="1310" ht="13" customHeight="1" s="189"/>
    <row r="1311" ht="13" customHeight="1" s="189"/>
    <row r="1312" ht="13" customHeight="1" s="189"/>
    <row r="1313" ht="13" customHeight="1" s="189"/>
    <row r="1314" ht="13" customHeight="1" s="189"/>
    <row r="1315" ht="13" customHeight="1" s="189"/>
    <row r="1316" ht="13" customHeight="1" s="189"/>
    <row r="1317" ht="13" customHeight="1" s="189"/>
    <row r="1318" ht="13" customHeight="1" s="189"/>
    <row r="1319" ht="13" customHeight="1" s="189"/>
    <row r="1320" ht="13" customHeight="1" s="189"/>
    <row r="1321" ht="13" customHeight="1" s="189"/>
    <row r="1322" ht="13" customHeight="1" s="189"/>
    <row r="1323" ht="13" customHeight="1" s="189"/>
    <row r="1324" ht="13" customHeight="1" s="189"/>
    <row r="1325" ht="13" customHeight="1" s="189"/>
    <row r="1326" ht="13" customHeight="1" s="189"/>
    <row r="1327" ht="13" customHeight="1" s="189"/>
    <row r="1328" ht="13" customHeight="1" s="189"/>
    <row r="1329" ht="13" customHeight="1" s="189"/>
    <row r="1330" ht="13" customHeight="1" s="189"/>
    <row r="1331" ht="13" customHeight="1" s="189"/>
    <row r="1332" ht="13" customHeight="1" s="189"/>
    <row r="1333" ht="13" customHeight="1" s="189"/>
    <row r="1334" ht="13" customHeight="1" s="189"/>
    <row r="1335" ht="13" customHeight="1" s="189"/>
    <row r="1336" ht="13" customHeight="1" s="189"/>
    <row r="1337" ht="13" customHeight="1" s="189"/>
    <row r="1338" ht="13" customHeight="1" s="189"/>
    <row r="1339" ht="13" customHeight="1" s="189"/>
    <row r="1340" ht="13" customHeight="1" s="189"/>
    <row r="1341" ht="13" customHeight="1" s="189"/>
    <row r="1342" ht="13" customHeight="1" s="189"/>
    <row r="1343" ht="13" customHeight="1" s="189"/>
    <row r="1344" ht="13" customHeight="1" s="189"/>
    <row r="1345" ht="13" customHeight="1" s="189"/>
    <row r="1346" ht="13" customHeight="1" s="189"/>
    <row r="1347" ht="13" customHeight="1" s="189"/>
    <row r="1348" ht="13" customHeight="1" s="189"/>
    <row r="1349" ht="13" customHeight="1" s="189"/>
    <row r="1350" ht="13" customHeight="1" s="189"/>
    <row r="1351" ht="13" customHeight="1" s="189"/>
    <row r="1352" ht="13" customHeight="1" s="189"/>
    <row r="1353" ht="13" customHeight="1" s="189"/>
    <row r="1354" ht="13" customHeight="1" s="189"/>
    <row r="1355" ht="13" customHeight="1" s="189"/>
    <row r="1356" ht="13" customHeight="1" s="189"/>
    <row r="1357" ht="13" customHeight="1" s="189"/>
    <row r="1358" ht="13" customHeight="1" s="189"/>
    <row r="1359" ht="13" customHeight="1" s="189"/>
    <row r="1360" ht="13" customHeight="1" s="189"/>
    <row r="1361" ht="13" customHeight="1" s="189"/>
    <row r="1362" ht="13" customHeight="1" s="189"/>
    <row r="1363" ht="13" customHeight="1" s="189"/>
    <row r="1364" ht="13" customHeight="1" s="189"/>
    <row r="1365" ht="13" customHeight="1" s="189"/>
    <row r="1366" ht="13" customHeight="1" s="189"/>
    <row r="1367" ht="13" customHeight="1" s="189"/>
    <row r="1368" ht="13" customHeight="1" s="189"/>
    <row r="1369" ht="13" customHeight="1" s="189"/>
    <row r="1370" ht="13" customHeight="1" s="189"/>
    <row r="1371" ht="13" customHeight="1" s="189"/>
    <row r="1372" ht="13" customHeight="1" s="189"/>
    <row r="1373" ht="13" customHeight="1" s="189"/>
    <row r="1374" ht="13" customHeight="1" s="189"/>
    <row r="1375" ht="13" customHeight="1" s="189"/>
    <row r="1376" ht="13" customHeight="1" s="189"/>
    <row r="1377" ht="13" customHeight="1" s="189"/>
    <row r="1378" ht="13" customHeight="1" s="189"/>
    <row r="1379" ht="13" customHeight="1" s="189"/>
    <row r="1380" ht="13" customHeight="1" s="189"/>
    <row r="1381" ht="13" customHeight="1" s="189"/>
    <row r="1382" ht="13" customHeight="1" s="189"/>
    <row r="1383" ht="13" customHeight="1" s="189"/>
    <row r="1384" ht="13" customHeight="1" s="189"/>
    <row r="1385" ht="13" customHeight="1" s="189"/>
    <row r="1386" ht="13" customHeight="1" s="189"/>
    <row r="1387" ht="13" customHeight="1" s="189"/>
    <row r="1388" ht="13" customHeight="1" s="189"/>
    <row r="1389" ht="13" customHeight="1" s="189"/>
    <row r="1390" ht="13" customHeight="1" s="189"/>
    <row r="1391" ht="13" customHeight="1" s="189"/>
    <row r="1392" ht="13" customHeight="1" s="189"/>
    <row r="1393" ht="13" customHeight="1" s="189"/>
    <row r="1394" ht="13" customHeight="1" s="189"/>
    <row r="1395" ht="13" customHeight="1" s="189"/>
    <row r="1396" ht="13" customHeight="1" s="189"/>
    <row r="1397" ht="13" customHeight="1" s="189"/>
    <row r="1398" ht="13" customHeight="1" s="189"/>
    <row r="1399" ht="13" customHeight="1" s="189"/>
    <row r="1400" ht="13" customHeight="1" s="189"/>
    <row r="1401" ht="13" customHeight="1" s="189"/>
    <row r="1402" ht="13" customHeight="1" s="189"/>
    <row r="1403" ht="13" customHeight="1" s="189"/>
    <row r="1404" ht="13" customHeight="1" s="189"/>
    <row r="1405" ht="13" customHeight="1" s="189"/>
    <row r="1406" ht="13" customHeight="1" s="189"/>
    <row r="1407" ht="13" customHeight="1" s="189"/>
    <row r="1408" ht="13" customHeight="1" s="189"/>
    <row r="1409" ht="13" customHeight="1" s="189"/>
    <row r="1410" ht="13" customHeight="1" s="189"/>
    <row r="1411" ht="13" customHeight="1" s="189"/>
    <row r="1412" ht="13" customHeight="1" s="189"/>
    <row r="1413" ht="13" customHeight="1" s="189"/>
    <row r="1414" ht="13" customHeight="1" s="189"/>
    <row r="1415" ht="13" customHeight="1" s="189"/>
    <row r="1416" ht="13" customHeight="1" s="189"/>
    <row r="1417" ht="13" customHeight="1" s="189"/>
    <row r="1418" ht="13" customHeight="1" s="189"/>
    <row r="1419" ht="13" customHeight="1" s="189"/>
    <row r="1420" ht="13" customHeight="1" s="189"/>
    <row r="1421" ht="13" customHeight="1" s="189"/>
    <row r="1422" ht="13" customHeight="1" s="189"/>
    <row r="1423" ht="13" customHeight="1" s="189"/>
    <row r="1424" ht="13" customHeight="1" s="189"/>
    <row r="1425" ht="13" customHeight="1" s="189"/>
    <row r="1426" ht="13" customHeight="1" s="189"/>
    <row r="1427" ht="13" customHeight="1" s="189"/>
    <row r="1428" ht="13" customHeight="1" s="189"/>
    <row r="1429" ht="13" customHeight="1" s="189"/>
    <row r="1430" ht="13" customHeight="1" s="189"/>
    <row r="1431" ht="13" customHeight="1" s="189"/>
    <row r="1432" ht="13" customHeight="1" s="189"/>
    <row r="1433" ht="13" customHeight="1" s="189"/>
    <row r="1434" ht="13" customHeight="1" s="189"/>
    <row r="1435" ht="13" customHeight="1" s="189"/>
    <row r="1436" ht="13" customHeight="1" s="189"/>
    <row r="1437" ht="13" customHeight="1" s="189"/>
    <row r="1438" ht="13" customHeight="1" s="189"/>
    <row r="1439" ht="13" customHeight="1" s="189"/>
    <row r="1440" ht="13" customHeight="1" s="189"/>
    <row r="1441" ht="13" customHeight="1" s="189"/>
    <row r="1442" ht="13" customHeight="1" s="189"/>
    <row r="1443" ht="13" customHeight="1" s="189"/>
    <row r="1444" ht="13" customHeight="1" s="189"/>
    <row r="1445" ht="13" customHeight="1" s="189"/>
    <row r="1446" ht="13" customHeight="1" s="189"/>
    <row r="1447" ht="13" customHeight="1" s="189"/>
    <row r="1448" ht="13" customHeight="1" s="189"/>
    <row r="1449" ht="13" customHeight="1" s="189"/>
    <row r="1450" ht="13" customHeight="1" s="189"/>
    <row r="1451" ht="13" customHeight="1" s="189"/>
    <row r="1452" ht="13" customHeight="1" s="189"/>
    <row r="1453" ht="13" customHeight="1" s="189"/>
    <row r="1454" ht="13" customHeight="1" s="189"/>
    <row r="1455" ht="13" customHeight="1" s="189"/>
    <row r="1456" ht="13" customHeight="1" s="189"/>
    <row r="1457" ht="13" customHeight="1" s="189"/>
    <row r="1458" ht="13" customHeight="1" s="189"/>
    <row r="1459" ht="13" customHeight="1" s="189"/>
    <row r="1460" ht="13" customHeight="1" s="189"/>
    <row r="1461" ht="13" customHeight="1" s="189"/>
    <row r="1462" ht="13" customHeight="1" s="189"/>
    <row r="1463" ht="13" customHeight="1" s="189"/>
    <row r="1464" ht="13" customHeight="1" s="189"/>
  </sheetData>
  <mergeCells count="8">
    <mergeCell ref="A4:B4"/>
    <mergeCell ref="E4:F4"/>
    <mergeCell ref="A2:B2"/>
    <mergeCell ref="E2:F2"/>
    <mergeCell ref="A1:F1"/>
    <mergeCell ref="A5:F5"/>
    <mergeCell ref="A3:B3"/>
    <mergeCell ref="E3:F3"/>
  </mergeCells>
  <printOptions horizontalCentered="0" verticalCentered="0" headings="0" gridLines="1" gridLinesSet="1"/>
  <pageMargins left="0.75" right="0.75" top="1" bottom="1"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23.xml><?xml version="1.0" encoding="utf-8"?>
<worksheet xmlns="http://schemas.openxmlformats.org/spreadsheetml/2006/main">
  <sheetPr filterMode="0">
    <outlinePr summaryBelow="1" summaryRight="1"/>
    <pageSetUpPr fitToPage="0"/>
  </sheetPr>
  <dimension ref="A1:N546"/>
  <sheetViews>
    <sheetView showFormulas="0" showGridLines="1" showRowColHeaders="1" showZeros="1" rightToLeft="0" tabSelected="0" showOutlineSymbols="1" defaultGridColor="1" view="normal" topLeftCell="A43" colorId="64" zoomScale="100" zoomScaleNormal="100" zoomScalePageLayoutView="100" workbookViewId="0">
      <selection pane="topLeft" activeCell="N71" activeCellId="0" sqref="N71"/>
    </sheetView>
  </sheetViews>
  <sheetFormatPr baseColWidth="8" defaultColWidth="9.0546875" defaultRowHeight="12.5" zeroHeight="0" outlineLevelRow="0"/>
  <cols>
    <col width="5.99" customWidth="1" style="287" min="1" max="1"/>
    <col width="39.72" customWidth="1" style="188" min="2" max="2"/>
    <col width="6.44" customWidth="1" style="293" min="3" max="14"/>
  </cols>
  <sheetData>
    <row r="1" ht="15.5" customHeight="1" s="189">
      <c r="A1" s="243" t="inlineStr">
        <is>
          <t>PERT Analysis</t>
        </is>
      </c>
      <c r="B1" s="213" t="n"/>
      <c r="C1" s="213" t="n"/>
      <c r="D1" s="213" t="n"/>
      <c r="E1" s="213" t="n"/>
      <c r="F1" s="213" t="n"/>
      <c r="G1" s="213" t="n"/>
      <c r="H1" s="213" t="n"/>
      <c r="I1" s="213" t="n"/>
      <c r="J1" s="213" t="n"/>
      <c r="K1" s="213" t="n"/>
      <c r="L1" s="213" t="n"/>
      <c r="M1" s="213" t="n"/>
      <c r="N1" s="214" t="n"/>
    </row>
    <row r="2" ht="13" customHeight="1" s="189">
      <c r="A2" s="266" t="inlineStr">
        <is>
          <t>Project</t>
        </is>
      </c>
      <c r="B2" s="214" t="n"/>
      <c r="C2" s="294">
        <f>Data!B1</f>
        <v/>
      </c>
      <c r="D2" s="213" t="n"/>
      <c r="E2" s="213" t="n"/>
      <c r="F2" s="213" t="n"/>
      <c r="G2" s="213" t="n"/>
      <c r="H2" s="214" t="n"/>
      <c r="I2" s="266" t="inlineStr">
        <is>
          <t>Project #</t>
        </is>
      </c>
      <c r="J2" s="214" t="n"/>
      <c r="K2" s="294">
        <f>Data!B2</f>
        <v/>
      </c>
      <c r="L2" s="213" t="n"/>
      <c r="M2" s="213" t="n"/>
      <c r="N2" s="214" t="n"/>
    </row>
    <row r="3" ht="13" customHeight="1" s="189">
      <c r="A3" s="266" t="inlineStr">
        <is>
          <t>Project Manager</t>
        </is>
      </c>
      <c r="B3" s="214" t="n"/>
      <c r="C3" s="294">
        <f>Data!B3</f>
        <v/>
      </c>
      <c r="D3" s="213" t="n"/>
      <c r="E3" s="213" t="n"/>
      <c r="F3" s="213" t="n"/>
      <c r="G3" s="213" t="n"/>
      <c r="H3" s="214" t="n"/>
      <c r="I3" s="266" t="inlineStr">
        <is>
          <t>Sponsor</t>
        </is>
      </c>
      <c r="J3" s="214" t="n"/>
      <c r="K3" s="294">
        <f>Data!B4</f>
        <v/>
      </c>
      <c r="L3" s="213" t="n"/>
      <c r="M3" s="213" t="n"/>
      <c r="N3" s="214" t="n"/>
    </row>
    <row r="4" ht="13" customHeight="1" s="189">
      <c r="A4" s="266" t="inlineStr">
        <is>
          <t>Project Artifacts</t>
        </is>
      </c>
      <c r="B4" s="214" t="n"/>
      <c r="C4" s="294">
        <f>Data!B5</f>
        <v/>
      </c>
      <c r="D4" s="213" t="n"/>
      <c r="E4" s="213" t="n"/>
      <c r="F4" s="213" t="n"/>
      <c r="G4" s="213" t="n"/>
      <c r="H4" s="214" t="n"/>
      <c r="I4" s="266" t="inlineStr">
        <is>
          <t>Updated</t>
        </is>
      </c>
      <c r="J4" s="214" t="n"/>
      <c r="K4" s="294">
        <f>Data!B6</f>
        <v/>
      </c>
      <c r="L4" s="213" t="n"/>
      <c r="M4" s="213" t="n"/>
      <c r="N4" s="214" t="n"/>
    </row>
    <row r="5" ht="12.5" customHeight="1" s="189">
      <c r="A5" s="288" t="n"/>
      <c r="B5" s="213" t="n"/>
      <c r="C5" s="213" t="n"/>
      <c r="D5" s="213" t="n"/>
      <c r="E5" s="213" t="n"/>
      <c r="F5" s="214" t="n"/>
      <c r="G5" s="318" t="n"/>
      <c r="H5" s="318" t="n"/>
      <c r="I5" s="318" t="n"/>
      <c r="J5" s="318" t="n"/>
      <c r="K5" s="318" t="n"/>
      <c r="L5" s="318" t="n"/>
      <c r="M5" s="318" t="n"/>
      <c r="N5" s="318" t="n"/>
    </row>
    <row r="6" ht="61.5" customHeight="1" s="189">
      <c r="A6" s="281" t="inlineStr">
        <is>
          <t>ID</t>
        </is>
      </c>
      <c r="B6" s="281" t="inlineStr">
        <is>
          <t>Task</t>
        </is>
      </c>
      <c r="C6" s="281" t="inlineStr">
        <is>
          <t>Most Likely</t>
        </is>
      </c>
      <c r="D6" s="281" t="inlineStr">
        <is>
          <t>Min</t>
        </is>
      </c>
      <c r="E6" s="281" t="inlineStr">
        <is>
          <t>Max</t>
        </is>
      </c>
      <c r="F6" s="281" t="inlineStr">
        <is>
          <t>PERT Est</t>
        </is>
      </c>
      <c r="G6" s="281" t="inlineStr">
        <is>
          <t>15/15 Comp'ed Est</t>
        </is>
      </c>
      <c r="H6" s="281" t="inlineStr">
        <is>
          <t>Std Dev</t>
        </is>
      </c>
      <c r="I6" s="281" t="inlineStr">
        <is>
          <t>+1 Std Dev</t>
        </is>
      </c>
      <c r="J6" s="281" t="inlineStr">
        <is>
          <t>-1 Std Dev</t>
        </is>
      </c>
      <c r="K6" s="281" t="inlineStr">
        <is>
          <t>+2 Std Dev</t>
        </is>
      </c>
      <c r="L6" s="281" t="inlineStr">
        <is>
          <t>-2 Std Dev</t>
        </is>
      </c>
      <c r="M6" s="281" t="inlineStr">
        <is>
          <t>+3 Std Dev</t>
        </is>
      </c>
      <c r="N6" s="281" t="inlineStr">
        <is>
          <t>-3 Std Dev</t>
        </is>
      </c>
    </row>
    <row r="7" ht="13" customHeight="1" s="189">
      <c r="A7" s="319" t="n"/>
      <c r="B7" s="320" t="n"/>
      <c r="C7" s="321" t="n"/>
      <c r="D7" s="321" t="n"/>
      <c r="E7" s="321" t="n"/>
      <c r="F7" s="322">
        <f>(D7+E7+(4*C7))/6</f>
        <v/>
      </c>
      <c r="G7" s="322">
        <f>F7/0.72</f>
        <v/>
      </c>
      <c r="H7" s="322">
        <f>(E7-D7)/6</f>
        <v/>
      </c>
      <c r="I7" s="322">
        <f>$G7+$H7</f>
        <v/>
      </c>
      <c r="J7" s="322">
        <f>$G7-$H7</f>
        <v/>
      </c>
      <c r="K7" s="322">
        <f>$G7+(2*$H7)</f>
        <v/>
      </c>
      <c r="L7" s="322">
        <f>$G7-(2*$H7)</f>
        <v/>
      </c>
      <c r="M7" s="322">
        <f>$G7+(3*$H7)</f>
        <v/>
      </c>
      <c r="N7" s="322">
        <f>$G7-(3*$H7)</f>
        <v/>
      </c>
    </row>
    <row r="8" ht="12.5" customHeight="1" s="189">
      <c r="A8" s="319" t="n"/>
      <c r="B8" s="222" t="n"/>
      <c r="C8" s="321" t="n"/>
      <c r="D8" s="321" t="n"/>
      <c r="E8" s="321" t="n"/>
      <c r="F8" s="322">
        <f>(D8+E8+(4*C8))/6</f>
        <v/>
      </c>
      <c r="G8" s="322">
        <f>F8/0.72</f>
        <v/>
      </c>
      <c r="H8" s="322">
        <f>(E8-D8)/6</f>
        <v/>
      </c>
      <c r="I8" s="322">
        <f>$G8+$H8</f>
        <v/>
      </c>
      <c r="J8" s="322">
        <f>$G8-$H8</f>
        <v/>
      </c>
      <c r="K8" s="322">
        <f>$G8+(2*$H8)</f>
        <v/>
      </c>
      <c r="L8" s="322">
        <f>$G8-(2*$H8)</f>
        <v/>
      </c>
      <c r="M8" s="322">
        <f>$G8+(3*$H8)</f>
        <v/>
      </c>
      <c r="N8" s="322">
        <f>$G8-(3*$H8)</f>
        <v/>
      </c>
    </row>
    <row r="9" ht="12.5" customHeight="1" s="189">
      <c r="A9" s="319" t="n"/>
      <c r="B9" s="222" t="n"/>
      <c r="C9" s="321" t="n"/>
      <c r="D9" s="321" t="n"/>
      <c r="E9" s="321" t="n"/>
      <c r="F9" s="322">
        <f>(D9+E9+(4*C9))/6</f>
        <v/>
      </c>
      <c r="G9" s="322">
        <f>F9/0.72</f>
        <v/>
      </c>
      <c r="H9" s="322">
        <f>(E9-D9)/6</f>
        <v/>
      </c>
      <c r="I9" s="322">
        <f>$G9+$H9</f>
        <v/>
      </c>
      <c r="J9" s="322">
        <f>$G9-$H9</f>
        <v/>
      </c>
      <c r="K9" s="322">
        <f>$G9+(2*$H9)</f>
        <v/>
      </c>
      <c r="L9" s="322">
        <f>$G9-(2*$H9)</f>
        <v/>
      </c>
      <c r="M9" s="322">
        <f>$G9+(3*$H9)</f>
        <v/>
      </c>
      <c r="N9" s="322">
        <f>$G9-(3*$H9)</f>
        <v/>
      </c>
    </row>
    <row r="10" ht="12.5" customHeight="1" s="189">
      <c r="A10" s="319" t="n"/>
      <c r="B10" s="222" t="n"/>
      <c r="C10" s="321" t="n"/>
      <c r="D10" s="321" t="n"/>
      <c r="E10" s="321" t="n"/>
      <c r="F10" s="322">
        <f>(D10+E10+(4*C10))/6</f>
        <v/>
      </c>
      <c r="G10" s="322">
        <f>F10/0.72</f>
        <v/>
      </c>
      <c r="H10" s="322">
        <f>(E10-D10)/6</f>
        <v/>
      </c>
      <c r="I10" s="322">
        <f>$G10+$H10</f>
        <v/>
      </c>
      <c r="J10" s="322">
        <f>$G10-$H10</f>
        <v/>
      </c>
      <c r="K10" s="322">
        <f>$G10+(2*$H10)</f>
        <v/>
      </c>
      <c r="L10" s="322">
        <f>$G10-(2*$H10)</f>
        <v/>
      </c>
      <c r="M10" s="322">
        <f>$G10+(3*$H10)</f>
        <v/>
      </c>
      <c r="N10" s="322">
        <f>$G10-(3*$H10)</f>
        <v/>
      </c>
    </row>
    <row r="11" ht="12.5" customHeight="1" s="189">
      <c r="A11" s="319" t="n"/>
      <c r="B11" s="222" t="n"/>
      <c r="C11" s="321" t="n"/>
      <c r="D11" s="321" t="n"/>
      <c r="E11" s="321" t="n"/>
      <c r="F11" s="322">
        <f>(D11+E11+(4*C11))/6</f>
        <v/>
      </c>
      <c r="G11" s="322">
        <f>F11/0.72</f>
        <v/>
      </c>
      <c r="H11" s="322">
        <f>(E11-D11)/6</f>
        <v/>
      </c>
      <c r="I11" s="322">
        <f>$G11+$H11</f>
        <v/>
      </c>
      <c r="J11" s="322">
        <f>$G11-$H11</f>
        <v/>
      </c>
      <c r="K11" s="322">
        <f>$G11+(2*$H11)</f>
        <v/>
      </c>
      <c r="L11" s="322">
        <f>$G11-(2*$H11)</f>
        <v/>
      </c>
      <c r="M11" s="322">
        <f>$G11+(3*$H11)</f>
        <v/>
      </c>
      <c r="N11" s="322">
        <f>$G11-(3*$H11)</f>
        <v/>
      </c>
    </row>
    <row r="12" ht="12.5" customHeight="1" s="189">
      <c r="A12" s="319" t="n"/>
      <c r="B12" s="222" t="n"/>
      <c r="C12" s="321" t="n"/>
      <c r="D12" s="321" t="n"/>
      <c r="E12" s="321" t="n"/>
      <c r="F12" s="322">
        <f>(D12+E12+(4*C12))/6</f>
        <v/>
      </c>
      <c r="G12" s="322">
        <f>F12/0.72</f>
        <v/>
      </c>
      <c r="H12" s="322">
        <f>(E12-D12)/6</f>
        <v/>
      </c>
      <c r="I12" s="322">
        <f>$G12+$H12</f>
        <v/>
      </c>
      <c r="J12" s="322">
        <f>$G12-$H12</f>
        <v/>
      </c>
      <c r="K12" s="322">
        <f>$G12+(2*$H12)</f>
        <v/>
      </c>
      <c r="L12" s="322">
        <f>$G12-(2*$H12)</f>
        <v/>
      </c>
      <c r="M12" s="322">
        <f>$G12+(3*$H12)</f>
        <v/>
      </c>
      <c r="N12" s="322">
        <f>$G12-(3*$H12)</f>
        <v/>
      </c>
    </row>
    <row r="13" ht="12.5" customHeight="1" s="189">
      <c r="A13" s="319" t="n"/>
      <c r="B13" s="222" t="n"/>
      <c r="C13" s="321" t="n"/>
      <c r="D13" s="321" t="n"/>
      <c r="E13" s="321" t="n"/>
      <c r="F13" s="322">
        <f>(D13+E13+(4*C13))/6</f>
        <v/>
      </c>
      <c r="G13" s="322">
        <f>F13/0.72</f>
        <v/>
      </c>
      <c r="H13" s="322">
        <f>(E13-D13)/6</f>
        <v/>
      </c>
      <c r="I13" s="322">
        <f>$G13+$H13</f>
        <v/>
      </c>
      <c r="J13" s="322">
        <f>$G13-$H13</f>
        <v/>
      </c>
      <c r="K13" s="322">
        <f>$G13+(2*$H13)</f>
        <v/>
      </c>
      <c r="L13" s="322">
        <f>$G13-(2*$H13)</f>
        <v/>
      </c>
      <c r="M13" s="322">
        <f>$G13+(3*$H13)</f>
        <v/>
      </c>
      <c r="N13" s="322">
        <f>$G13-(3*$H13)</f>
        <v/>
      </c>
    </row>
    <row r="14" ht="12.5" customHeight="1" s="189">
      <c r="A14" s="319" t="n"/>
      <c r="B14" s="222" t="n"/>
      <c r="C14" s="321" t="n"/>
      <c r="D14" s="321" t="n"/>
      <c r="E14" s="321" t="n"/>
      <c r="F14" s="322">
        <f>(D14+E14+(4*C14))/6</f>
        <v/>
      </c>
      <c r="G14" s="322">
        <f>F14/0.72</f>
        <v/>
      </c>
      <c r="H14" s="322">
        <f>(E14-D14)/6</f>
        <v/>
      </c>
      <c r="I14" s="322">
        <f>$G14+$H14</f>
        <v/>
      </c>
      <c r="J14" s="322">
        <f>$G14-$H14</f>
        <v/>
      </c>
      <c r="K14" s="322">
        <f>$G14+(2*$H14)</f>
        <v/>
      </c>
      <c r="L14" s="322">
        <f>$G14-(2*$H14)</f>
        <v/>
      </c>
      <c r="M14" s="322">
        <f>$G14+(3*$H14)</f>
        <v/>
      </c>
      <c r="N14" s="322">
        <f>$G14-(3*$H14)</f>
        <v/>
      </c>
    </row>
    <row r="15" ht="12.5" customHeight="1" s="189">
      <c r="A15" s="319" t="n"/>
      <c r="B15" s="222" t="n"/>
      <c r="C15" s="321" t="n"/>
      <c r="D15" s="321" t="n"/>
      <c r="E15" s="321" t="n"/>
      <c r="F15" s="322">
        <f>(D15+E15+(4*C15))/6</f>
        <v/>
      </c>
      <c r="G15" s="322">
        <f>F15/0.72</f>
        <v/>
      </c>
      <c r="H15" s="322">
        <f>(E15-D15)/6</f>
        <v/>
      </c>
      <c r="I15" s="322">
        <f>$G15+$H15</f>
        <v/>
      </c>
      <c r="J15" s="322">
        <f>$G15-$H15</f>
        <v/>
      </c>
      <c r="K15" s="322">
        <f>$G15+(2*$H15)</f>
        <v/>
      </c>
      <c r="L15" s="322">
        <f>$G15-(2*$H15)</f>
        <v/>
      </c>
      <c r="M15" s="322">
        <f>$G15+(3*$H15)</f>
        <v/>
      </c>
      <c r="N15" s="322">
        <f>$G15-(3*$H15)</f>
        <v/>
      </c>
    </row>
    <row r="16" ht="12.5" customHeight="1" s="189">
      <c r="A16" s="319" t="n"/>
      <c r="B16" s="222" t="n"/>
      <c r="C16" s="321" t="n"/>
      <c r="D16" s="321" t="n"/>
      <c r="E16" s="321" t="n"/>
      <c r="F16" s="322">
        <f>(D16+E16+(4*C16))/6</f>
        <v/>
      </c>
      <c r="G16" s="322">
        <f>F16/0.72</f>
        <v/>
      </c>
      <c r="H16" s="322">
        <f>(E16-D16)/6</f>
        <v/>
      </c>
      <c r="I16" s="322">
        <f>$G16+$H16</f>
        <v/>
      </c>
      <c r="J16" s="322">
        <f>$G16-$H16</f>
        <v/>
      </c>
      <c r="K16" s="322">
        <f>$G16+(2*$H16)</f>
        <v/>
      </c>
      <c r="L16" s="322">
        <f>$G16-(2*$H16)</f>
        <v/>
      </c>
      <c r="M16" s="322">
        <f>$G16+(3*$H16)</f>
        <v/>
      </c>
      <c r="N16" s="322">
        <f>$G16-(3*$H16)</f>
        <v/>
      </c>
    </row>
    <row r="17" ht="12.5" customHeight="1" s="189">
      <c r="A17" s="319" t="n"/>
      <c r="B17" s="222" t="n"/>
      <c r="C17" s="321" t="n"/>
      <c r="D17" s="321" t="n"/>
      <c r="E17" s="321" t="n"/>
      <c r="F17" s="322">
        <f>(D17+E17+(4*C17))/6</f>
        <v/>
      </c>
      <c r="G17" s="322">
        <f>F17/0.72</f>
        <v/>
      </c>
      <c r="H17" s="322">
        <f>(E17-D17)/6</f>
        <v/>
      </c>
      <c r="I17" s="322">
        <f>$G17+$H17</f>
        <v/>
      </c>
      <c r="J17" s="322">
        <f>$G17-$H17</f>
        <v/>
      </c>
      <c r="K17" s="322">
        <f>$G17+(2*$H17)</f>
        <v/>
      </c>
      <c r="L17" s="322">
        <f>$G17-(2*$H17)</f>
        <v/>
      </c>
      <c r="M17" s="322">
        <f>$G17+(3*$H17)</f>
        <v/>
      </c>
      <c r="N17" s="322">
        <f>$G17-(3*$H17)</f>
        <v/>
      </c>
    </row>
    <row r="18" ht="12.5" customHeight="1" s="189">
      <c r="A18" s="319" t="n"/>
      <c r="B18" s="222" t="n"/>
      <c r="C18" s="321" t="n"/>
      <c r="D18" s="321" t="n"/>
      <c r="E18" s="321" t="n"/>
      <c r="F18" s="322">
        <f>(D18+E18+(4*C18))/6</f>
        <v/>
      </c>
      <c r="G18" s="322">
        <f>F18/0.72</f>
        <v/>
      </c>
      <c r="H18" s="322">
        <f>(E18-D18)/6</f>
        <v/>
      </c>
      <c r="I18" s="322">
        <f>$G18+$H18</f>
        <v/>
      </c>
      <c r="J18" s="322">
        <f>$G18-$H18</f>
        <v/>
      </c>
      <c r="K18" s="322">
        <f>$G18+(2*$H18)</f>
        <v/>
      </c>
      <c r="L18" s="322">
        <f>$G18-(2*$H18)</f>
        <v/>
      </c>
      <c r="M18" s="322">
        <f>$G18+(3*$H18)</f>
        <v/>
      </c>
      <c r="N18" s="322">
        <f>$G18-(3*$H18)</f>
        <v/>
      </c>
    </row>
    <row r="19" ht="12.5" customHeight="1" s="189">
      <c r="A19" s="319" t="n"/>
      <c r="B19" s="222" t="n"/>
      <c r="C19" s="321" t="n"/>
      <c r="D19" s="321" t="n"/>
      <c r="E19" s="321" t="n"/>
      <c r="F19" s="322">
        <f>(D19+E19+(4*C19))/6</f>
        <v/>
      </c>
      <c r="G19" s="322">
        <f>F19/0.72</f>
        <v/>
      </c>
      <c r="H19" s="322">
        <f>(E19-D19)/6</f>
        <v/>
      </c>
      <c r="I19" s="322">
        <f>$G19+$H19</f>
        <v/>
      </c>
      <c r="J19" s="322">
        <f>$G19-$H19</f>
        <v/>
      </c>
      <c r="K19" s="322">
        <f>$G19+(2*$H19)</f>
        <v/>
      </c>
      <c r="L19" s="322">
        <f>$G19-(2*$H19)</f>
        <v/>
      </c>
      <c r="M19" s="322">
        <f>$G19+(3*$H19)</f>
        <v/>
      </c>
      <c r="N19" s="322">
        <f>$G19-(3*$H19)</f>
        <v/>
      </c>
    </row>
    <row r="20" ht="12.5" customHeight="1" s="189">
      <c r="A20" s="319" t="n"/>
      <c r="B20" s="222" t="n"/>
      <c r="C20" s="321" t="n"/>
      <c r="D20" s="321" t="n"/>
      <c r="E20" s="321" t="n"/>
      <c r="F20" s="322">
        <f>(D20+E20+(4*C20))/6</f>
        <v/>
      </c>
      <c r="G20" s="322">
        <f>F20/0.72</f>
        <v/>
      </c>
      <c r="H20" s="322">
        <f>(E20-D20)/6</f>
        <v/>
      </c>
      <c r="I20" s="322">
        <f>$G20+$H20</f>
        <v/>
      </c>
      <c r="J20" s="322">
        <f>$G20-$H20</f>
        <v/>
      </c>
      <c r="K20" s="322">
        <f>$G20+(2*$H20)</f>
        <v/>
      </c>
      <c r="L20" s="322">
        <f>$G20-(2*$H20)</f>
        <v/>
      </c>
      <c r="M20" s="322">
        <f>$G20+(3*$H20)</f>
        <v/>
      </c>
      <c r="N20" s="322">
        <f>$G20-(3*$H20)</f>
        <v/>
      </c>
    </row>
    <row r="21" ht="12.5" customHeight="1" s="189">
      <c r="A21" s="319" t="n"/>
      <c r="B21" s="222" t="n"/>
      <c r="C21" s="321" t="n"/>
      <c r="D21" s="321" t="n"/>
      <c r="E21" s="321" t="n"/>
      <c r="F21" s="322">
        <f>(D21+E21+(4*C21))/6</f>
        <v/>
      </c>
      <c r="G21" s="322">
        <f>F21/0.72</f>
        <v/>
      </c>
      <c r="H21" s="322">
        <f>(E21-D21)/6</f>
        <v/>
      </c>
      <c r="I21" s="322">
        <f>$G21+$H21</f>
        <v/>
      </c>
      <c r="J21" s="322">
        <f>$G21-$H21</f>
        <v/>
      </c>
      <c r="K21" s="322">
        <f>$G21+(2*$H21)</f>
        <v/>
      </c>
      <c r="L21" s="322">
        <f>$G21-(2*$H21)</f>
        <v/>
      </c>
      <c r="M21" s="322">
        <f>$G21+(3*$H21)</f>
        <v/>
      </c>
      <c r="N21" s="322">
        <f>$G21-(3*$H21)</f>
        <v/>
      </c>
    </row>
    <row r="22" ht="12.5" customHeight="1" s="189">
      <c r="A22" s="319" t="n"/>
      <c r="B22" s="222" t="n"/>
      <c r="C22" s="321" t="n"/>
      <c r="D22" s="321" t="n"/>
      <c r="E22" s="321" t="n"/>
      <c r="F22" s="322">
        <f>(D22+E22+(4*C22))/6</f>
        <v/>
      </c>
      <c r="G22" s="322">
        <f>F22/0.72</f>
        <v/>
      </c>
      <c r="H22" s="322">
        <f>(E22-D22)/6</f>
        <v/>
      </c>
      <c r="I22" s="322">
        <f>$G22+$H22</f>
        <v/>
      </c>
      <c r="J22" s="322">
        <f>$G22-$H22</f>
        <v/>
      </c>
      <c r="K22" s="322">
        <f>$G22+(2*$H22)</f>
        <v/>
      </c>
      <c r="L22" s="322">
        <f>$G22-(2*$H22)</f>
        <v/>
      </c>
      <c r="M22" s="322">
        <f>$G22+(3*$H22)</f>
        <v/>
      </c>
      <c r="N22" s="322">
        <f>$G22-(3*$H22)</f>
        <v/>
      </c>
    </row>
    <row r="23" ht="12.5" customHeight="1" s="189">
      <c r="A23" s="319" t="n"/>
      <c r="B23" s="222" t="n"/>
      <c r="C23" s="321" t="n"/>
      <c r="D23" s="321" t="n"/>
      <c r="E23" s="321" t="n"/>
      <c r="F23" s="322">
        <f>(D23+E23+(4*C23))/6</f>
        <v/>
      </c>
      <c r="G23" s="322">
        <f>F23/0.72</f>
        <v/>
      </c>
      <c r="H23" s="322">
        <f>(E23-D23)/6</f>
        <v/>
      </c>
      <c r="I23" s="322">
        <f>$G23+$H23</f>
        <v/>
      </c>
      <c r="J23" s="322">
        <f>$G23-$H23</f>
        <v/>
      </c>
      <c r="K23" s="322">
        <f>$G23+(2*$H23)</f>
        <v/>
      </c>
      <c r="L23" s="322">
        <f>$G23-(2*$H23)</f>
        <v/>
      </c>
      <c r="M23" s="322">
        <f>$G23+(3*$H23)</f>
        <v/>
      </c>
      <c r="N23" s="322">
        <f>$G23-(3*$H23)</f>
        <v/>
      </c>
    </row>
    <row r="24" ht="12.5" customHeight="1" s="189">
      <c r="A24" s="319" t="n"/>
      <c r="B24" s="222" t="n"/>
      <c r="C24" s="321" t="n"/>
      <c r="D24" s="321" t="n"/>
      <c r="E24" s="321" t="n"/>
      <c r="F24" s="322">
        <f>(D24+E24+(4*C24))/6</f>
        <v/>
      </c>
      <c r="G24" s="322">
        <f>F24/0.72</f>
        <v/>
      </c>
      <c r="H24" s="322">
        <f>(E24-D24)/6</f>
        <v/>
      </c>
      <c r="I24" s="322">
        <f>$G24+$H24</f>
        <v/>
      </c>
      <c r="J24" s="322">
        <f>$G24-$H24</f>
        <v/>
      </c>
      <c r="K24" s="322">
        <f>$G24+(2*$H24)</f>
        <v/>
      </c>
      <c r="L24" s="322">
        <f>$G24-(2*$H24)</f>
        <v/>
      </c>
      <c r="M24" s="322">
        <f>$G24+(3*$H24)</f>
        <v/>
      </c>
      <c r="N24" s="322">
        <f>$G24-(3*$H24)</f>
        <v/>
      </c>
    </row>
    <row r="25" ht="12.5" customHeight="1" s="189">
      <c r="A25" s="319" t="n"/>
      <c r="B25" s="222" t="n"/>
      <c r="C25" s="321" t="n"/>
      <c r="D25" s="321" t="n"/>
      <c r="E25" s="321" t="n"/>
      <c r="F25" s="322">
        <f>(D25+E25+(4*C25))/6</f>
        <v/>
      </c>
      <c r="G25" s="322">
        <f>F25/0.72</f>
        <v/>
      </c>
      <c r="H25" s="322">
        <f>(E25-D25)/6</f>
        <v/>
      </c>
      <c r="I25" s="322">
        <f>$G25+$H25</f>
        <v/>
      </c>
      <c r="J25" s="322">
        <f>$G25-$H25</f>
        <v/>
      </c>
      <c r="K25" s="322">
        <f>$G25+(2*$H25)</f>
        <v/>
      </c>
      <c r="L25" s="322">
        <f>$G25-(2*$H25)</f>
        <v/>
      </c>
      <c r="M25" s="322">
        <f>$G25+(3*$H25)</f>
        <v/>
      </c>
      <c r="N25" s="322">
        <f>$G25-(3*$H25)</f>
        <v/>
      </c>
    </row>
    <row r="26" ht="12.5" customHeight="1" s="189">
      <c r="A26" s="319" t="n"/>
      <c r="B26" s="222" t="n"/>
      <c r="C26" s="321" t="n"/>
      <c r="D26" s="321" t="n"/>
      <c r="E26" s="321" t="n"/>
      <c r="F26" s="322">
        <f>(D26+E26+(4*C26))/6</f>
        <v/>
      </c>
      <c r="G26" s="322">
        <f>F26/0.72</f>
        <v/>
      </c>
      <c r="H26" s="322">
        <f>(E26-D26)/6</f>
        <v/>
      </c>
      <c r="I26" s="322">
        <f>$G26+$H26</f>
        <v/>
      </c>
      <c r="J26" s="322">
        <f>$G26-$H26</f>
        <v/>
      </c>
      <c r="K26" s="322">
        <f>$G26+(2*$H26)</f>
        <v/>
      </c>
      <c r="L26" s="322">
        <f>$G26-(2*$H26)</f>
        <v/>
      </c>
      <c r="M26" s="322">
        <f>$G26+(3*$H26)</f>
        <v/>
      </c>
      <c r="N26" s="322">
        <f>$G26-(3*$H26)</f>
        <v/>
      </c>
    </row>
    <row r="27" ht="12.5" customHeight="1" s="189">
      <c r="A27" s="319" t="n"/>
      <c r="B27" s="222" t="n"/>
      <c r="C27" s="321" t="n"/>
      <c r="D27" s="321" t="n"/>
      <c r="E27" s="321" t="n"/>
      <c r="F27" s="322">
        <f>(D27+E27+(4*C27))/6</f>
        <v/>
      </c>
      <c r="G27" s="322">
        <f>F27/0.72</f>
        <v/>
      </c>
      <c r="H27" s="322">
        <f>(E27-D27)/6</f>
        <v/>
      </c>
      <c r="I27" s="322">
        <f>$G27+$H27</f>
        <v/>
      </c>
      <c r="J27" s="322">
        <f>$G27-$H27</f>
        <v/>
      </c>
      <c r="K27" s="322">
        <f>$G27+(2*$H27)</f>
        <v/>
      </c>
      <c r="L27" s="322">
        <f>$G27-(2*$H27)</f>
        <v/>
      </c>
      <c r="M27" s="322">
        <f>$G27+(3*$H27)</f>
        <v/>
      </c>
      <c r="N27" s="322">
        <f>$G27-(3*$H27)</f>
        <v/>
      </c>
    </row>
    <row r="28" ht="12.5" customHeight="1" s="189">
      <c r="A28" s="319" t="n"/>
      <c r="B28" s="222" t="n"/>
      <c r="C28" s="321" t="n"/>
      <c r="D28" s="321" t="n"/>
      <c r="E28" s="321" t="n"/>
      <c r="F28" s="322">
        <f>(D28+E28+(4*C28))/6</f>
        <v/>
      </c>
      <c r="G28" s="322">
        <f>F28/0.72</f>
        <v/>
      </c>
      <c r="H28" s="322">
        <f>(E28-D28)/6</f>
        <v/>
      </c>
      <c r="I28" s="322">
        <f>$G28+$H28</f>
        <v/>
      </c>
      <c r="J28" s="322">
        <f>$G28-$H28</f>
        <v/>
      </c>
      <c r="K28" s="322">
        <f>$G28+(2*$H28)</f>
        <v/>
      </c>
      <c r="L28" s="322">
        <f>$G28-(2*$H28)</f>
        <v/>
      </c>
      <c r="M28" s="322">
        <f>$G28+(3*$H28)</f>
        <v/>
      </c>
      <c r="N28" s="322">
        <f>$G28-(3*$H28)</f>
        <v/>
      </c>
    </row>
    <row r="29" ht="12.5" customHeight="1" s="189">
      <c r="A29" s="319" t="n"/>
      <c r="B29" s="222" t="n"/>
      <c r="C29" s="321" t="n"/>
      <c r="D29" s="321" t="n"/>
      <c r="E29" s="321" t="n"/>
      <c r="F29" s="322">
        <f>(D29+E29+(4*C29))/6</f>
        <v/>
      </c>
      <c r="G29" s="322">
        <f>F29/0.72</f>
        <v/>
      </c>
      <c r="H29" s="322">
        <f>(E29-D29)/6</f>
        <v/>
      </c>
      <c r="I29" s="322">
        <f>$G29+$H29</f>
        <v/>
      </c>
      <c r="J29" s="322">
        <f>$G29-$H29</f>
        <v/>
      </c>
      <c r="K29" s="322">
        <f>$G29+(2*$H29)</f>
        <v/>
      </c>
      <c r="L29" s="322">
        <f>$G29-(2*$H29)</f>
        <v/>
      </c>
      <c r="M29" s="322">
        <f>$G29+(3*$H29)</f>
        <v/>
      </c>
      <c r="N29" s="322">
        <f>$G29-(3*$H29)</f>
        <v/>
      </c>
    </row>
    <row r="30" ht="12.5" customHeight="1" s="189">
      <c r="A30" s="319" t="n"/>
      <c r="B30" s="222" t="n"/>
      <c r="C30" s="321" t="n"/>
      <c r="D30" s="321" t="n"/>
      <c r="E30" s="321" t="n"/>
      <c r="F30" s="322">
        <f>(D30+E30+(4*C30))/6</f>
        <v/>
      </c>
      <c r="G30" s="322">
        <f>F30/0.72</f>
        <v/>
      </c>
      <c r="H30" s="322">
        <f>(E30-D30)/6</f>
        <v/>
      </c>
      <c r="I30" s="322">
        <f>$G30+$H30</f>
        <v/>
      </c>
      <c r="J30" s="322">
        <f>$G30-$H30</f>
        <v/>
      </c>
      <c r="K30" s="322">
        <f>$G30+(2*$H30)</f>
        <v/>
      </c>
      <c r="L30" s="322">
        <f>$G30-(2*$H30)</f>
        <v/>
      </c>
      <c r="M30" s="322">
        <f>$G30+(3*$H30)</f>
        <v/>
      </c>
      <c r="N30" s="322">
        <f>$G30-(3*$H30)</f>
        <v/>
      </c>
    </row>
    <row r="31" ht="12.5" customHeight="1" s="189">
      <c r="A31" s="319" t="n"/>
      <c r="B31" s="222" t="n"/>
      <c r="C31" s="321" t="n"/>
      <c r="D31" s="321" t="n"/>
      <c r="E31" s="321" t="n"/>
      <c r="F31" s="322">
        <f>(D31+E31+(4*C31))/6</f>
        <v/>
      </c>
      <c r="G31" s="322">
        <f>F31/0.72</f>
        <v/>
      </c>
      <c r="H31" s="322">
        <f>(E31-D31)/6</f>
        <v/>
      </c>
      <c r="I31" s="322">
        <f>$G31+$H31</f>
        <v/>
      </c>
      <c r="J31" s="322">
        <f>$G31-$H31</f>
        <v/>
      </c>
      <c r="K31" s="322">
        <f>$G31+(2*$H31)</f>
        <v/>
      </c>
      <c r="L31" s="322">
        <f>$G31-(2*$H31)</f>
        <v/>
      </c>
      <c r="M31" s="322">
        <f>$G31+(3*$H31)</f>
        <v/>
      </c>
      <c r="N31" s="322">
        <f>$G31-(3*$H31)</f>
        <v/>
      </c>
    </row>
    <row r="32" ht="12.5" customHeight="1" s="189">
      <c r="A32" s="319" t="n"/>
      <c r="B32" s="222" t="n"/>
      <c r="C32" s="321" t="n"/>
      <c r="D32" s="321" t="n"/>
      <c r="E32" s="321" t="n"/>
      <c r="F32" s="322">
        <f>(D32+E32+(4*C32))/6</f>
        <v/>
      </c>
      <c r="G32" s="322">
        <f>F32/0.72</f>
        <v/>
      </c>
      <c r="H32" s="322">
        <f>(E32-D32)/6</f>
        <v/>
      </c>
      <c r="I32" s="322">
        <f>$G32+$H32</f>
        <v/>
      </c>
      <c r="J32" s="322">
        <f>$G32-$H32</f>
        <v/>
      </c>
      <c r="K32" s="322">
        <f>$G32+(2*$H32)</f>
        <v/>
      </c>
      <c r="L32" s="322">
        <f>$G32-(2*$H32)</f>
        <v/>
      </c>
      <c r="M32" s="322">
        <f>$G32+(3*$H32)</f>
        <v/>
      </c>
      <c r="N32" s="322">
        <f>$G32-(3*$H32)</f>
        <v/>
      </c>
    </row>
    <row r="33" ht="12.5" customHeight="1" s="189">
      <c r="A33" s="319" t="n"/>
      <c r="B33" s="222" t="n"/>
      <c r="C33" s="321" t="n"/>
      <c r="D33" s="321" t="n"/>
      <c r="E33" s="321" t="n"/>
      <c r="F33" s="322">
        <f>(D33+E33+(4*C33))/6</f>
        <v/>
      </c>
      <c r="G33" s="322">
        <f>F33/0.72</f>
        <v/>
      </c>
      <c r="H33" s="322">
        <f>(E33-D33)/6</f>
        <v/>
      </c>
      <c r="I33" s="322">
        <f>$G33+$H33</f>
        <v/>
      </c>
      <c r="J33" s="322">
        <f>$G33-$H33</f>
        <v/>
      </c>
      <c r="K33" s="322">
        <f>$G33+(2*$H33)</f>
        <v/>
      </c>
      <c r="L33" s="322">
        <f>$G33-(2*$H33)</f>
        <v/>
      </c>
      <c r="M33" s="322">
        <f>$G33+(3*$H33)</f>
        <v/>
      </c>
      <c r="N33" s="322">
        <f>$G33-(3*$H33)</f>
        <v/>
      </c>
    </row>
    <row r="34" ht="12.5" customHeight="1" s="189">
      <c r="A34" s="319" t="n"/>
      <c r="B34" s="222" t="n"/>
      <c r="C34" s="321" t="n"/>
      <c r="D34" s="321" t="n"/>
      <c r="E34" s="321" t="n"/>
      <c r="F34" s="322">
        <f>(D34+E34+(4*C34))/6</f>
        <v/>
      </c>
      <c r="G34" s="322">
        <f>F34/0.72</f>
        <v/>
      </c>
      <c r="H34" s="322">
        <f>(E34-D34)/6</f>
        <v/>
      </c>
      <c r="I34" s="322">
        <f>$G34+$H34</f>
        <v/>
      </c>
      <c r="J34" s="322">
        <f>$G34-$H34</f>
        <v/>
      </c>
      <c r="K34" s="322">
        <f>$G34+(2*$H34)</f>
        <v/>
      </c>
      <c r="L34" s="322">
        <f>$G34-(2*$H34)</f>
        <v/>
      </c>
      <c r="M34" s="322">
        <f>$G34+(3*$H34)</f>
        <v/>
      </c>
      <c r="N34" s="322">
        <f>$G34-(3*$H34)</f>
        <v/>
      </c>
    </row>
    <row r="35" ht="12.5" customHeight="1" s="189">
      <c r="A35" s="319" t="n"/>
      <c r="B35" s="222" t="n"/>
      <c r="C35" s="321" t="n"/>
      <c r="D35" s="321" t="n"/>
      <c r="E35" s="321" t="n"/>
      <c r="F35" s="322">
        <f>(D35+E35+(4*C35))/6</f>
        <v/>
      </c>
      <c r="G35" s="322">
        <f>F35/0.72</f>
        <v/>
      </c>
      <c r="H35" s="322">
        <f>(E35-D35)/6</f>
        <v/>
      </c>
      <c r="I35" s="322">
        <f>$G35+$H35</f>
        <v/>
      </c>
      <c r="J35" s="322">
        <f>$G35-$H35</f>
        <v/>
      </c>
      <c r="K35" s="322">
        <f>$G35+(2*$H35)</f>
        <v/>
      </c>
      <c r="L35" s="322">
        <f>$G35-(2*$H35)</f>
        <v/>
      </c>
      <c r="M35" s="322">
        <f>$G35+(3*$H35)</f>
        <v/>
      </c>
      <c r="N35" s="322">
        <f>$G35-(3*$H35)</f>
        <v/>
      </c>
    </row>
    <row r="36" ht="12.5" customHeight="1" s="189">
      <c r="A36" s="319" t="n"/>
      <c r="B36" s="222" t="n"/>
      <c r="C36" s="321" t="n"/>
      <c r="D36" s="321" t="n"/>
      <c r="E36" s="321" t="n"/>
      <c r="F36" s="322">
        <f>(D36+E36+(4*C36))/6</f>
        <v/>
      </c>
      <c r="G36" s="322">
        <f>F36/0.72</f>
        <v/>
      </c>
      <c r="H36" s="322">
        <f>(E36-D36)/6</f>
        <v/>
      </c>
      <c r="I36" s="322">
        <f>$G36+$H36</f>
        <v/>
      </c>
      <c r="J36" s="322">
        <f>$G36-$H36</f>
        <v/>
      </c>
      <c r="K36" s="322">
        <f>$G36+(2*$H36)</f>
        <v/>
      </c>
      <c r="L36" s="322">
        <f>$G36-(2*$H36)</f>
        <v/>
      </c>
      <c r="M36" s="322">
        <f>$G36+(3*$H36)</f>
        <v/>
      </c>
      <c r="N36" s="322">
        <f>$G36-(3*$H36)</f>
        <v/>
      </c>
    </row>
    <row r="37" ht="12.5" customHeight="1" s="189">
      <c r="A37" s="319" t="n"/>
      <c r="B37" s="222" t="n"/>
      <c r="C37" s="321" t="n"/>
      <c r="D37" s="321" t="n"/>
      <c r="E37" s="321" t="n"/>
      <c r="F37" s="322">
        <f>(D37+E37+(4*C37))/6</f>
        <v/>
      </c>
      <c r="G37" s="322">
        <f>F37/0.72</f>
        <v/>
      </c>
      <c r="H37" s="322">
        <f>(E37-D37)/6</f>
        <v/>
      </c>
      <c r="I37" s="322">
        <f>$G37+$H37</f>
        <v/>
      </c>
      <c r="J37" s="322">
        <f>$G37-$H37</f>
        <v/>
      </c>
      <c r="K37" s="322">
        <f>$G37+(2*$H37)</f>
        <v/>
      </c>
      <c r="L37" s="322">
        <f>$G37-(2*$H37)</f>
        <v/>
      </c>
      <c r="M37" s="322">
        <f>$G37+(3*$H37)</f>
        <v/>
      </c>
      <c r="N37" s="322">
        <f>$G37-(3*$H37)</f>
        <v/>
      </c>
    </row>
    <row r="38" ht="12.5" customHeight="1" s="189">
      <c r="A38" s="319" t="n"/>
      <c r="B38" s="222" t="n"/>
      <c r="C38" s="321" t="n"/>
      <c r="D38" s="321" t="n"/>
      <c r="E38" s="321" t="n"/>
      <c r="F38" s="322">
        <f>(D38+E38+(4*C38))/6</f>
        <v/>
      </c>
      <c r="G38" s="322">
        <f>F38/0.72</f>
        <v/>
      </c>
      <c r="H38" s="322">
        <f>(E38-D38)/6</f>
        <v/>
      </c>
      <c r="I38" s="322">
        <f>$G38+$H38</f>
        <v/>
      </c>
      <c r="J38" s="322">
        <f>$G38-$H38</f>
        <v/>
      </c>
      <c r="K38" s="322">
        <f>$G38+(2*$H38)</f>
        <v/>
      </c>
      <c r="L38" s="322">
        <f>$G38-(2*$H38)</f>
        <v/>
      </c>
      <c r="M38" s="322">
        <f>$G38+(3*$H38)</f>
        <v/>
      </c>
      <c r="N38" s="322">
        <f>$G38-(3*$H38)</f>
        <v/>
      </c>
    </row>
    <row r="39" ht="12.5" customHeight="1" s="189">
      <c r="A39" s="319" t="n"/>
      <c r="B39" s="222" t="n"/>
      <c r="C39" s="321" t="n"/>
      <c r="D39" s="321" t="n"/>
      <c r="E39" s="321" t="n"/>
      <c r="F39" s="322">
        <f>(D39+E39+(4*C39))/6</f>
        <v/>
      </c>
      <c r="G39" s="322">
        <f>F39/0.72</f>
        <v/>
      </c>
      <c r="H39" s="322">
        <f>(E39-D39)/6</f>
        <v/>
      </c>
      <c r="I39" s="322">
        <f>$G39+$H39</f>
        <v/>
      </c>
      <c r="J39" s="322">
        <f>$G39-$H39</f>
        <v/>
      </c>
      <c r="K39" s="322">
        <f>$G39+(2*$H39)</f>
        <v/>
      </c>
      <c r="L39" s="322">
        <f>$G39-(2*$H39)</f>
        <v/>
      </c>
      <c r="M39" s="322">
        <f>$G39+(3*$H39)</f>
        <v/>
      </c>
      <c r="N39" s="322">
        <f>$G39-(3*$H39)</f>
        <v/>
      </c>
    </row>
    <row r="40" ht="12.5" customHeight="1" s="189">
      <c r="A40" s="319" t="n"/>
      <c r="B40" s="222" t="n"/>
      <c r="C40" s="321" t="n"/>
      <c r="D40" s="321" t="n"/>
      <c r="E40" s="321" t="n"/>
      <c r="F40" s="322">
        <f>(D40+E40+(4*C40))/6</f>
        <v/>
      </c>
      <c r="G40" s="322">
        <f>F40/0.72</f>
        <v/>
      </c>
      <c r="H40" s="322">
        <f>(E40-D40)/6</f>
        <v/>
      </c>
      <c r="I40" s="322">
        <f>$G40+$H40</f>
        <v/>
      </c>
      <c r="J40" s="322">
        <f>$G40-$H40</f>
        <v/>
      </c>
      <c r="K40" s="322">
        <f>$G40+(2*$H40)</f>
        <v/>
      </c>
      <c r="L40" s="322">
        <f>$G40-(2*$H40)</f>
        <v/>
      </c>
      <c r="M40" s="322">
        <f>$G40+(3*$H40)</f>
        <v/>
      </c>
      <c r="N40" s="322">
        <f>$G40-(3*$H40)</f>
        <v/>
      </c>
    </row>
    <row r="41" ht="12.5" customHeight="1" s="189">
      <c r="A41" s="319" t="n"/>
      <c r="B41" s="222" t="n"/>
      <c r="C41" s="321" t="n"/>
      <c r="D41" s="321" t="n"/>
      <c r="E41" s="321" t="n"/>
      <c r="F41" s="322">
        <f>(D41+E41+(4*C41))/6</f>
        <v/>
      </c>
      <c r="G41" s="322">
        <f>F41/0.72</f>
        <v/>
      </c>
      <c r="H41" s="322">
        <f>(E41-D41)/6</f>
        <v/>
      </c>
      <c r="I41" s="322">
        <f>$G41+$H41</f>
        <v/>
      </c>
      <c r="J41" s="322">
        <f>$G41-$H41</f>
        <v/>
      </c>
      <c r="K41" s="322">
        <f>$G41+(2*$H41)</f>
        <v/>
      </c>
      <c r="L41" s="322">
        <f>$G41-(2*$H41)</f>
        <v/>
      </c>
      <c r="M41" s="322">
        <f>$G41+(3*$H41)</f>
        <v/>
      </c>
      <c r="N41" s="322">
        <f>$G41-(3*$H41)</f>
        <v/>
      </c>
    </row>
    <row r="42" ht="12.5" customHeight="1" s="189">
      <c r="A42" s="319" t="n"/>
      <c r="B42" s="222" t="n"/>
      <c r="C42" s="321" t="n"/>
      <c r="D42" s="321" t="n"/>
      <c r="E42" s="321" t="n"/>
      <c r="F42" s="322">
        <f>(D42+E42+(4*C42))/6</f>
        <v/>
      </c>
      <c r="G42" s="322">
        <f>F42/0.72</f>
        <v/>
      </c>
      <c r="H42" s="322">
        <f>(E42-D42)/6</f>
        <v/>
      </c>
      <c r="I42" s="322">
        <f>$G42+$H42</f>
        <v/>
      </c>
      <c r="J42" s="322">
        <f>$G42-$H42</f>
        <v/>
      </c>
      <c r="K42" s="322">
        <f>$G42+(2*$H42)</f>
        <v/>
      </c>
      <c r="L42" s="322">
        <f>$G42-(2*$H42)</f>
        <v/>
      </c>
      <c r="M42" s="322">
        <f>$G42+(3*$H42)</f>
        <v/>
      </c>
      <c r="N42" s="322">
        <f>$G42-(3*$H42)</f>
        <v/>
      </c>
    </row>
    <row r="43" ht="12.5" customHeight="1" s="189">
      <c r="A43" s="319" t="n"/>
      <c r="B43" s="222" t="n"/>
      <c r="C43" s="321" t="n"/>
      <c r="D43" s="321" t="n"/>
      <c r="E43" s="321" t="n"/>
      <c r="F43" s="322">
        <f>(D43+E43+(4*C43))/6</f>
        <v/>
      </c>
      <c r="G43" s="322">
        <f>F43/0.72</f>
        <v/>
      </c>
      <c r="H43" s="322">
        <f>(E43-D43)/6</f>
        <v/>
      </c>
      <c r="I43" s="322">
        <f>$G43+$H43</f>
        <v/>
      </c>
      <c r="J43" s="322">
        <f>$G43-$H43</f>
        <v/>
      </c>
      <c r="K43" s="322">
        <f>$G43+(2*$H43)</f>
        <v/>
      </c>
      <c r="L43" s="322">
        <f>$G43-(2*$H43)</f>
        <v/>
      </c>
      <c r="M43" s="322">
        <f>$G43+(3*$H43)</f>
        <v/>
      </c>
      <c r="N43" s="322">
        <f>$G43-(3*$H43)</f>
        <v/>
      </c>
    </row>
    <row r="44" ht="12.5" customHeight="1" s="189">
      <c r="A44" s="319" t="n"/>
      <c r="B44" s="222" t="n"/>
      <c r="C44" s="321" t="n"/>
      <c r="D44" s="321" t="n"/>
      <c r="E44" s="321" t="n"/>
      <c r="F44" s="322">
        <f>(D44+E44+(4*C44))/6</f>
        <v/>
      </c>
      <c r="G44" s="322">
        <f>F44/0.72</f>
        <v/>
      </c>
      <c r="H44" s="322">
        <f>(E44-D44)/6</f>
        <v/>
      </c>
      <c r="I44" s="322">
        <f>$G44+$H44</f>
        <v/>
      </c>
      <c r="J44" s="322">
        <f>$G44-$H44</f>
        <v/>
      </c>
      <c r="K44" s="322">
        <f>$G44+(2*$H44)</f>
        <v/>
      </c>
      <c r="L44" s="322">
        <f>$G44-(2*$H44)</f>
        <v/>
      </c>
      <c r="M44" s="322">
        <f>$G44+(3*$H44)</f>
        <v/>
      </c>
      <c r="N44" s="322">
        <f>$G44-(3*$H44)</f>
        <v/>
      </c>
    </row>
    <row r="45" ht="12.5" customHeight="1" s="189">
      <c r="A45" s="319" t="n"/>
      <c r="B45" s="222" t="n"/>
      <c r="C45" s="321" t="n"/>
      <c r="D45" s="321" t="n"/>
      <c r="E45" s="321" t="n"/>
      <c r="F45" s="322">
        <f>(D45+E45+(4*C45))/6</f>
        <v/>
      </c>
      <c r="G45" s="322">
        <f>F45/0.72</f>
        <v/>
      </c>
      <c r="H45" s="322">
        <f>(E45-D45)/6</f>
        <v/>
      </c>
      <c r="I45" s="322">
        <f>$G45+$H45</f>
        <v/>
      </c>
      <c r="J45" s="322">
        <f>$G45-$H45</f>
        <v/>
      </c>
      <c r="K45" s="322">
        <f>$G45+(2*$H45)</f>
        <v/>
      </c>
      <c r="L45" s="322">
        <f>$G45-(2*$H45)</f>
        <v/>
      </c>
      <c r="M45" s="322">
        <f>$G45+(3*$H45)</f>
        <v/>
      </c>
      <c r="N45" s="322">
        <f>$G45-(3*$H45)</f>
        <v/>
      </c>
    </row>
    <row r="46" ht="12.5" customHeight="1" s="189">
      <c r="A46" s="319" t="n"/>
      <c r="B46" s="222" t="n"/>
      <c r="C46" s="321" t="n"/>
      <c r="D46" s="321" t="n"/>
      <c r="E46" s="321" t="n"/>
      <c r="F46" s="322">
        <f>(D46+E46+(4*C46))/6</f>
        <v/>
      </c>
      <c r="G46" s="322">
        <f>F46/0.72</f>
        <v/>
      </c>
      <c r="H46" s="322">
        <f>(E46-D46)/6</f>
        <v/>
      </c>
      <c r="I46" s="322">
        <f>$G46+$H46</f>
        <v/>
      </c>
      <c r="J46" s="322">
        <f>$G46-$H46</f>
        <v/>
      </c>
      <c r="K46" s="322">
        <f>$G46+(2*$H46)</f>
        <v/>
      </c>
      <c r="L46" s="322">
        <f>$G46-(2*$H46)</f>
        <v/>
      </c>
      <c r="M46" s="322">
        <f>$G46+(3*$H46)</f>
        <v/>
      </c>
      <c r="N46" s="322">
        <f>$G46-(3*$H46)</f>
        <v/>
      </c>
    </row>
    <row r="47" ht="12.5" customHeight="1" s="189">
      <c r="A47" s="319" t="n"/>
      <c r="B47" s="222" t="n"/>
      <c r="C47" s="321" t="n"/>
      <c r="D47" s="321" t="n"/>
      <c r="E47" s="321" t="n"/>
      <c r="F47" s="322">
        <f>(D47+E47+(4*C47))/6</f>
        <v/>
      </c>
      <c r="G47" s="322">
        <f>F47/0.72</f>
        <v/>
      </c>
      <c r="H47" s="322">
        <f>(E47-D47)/6</f>
        <v/>
      </c>
      <c r="I47" s="322">
        <f>$G47+$H47</f>
        <v/>
      </c>
      <c r="J47" s="322">
        <f>$G47-$H47</f>
        <v/>
      </c>
      <c r="K47" s="322">
        <f>$G47+(2*$H47)</f>
        <v/>
      </c>
      <c r="L47" s="322">
        <f>$G47-(2*$H47)</f>
        <v/>
      </c>
      <c r="M47" s="322">
        <f>$G47+(3*$H47)</f>
        <v/>
      </c>
      <c r="N47" s="322">
        <f>$G47-(3*$H47)</f>
        <v/>
      </c>
    </row>
    <row r="48" ht="12.5" customHeight="1" s="189">
      <c r="A48" s="319" t="n"/>
      <c r="B48" s="222" t="n"/>
      <c r="C48" s="321" t="n"/>
      <c r="D48" s="321" t="n"/>
      <c r="E48" s="321" t="n"/>
      <c r="F48" s="322">
        <f>(D48+E48+(4*C48))/6</f>
        <v/>
      </c>
      <c r="G48" s="322">
        <f>F48/0.72</f>
        <v/>
      </c>
      <c r="H48" s="322">
        <f>(E48-D48)/6</f>
        <v/>
      </c>
      <c r="I48" s="322">
        <f>$G48+$H48</f>
        <v/>
      </c>
      <c r="J48" s="322">
        <f>$G48-$H48</f>
        <v/>
      </c>
      <c r="K48" s="322">
        <f>$G48+(2*$H48)</f>
        <v/>
      </c>
      <c r="L48" s="322">
        <f>$G48-(2*$H48)</f>
        <v/>
      </c>
      <c r="M48" s="322">
        <f>$G48+(3*$H48)</f>
        <v/>
      </c>
      <c r="N48" s="322">
        <f>$G48-(3*$H48)</f>
        <v/>
      </c>
    </row>
    <row r="49" ht="12.5" customHeight="1" s="189">
      <c r="A49" s="319" t="n"/>
      <c r="B49" s="222" t="n"/>
      <c r="C49" s="321" t="n"/>
      <c r="D49" s="321" t="n"/>
      <c r="E49" s="321" t="n"/>
      <c r="F49" s="322">
        <f>(D49+E49+(4*C49))/6</f>
        <v/>
      </c>
      <c r="G49" s="322">
        <f>F49/0.72</f>
        <v/>
      </c>
      <c r="H49" s="322">
        <f>(E49-D49)/6</f>
        <v/>
      </c>
      <c r="I49" s="322">
        <f>$G49+$H49</f>
        <v/>
      </c>
      <c r="J49" s="322">
        <f>$G49-$H49</f>
        <v/>
      </c>
      <c r="K49" s="322">
        <f>$G49+(2*$H49)</f>
        <v/>
      </c>
      <c r="L49" s="322">
        <f>$G49-(2*$H49)</f>
        <v/>
      </c>
      <c r="M49" s="322">
        <f>$G49+(3*$H49)</f>
        <v/>
      </c>
      <c r="N49" s="322">
        <f>$G49-(3*$H49)</f>
        <v/>
      </c>
    </row>
    <row r="50" ht="12.5" customHeight="1" s="189">
      <c r="A50" s="319" t="n"/>
      <c r="B50" s="222" t="n"/>
      <c r="C50" s="321" t="n"/>
      <c r="D50" s="321" t="n"/>
      <c r="E50" s="321" t="n"/>
      <c r="F50" s="322">
        <f>(D50+E50+(4*C50))/6</f>
        <v/>
      </c>
      <c r="G50" s="322">
        <f>F50/0.72</f>
        <v/>
      </c>
      <c r="H50" s="322">
        <f>(E50-D50)/6</f>
        <v/>
      </c>
      <c r="I50" s="322">
        <f>$G50+$H50</f>
        <v/>
      </c>
      <c r="J50" s="322">
        <f>$G50-$H50</f>
        <v/>
      </c>
      <c r="K50" s="322">
        <f>$G50+(2*$H50)</f>
        <v/>
      </c>
      <c r="L50" s="322">
        <f>$G50-(2*$H50)</f>
        <v/>
      </c>
      <c r="M50" s="322">
        <f>$G50+(3*$H50)</f>
        <v/>
      </c>
      <c r="N50" s="322">
        <f>$G50-(3*$H50)</f>
        <v/>
      </c>
    </row>
    <row r="51" ht="12.5" customHeight="1" s="189">
      <c r="A51" s="319" t="n"/>
      <c r="B51" s="222" t="n"/>
      <c r="C51" s="321" t="n"/>
      <c r="D51" s="321" t="n"/>
      <c r="E51" s="321" t="n"/>
      <c r="F51" s="322">
        <f>(D51+E51+(4*C51))/6</f>
        <v/>
      </c>
      <c r="G51" s="322">
        <f>F51/0.72</f>
        <v/>
      </c>
      <c r="H51" s="322">
        <f>(E51-D51)/6</f>
        <v/>
      </c>
      <c r="I51" s="322">
        <f>$G51+$H51</f>
        <v/>
      </c>
      <c r="J51" s="322">
        <f>$G51-$H51</f>
        <v/>
      </c>
      <c r="K51" s="322">
        <f>$G51+(2*$H51)</f>
        <v/>
      </c>
      <c r="L51" s="322">
        <f>$G51-(2*$H51)</f>
        <v/>
      </c>
      <c r="M51" s="322">
        <f>$G51+(3*$H51)</f>
        <v/>
      </c>
      <c r="N51" s="322">
        <f>$G51-(3*$H51)</f>
        <v/>
      </c>
    </row>
    <row r="52" ht="12.5" customHeight="1" s="189">
      <c r="A52" s="319" t="n"/>
      <c r="B52" s="222" t="n"/>
      <c r="C52" s="321" t="n"/>
      <c r="D52" s="321" t="n"/>
      <c r="E52" s="321" t="n"/>
      <c r="F52" s="322">
        <f>(D52+E52+(4*C52))/6</f>
        <v/>
      </c>
      <c r="G52" s="322">
        <f>F52/0.72</f>
        <v/>
      </c>
      <c r="H52" s="322">
        <f>(E52-D52)/6</f>
        <v/>
      </c>
      <c r="I52" s="322">
        <f>$G52+$H52</f>
        <v/>
      </c>
      <c r="J52" s="322">
        <f>$G52-$H52</f>
        <v/>
      </c>
      <c r="K52" s="322">
        <f>$G52+(2*$H52)</f>
        <v/>
      </c>
      <c r="L52" s="322">
        <f>$G52-(2*$H52)</f>
        <v/>
      </c>
      <c r="M52" s="322">
        <f>$G52+(3*$H52)</f>
        <v/>
      </c>
      <c r="N52" s="322">
        <f>$G52-(3*$H52)</f>
        <v/>
      </c>
    </row>
    <row r="53" ht="12.5" customHeight="1" s="189">
      <c r="A53" s="319" t="n"/>
      <c r="B53" s="222" t="n"/>
      <c r="C53" s="321" t="n"/>
      <c r="D53" s="321" t="n"/>
      <c r="E53" s="321" t="n"/>
      <c r="F53" s="322">
        <f>(D53+E53+(4*C53))/6</f>
        <v/>
      </c>
      <c r="G53" s="322">
        <f>F53/0.72</f>
        <v/>
      </c>
      <c r="H53" s="322">
        <f>(E53-D53)/6</f>
        <v/>
      </c>
      <c r="I53" s="322">
        <f>$G53+$H53</f>
        <v/>
      </c>
      <c r="J53" s="322">
        <f>$G53-$H53</f>
        <v/>
      </c>
      <c r="K53" s="322">
        <f>$G53+(2*$H53)</f>
        <v/>
      </c>
      <c r="L53" s="322">
        <f>$G53-(2*$H53)</f>
        <v/>
      </c>
      <c r="M53" s="322">
        <f>$G53+(3*$H53)</f>
        <v/>
      </c>
      <c r="N53" s="322">
        <f>$G53-(3*$H53)</f>
        <v/>
      </c>
    </row>
    <row r="54" ht="12.5" customHeight="1" s="189">
      <c r="A54" s="319" t="n"/>
      <c r="B54" s="222" t="n"/>
      <c r="C54" s="321" t="n"/>
      <c r="D54" s="321" t="n"/>
      <c r="E54" s="321" t="n"/>
      <c r="F54" s="322">
        <f>(D54+E54+(4*C54))/6</f>
        <v/>
      </c>
      <c r="G54" s="322">
        <f>F54/0.72</f>
        <v/>
      </c>
      <c r="H54" s="322">
        <f>(E54-D54)/6</f>
        <v/>
      </c>
      <c r="I54" s="322">
        <f>$G54+$H54</f>
        <v/>
      </c>
      <c r="J54" s="322">
        <f>$G54-$H54</f>
        <v/>
      </c>
      <c r="K54" s="322">
        <f>$G54+(2*$H54)</f>
        <v/>
      </c>
      <c r="L54" s="322">
        <f>$G54-(2*$H54)</f>
        <v/>
      </c>
      <c r="M54" s="322">
        <f>$G54+(3*$H54)</f>
        <v/>
      </c>
      <c r="N54" s="322">
        <f>$G54-(3*$H54)</f>
        <v/>
      </c>
    </row>
    <row r="55" ht="12.5" customHeight="1" s="189">
      <c r="A55" s="319" t="n"/>
      <c r="B55" s="222" t="n"/>
      <c r="C55" s="321" t="n"/>
      <c r="D55" s="321" t="n"/>
      <c r="E55" s="321" t="n"/>
      <c r="F55" s="322">
        <f>(D55+E55+(4*C55))/6</f>
        <v/>
      </c>
      <c r="G55" s="322">
        <f>F55/0.72</f>
        <v/>
      </c>
      <c r="H55" s="322">
        <f>(E55-D55)/6</f>
        <v/>
      </c>
      <c r="I55" s="322">
        <f>$G55+$H55</f>
        <v/>
      </c>
      <c r="J55" s="322">
        <f>$G55-$H55</f>
        <v/>
      </c>
      <c r="K55" s="322">
        <f>$G55+(2*$H55)</f>
        <v/>
      </c>
      <c r="L55" s="322">
        <f>$G55-(2*$H55)</f>
        <v/>
      </c>
      <c r="M55" s="322">
        <f>$G55+(3*$H55)</f>
        <v/>
      </c>
      <c r="N55" s="322">
        <f>$G55-(3*$H55)</f>
        <v/>
      </c>
    </row>
    <row r="56" ht="12.5" customHeight="1" s="189">
      <c r="A56" s="319" t="n"/>
      <c r="B56" s="222" t="n"/>
      <c r="C56" s="321" t="n"/>
      <c r="D56" s="321" t="n"/>
      <c r="E56" s="321" t="n"/>
      <c r="F56" s="322">
        <f>(D56+E56+(4*C56))/6</f>
        <v/>
      </c>
      <c r="G56" s="322">
        <f>F56/0.72</f>
        <v/>
      </c>
      <c r="H56" s="322">
        <f>(E56-D56)/6</f>
        <v/>
      </c>
      <c r="I56" s="322">
        <f>$G56+$H56</f>
        <v/>
      </c>
      <c r="J56" s="322">
        <f>$G56-$H56</f>
        <v/>
      </c>
      <c r="K56" s="322">
        <f>$G56+(2*$H56)</f>
        <v/>
      </c>
      <c r="L56" s="322">
        <f>$G56-(2*$H56)</f>
        <v/>
      </c>
      <c r="M56" s="322">
        <f>$G56+(3*$H56)</f>
        <v/>
      </c>
      <c r="N56" s="322">
        <f>$G56-(3*$H56)</f>
        <v/>
      </c>
    </row>
    <row r="57" ht="12.5" customHeight="1" s="189">
      <c r="A57" s="319" t="n"/>
      <c r="B57" s="222" t="n"/>
      <c r="C57" s="321" t="n"/>
      <c r="D57" s="321" t="n"/>
      <c r="E57" s="321" t="n"/>
      <c r="F57" s="322">
        <f>(D57+E57+(4*C57))/6</f>
        <v/>
      </c>
      <c r="G57" s="322">
        <f>F57/0.72</f>
        <v/>
      </c>
      <c r="H57" s="322">
        <f>(E57-D57)/6</f>
        <v/>
      </c>
      <c r="I57" s="322">
        <f>$G57+$H57</f>
        <v/>
      </c>
      <c r="J57" s="322">
        <f>$G57-$H57</f>
        <v/>
      </c>
      <c r="K57" s="322">
        <f>$G57+(2*$H57)</f>
        <v/>
      </c>
      <c r="L57" s="322">
        <f>$G57-(2*$H57)</f>
        <v/>
      </c>
      <c r="M57" s="322">
        <f>$G57+(3*$H57)</f>
        <v/>
      </c>
      <c r="N57" s="322">
        <f>$G57-(3*$H57)</f>
        <v/>
      </c>
    </row>
    <row r="58" ht="12.5" customHeight="1" s="189">
      <c r="A58" s="319" t="n"/>
      <c r="B58" s="222" t="n"/>
      <c r="C58" s="321" t="n"/>
      <c r="D58" s="321" t="n"/>
      <c r="E58" s="321" t="n"/>
      <c r="F58" s="322">
        <f>(D58+E58+(4*C58))/6</f>
        <v/>
      </c>
      <c r="G58" s="322">
        <f>F58/0.72</f>
        <v/>
      </c>
      <c r="H58" s="322">
        <f>(E58-D58)/6</f>
        <v/>
      </c>
      <c r="I58" s="322">
        <f>$G58+$H58</f>
        <v/>
      </c>
      <c r="J58" s="322">
        <f>$G58-$H58</f>
        <v/>
      </c>
      <c r="K58" s="322">
        <f>$G58+(2*$H58)</f>
        <v/>
      </c>
      <c r="L58" s="322">
        <f>$G58-(2*$H58)</f>
        <v/>
      </c>
      <c r="M58" s="322">
        <f>$G58+(3*$H58)</f>
        <v/>
      </c>
      <c r="N58" s="322">
        <f>$G58-(3*$H58)</f>
        <v/>
      </c>
    </row>
    <row r="59" ht="12.5" customHeight="1" s="189">
      <c r="A59" s="319" t="n"/>
      <c r="B59" s="222" t="n"/>
      <c r="C59" s="321" t="n"/>
      <c r="D59" s="321" t="n"/>
      <c r="E59" s="321" t="n"/>
      <c r="F59" s="322">
        <f>(D59+E59+(4*C59))/6</f>
        <v/>
      </c>
      <c r="G59" s="322">
        <f>F59/0.72</f>
        <v/>
      </c>
      <c r="H59" s="322">
        <f>(E59-D59)/6</f>
        <v/>
      </c>
      <c r="I59" s="322">
        <f>$G59+$H59</f>
        <v/>
      </c>
      <c r="J59" s="322">
        <f>$G59-$H59</f>
        <v/>
      </c>
      <c r="K59" s="322">
        <f>$G59+(2*$H59)</f>
        <v/>
      </c>
      <c r="L59" s="322">
        <f>$G59-(2*$H59)</f>
        <v/>
      </c>
      <c r="M59" s="322">
        <f>$G59+(3*$H59)</f>
        <v/>
      </c>
      <c r="N59" s="322">
        <f>$G59-(3*$H59)</f>
        <v/>
      </c>
    </row>
    <row r="60" ht="12.5" customHeight="1" s="189">
      <c r="A60" s="319" t="n"/>
      <c r="B60" s="222" t="n"/>
      <c r="C60" s="321" t="n"/>
      <c r="D60" s="321" t="n"/>
      <c r="E60" s="321" t="n"/>
      <c r="F60" s="322">
        <f>(D60+E60+(4*C60))/6</f>
        <v/>
      </c>
      <c r="G60" s="322">
        <f>F60/0.72</f>
        <v/>
      </c>
      <c r="H60" s="322">
        <f>(E60-D60)/6</f>
        <v/>
      </c>
      <c r="I60" s="322">
        <f>$G60+$H60</f>
        <v/>
      </c>
      <c r="J60" s="322">
        <f>$G60-$H60</f>
        <v/>
      </c>
      <c r="K60" s="322">
        <f>$G60+(2*$H60)</f>
        <v/>
      </c>
      <c r="L60" s="322">
        <f>$G60-(2*$H60)</f>
        <v/>
      </c>
      <c r="M60" s="322">
        <f>$G60+(3*$H60)</f>
        <v/>
      </c>
      <c r="N60" s="322">
        <f>$G60-(3*$H60)</f>
        <v/>
      </c>
    </row>
    <row r="61" ht="12.5" customHeight="1" s="189">
      <c r="A61" s="319" t="n"/>
      <c r="B61" s="222" t="n"/>
      <c r="C61" s="321" t="n"/>
      <c r="D61" s="321" t="n"/>
      <c r="E61" s="321" t="n"/>
      <c r="F61" s="322">
        <f>(D61+E61+(4*C61))/6</f>
        <v/>
      </c>
      <c r="G61" s="322">
        <f>F61/0.72</f>
        <v/>
      </c>
      <c r="H61" s="322">
        <f>(E61-D61)/6</f>
        <v/>
      </c>
      <c r="I61" s="322">
        <f>$G61+$H61</f>
        <v/>
      </c>
      <c r="J61" s="322">
        <f>$G61-$H61</f>
        <v/>
      </c>
      <c r="K61" s="322">
        <f>$G61+(2*$H61)</f>
        <v/>
      </c>
      <c r="L61" s="322">
        <f>$G61-(2*$H61)</f>
        <v/>
      </c>
      <c r="M61" s="322">
        <f>$G61+(3*$H61)</f>
        <v/>
      </c>
      <c r="N61" s="322">
        <f>$G61-(3*$H61)</f>
        <v/>
      </c>
    </row>
    <row r="62" ht="12.5" customHeight="1" s="189">
      <c r="A62" s="319" t="n"/>
      <c r="B62" s="222" t="n"/>
      <c r="C62" s="321" t="n"/>
      <c r="D62" s="321" t="n"/>
      <c r="E62" s="321" t="n"/>
      <c r="F62" s="322">
        <f>(D62+E62+(4*C62))/6</f>
        <v/>
      </c>
      <c r="G62" s="322">
        <f>F62/0.72</f>
        <v/>
      </c>
      <c r="H62" s="322">
        <f>(E62-D62)/6</f>
        <v/>
      </c>
      <c r="I62" s="322">
        <f>$G62+$H62</f>
        <v/>
      </c>
      <c r="J62" s="322">
        <f>$G62-$H62</f>
        <v/>
      </c>
      <c r="K62" s="322">
        <f>$G62+(2*$H62)</f>
        <v/>
      </c>
      <c r="L62" s="322">
        <f>$G62-(2*$H62)</f>
        <v/>
      </c>
      <c r="M62" s="322">
        <f>$G62+(3*$H62)</f>
        <v/>
      </c>
      <c r="N62" s="322">
        <f>$G62-(3*$H62)</f>
        <v/>
      </c>
    </row>
    <row r="63" ht="12.5" customHeight="1" s="189">
      <c r="A63" s="319" t="n"/>
      <c r="B63" s="222" t="n"/>
      <c r="C63" s="321" t="n"/>
      <c r="D63" s="321" t="n"/>
      <c r="E63" s="321" t="n"/>
      <c r="F63" s="322">
        <f>(D63+E63+(4*C63))/6</f>
        <v/>
      </c>
      <c r="G63" s="322">
        <f>F63/0.72</f>
        <v/>
      </c>
      <c r="H63" s="322">
        <f>(E63-D63)/6</f>
        <v/>
      </c>
      <c r="I63" s="322">
        <f>$G63+$H63</f>
        <v/>
      </c>
      <c r="J63" s="322">
        <f>$G63-$H63</f>
        <v/>
      </c>
      <c r="K63" s="322">
        <f>$G63+(2*$H63)</f>
        <v/>
      </c>
      <c r="L63" s="322">
        <f>$G63-(2*$H63)</f>
        <v/>
      </c>
      <c r="M63" s="322">
        <f>$G63+(3*$H63)</f>
        <v/>
      </c>
      <c r="N63" s="322">
        <f>$G63-(3*$H63)</f>
        <v/>
      </c>
    </row>
    <row r="64" ht="12.5" customHeight="1" s="189">
      <c r="A64" s="319" t="n"/>
      <c r="B64" s="222" t="n"/>
      <c r="C64" s="321" t="n"/>
      <c r="D64" s="321" t="n"/>
      <c r="E64" s="321" t="n"/>
      <c r="F64" s="322">
        <f>(D64+E64+(4*C64))/6</f>
        <v/>
      </c>
      <c r="G64" s="322">
        <f>F64/0.72</f>
        <v/>
      </c>
      <c r="H64" s="322">
        <f>(E64-D64)/6</f>
        <v/>
      </c>
      <c r="I64" s="322">
        <f>$G64+$H64</f>
        <v/>
      </c>
      <c r="J64" s="322">
        <f>$G64-$H64</f>
        <v/>
      </c>
      <c r="K64" s="322">
        <f>$G64+(2*$H64)</f>
        <v/>
      </c>
      <c r="L64" s="322">
        <f>$G64-(2*$H64)</f>
        <v/>
      </c>
      <c r="M64" s="322">
        <f>$G64+(3*$H64)</f>
        <v/>
      </c>
      <c r="N64" s="322">
        <f>$G64-(3*$H64)</f>
        <v/>
      </c>
    </row>
    <row r="65" ht="12.5" customHeight="1" s="189">
      <c r="A65" s="319" t="n"/>
      <c r="B65" s="222" t="n"/>
      <c r="C65" s="321" t="n"/>
      <c r="D65" s="321" t="n"/>
      <c r="E65" s="321" t="n"/>
      <c r="F65" s="322">
        <f>(D65+E65+(4*C65))/6</f>
        <v/>
      </c>
      <c r="G65" s="322">
        <f>F65/0.72</f>
        <v/>
      </c>
      <c r="H65" s="322">
        <f>(E65-D65)/6</f>
        <v/>
      </c>
      <c r="I65" s="322">
        <f>$G65+$H65</f>
        <v/>
      </c>
      <c r="J65" s="322">
        <f>$G65-$H65</f>
        <v/>
      </c>
      <c r="K65" s="322">
        <f>$G65+(2*$H65)</f>
        <v/>
      </c>
      <c r="L65" s="322">
        <f>$G65-(2*$H65)</f>
        <v/>
      </c>
      <c r="M65" s="322">
        <f>$G65+(3*$H65)</f>
        <v/>
      </c>
      <c r="N65" s="322">
        <f>$G65-(3*$H65)</f>
        <v/>
      </c>
    </row>
    <row r="66" ht="12.5" customHeight="1" s="189">
      <c r="A66" s="319" t="n"/>
      <c r="B66" s="222" t="n"/>
      <c r="C66" s="321" t="n"/>
      <c r="D66" s="321" t="n"/>
      <c r="E66" s="321" t="n"/>
      <c r="F66" s="322">
        <f>(D66+E66+(4*C66))/6</f>
        <v/>
      </c>
      <c r="G66" s="322">
        <f>F66/0.72</f>
        <v/>
      </c>
      <c r="H66" s="322">
        <f>(E66-D66)/6</f>
        <v/>
      </c>
      <c r="I66" s="322">
        <f>$G66+$H66</f>
        <v/>
      </c>
      <c r="J66" s="322">
        <f>$G66-$H66</f>
        <v/>
      </c>
      <c r="K66" s="322">
        <f>$G66+(2*$H66)</f>
        <v/>
      </c>
      <c r="L66" s="322">
        <f>$G66-(2*$H66)</f>
        <v/>
      </c>
      <c r="M66" s="322">
        <f>$G66+(3*$H66)</f>
        <v/>
      </c>
      <c r="N66" s="322">
        <f>$G66-(3*$H66)</f>
        <v/>
      </c>
    </row>
    <row r="67" ht="12.5" customHeight="1" s="189">
      <c r="A67" s="319" t="n"/>
      <c r="B67" s="222" t="n"/>
      <c r="C67" s="321" t="n"/>
      <c r="D67" s="321" t="n"/>
      <c r="E67" s="321" t="n"/>
      <c r="F67" s="322">
        <f>(D67+E67+(4*C67))/6</f>
        <v/>
      </c>
      <c r="G67" s="322">
        <f>F67/0.72</f>
        <v/>
      </c>
      <c r="H67" s="322">
        <f>(E67-D67)/6</f>
        <v/>
      </c>
      <c r="I67" s="322">
        <f>$G67+$H67</f>
        <v/>
      </c>
      <c r="J67" s="322">
        <f>$G67-$H67</f>
        <v/>
      </c>
      <c r="K67" s="322">
        <f>$G67+(2*$H67)</f>
        <v/>
      </c>
      <c r="L67" s="322">
        <f>$G67-(2*$H67)</f>
        <v/>
      </c>
      <c r="M67" s="322">
        <f>$G67+(3*$H67)</f>
        <v/>
      </c>
      <c r="N67" s="322">
        <f>$G67-(3*$H67)</f>
        <v/>
      </c>
    </row>
    <row r="68" ht="12.5" customHeight="1" s="189">
      <c r="A68" s="319" t="n"/>
      <c r="B68" s="222" t="n"/>
      <c r="C68" s="321" t="n"/>
      <c r="D68" s="321" t="n"/>
      <c r="E68" s="321" t="n"/>
      <c r="F68" s="322">
        <f>(D68+E68+(4*C68))/6</f>
        <v/>
      </c>
      <c r="G68" s="322">
        <f>F68/0.72</f>
        <v/>
      </c>
      <c r="H68" s="322">
        <f>(E68-D68)/6</f>
        <v/>
      </c>
      <c r="I68" s="322">
        <f>$G68+$H68</f>
        <v/>
      </c>
      <c r="J68" s="322">
        <f>$G68-$H68</f>
        <v/>
      </c>
      <c r="K68" s="322">
        <f>$G68+(2*$H68)</f>
        <v/>
      </c>
      <c r="L68" s="322">
        <f>$G68-(2*$H68)</f>
        <v/>
      </c>
      <c r="M68" s="322">
        <f>$G68+(3*$H68)</f>
        <v/>
      </c>
      <c r="N68" s="322">
        <f>$G68-(3*$H68)</f>
        <v/>
      </c>
    </row>
    <row r="69" ht="12.5" customHeight="1" s="189">
      <c r="A69" s="319" t="n"/>
      <c r="B69" s="222" t="n"/>
      <c r="C69" s="321" t="n"/>
      <c r="D69" s="321" t="n"/>
      <c r="E69" s="321" t="n"/>
      <c r="F69" s="322">
        <f>(D69+E69+(4*C69))/6</f>
        <v/>
      </c>
      <c r="G69" s="322">
        <f>F69/0.72</f>
        <v/>
      </c>
      <c r="H69" s="322">
        <f>(E69-D69)/6</f>
        <v/>
      </c>
      <c r="I69" s="322">
        <f>$G69+$H69</f>
        <v/>
      </c>
      <c r="J69" s="322">
        <f>$G69-$H69</f>
        <v/>
      </c>
      <c r="K69" s="322">
        <f>$G69+(2*$H69)</f>
        <v/>
      </c>
      <c r="L69" s="322">
        <f>$G69-(2*$H69)</f>
        <v/>
      </c>
      <c r="M69" s="322">
        <f>$G69+(3*$H69)</f>
        <v/>
      </c>
      <c r="N69" s="322">
        <f>$G69-(3*$H69)</f>
        <v/>
      </c>
    </row>
    <row r="70" ht="12.5" customHeight="1" s="189">
      <c r="C70" s="323" t="n"/>
      <c r="D70" s="323" t="n"/>
      <c r="E70" s="323" t="n"/>
      <c r="F70" s="323" t="n"/>
      <c r="G70" s="323" t="n"/>
      <c r="H70" s="323" t="n"/>
      <c r="I70" s="323" t="n"/>
      <c r="J70" s="323" t="n"/>
      <c r="K70" s="323" t="n"/>
      <c r="L70" s="323" t="n"/>
      <c r="M70" s="323" t="n"/>
      <c r="N70" s="323" t="n"/>
    </row>
    <row r="71" ht="12.5" customHeight="1" s="189">
      <c r="C71" s="323" t="n"/>
      <c r="D71" s="323" t="n"/>
      <c r="E71" s="323" t="n"/>
      <c r="F71" s="323" t="n"/>
      <c r="G71" s="323" t="n"/>
      <c r="H71" s="323" t="n"/>
      <c r="I71" s="323" t="n"/>
      <c r="J71" s="323" t="n"/>
      <c r="K71" s="323" t="n"/>
      <c r="L71" s="323" t="n"/>
      <c r="M71" s="323" t="n"/>
      <c r="N71" s="201" t="inlineStr">
        <is>
          <t>© Global Knowledge Training LLC</t>
        </is>
      </c>
    </row>
    <row r="72" ht="12.5" customHeight="1" s="189">
      <c r="C72" s="323" t="n"/>
      <c r="D72" s="323" t="n"/>
      <c r="E72" s="323" t="n"/>
      <c r="F72" s="323" t="n"/>
      <c r="G72" s="323" t="n"/>
      <c r="H72" s="323" t="n"/>
      <c r="I72" s="323" t="n"/>
      <c r="J72" s="323" t="n"/>
      <c r="K72" s="323" t="n"/>
      <c r="L72" s="323" t="n"/>
      <c r="M72" s="323" t="n"/>
      <c r="N72" s="323" t="n"/>
    </row>
    <row r="73" ht="12.5" customHeight="1" s="189">
      <c r="C73" s="323" t="n"/>
      <c r="D73" s="323" t="n"/>
      <c r="E73" s="323" t="n"/>
      <c r="F73" s="323" t="n"/>
      <c r="G73" s="323" t="n"/>
      <c r="H73" s="323" t="n"/>
      <c r="I73" s="323" t="n"/>
      <c r="J73" s="323" t="n"/>
      <c r="K73" s="323" t="n"/>
      <c r="L73" s="323" t="n"/>
      <c r="M73" s="323" t="n"/>
      <c r="N73" s="323" t="n"/>
    </row>
    <row r="74" ht="12.5" customHeight="1" s="189">
      <c r="C74" s="323" t="n"/>
      <c r="D74" s="323" t="n"/>
      <c r="E74" s="323" t="n"/>
      <c r="F74" s="323" t="n"/>
      <c r="G74" s="323" t="n"/>
      <c r="H74" s="323" t="n"/>
      <c r="I74" s="323" t="n"/>
      <c r="J74" s="323" t="n"/>
      <c r="K74" s="323" t="n"/>
      <c r="L74" s="323" t="n"/>
      <c r="M74" s="323" t="n"/>
      <c r="N74" s="323" t="n"/>
    </row>
    <row r="75" ht="12.5" customHeight="1" s="189">
      <c r="C75" s="323" t="n"/>
      <c r="D75" s="323" t="n"/>
      <c r="E75" s="323" t="n"/>
      <c r="F75" s="323" t="n"/>
      <c r="G75" s="323" t="n"/>
      <c r="H75" s="323" t="n"/>
      <c r="I75" s="323" t="n"/>
      <c r="J75" s="323" t="n"/>
      <c r="K75" s="323" t="n"/>
      <c r="L75" s="323" t="n"/>
      <c r="M75" s="323" t="n"/>
      <c r="N75" s="323" t="n"/>
    </row>
    <row r="76" ht="12.5" customHeight="1" s="189">
      <c r="C76" s="323" t="n"/>
      <c r="D76" s="323" t="n"/>
      <c r="E76" s="323" t="n"/>
      <c r="F76" s="323" t="n"/>
      <c r="G76" s="323" t="n"/>
      <c r="H76" s="323" t="n"/>
      <c r="I76" s="323" t="n"/>
      <c r="J76" s="323" t="n"/>
      <c r="K76" s="323" t="n"/>
      <c r="L76" s="323" t="n"/>
      <c r="M76" s="323" t="n"/>
      <c r="N76" s="323" t="n"/>
    </row>
    <row r="77" ht="12.5" customHeight="1" s="189">
      <c r="C77" s="323" t="n"/>
      <c r="D77" s="323" t="n"/>
      <c r="E77" s="323" t="n"/>
      <c r="F77" s="323" t="n"/>
      <c r="G77" s="323" t="n"/>
      <c r="H77" s="323" t="n"/>
      <c r="I77" s="323" t="n"/>
      <c r="J77" s="323" t="n"/>
      <c r="K77" s="323" t="n"/>
      <c r="L77" s="323" t="n"/>
      <c r="M77" s="323" t="n"/>
      <c r="N77" s="323" t="n"/>
    </row>
    <row r="78" ht="12.5" customHeight="1" s="189">
      <c r="C78" s="323" t="n"/>
      <c r="D78" s="323" t="n"/>
      <c r="E78" s="323" t="n"/>
      <c r="F78" s="323" t="n"/>
      <c r="G78" s="323" t="n"/>
      <c r="H78" s="323" t="n"/>
      <c r="I78" s="323" t="n"/>
      <c r="J78" s="323" t="n"/>
      <c r="K78" s="323" t="n"/>
      <c r="L78" s="323" t="n"/>
      <c r="M78" s="323" t="n"/>
      <c r="N78" s="323" t="n"/>
    </row>
    <row r="79" ht="12.5" customHeight="1" s="189">
      <c r="C79" s="323" t="n"/>
      <c r="D79" s="323" t="n"/>
      <c r="E79" s="323" t="n"/>
      <c r="F79" s="323" t="n"/>
      <c r="G79" s="323" t="n"/>
      <c r="H79" s="323" t="n"/>
      <c r="I79" s="323" t="n"/>
      <c r="J79" s="323" t="n"/>
      <c r="K79" s="323" t="n"/>
      <c r="L79" s="323" t="n"/>
      <c r="M79" s="323" t="n"/>
      <c r="N79" s="323" t="n"/>
    </row>
    <row r="80" ht="12.5" customHeight="1" s="189">
      <c r="C80" s="323" t="n"/>
      <c r="D80" s="323" t="n"/>
      <c r="E80" s="323" t="n"/>
      <c r="F80" s="323" t="n"/>
      <c r="G80" s="323" t="n"/>
      <c r="H80" s="323" t="n"/>
      <c r="I80" s="323" t="n"/>
      <c r="J80" s="323" t="n"/>
      <c r="K80" s="323" t="n"/>
      <c r="L80" s="323" t="n"/>
      <c r="M80" s="323" t="n"/>
      <c r="N80" s="323" t="n"/>
    </row>
    <row r="81" ht="12.5" customHeight="1" s="189">
      <c r="C81" s="323" t="n"/>
      <c r="D81" s="323" t="n"/>
      <c r="E81" s="323" t="n"/>
      <c r="F81" s="323" t="n"/>
      <c r="G81" s="323" t="n"/>
      <c r="H81" s="323" t="n"/>
      <c r="I81" s="323" t="n"/>
      <c r="J81" s="323" t="n"/>
      <c r="K81" s="323" t="n"/>
      <c r="L81" s="323" t="n"/>
      <c r="M81" s="323" t="n"/>
      <c r="N81" s="323" t="n"/>
    </row>
    <row r="82" ht="12.5" customHeight="1" s="189">
      <c r="C82" s="323" t="n"/>
      <c r="D82" s="323" t="n"/>
      <c r="E82" s="323" t="n"/>
      <c r="F82" s="323" t="n"/>
      <c r="G82" s="323" t="n"/>
      <c r="H82" s="323" t="n"/>
      <c r="I82" s="323" t="n"/>
      <c r="J82" s="323" t="n"/>
      <c r="K82" s="323" t="n"/>
      <c r="L82" s="323" t="n"/>
      <c r="M82" s="323" t="n"/>
      <c r="N82" s="323" t="n"/>
    </row>
    <row r="83" ht="12.5" customHeight="1" s="189">
      <c r="C83" s="323" t="n"/>
      <c r="D83" s="323" t="n"/>
      <c r="E83" s="323" t="n"/>
      <c r="F83" s="323" t="n"/>
      <c r="G83" s="323" t="n"/>
      <c r="H83" s="323" t="n"/>
      <c r="I83" s="323" t="n"/>
      <c r="J83" s="323" t="n"/>
      <c r="K83" s="323" t="n"/>
      <c r="L83" s="323" t="n"/>
      <c r="M83" s="323" t="n"/>
      <c r="N83" s="323" t="n"/>
    </row>
    <row r="84" ht="12.5" customHeight="1" s="189">
      <c r="C84" s="323" t="n"/>
      <c r="D84" s="323" t="n"/>
      <c r="E84" s="323" t="n"/>
      <c r="F84" s="323" t="n"/>
      <c r="G84" s="323" t="n"/>
      <c r="H84" s="323" t="n"/>
      <c r="I84" s="323" t="n"/>
      <c r="J84" s="323" t="n"/>
      <c r="K84" s="323" t="n"/>
      <c r="L84" s="323" t="n"/>
      <c r="M84" s="323" t="n"/>
      <c r="N84" s="323" t="n"/>
    </row>
    <row r="85" ht="12.5" customHeight="1" s="189">
      <c r="C85" s="323" t="n"/>
      <c r="D85" s="323" t="n"/>
      <c r="E85" s="323" t="n"/>
      <c r="F85" s="323" t="n"/>
      <c r="G85" s="323" t="n"/>
      <c r="H85" s="323" t="n"/>
      <c r="I85" s="323" t="n"/>
      <c r="J85" s="323" t="n"/>
      <c r="K85" s="323" t="n"/>
      <c r="L85" s="323" t="n"/>
      <c r="M85" s="323" t="n"/>
      <c r="N85" s="323" t="n"/>
    </row>
    <row r="86" ht="12.5" customHeight="1" s="189">
      <c r="C86" s="323" t="n"/>
      <c r="D86" s="323" t="n"/>
      <c r="E86" s="323" t="n"/>
      <c r="F86" s="323" t="n"/>
      <c r="G86" s="323" t="n"/>
      <c r="H86" s="323" t="n"/>
      <c r="I86" s="323" t="n"/>
      <c r="J86" s="323" t="n"/>
      <c r="K86" s="323" t="n"/>
      <c r="L86" s="323" t="n"/>
      <c r="M86" s="323" t="n"/>
      <c r="N86" s="323" t="n"/>
    </row>
    <row r="87" ht="12.5" customHeight="1" s="189">
      <c r="C87" s="323" t="n"/>
      <c r="D87" s="323" t="n"/>
      <c r="E87" s="323" t="n"/>
      <c r="F87" s="323" t="n"/>
      <c r="G87" s="323" t="n"/>
      <c r="H87" s="323" t="n"/>
      <c r="I87" s="323" t="n"/>
      <c r="J87" s="323" t="n"/>
      <c r="K87" s="323" t="n"/>
      <c r="L87" s="323" t="n"/>
      <c r="M87" s="323" t="n"/>
      <c r="N87" s="323" t="n"/>
    </row>
    <row r="88" ht="12.5" customHeight="1" s="189">
      <c r="C88" s="323" t="n"/>
      <c r="D88" s="323" t="n"/>
      <c r="E88" s="323" t="n"/>
      <c r="F88" s="323" t="n"/>
      <c r="G88" s="323" t="n"/>
      <c r="H88" s="323" t="n"/>
      <c r="I88" s="323" t="n"/>
      <c r="J88" s="323" t="n"/>
      <c r="K88" s="323" t="n"/>
      <c r="L88" s="323" t="n"/>
      <c r="M88" s="323" t="n"/>
      <c r="N88" s="323" t="n"/>
    </row>
    <row r="89" ht="12.5" customHeight="1" s="189">
      <c r="C89" s="323" t="n"/>
      <c r="D89" s="323" t="n"/>
      <c r="E89" s="323" t="n"/>
      <c r="F89" s="323" t="n"/>
      <c r="G89" s="323" t="n"/>
      <c r="H89" s="323" t="n"/>
      <c r="I89" s="323" t="n"/>
      <c r="J89" s="323" t="n"/>
      <c r="K89" s="323" t="n"/>
      <c r="L89" s="323" t="n"/>
      <c r="M89" s="323" t="n"/>
      <c r="N89" s="323" t="n"/>
    </row>
    <row r="90" ht="12.5" customHeight="1" s="189">
      <c r="C90" s="323" t="n"/>
      <c r="D90" s="323" t="n"/>
      <c r="E90" s="323" t="n"/>
      <c r="F90" s="323" t="n"/>
      <c r="G90" s="323" t="n"/>
      <c r="H90" s="323" t="n"/>
      <c r="I90" s="323" t="n"/>
      <c r="J90" s="323" t="n"/>
      <c r="K90" s="323" t="n"/>
      <c r="L90" s="323" t="n"/>
      <c r="M90" s="323" t="n"/>
      <c r="N90" s="323" t="n"/>
    </row>
    <row r="91" ht="12.5" customHeight="1" s="189">
      <c r="C91" s="323" t="n"/>
      <c r="D91" s="323" t="n"/>
      <c r="E91" s="323" t="n"/>
      <c r="F91" s="323" t="n"/>
      <c r="G91" s="323" t="n"/>
      <c r="H91" s="323" t="n"/>
      <c r="I91" s="323" t="n"/>
      <c r="J91" s="323" t="n"/>
      <c r="K91" s="323" t="n"/>
      <c r="L91" s="323" t="n"/>
      <c r="M91" s="323" t="n"/>
      <c r="N91" s="323" t="n"/>
    </row>
    <row r="92" ht="12.5" customHeight="1" s="189">
      <c r="C92" s="323" t="n"/>
      <c r="D92" s="323" t="n"/>
      <c r="E92" s="323" t="n"/>
      <c r="F92" s="323" t="n"/>
      <c r="G92" s="323" t="n"/>
      <c r="H92" s="323" t="n"/>
      <c r="I92" s="323" t="n"/>
      <c r="J92" s="323" t="n"/>
      <c r="K92" s="323" t="n"/>
      <c r="L92" s="323" t="n"/>
      <c r="M92" s="323" t="n"/>
      <c r="N92" s="323" t="n"/>
    </row>
    <row r="93" ht="12.5" customHeight="1" s="189">
      <c r="C93" s="323" t="n"/>
      <c r="D93" s="323" t="n"/>
      <c r="E93" s="323" t="n"/>
      <c r="F93" s="323" t="n"/>
      <c r="G93" s="323" t="n"/>
      <c r="H93" s="323" t="n"/>
      <c r="I93" s="323" t="n"/>
      <c r="J93" s="323" t="n"/>
      <c r="K93" s="323" t="n"/>
      <c r="L93" s="323" t="n"/>
      <c r="M93" s="323" t="n"/>
      <c r="N93" s="323" t="n"/>
    </row>
    <row r="94" ht="12.5" customHeight="1" s="189">
      <c r="C94" s="323" t="n"/>
      <c r="D94" s="323" t="n"/>
      <c r="E94" s="323" t="n"/>
      <c r="F94" s="323" t="n"/>
      <c r="G94" s="323" t="n"/>
      <c r="H94" s="323" t="n"/>
      <c r="I94" s="323" t="n"/>
      <c r="J94" s="323" t="n"/>
      <c r="K94" s="323" t="n"/>
      <c r="L94" s="323" t="n"/>
      <c r="M94" s="323" t="n"/>
      <c r="N94" s="323" t="n"/>
    </row>
    <row r="95" ht="12.5" customHeight="1" s="189">
      <c r="C95" s="323" t="n"/>
      <c r="D95" s="323" t="n"/>
      <c r="E95" s="323" t="n"/>
      <c r="F95" s="323" t="n"/>
      <c r="G95" s="323" t="n"/>
      <c r="H95" s="323" t="n"/>
      <c r="I95" s="323" t="n"/>
      <c r="J95" s="323" t="n"/>
      <c r="K95" s="323" t="n"/>
      <c r="L95" s="323" t="n"/>
      <c r="M95" s="323" t="n"/>
      <c r="N95" s="323" t="n"/>
    </row>
    <row r="96" ht="12.5" customHeight="1" s="189">
      <c r="C96" s="323" t="n"/>
      <c r="D96" s="323" t="n"/>
      <c r="E96" s="323" t="n"/>
      <c r="F96" s="323" t="n"/>
      <c r="G96" s="323" t="n"/>
      <c r="H96" s="323" t="n"/>
      <c r="I96" s="323" t="n"/>
      <c r="J96" s="323" t="n"/>
      <c r="K96" s="323" t="n"/>
      <c r="L96" s="323" t="n"/>
      <c r="M96" s="323" t="n"/>
      <c r="N96" s="323" t="n"/>
    </row>
    <row r="97" ht="12.5" customHeight="1" s="189">
      <c r="C97" s="323" t="n"/>
      <c r="D97" s="323" t="n"/>
      <c r="E97" s="323" t="n"/>
      <c r="F97" s="323" t="n"/>
      <c r="G97" s="323" t="n"/>
      <c r="H97" s="323" t="n"/>
      <c r="I97" s="323" t="n"/>
      <c r="J97" s="323" t="n"/>
      <c r="K97" s="323" t="n"/>
      <c r="L97" s="323" t="n"/>
      <c r="M97" s="323" t="n"/>
      <c r="N97" s="323" t="n"/>
    </row>
    <row r="98" ht="12.5" customHeight="1" s="189">
      <c r="C98" s="323" t="n"/>
      <c r="D98" s="323" t="n"/>
      <c r="E98" s="323" t="n"/>
      <c r="F98" s="323" t="n"/>
      <c r="G98" s="323" t="n"/>
      <c r="H98" s="323" t="n"/>
      <c r="I98" s="323" t="n"/>
      <c r="J98" s="323" t="n"/>
      <c r="K98" s="323" t="n"/>
      <c r="L98" s="323" t="n"/>
      <c r="M98" s="323" t="n"/>
      <c r="N98" s="323" t="n"/>
    </row>
    <row r="99" ht="12.5" customHeight="1" s="189">
      <c r="C99" s="323" t="n"/>
      <c r="D99" s="323" t="n"/>
      <c r="E99" s="323" t="n"/>
      <c r="F99" s="323" t="n"/>
      <c r="G99" s="323" t="n"/>
      <c r="H99" s="323" t="n"/>
      <c r="I99" s="323" t="n"/>
      <c r="J99" s="323" t="n"/>
      <c r="K99" s="323" t="n"/>
      <c r="L99" s="323" t="n"/>
      <c r="M99" s="323" t="n"/>
      <c r="N99" s="323" t="n"/>
    </row>
    <row r="100" ht="12.5" customHeight="1" s="189">
      <c r="C100" s="323" t="n"/>
      <c r="D100" s="323" t="n"/>
      <c r="E100" s="323" t="n"/>
      <c r="F100" s="323" t="n"/>
      <c r="G100" s="323" t="n"/>
      <c r="H100" s="323" t="n"/>
      <c r="I100" s="323" t="n"/>
      <c r="J100" s="323" t="n"/>
      <c r="K100" s="323" t="n"/>
      <c r="L100" s="323" t="n"/>
      <c r="M100" s="323" t="n"/>
      <c r="N100" s="323" t="n"/>
    </row>
    <row r="101" ht="12.5" customHeight="1" s="189">
      <c r="C101" s="323" t="n"/>
      <c r="D101" s="323" t="n"/>
      <c r="E101" s="323" t="n"/>
      <c r="F101" s="323" t="n"/>
      <c r="G101" s="323" t="n"/>
      <c r="H101" s="323" t="n"/>
      <c r="I101" s="323" t="n"/>
      <c r="J101" s="323" t="n"/>
      <c r="K101" s="323" t="n"/>
      <c r="L101" s="323" t="n"/>
      <c r="M101" s="323" t="n"/>
      <c r="N101" s="323" t="n"/>
    </row>
    <row r="102" ht="12.5" customHeight="1" s="189">
      <c r="C102" s="323" t="n"/>
      <c r="D102" s="323" t="n"/>
      <c r="E102" s="323" t="n"/>
      <c r="F102" s="323" t="n"/>
      <c r="G102" s="323" t="n"/>
      <c r="H102" s="323" t="n"/>
      <c r="I102" s="323" t="n"/>
      <c r="J102" s="323" t="n"/>
      <c r="K102" s="323" t="n"/>
      <c r="L102" s="323" t="n"/>
      <c r="M102" s="323" t="n"/>
      <c r="N102" s="323" t="n"/>
    </row>
    <row r="103" ht="12.5" customHeight="1" s="189">
      <c r="C103" s="323" t="n"/>
      <c r="D103" s="323" t="n"/>
      <c r="E103" s="323" t="n"/>
      <c r="F103" s="323" t="n"/>
      <c r="G103" s="323" t="n"/>
      <c r="H103" s="323" t="n"/>
      <c r="I103" s="323" t="n"/>
      <c r="J103" s="323" t="n"/>
      <c r="K103" s="323" t="n"/>
      <c r="L103" s="323" t="n"/>
      <c r="M103" s="323" t="n"/>
      <c r="N103" s="323" t="n"/>
    </row>
    <row r="104" ht="12.5" customHeight="1" s="189">
      <c r="C104" s="323" t="n"/>
      <c r="D104" s="323" t="n"/>
      <c r="E104" s="323" t="n"/>
      <c r="F104" s="323" t="n"/>
      <c r="G104" s="323" t="n"/>
      <c r="H104" s="323" t="n"/>
      <c r="I104" s="323" t="n"/>
      <c r="J104" s="323" t="n"/>
      <c r="K104" s="323" t="n"/>
      <c r="L104" s="323" t="n"/>
      <c r="M104" s="323" t="n"/>
      <c r="N104" s="323" t="n"/>
    </row>
    <row r="105" ht="12.5" customHeight="1" s="189">
      <c r="C105" s="323" t="n"/>
      <c r="D105" s="323" t="n"/>
      <c r="E105" s="323" t="n"/>
      <c r="F105" s="323" t="n"/>
      <c r="G105" s="323" t="n"/>
      <c r="H105" s="323" t="n"/>
      <c r="I105" s="323" t="n"/>
      <c r="J105" s="323" t="n"/>
      <c r="K105" s="323" t="n"/>
      <c r="L105" s="323" t="n"/>
      <c r="M105" s="323" t="n"/>
      <c r="N105" s="323" t="n"/>
    </row>
    <row r="106" ht="12.5" customHeight="1" s="189">
      <c r="C106" s="323" t="n"/>
      <c r="D106" s="323" t="n"/>
      <c r="E106" s="323" t="n"/>
      <c r="F106" s="323" t="n"/>
      <c r="G106" s="323" t="n"/>
      <c r="H106" s="323" t="n"/>
      <c r="I106" s="323" t="n"/>
      <c r="J106" s="323" t="n"/>
      <c r="K106" s="323" t="n"/>
      <c r="L106" s="323" t="n"/>
      <c r="M106" s="323" t="n"/>
      <c r="N106" s="323" t="n"/>
    </row>
    <row r="107" ht="12.5" customHeight="1" s="189">
      <c r="C107" s="323" t="n"/>
      <c r="D107" s="323" t="n"/>
      <c r="E107" s="323" t="n"/>
      <c r="F107" s="323" t="n"/>
      <c r="G107" s="323" t="n"/>
      <c r="H107" s="323" t="n"/>
      <c r="I107" s="323" t="n"/>
      <c r="J107" s="323" t="n"/>
      <c r="K107" s="323" t="n"/>
      <c r="L107" s="323" t="n"/>
      <c r="M107" s="323" t="n"/>
      <c r="N107" s="323" t="n"/>
    </row>
    <row r="108" ht="12.5" customHeight="1" s="189">
      <c r="C108" s="323" t="n"/>
      <c r="D108" s="323" t="n"/>
      <c r="E108" s="323" t="n"/>
      <c r="F108" s="323" t="n"/>
      <c r="G108" s="323" t="n"/>
      <c r="H108" s="323" t="n"/>
      <c r="I108" s="323" t="n"/>
      <c r="J108" s="323" t="n"/>
      <c r="K108" s="323" t="n"/>
      <c r="L108" s="323" t="n"/>
      <c r="M108" s="323" t="n"/>
      <c r="N108" s="323" t="n"/>
    </row>
    <row r="109" ht="12.5" customHeight="1" s="189">
      <c r="C109" s="323" t="n"/>
      <c r="D109" s="323" t="n"/>
      <c r="E109" s="323" t="n"/>
      <c r="F109" s="323" t="n"/>
      <c r="G109" s="323" t="n"/>
      <c r="H109" s="323" t="n"/>
      <c r="I109" s="323" t="n"/>
      <c r="J109" s="323" t="n"/>
      <c r="K109" s="323" t="n"/>
      <c r="L109" s="323" t="n"/>
      <c r="M109" s="323" t="n"/>
      <c r="N109" s="323" t="n"/>
    </row>
    <row r="110" ht="12.5" customHeight="1" s="189">
      <c r="C110" s="323" t="n"/>
      <c r="D110" s="323" t="n"/>
      <c r="E110" s="323" t="n"/>
      <c r="F110" s="323" t="n"/>
      <c r="G110" s="323" t="n"/>
      <c r="H110" s="323" t="n"/>
      <c r="I110" s="323" t="n"/>
      <c r="J110" s="323" t="n"/>
      <c r="K110" s="323" t="n"/>
      <c r="L110" s="323" t="n"/>
      <c r="M110" s="323" t="n"/>
      <c r="N110" s="323" t="n"/>
    </row>
    <row r="111" ht="12.5" customHeight="1" s="189">
      <c r="C111" s="323" t="n"/>
      <c r="D111" s="323" t="n"/>
      <c r="E111" s="323" t="n"/>
      <c r="F111" s="323" t="n"/>
      <c r="G111" s="323" t="n"/>
      <c r="H111" s="323" t="n"/>
      <c r="I111" s="323" t="n"/>
      <c r="J111" s="323" t="n"/>
      <c r="K111" s="323" t="n"/>
      <c r="L111" s="323" t="n"/>
      <c r="M111" s="323" t="n"/>
      <c r="N111" s="323" t="n"/>
    </row>
    <row r="112" ht="12.5" customHeight="1" s="189">
      <c r="C112" s="323" t="n"/>
      <c r="D112" s="323" t="n"/>
      <c r="E112" s="323" t="n"/>
      <c r="F112" s="323" t="n"/>
      <c r="G112" s="323" t="n"/>
      <c r="H112" s="323" t="n"/>
      <c r="I112" s="323" t="n"/>
      <c r="J112" s="323" t="n"/>
      <c r="K112" s="323" t="n"/>
      <c r="L112" s="323" t="n"/>
      <c r="M112" s="323" t="n"/>
      <c r="N112" s="323" t="n"/>
    </row>
    <row r="113" ht="12.5" customHeight="1" s="189">
      <c r="C113" s="323" t="n"/>
      <c r="D113" s="323" t="n"/>
      <c r="E113" s="323" t="n"/>
      <c r="F113" s="323" t="n"/>
      <c r="G113" s="323" t="n"/>
      <c r="H113" s="323" t="n"/>
      <c r="I113" s="323" t="n"/>
      <c r="J113" s="323" t="n"/>
      <c r="K113" s="323" t="n"/>
      <c r="L113" s="323" t="n"/>
      <c r="M113" s="323" t="n"/>
      <c r="N113" s="323" t="n"/>
    </row>
    <row r="114" ht="12.5" customHeight="1" s="189">
      <c r="C114" s="323" t="n"/>
      <c r="D114" s="323" t="n"/>
      <c r="E114" s="323" t="n"/>
      <c r="F114" s="323" t="n"/>
      <c r="G114" s="323" t="n"/>
      <c r="H114" s="323" t="n"/>
      <c r="I114" s="323" t="n"/>
      <c r="J114" s="323" t="n"/>
      <c r="K114" s="323" t="n"/>
      <c r="L114" s="323" t="n"/>
      <c r="M114" s="323" t="n"/>
      <c r="N114" s="323" t="n"/>
    </row>
    <row r="115" ht="12.5" customHeight="1" s="189">
      <c r="C115" s="323" t="n"/>
      <c r="D115" s="323" t="n"/>
      <c r="E115" s="323" t="n"/>
      <c r="F115" s="323" t="n"/>
      <c r="G115" s="323" t="n"/>
      <c r="H115" s="323" t="n"/>
      <c r="I115" s="323" t="n"/>
      <c r="J115" s="323" t="n"/>
      <c r="K115" s="323" t="n"/>
      <c r="L115" s="323" t="n"/>
      <c r="M115" s="323" t="n"/>
      <c r="N115" s="323" t="n"/>
    </row>
    <row r="116" ht="12.5" customHeight="1" s="189">
      <c r="C116" s="323" t="n"/>
      <c r="D116" s="323" t="n"/>
      <c r="E116" s="323" t="n"/>
      <c r="F116" s="323" t="n"/>
      <c r="G116" s="323" t="n"/>
      <c r="H116" s="323" t="n"/>
      <c r="I116" s="323" t="n"/>
      <c r="J116" s="323" t="n"/>
      <c r="K116" s="323" t="n"/>
      <c r="L116" s="323" t="n"/>
      <c r="M116" s="323" t="n"/>
      <c r="N116" s="323" t="n"/>
    </row>
    <row r="117" ht="12.5" customHeight="1" s="189">
      <c r="C117" s="323" t="n"/>
      <c r="D117" s="323" t="n"/>
      <c r="E117" s="323" t="n"/>
      <c r="F117" s="323" t="n"/>
      <c r="G117" s="323" t="n"/>
      <c r="H117" s="323" t="n"/>
      <c r="I117" s="323" t="n"/>
      <c r="J117" s="323" t="n"/>
      <c r="K117" s="323" t="n"/>
      <c r="L117" s="323" t="n"/>
      <c r="M117" s="323" t="n"/>
      <c r="N117" s="323" t="n"/>
    </row>
    <row r="118" ht="12.5" customHeight="1" s="189">
      <c r="C118" s="323" t="n"/>
      <c r="D118" s="323" t="n"/>
      <c r="E118" s="323" t="n"/>
      <c r="F118" s="323" t="n"/>
      <c r="G118" s="323" t="n"/>
      <c r="H118" s="323" t="n"/>
      <c r="I118" s="323" t="n"/>
      <c r="J118" s="323" t="n"/>
      <c r="K118" s="323" t="n"/>
      <c r="L118" s="323" t="n"/>
      <c r="M118" s="323" t="n"/>
      <c r="N118" s="323" t="n"/>
    </row>
    <row r="119" ht="12.5" customHeight="1" s="189">
      <c r="C119" s="323" t="n"/>
      <c r="D119" s="323" t="n"/>
      <c r="E119" s="323" t="n"/>
      <c r="F119" s="323" t="n"/>
      <c r="G119" s="323" t="n"/>
      <c r="H119" s="323" t="n"/>
      <c r="I119" s="323" t="n"/>
      <c r="J119" s="323" t="n"/>
      <c r="K119" s="323" t="n"/>
      <c r="L119" s="323" t="n"/>
      <c r="M119" s="323" t="n"/>
      <c r="N119" s="323" t="n"/>
    </row>
    <row r="120" ht="12.5" customHeight="1" s="189">
      <c r="C120" s="323" t="n"/>
      <c r="D120" s="323" t="n"/>
      <c r="E120" s="323" t="n"/>
      <c r="F120" s="323" t="n"/>
      <c r="G120" s="323" t="n"/>
      <c r="H120" s="323" t="n"/>
      <c r="I120" s="323" t="n"/>
      <c r="J120" s="323" t="n"/>
      <c r="K120" s="323" t="n"/>
      <c r="L120" s="323" t="n"/>
      <c r="M120" s="323" t="n"/>
      <c r="N120" s="323" t="n"/>
    </row>
    <row r="121" ht="12.5" customHeight="1" s="189">
      <c r="C121" s="323" t="n"/>
      <c r="D121" s="323" t="n"/>
      <c r="E121" s="323" t="n"/>
      <c r="F121" s="323" t="n"/>
      <c r="G121" s="323" t="n"/>
      <c r="H121" s="323" t="n"/>
      <c r="I121" s="323" t="n"/>
      <c r="J121" s="323" t="n"/>
      <c r="K121" s="323" t="n"/>
      <c r="L121" s="323" t="n"/>
      <c r="M121" s="323" t="n"/>
      <c r="N121" s="323" t="n"/>
    </row>
    <row r="122" ht="12.5" customHeight="1" s="189">
      <c r="C122" s="323" t="n"/>
      <c r="D122" s="323" t="n"/>
      <c r="E122" s="323" t="n"/>
      <c r="F122" s="323" t="n"/>
      <c r="G122" s="323" t="n"/>
      <c r="H122" s="323" t="n"/>
      <c r="I122" s="323" t="n"/>
      <c r="J122" s="323" t="n"/>
      <c r="K122" s="323" t="n"/>
      <c r="L122" s="323" t="n"/>
      <c r="M122" s="323" t="n"/>
      <c r="N122" s="323" t="n"/>
    </row>
    <row r="123" ht="12.5" customHeight="1" s="189">
      <c r="C123" s="323" t="n"/>
      <c r="D123" s="323" t="n"/>
      <c r="E123" s="323" t="n"/>
      <c r="F123" s="323" t="n"/>
      <c r="G123" s="323" t="n"/>
      <c r="H123" s="323" t="n"/>
      <c r="I123" s="323" t="n"/>
      <c r="J123" s="323" t="n"/>
      <c r="K123" s="323" t="n"/>
      <c r="L123" s="323" t="n"/>
      <c r="M123" s="323" t="n"/>
      <c r="N123" s="323" t="n"/>
    </row>
    <row r="124" ht="12.5" customHeight="1" s="189">
      <c r="C124" s="323" t="n"/>
      <c r="D124" s="323" t="n"/>
      <c r="E124" s="323" t="n"/>
      <c r="F124" s="323" t="n"/>
      <c r="G124" s="323" t="n"/>
      <c r="H124" s="323" t="n"/>
      <c r="I124" s="323" t="n"/>
      <c r="J124" s="323" t="n"/>
      <c r="K124" s="323" t="n"/>
      <c r="L124" s="323" t="n"/>
      <c r="M124" s="323" t="n"/>
      <c r="N124" s="323" t="n"/>
    </row>
    <row r="125" ht="12.5" customHeight="1" s="189">
      <c r="C125" s="323" t="n"/>
      <c r="D125" s="323" t="n"/>
      <c r="E125" s="323" t="n"/>
      <c r="F125" s="323" t="n"/>
      <c r="G125" s="323" t="n"/>
      <c r="H125" s="323" t="n"/>
      <c r="I125" s="323" t="n"/>
      <c r="J125" s="323" t="n"/>
      <c r="K125" s="323" t="n"/>
      <c r="L125" s="323" t="n"/>
      <c r="M125" s="323" t="n"/>
      <c r="N125" s="323" t="n"/>
    </row>
    <row r="126" ht="12.5" customHeight="1" s="189">
      <c r="C126" s="323" t="n"/>
      <c r="D126" s="323" t="n"/>
      <c r="E126" s="323" t="n"/>
      <c r="F126" s="323" t="n"/>
      <c r="G126" s="323" t="n"/>
      <c r="H126" s="323" t="n"/>
      <c r="I126" s="323" t="n"/>
      <c r="J126" s="323" t="n"/>
      <c r="K126" s="323" t="n"/>
      <c r="L126" s="323" t="n"/>
      <c r="M126" s="323" t="n"/>
      <c r="N126" s="323" t="n"/>
    </row>
    <row r="127" ht="12.5" customHeight="1" s="189">
      <c r="C127" s="323" t="n"/>
      <c r="D127" s="323" t="n"/>
      <c r="E127" s="323" t="n"/>
      <c r="F127" s="323" t="n"/>
      <c r="G127" s="323" t="n"/>
      <c r="H127" s="323" t="n"/>
      <c r="I127" s="323" t="n"/>
      <c r="J127" s="323" t="n"/>
      <c r="K127" s="323" t="n"/>
      <c r="L127" s="323" t="n"/>
      <c r="M127" s="323" t="n"/>
      <c r="N127" s="323" t="n"/>
    </row>
    <row r="128" ht="12.5" customHeight="1" s="189">
      <c r="C128" s="323" t="n"/>
      <c r="D128" s="323" t="n"/>
      <c r="E128" s="323" t="n"/>
      <c r="F128" s="323" t="n"/>
      <c r="G128" s="323" t="n"/>
      <c r="H128" s="323" t="n"/>
      <c r="I128" s="323" t="n"/>
      <c r="J128" s="323" t="n"/>
      <c r="K128" s="323" t="n"/>
      <c r="L128" s="323" t="n"/>
      <c r="M128" s="323" t="n"/>
      <c r="N128" s="323" t="n"/>
    </row>
    <row r="129" ht="12.5" customHeight="1" s="189">
      <c r="C129" s="323" t="n"/>
      <c r="D129" s="323" t="n"/>
      <c r="E129" s="323" t="n"/>
      <c r="F129" s="323" t="n"/>
      <c r="G129" s="323" t="n"/>
      <c r="H129" s="323" t="n"/>
      <c r="I129" s="323" t="n"/>
      <c r="J129" s="323" t="n"/>
      <c r="K129" s="323" t="n"/>
      <c r="L129" s="323" t="n"/>
      <c r="M129" s="323" t="n"/>
      <c r="N129" s="323" t="n"/>
    </row>
    <row r="130" ht="12.5" customHeight="1" s="189">
      <c r="C130" s="323" t="n"/>
      <c r="D130" s="323" t="n"/>
      <c r="E130" s="323" t="n"/>
      <c r="F130" s="323" t="n"/>
      <c r="G130" s="323" t="n"/>
      <c r="H130" s="323" t="n"/>
      <c r="I130" s="323" t="n"/>
      <c r="J130" s="323" t="n"/>
      <c r="K130" s="323" t="n"/>
      <c r="L130" s="323" t="n"/>
      <c r="M130" s="323" t="n"/>
      <c r="N130" s="323" t="n"/>
    </row>
    <row r="131" ht="12.5" customHeight="1" s="189">
      <c r="C131" s="323" t="n"/>
      <c r="D131" s="323" t="n"/>
      <c r="E131" s="323" t="n"/>
      <c r="F131" s="323" t="n"/>
      <c r="G131" s="323" t="n"/>
      <c r="H131" s="323" t="n"/>
      <c r="I131" s="323" t="n"/>
      <c r="J131" s="323" t="n"/>
      <c r="K131" s="323" t="n"/>
      <c r="L131" s="323" t="n"/>
      <c r="M131" s="323" t="n"/>
      <c r="N131" s="323" t="n"/>
    </row>
    <row r="132" ht="12.5" customHeight="1" s="189">
      <c r="C132" s="323" t="n"/>
      <c r="D132" s="323" t="n"/>
      <c r="E132" s="323" t="n"/>
      <c r="F132" s="323" t="n"/>
      <c r="G132" s="323" t="n"/>
      <c r="H132" s="323" t="n"/>
      <c r="I132" s="323" t="n"/>
      <c r="J132" s="323" t="n"/>
      <c r="K132" s="323" t="n"/>
      <c r="L132" s="323" t="n"/>
      <c r="M132" s="323" t="n"/>
      <c r="N132" s="323" t="n"/>
    </row>
    <row r="133" ht="12.5" customHeight="1" s="189">
      <c r="C133" s="323" t="n"/>
      <c r="D133" s="323" t="n"/>
      <c r="E133" s="323" t="n"/>
      <c r="F133" s="323" t="n"/>
      <c r="G133" s="323" t="n"/>
      <c r="H133" s="323" t="n"/>
      <c r="I133" s="323" t="n"/>
      <c r="J133" s="323" t="n"/>
      <c r="K133" s="323" t="n"/>
      <c r="L133" s="323" t="n"/>
      <c r="M133" s="323" t="n"/>
      <c r="N133" s="323" t="n"/>
    </row>
    <row r="134" ht="12.5" customHeight="1" s="189">
      <c r="C134" s="323" t="n"/>
      <c r="D134" s="323" t="n"/>
      <c r="E134" s="323" t="n"/>
      <c r="F134" s="323" t="n"/>
      <c r="G134" s="323" t="n"/>
      <c r="H134" s="323" t="n"/>
      <c r="I134" s="323" t="n"/>
      <c r="J134" s="323" t="n"/>
      <c r="K134" s="323" t="n"/>
      <c r="L134" s="323" t="n"/>
      <c r="M134" s="323" t="n"/>
      <c r="N134" s="323" t="n"/>
    </row>
    <row r="135" ht="12.5" customHeight="1" s="189">
      <c r="C135" s="323" t="n"/>
      <c r="D135" s="323" t="n"/>
      <c r="E135" s="323" t="n"/>
      <c r="F135" s="323" t="n"/>
      <c r="G135" s="323" t="n"/>
      <c r="H135" s="323" t="n"/>
      <c r="I135" s="323" t="n"/>
      <c r="J135" s="323" t="n"/>
      <c r="K135" s="323" t="n"/>
      <c r="L135" s="323" t="n"/>
      <c r="M135" s="323" t="n"/>
      <c r="N135" s="323" t="n"/>
    </row>
    <row r="136" ht="12.5" customHeight="1" s="189">
      <c r="C136" s="323" t="n"/>
      <c r="D136" s="323" t="n"/>
      <c r="E136" s="323" t="n"/>
      <c r="F136" s="323" t="n"/>
      <c r="G136" s="323" t="n"/>
      <c r="H136" s="323" t="n"/>
      <c r="I136" s="323" t="n"/>
      <c r="J136" s="323" t="n"/>
      <c r="K136" s="323" t="n"/>
      <c r="L136" s="323" t="n"/>
      <c r="M136" s="323" t="n"/>
      <c r="N136" s="323" t="n"/>
    </row>
    <row r="137" ht="12.5" customHeight="1" s="189">
      <c r="C137" s="323" t="n"/>
      <c r="D137" s="323" t="n"/>
      <c r="E137" s="323" t="n"/>
      <c r="F137" s="323" t="n"/>
      <c r="G137" s="323" t="n"/>
      <c r="H137" s="323" t="n"/>
      <c r="I137" s="323" t="n"/>
      <c r="J137" s="323" t="n"/>
      <c r="K137" s="323" t="n"/>
      <c r="L137" s="323" t="n"/>
      <c r="M137" s="323" t="n"/>
      <c r="N137" s="323" t="n"/>
    </row>
    <row r="138" ht="12.5" customHeight="1" s="189">
      <c r="C138" s="323" t="n"/>
      <c r="D138" s="323" t="n"/>
      <c r="E138" s="323" t="n"/>
      <c r="F138" s="323" t="n"/>
      <c r="G138" s="323" t="n"/>
      <c r="H138" s="323" t="n"/>
      <c r="I138" s="323" t="n"/>
      <c r="J138" s="323" t="n"/>
      <c r="K138" s="323" t="n"/>
      <c r="L138" s="323" t="n"/>
      <c r="M138" s="323" t="n"/>
      <c r="N138" s="323" t="n"/>
    </row>
    <row r="139" ht="12.5" customHeight="1" s="189">
      <c r="C139" s="323" t="n"/>
      <c r="D139" s="323" t="n"/>
      <c r="E139" s="323" t="n"/>
      <c r="F139" s="323" t="n"/>
      <c r="G139" s="323" t="n"/>
      <c r="H139" s="323" t="n"/>
      <c r="I139" s="323" t="n"/>
      <c r="J139" s="323" t="n"/>
      <c r="K139" s="323" t="n"/>
      <c r="L139" s="323" t="n"/>
      <c r="M139" s="323" t="n"/>
      <c r="N139" s="323" t="n"/>
    </row>
    <row r="140" ht="12.5" customHeight="1" s="189">
      <c r="C140" s="323" t="n"/>
      <c r="D140" s="323" t="n"/>
      <c r="E140" s="323" t="n"/>
      <c r="F140" s="323" t="n"/>
      <c r="G140" s="323" t="n"/>
      <c r="H140" s="323" t="n"/>
      <c r="I140" s="323" t="n"/>
      <c r="J140" s="323" t="n"/>
      <c r="K140" s="323" t="n"/>
      <c r="L140" s="323" t="n"/>
      <c r="M140" s="323" t="n"/>
      <c r="N140" s="323" t="n"/>
    </row>
    <row r="141" ht="12.5" customHeight="1" s="189">
      <c r="C141" s="323" t="n"/>
      <c r="D141" s="323" t="n"/>
      <c r="E141" s="323" t="n"/>
      <c r="F141" s="323" t="n"/>
      <c r="G141" s="323" t="n"/>
      <c r="H141" s="323" t="n"/>
      <c r="I141" s="323" t="n"/>
      <c r="J141" s="323" t="n"/>
      <c r="K141" s="323" t="n"/>
      <c r="L141" s="323" t="n"/>
      <c r="M141" s="323" t="n"/>
      <c r="N141" s="323" t="n"/>
    </row>
    <row r="142" ht="12.5" customHeight="1" s="189">
      <c r="C142" s="323" t="n"/>
      <c r="D142" s="323" t="n"/>
      <c r="E142" s="323" t="n"/>
      <c r="F142" s="323" t="n"/>
      <c r="G142" s="323" t="n"/>
      <c r="H142" s="323" t="n"/>
      <c r="I142" s="323" t="n"/>
      <c r="J142" s="323" t="n"/>
      <c r="K142" s="323" t="n"/>
      <c r="L142" s="323" t="n"/>
      <c r="M142" s="323" t="n"/>
      <c r="N142" s="323" t="n"/>
    </row>
    <row r="143" ht="12.5" customHeight="1" s="189">
      <c r="C143" s="323" t="n"/>
      <c r="D143" s="323" t="n"/>
      <c r="E143" s="323" t="n"/>
      <c r="F143" s="323" t="n"/>
      <c r="G143" s="323" t="n"/>
      <c r="H143" s="323" t="n"/>
      <c r="I143" s="323" t="n"/>
      <c r="J143" s="323" t="n"/>
      <c r="K143" s="323" t="n"/>
      <c r="L143" s="323" t="n"/>
      <c r="M143" s="323" t="n"/>
      <c r="N143" s="323" t="n"/>
    </row>
    <row r="144" ht="12.5" customHeight="1" s="189">
      <c r="C144" s="323" t="n"/>
      <c r="D144" s="323" t="n"/>
      <c r="E144" s="323" t="n"/>
      <c r="F144" s="323" t="n"/>
      <c r="G144" s="323" t="n"/>
      <c r="H144" s="323" t="n"/>
      <c r="I144" s="323" t="n"/>
      <c r="J144" s="323" t="n"/>
      <c r="K144" s="323" t="n"/>
      <c r="L144" s="323" t="n"/>
      <c r="M144" s="323" t="n"/>
      <c r="N144" s="323" t="n"/>
    </row>
    <row r="145" ht="12.5" customHeight="1" s="189">
      <c r="C145" s="323" t="n"/>
      <c r="D145" s="323" t="n"/>
      <c r="E145" s="323" t="n"/>
      <c r="F145" s="323" t="n"/>
      <c r="G145" s="323" t="n"/>
      <c r="H145" s="323" t="n"/>
      <c r="I145" s="323" t="n"/>
      <c r="J145" s="323" t="n"/>
      <c r="K145" s="323" t="n"/>
      <c r="L145" s="323" t="n"/>
      <c r="M145" s="323" t="n"/>
      <c r="N145" s="323" t="n"/>
    </row>
    <row r="146" ht="12.5" customHeight="1" s="189">
      <c r="C146" s="323" t="n"/>
      <c r="D146" s="323" t="n"/>
      <c r="E146" s="323" t="n"/>
      <c r="F146" s="323" t="n"/>
      <c r="G146" s="323" t="n"/>
      <c r="H146" s="323" t="n"/>
      <c r="I146" s="323" t="n"/>
      <c r="J146" s="323" t="n"/>
      <c r="K146" s="323" t="n"/>
      <c r="L146" s="323" t="n"/>
      <c r="M146" s="323" t="n"/>
      <c r="N146" s="323" t="n"/>
    </row>
    <row r="147" ht="12.5" customHeight="1" s="189">
      <c r="C147" s="323" t="n"/>
      <c r="D147" s="323" t="n"/>
      <c r="E147" s="323" t="n"/>
      <c r="F147" s="323" t="n"/>
      <c r="G147" s="323" t="n"/>
      <c r="H147" s="323" t="n"/>
      <c r="I147" s="323" t="n"/>
      <c r="J147" s="323" t="n"/>
      <c r="K147" s="323" t="n"/>
      <c r="L147" s="323" t="n"/>
      <c r="M147" s="323" t="n"/>
      <c r="N147" s="323" t="n"/>
    </row>
    <row r="148" ht="12.5" customHeight="1" s="189">
      <c r="C148" s="323" t="n"/>
      <c r="D148" s="323" t="n"/>
      <c r="E148" s="323" t="n"/>
      <c r="F148" s="323" t="n"/>
      <c r="G148" s="323" t="n"/>
      <c r="H148" s="323" t="n"/>
      <c r="I148" s="323" t="n"/>
      <c r="J148" s="323" t="n"/>
      <c r="K148" s="323" t="n"/>
      <c r="L148" s="323" t="n"/>
      <c r="M148" s="323" t="n"/>
      <c r="N148" s="323" t="n"/>
    </row>
    <row r="149" ht="12.5" customHeight="1" s="189">
      <c r="C149" s="323" t="n"/>
      <c r="D149" s="323" t="n"/>
      <c r="E149" s="323" t="n"/>
      <c r="F149" s="323" t="n"/>
      <c r="G149" s="323" t="n"/>
      <c r="H149" s="323" t="n"/>
      <c r="I149" s="323" t="n"/>
      <c r="J149" s="323" t="n"/>
      <c r="K149" s="323" t="n"/>
      <c r="L149" s="323" t="n"/>
      <c r="M149" s="323" t="n"/>
      <c r="N149" s="323" t="n"/>
    </row>
    <row r="150" ht="12.5" customHeight="1" s="189">
      <c r="C150" s="323" t="n"/>
      <c r="D150" s="323" t="n"/>
      <c r="E150" s="323" t="n"/>
      <c r="F150" s="323" t="n"/>
      <c r="G150" s="323" t="n"/>
      <c r="H150" s="323" t="n"/>
      <c r="I150" s="323" t="n"/>
      <c r="J150" s="323" t="n"/>
      <c r="K150" s="323" t="n"/>
      <c r="L150" s="323" t="n"/>
      <c r="M150" s="323" t="n"/>
      <c r="N150" s="323" t="n"/>
    </row>
    <row r="151" ht="12.5" customHeight="1" s="189">
      <c r="C151" s="323" t="n"/>
      <c r="D151" s="323" t="n"/>
      <c r="E151" s="323" t="n"/>
      <c r="F151" s="323" t="n"/>
      <c r="G151" s="323" t="n"/>
      <c r="H151" s="323" t="n"/>
      <c r="I151" s="323" t="n"/>
      <c r="J151" s="323" t="n"/>
      <c r="K151" s="323" t="n"/>
      <c r="L151" s="323" t="n"/>
      <c r="M151" s="323" t="n"/>
      <c r="N151" s="323" t="n"/>
    </row>
    <row r="152" ht="12.5" customHeight="1" s="189">
      <c r="C152" s="323" t="n"/>
      <c r="D152" s="323" t="n"/>
      <c r="E152" s="323" t="n"/>
      <c r="F152" s="323" t="n"/>
      <c r="G152" s="323" t="n"/>
      <c r="H152" s="323" t="n"/>
      <c r="I152" s="323" t="n"/>
      <c r="J152" s="323" t="n"/>
      <c r="K152" s="323" t="n"/>
      <c r="L152" s="323" t="n"/>
      <c r="M152" s="323" t="n"/>
      <c r="N152" s="323" t="n"/>
    </row>
    <row r="153" ht="12.5" customHeight="1" s="189">
      <c r="C153" s="323" t="n"/>
      <c r="D153" s="323" t="n"/>
      <c r="E153" s="323" t="n"/>
      <c r="F153" s="323" t="n"/>
      <c r="G153" s="323" t="n"/>
      <c r="H153" s="323" t="n"/>
      <c r="I153" s="323" t="n"/>
      <c r="J153" s="323" t="n"/>
      <c r="K153" s="323" t="n"/>
      <c r="L153" s="323" t="n"/>
      <c r="M153" s="323" t="n"/>
      <c r="N153" s="323" t="n"/>
    </row>
    <row r="154" ht="12.5" customHeight="1" s="189">
      <c r="C154" s="323" t="n"/>
      <c r="D154" s="323" t="n"/>
      <c r="E154" s="323" t="n"/>
      <c r="F154" s="323" t="n"/>
      <c r="G154" s="323" t="n"/>
      <c r="H154" s="323" t="n"/>
      <c r="I154" s="323" t="n"/>
      <c r="J154" s="323" t="n"/>
      <c r="K154" s="323" t="n"/>
      <c r="L154" s="323" t="n"/>
      <c r="M154" s="323" t="n"/>
      <c r="N154" s="323" t="n"/>
    </row>
    <row r="155" ht="12.5" customHeight="1" s="189">
      <c r="C155" s="323" t="n"/>
      <c r="D155" s="323" t="n"/>
      <c r="E155" s="323" t="n"/>
      <c r="F155" s="323" t="n"/>
      <c r="G155" s="323" t="n"/>
      <c r="H155" s="323" t="n"/>
      <c r="I155" s="323" t="n"/>
      <c r="J155" s="323" t="n"/>
      <c r="K155" s="323" t="n"/>
      <c r="L155" s="323" t="n"/>
      <c r="M155" s="323" t="n"/>
      <c r="N155" s="323" t="n"/>
    </row>
    <row r="156" ht="12.5" customHeight="1" s="189">
      <c r="C156" s="323" t="n"/>
      <c r="D156" s="323" t="n"/>
      <c r="E156" s="323" t="n"/>
      <c r="F156" s="323" t="n"/>
      <c r="G156" s="323" t="n"/>
      <c r="H156" s="323" t="n"/>
      <c r="I156" s="323" t="n"/>
      <c r="J156" s="323" t="n"/>
      <c r="K156" s="323" t="n"/>
      <c r="L156" s="323" t="n"/>
      <c r="M156" s="323" t="n"/>
      <c r="N156" s="323" t="n"/>
    </row>
    <row r="157" ht="12.5" customHeight="1" s="189">
      <c r="C157" s="323" t="n"/>
      <c r="D157" s="323" t="n"/>
      <c r="E157" s="323" t="n"/>
      <c r="F157" s="323" t="n"/>
      <c r="G157" s="323" t="n"/>
      <c r="H157" s="323" t="n"/>
      <c r="I157" s="323" t="n"/>
      <c r="J157" s="323" t="n"/>
      <c r="K157" s="323" t="n"/>
      <c r="L157" s="323" t="n"/>
      <c r="M157" s="323" t="n"/>
      <c r="N157" s="323" t="n"/>
    </row>
    <row r="158" ht="12.5" customHeight="1" s="189">
      <c r="C158" s="323" t="n"/>
      <c r="D158" s="323" t="n"/>
      <c r="E158" s="323" t="n"/>
      <c r="F158" s="323" t="n"/>
      <c r="G158" s="323" t="n"/>
      <c r="H158" s="323" t="n"/>
      <c r="I158" s="323" t="n"/>
      <c r="J158" s="323" t="n"/>
      <c r="K158" s="323" t="n"/>
      <c r="L158" s="323" t="n"/>
      <c r="M158" s="323" t="n"/>
      <c r="N158" s="323" t="n"/>
    </row>
    <row r="159" ht="12.5" customHeight="1" s="189">
      <c r="C159" s="323" t="n"/>
      <c r="D159" s="323" t="n"/>
      <c r="E159" s="323" t="n"/>
      <c r="F159" s="323" t="n"/>
      <c r="G159" s="323" t="n"/>
      <c r="H159" s="323" t="n"/>
      <c r="I159" s="323" t="n"/>
      <c r="J159" s="323" t="n"/>
      <c r="K159" s="323" t="n"/>
      <c r="L159" s="323" t="n"/>
      <c r="M159" s="323" t="n"/>
      <c r="N159" s="323" t="n"/>
    </row>
    <row r="160" ht="12.5" customHeight="1" s="189">
      <c r="C160" s="323" t="n"/>
      <c r="D160" s="323" t="n"/>
      <c r="E160" s="323" t="n"/>
      <c r="F160" s="323" t="n"/>
      <c r="G160" s="323" t="n"/>
      <c r="H160" s="323" t="n"/>
      <c r="I160" s="323" t="n"/>
      <c r="J160" s="323" t="n"/>
      <c r="K160" s="323" t="n"/>
      <c r="L160" s="323" t="n"/>
      <c r="M160" s="323" t="n"/>
      <c r="N160" s="323" t="n"/>
    </row>
    <row r="161" ht="12.5" customHeight="1" s="189">
      <c r="C161" s="323" t="n"/>
      <c r="D161" s="323" t="n"/>
      <c r="E161" s="323" t="n"/>
      <c r="F161" s="323" t="n"/>
      <c r="G161" s="323" t="n"/>
      <c r="H161" s="323" t="n"/>
      <c r="I161" s="323" t="n"/>
      <c r="J161" s="323" t="n"/>
      <c r="K161" s="323" t="n"/>
      <c r="L161" s="323" t="n"/>
      <c r="M161" s="323" t="n"/>
      <c r="N161" s="323" t="n"/>
    </row>
    <row r="162" ht="12.5" customHeight="1" s="189">
      <c r="C162" s="323" t="n"/>
      <c r="D162" s="323" t="n"/>
      <c r="E162" s="323" t="n"/>
      <c r="F162" s="323" t="n"/>
      <c r="G162" s="323" t="n"/>
      <c r="H162" s="323" t="n"/>
      <c r="I162" s="323" t="n"/>
      <c r="J162" s="323" t="n"/>
      <c r="K162" s="323" t="n"/>
      <c r="L162" s="323" t="n"/>
      <c r="M162" s="323" t="n"/>
      <c r="N162" s="323" t="n"/>
    </row>
    <row r="163" ht="12.5" customHeight="1" s="189">
      <c r="C163" s="323" t="n"/>
      <c r="D163" s="323" t="n"/>
      <c r="E163" s="323" t="n"/>
      <c r="F163" s="323" t="n"/>
      <c r="G163" s="323" t="n"/>
      <c r="H163" s="323" t="n"/>
      <c r="I163" s="323" t="n"/>
      <c r="J163" s="323" t="n"/>
      <c r="K163" s="323" t="n"/>
      <c r="L163" s="323" t="n"/>
      <c r="M163" s="323" t="n"/>
      <c r="N163" s="323" t="n"/>
    </row>
    <row r="164" ht="12.5" customHeight="1" s="189">
      <c r="C164" s="323" t="n"/>
      <c r="D164" s="323" t="n"/>
      <c r="E164" s="323" t="n"/>
      <c r="F164" s="323" t="n"/>
      <c r="G164" s="323" t="n"/>
      <c r="H164" s="323" t="n"/>
      <c r="I164" s="323" t="n"/>
      <c r="J164" s="323" t="n"/>
      <c r="K164" s="323" t="n"/>
      <c r="L164" s="323" t="n"/>
      <c r="M164" s="323" t="n"/>
      <c r="N164" s="323" t="n"/>
    </row>
    <row r="165" ht="12.5" customHeight="1" s="189">
      <c r="C165" s="323" t="n"/>
      <c r="D165" s="323" t="n"/>
      <c r="E165" s="323" t="n"/>
      <c r="F165" s="323" t="n"/>
      <c r="G165" s="323" t="n"/>
      <c r="H165" s="323" t="n"/>
      <c r="I165" s="323" t="n"/>
      <c r="J165" s="323" t="n"/>
      <c r="K165" s="323" t="n"/>
      <c r="L165" s="323" t="n"/>
      <c r="M165" s="323" t="n"/>
      <c r="N165" s="323" t="n"/>
    </row>
    <row r="166" ht="12.5" customHeight="1" s="189">
      <c r="C166" s="323" t="n"/>
      <c r="D166" s="323" t="n"/>
      <c r="E166" s="323" t="n"/>
      <c r="F166" s="323" t="n"/>
      <c r="G166" s="323" t="n"/>
      <c r="H166" s="323" t="n"/>
      <c r="I166" s="323" t="n"/>
      <c r="J166" s="323" t="n"/>
      <c r="K166" s="323" t="n"/>
      <c r="L166" s="323" t="n"/>
      <c r="M166" s="323" t="n"/>
      <c r="N166" s="323" t="n"/>
    </row>
    <row r="167" ht="12.5" customHeight="1" s="189">
      <c r="C167" s="323" t="n"/>
      <c r="D167" s="323" t="n"/>
      <c r="E167" s="323" t="n"/>
      <c r="F167" s="323" t="n"/>
      <c r="G167" s="323" t="n"/>
      <c r="H167" s="323" t="n"/>
      <c r="I167" s="323" t="n"/>
      <c r="J167" s="323" t="n"/>
      <c r="K167" s="323" t="n"/>
      <c r="L167" s="323" t="n"/>
      <c r="M167" s="323" t="n"/>
      <c r="N167" s="323" t="n"/>
    </row>
    <row r="168" ht="12.5" customHeight="1" s="189">
      <c r="C168" s="323" t="n"/>
      <c r="D168" s="323" t="n"/>
      <c r="E168" s="323" t="n"/>
      <c r="F168" s="323" t="n"/>
      <c r="G168" s="323" t="n"/>
      <c r="H168" s="323" t="n"/>
      <c r="I168" s="323" t="n"/>
      <c r="J168" s="323" t="n"/>
      <c r="K168" s="323" t="n"/>
      <c r="L168" s="323" t="n"/>
      <c r="M168" s="323" t="n"/>
      <c r="N168" s="323" t="n"/>
    </row>
    <row r="169" ht="12.5" customHeight="1" s="189">
      <c r="C169" s="323" t="n"/>
      <c r="D169" s="323" t="n"/>
      <c r="E169" s="323" t="n"/>
      <c r="F169" s="323" t="n"/>
      <c r="G169" s="323" t="n"/>
      <c r="H169" s="323" t="n"/>
      <c r="I169" s="323" t="n"/>
      <c r="J169" s="323" t="n"/>
      <c r="K169" s="323" t="n"/>
      <c r="L169" s="323" t="n"/>
      <c r="M169" s="323" t="n"/>
      <c r="N169" s="323" t="n"/>
    </row>
    <row r="170" ht="12.5" customHeight="1" s="189">
      <c r="C170" s="323" t="n"/>
      <c r="D170" s="323" t="n"/>
      <c r="E170" s="323" t="n"/>
      <c r="F170" s="323" t="n"/>
      <c r="G170" s="323" t="n"/>
      <c r="H170" s="323" t="n"/>
      <c r="I170" s="323" t="n"/>
      <c r="J170" s="323" t="n"/>
      <c r="K170" s="323" t="n"/>
      <c r="L170" s="323" t="n"/>
      <c r="M170" s="323" t="n"/>
      <c r="N170" s="323" t="n"/>
    </row>
    <row r="171" ht="12.5" customHeight="1" s="189">
      <c r="C171" s="323" t="n"/>
      <c r="D171" s="323" t="n"/>
      <c r="E171" s="323" t="n"/>
      <c r="F171" s="323" t="n"/>
      <c r="G171" s="323" t="n"/>
      <c r="H171" s="323" t="n"/>
      <c r="I171" s="323" t="n"/>
      <c r="J171" s="323" t="n"/>
      <c r="K171" s="323" t="n"/>
      <c r="L171" s="323" t="n"/>
      <c r="M171" s="323" t="n"/>
      <c r="N171" s="323" t="n"/>
    </row>
    <row r="172" ht="12.5" customHeight="1" s="189">
      <c r="C172" s="323" t="n"/>
      <c r="D172" s="323" t="n"/>
      <c r="E172" s="323" t="n"/>
      <c r="F172" s="323" t="n"/>
      <c r="G172" s="323" t="n"/>
      <c r="H172" s="323" t="n"/>
      <c r="I172" s="323" t="n"/>
      <c r="J172" s="323" t="n"/>
      <c r="K172" s="323" t="n"/>
      <c r="L172" s="323" t="n"/>
      <c r="M172" s="323" t="n"/>
      <c r="N172" s="323" t="n"/>
    </row>
    <row r="173" ht="12.5" customHeight="1" s="189">
      <c r="C173" s="323" t="n"/>
      <c r="D173" s="323" t="n"/>
      <c r="E173" s="323" t="n"/>
      <c r="F173" s="323" t="n"/>
      <c r="G173" s="323" t="n"/>
      <c r="H173" s="323" t="n"/>
      <c r="I173" s="323" t="n"/>
      <c r="J173" s="323" t="n"/>
      <c r="K173" s="323" t="n"/>
      <c r="L173" s="323" t="n"/>
      <c r="M173" s="323" t="n"/>
      <c r="N173" s="323" t="n"/>
    </row>
    <row r="174" ht="12.5" customHeight="1" s="189">
      <c r="C174" s="323" t="n"/>
      <c r="D174" s="323" t="n"/>
      <c r="E174" s="323" t="n"/>
      <c r="F174" s="323" t="n"/>
      <c r="G174" s="323" t="n"/>
      <c r="H174" s="323" t="n"/>
      <c r="I174" s="323" t="n"/>
      <c r="J174" s="323" t="n"/>
      <c r="K174" s="323" t="n"/>
      <c r="L174" s="323" t="n"/>
      <c r="M174" s="323" t="n"/>
      <c r="N174" s="323" t="n"/>
    </row>
    <row r="175" ht="12.5" customHeight="1" s="189">
      <c r="C175" s="323" t="n"/>
      <c r="D175" s="323" t="n"/>
      <c r="E175" s="323" t="n"/>
      <c r="F175" s="323" t="n"/>
      <c r="G175" s="323" t="n"/>
      <c r="H175" s="323" t="n"/>
      <c r="I175" s="323" t="n"/>
      <c r="J175" s="323" t="n"/>
      <c r="K175" s="323" t="n"/>
      <c r="L175" s="323" t="n"/>
      <c r="M175" s="323" t="n"/>
      <c r="N175" s="323" t="n"/>
    </row>
    <row r="176" ht="12.5" customHeight="1" s="189">
      <c r="C176" s="323" t="n"/>
      <c r="D176" s="323" t="n"/>
      <c r="E176" s="323" t="n"/>
      <c r="F176" s="323" t="n"/>
      <c r="G176" s="323" t="n"/>
      <c r="H176" s="323" t="n"/>
      <c r="I176" s="323" t="n"/>
      <c r="J176" s="323" t="n"/>
      <c r="K176" s="323" t="n"/>
      <c r="L176" s="323" t="n"/>
      <c r="M176" s="323" t="n"/>
      <c r="N176" s="323" t="n"/>
    </row>
    <row r="177" ht="12.5" customHeight="1" s="189">
      <c r="C177" s="323" t="n"/>
      <c r="D177" s="323" t="n"/>
      <c r="E177" s="323" t="n"/>
      <c r="F177" s="323" t="n"/>
      <c r="G177" s="323" t="n"/>
      <c r="H177" s="323" t="n"/>
      <c r="I177" s="323" t="n"/>
      <c r="J177" s="323" t="n"/>
      <c r="K177" s="323" t="n"/>
      <c r="L177" s="323" t="n"/>
      <c r="M177" s="323" t="n"/>
      <c r="N177" s="323" t="n"/>
    </row>
    <row r="178" ht="12.5" customHeight="1" s="189">
      <c r="C178" s="323" t="n"/>
      <c r="D178" s="323" t="n"/>
      <c r="E178" s="323" t="n"/>
      <c r="F178" s="323" t="n"/>
      <c r="G178" s="323" t="n"/>
      <c r="H178" s="323" t="n"/>
      <c r="I178" s="323" t="n"/>
      <c r="J178" s="323" t="n"/>
      <c r="K178" s="323" t="n"/>
      <c r="L178" s="323" t="n"/>
      <c r="M178" s="323" t="n"/>
      <c r="N178" s="323" t="n"/>
    </row>
    <row r="179" ht="12.5" customHeight="1" s="189">
      <c r="C179" s="323" t="n"/>
      <c r="D179" s="323" t="n"/>
      <c r="E179" s="323" t="n"/>
      <c r="F179" s="323" t="n"/>
      <c r="G179" s="323" t="n"/>
      <c r="H179" s="323" t="n"/>
      <c r="I179" s="323" t="n"/>
      <c r="J179" s="323" t="n"/>
      <c r="K179" s="323" t="n"/>
      <c r="L179" s="323" t="n"/>
      <c r="M179" s="323" t="n"/>
      <c r="N179" s="323" t="n"/>
    </row>
    <row r="180" ht="12.5" customHeight="1" s="189">
      <c r="C180" s="323" t="n"/>
      <c r="D180" s="323" t="n"/>
      <c r="E180" s="323" t="n"/>
      <c r="F180" s="323" t="n"/>
      <c r="G180" s="323" t="n"/>
      <c r="H180" s="323" t="n"/>
      <c r="I180" s="323" t="n"/>
      <c r="J180" s="323" t="n"/>
      <c r="K180" s="323" t="n"/>
      <c r="L180" s="323" t="n"/>
      <c r="M180" s="323" t="n"/>
      <c r="N180" s="323" t="n"/>
    </row>
    <row r="181" ht="12.5" customHeight="1" s="189">
      <c r="C181" s="323" t="n"/>
      <c r="D181" s="323" t="n"/>
      <c r="E181" s="323" t="n"/>
      <c r="F181" s="323" t="n"/>
      <c r="G181" s="323" t="n"/>
      <c r="H181" s="323" t="n"/>
      <c r="I181" s="323" t="n"/>
      <c r="J181" s="323" t="n"/>
      <c r="K181" s="323" t="n"/>
      <c r="L181" s="323" t="n"/>
      <c r="M181" s="323" t="n"/>
      <c r="N181" s="323" t="n"/>
    </row>
    <row r="182" ht="12.5" customHeight="1" s="189">
      <c r="C182" s="323" t="n"/>
      <c r="D182" s="323" t="n"/>
      <c r="E182" s="323" t="n"/>
      <c r="F182" s="323" t="n"/>
      <c r="G182" s="323" t="n"/>
      <c r="H182" s="323" t="n"/>
      <c r="I182" s="323" t="n"/>
      <c r="J182" s="323" t="n"/>
      <c r="K182" s="323" t="n"/>
      <c r="L182" s="323" t="n"/>
      <c r="M182" s="323" t="n"/>
      <c r="N182" s="323" t="n"/>
    </row>
    <row r="183" ht="12.5" customHeight="1" s="189">
      <c r="C183" s="323" t="n"/>
      <c r="D183" s="323" t="n"/>
      <c r="E183" s="323" t="n"/>
      <c r="F183" s="323" t="n"/>
      <c r="G183" s="323" t="n"/>
      <c r="H183" s="323" t="n"/>
      <c r="I183" s="323" t="n"/>
      <c r="J183" s="323" t="n"/>
      <c r="K183" s="323" t="n"/>
      <c r="L183" s="323" t="n"/>
      <c r="M183" s="323" t="n"/>
      <c r="N183" s="323" t="n"/>
    </row>
    <row r="184" ht="12.5" customHeight="1" s="189">
      <c r="C184" s="323" t="n"/>
      <c r="D184" s="323" t="n"/>
      <c r="E184" s="323" t="n"/>
      <c r="F184" s="323" t="n"/>
      <c r="G184" s="323" t="n"/>
      <c r="H184" s="323" t="n"/>
      <c r="I184" s="323" t="n"/>
      <c r="J184" s="323" t="n"/>
      <c r="K184" s="323" t="n"/>
      <c r="L184" s="323" t="n"/>
      <c r="M184" s="323" t="n"/>
      <c r="N184" s="323" t="n"/>
    </row>
    <row r="185" ht="12.5" customHeight="1" s="189">
      <c r="C185" s="323" t="n"/>
      <c r="D185" s="323" t="n"/>
      <c r="E185" s="323" t="n"/>
      <c r="F185" s="323" t="n"/>
      <c r="G185" s="323" t="n"/>
      <c r="H185" s="323" t="n"/>
      <c r="I185" s="323" t="n"/>
      <c r="J185" s="323" t="n"/>
      <c r="K185" s="323" t="n"/>
      <c r="L185" s="323" t="n"/>
      <c r="M185" s="323" t="n"/>
      <c r="N185" s="323" t="n"/>
    </row>
    <row r="186" ht="12.5" customHeight="1" s="189">
      <c r="C186" s="323" t="n"/>
      <c r="D186" s="323" t="n"/>
      <c r="E186" s="323" t="n"/>
      <c r="F186" s="323" t="n"/>
      <c r="G186" s="323" t="n"/>
      <c r="H186" s="323" t="n"/>
      <c r="I186" s="323" t="n"/>
      <c r="J186" s="323" t="n"/>
      <c r="K186" s="323" t="n"/>
      <c r="L186" s="323" t="n"/>
      <c r="M186" s="323" t="n"/>
      <c r="N186" s="323" t="n"/>
    </row>
    <row r="187" ht="12.5" customHeight="1" s="189">
      <c r="C187" s="323" t="n"/>
      <c r="D187" s="323" t="n"/>
      <c r="E187" s="323" t="n"/>
      <c r="F187" s="323" t="n"/>
      <c r="G187" s="323" t="n"/>
      <c r="H187" s="323" t="n"/>
      <c r="I187" s="323" t="n"/>
      <c r="J187" s="323" t="n"/>
      <c r="K187" s="323" t="n"/>
      <c r="L187" s="323" t="n"/>
      <c r="M187" s="323" t="n"/>
      <c r="N187" s="323" t="n"/>
    </row>
    <row r="188" ht="12.5" customHeight="1" s="189">
      <c r="C188" s="323" t="n"/>
      <c r="D188" s="323" t="n"/>
      <c r="E188" s="323" t="n"/>
      <c r="F188" s="323" t="n"/>
      <c r="G188" s="323" t="n"/>
      <c r="H188" s="323" t="n"/>
      <c r="I188" s="323" t="n"/>
      <c r="J188" s="323" t="n"/>
      <c r="K188" s="323" t="n"/>
      <c r="L188" s="323" t="n"/>
      <c r="M188" s="323" t="n"/>
      <c r="N188" s="323" t="n"/>
    </row>
    <row r="189" ht="12.5" customHeight="1" s="189">
      <c r="C189" s="323" t="n"/>
      <c r="D189" s="323" t="n"/>
      <c r="E189" s="323" t="n"/>
      <c r="F189" s="323" t="n"/>
      <c r="G189" s="323" t="n"/>
      <c r="H189" s="323" t="n"/>
      <c r="I189" s="323" t="n"/>
      <c r="J189" s="323" t="n"/>
      <c r="K189" s="323" t="n"/>
      <c r="L189" s="323" t="n"/>
      <c r="M189" s="323" t="n"/>
      <c r="N189" s="323" t="n"/>
    </row>
    <row r="190" ht="12.5" customHeight="1" s="189">
      <c r="C190" s="323" t="n"/>
      <c r="D190" s="323" t="n"/>
      <c r="E190" s="323" t="n"/>
      <c r="F190" s="323" t="n"/>
      <c r="G190" s="323" t="n"/>
      <c r="H190" s="323" t="n"/>
      <c r="I190" s="323" t="n"/>
      <c r="J190" s="323" t="n"/>
      <c r="K190" s="323" t="n"/>
      <c r="L190" s="323" t="n"/>
      <c r="M190" s="323" t="n"/>
      <c r="N190" s="323" t="n"/>
    </row>
    <row r="191" ht="12.5" customHeight="1" s="189">
      <c r="C191" s="323" t="n"/>
      <c r="D191" s="323" t="n"/>
      <c r="E191" s="323" t="n"/>
      <c r="F191" s="323" t="n"/>
      <c r="G191" s="323" t="n"/>
      <c r="H191" s="323" t="n"/>
      <c r="I191" s="323" t="n"/>
      <c r="J191" s="323" t="n"/>
      <c r="K191" s="323" t="n"/>
      <c r="L191" s="323" t="n"/>
      <c r="M191" s="323" t="n"/>
      <c r="N191" s="323" t="n"/>
    </row>
    <row r="192" ht="12.5" customHeight="1" s="189">
      <c r="C192" s="323" t="n"/>
      <c r="D192" s="323" t="n"/>
      <c r="E192" s="323" t="n"/>
      <c r="F192" s="323" t="n"/>
      <c r="G192" s="323" t="n"/>
      <c r="H192" s="323" t="n"/>
      <c r="I192" s="323" t="n"/>
      <c r="J192" s="323" t="n"/>
      <c r="K192" s="323" t="n"/>
      <c r="L192" s="323" t="n"/>
      <c r="M192" s="323" t="n"/>
      <c r="N192" s="323" t="n"/>
    </row>
    <row r="193" ht="12.5" customHeight="1" s="189">
      <c r="C193" s="323" t="n"/>
      <c r="D193" s="323" t="n"/>
      <c r="E193" s="323" t="n"/>
      <c r="F193" s="323" t="n"/>
      <c r="G193" s="323" t="n"/>
      <c r="H193" s="323" t="n"/>
      <c r="I193" s="323" t="n"/>
      <c r="J193" s="323" t="n"/>
      <c r="K193" s="323" t="n"/>
      <c r="L193" s="323" t="n"/>
      <c r="M193" s="323" t="n"/>
      <c r="N193" s="323" t="n"/>
    </row>
    <row r="194" ht="12.5" customHeight="1" s="189">
      <c r="C194" s="323" t="n"/>
      <c r="D194" s="323" t="n"/>
      <c r="E194" s="323" t="n"/>
      <c r="F194" s="323" t="n"/>
      <c r="G194" s="323" t="n"/>
      <c r="H194" s="323" t="n"/>
      <c r="I194" s="323" t="n"/>
      <c r="J194" s="323" t="n"/>
      <c r="K194" s="323" t="n"/>
      <c r="L194" s="323" t="n"/>
      <c r="M194" s="323" t="n"/>
      <c r="N194" s="323" t="n"/>
    </row>
    <row r="195" ht="12.5" customHeight="1" s="189">
      <c r="C195" s="323" t="n"/>
      <c r="D195" s="323" t="n"/>
      <c r="E195" s="323" t="n"/>
      <c r="F195" s="323" t="n"/>
      <c r="G195" s="323" t="n"/>
      <c r="H195" s="323" t="n"/>
      <c r="I195" s="323" t="n"/>
      <c r="J195" s="323" t="n"/>
      <c r="K195" s="323" t="n"/>
      <c r="L195" s="323" t="n"/>
      <c r="M195" s="323" t="n"/>
      <c r="N195" s="323" t="n"/>
    </row>
    <row r="196" ht="12.5" customHeight="1" s="189">
      <c r="C196" s="323" t="n"/>
      <c r="D196" s="323" t="n"/>
      <c r="E196" s="323" t="n"/>
      <c r="F196" s="323" t="n"/>
      <c r="G196" s="323" t="n"/>
      <c r="H196" s="323" t="n"/>
      <c r="I196" s="323" t="n"/>
      <c r="J196" s="323" t="n"/>
      <c r="K196" s="323" t="n"/>
      <c r="L196" s="323" t="n"/>
      <c r="M196" s="323" t="n"/>
      <c r="N196" s="323" t="n"/>
    </row>
    <row r="197" ht="12.5" customHeight="1" s="189">
      <c r="C197" s="323" t="n"/>
      <c r="D197" s="323" t="n"/>
      <c r="E197" s="323" t="n"/>
      <c r="F197" s="323" t="n"/>
      <c r="G197" s="323" t="n"/>
      <c r="H197" s="323" t="n"/>
      <c r="I197" s="323" t="n"/>
      <c r="J197" s="323" t="n"/>
      <c r="K197" s="323" t="n"/>
      <c r="L197" s="323" t="n"/>
      <c r="M197" s="323" t="n"/>
      <c r="N197" s="323" t="n"/>
    </row>
    <row r="198" ht="12.5" customHeight="1" s="189">
      <c r="C198" s="323" t="n"/>
      <c r="D198" s="323" t="n"/>
      <c r="E198" s="323" t="n"/>
      <c r="F198" s="323" t="n"/>
      <c r="G198" s="323" t="n"/>
      <c r="H198" s="323" t="n"/>
      <c r="I198" s="323" t="n"/>
      <c r="J198" s="323" t="n"/>
      <c r="K198" s="323" t="n"/>
      <c r="L198" s="323" t="n"/>
      <c r="M198" s="323" t="n"/>
      <c r="N198" s="323" t="n"/>
    </row>
    <row r="199" ht="12.5" customHeight="1" s="189">
      <c r="C199" s="323" t="n"/>
      <c r="D199" s="323" t="n"/>
      <c r="E199" s="323" t="n"/>
      <c r="F199" s="323" t="n"/>
      <c r="G199" s="323" t="n"/>
      <c r="H199" s="323" t="n"/>
      <c r="I199" s="323" t="n"/>
      <c r="J199" s="323" t="n"/>
      <c r="K199" s="323" t="n"/>
      <c r="L199" s="323" t="n"/>
      <c r="M199" s="323" t="n"/>
      <c r="N199" s="323" t="n"/>
    </row>
    <row r="200" ht="12.5" customHeight="1" s="189">
      <c r="C200" s="323" t="n"/>
      <c r="D200" s="323" t="n"/>
      <c r="E200" s="323" t="n"/>
      <c r="F200" s="323" t="n"/>
      <c r="G200" s="323" t="n"/>
      <c r="H200" s="323" t="n"/>
      <c r="I200" s="323" t="n"/>
      <c r="J200" s="323" t="n"/>
      <c r="K200" s="323" t="n"/>
      <c r="L200" s="323" t="n"/>
      <c r="M200" s="323" t="n"/>
      <c r="N200" s="323" t="n"/>
    </row>
    <row r="201" ht="12.5" customHeight="1" s="189">
      <c r="C201" s="323" t="n"/>
      <c r="D201" s="323" t="n"/>
      <c r="E201" s="323" t="n"/>
      <c r="F201" s="323" t="n"/>
      <c r="G201" s="323" t="n"/>
      <c r="H201" s="323" t="n"/>
      <c r="I201" s="323" t="n"/>
      <c r="J201" s="323" t="n"/>
      <c r="K201" s="323" t="n"/>
      <c r="L201" s="323" t="n"/>
      <c r="M201" s="323" t="n"/>
      <c r="N201" s="323" t="n"/>
    </row>
    <row r="202" ht="12.5" customHeight="1" s="189">
      <c r="C202" s="323" t="n"/>
      <c r="D202" s="323" t="n"/>
      <c r="E202" s="323" t="n"/>
      <c r="F202" s="323" t="n"/>
      <c r="G202" s="323" t="n"/>
      <c r="H202" s="323" t="n"/>
      <c r="I202" s="323" t="n"/>
      <c r="J202" s="323" t="n"/>
      <c r="K202" s="323" t="n"/>
      <c r="L202" s="323" t="n"/>
      <c r="M202" s="323" t="n"/>
      <c r="N202" s="323" t="n"/>
    </row>
    <row r="203" ht="12.5" customHeight="1" s="189">
      <c r="C203" s="323" t="n"/>
      <c r="D203" s="323" t="n"/>
      <c r="E203" s="323" t="n"/>
      <c r="F203" s="323" t="n"/>
      <c r="G203" s="323" t="n"/>
      <c r="H203" s="323" t="n"/>
      <c r="I203" s="323" t="n"/>
      <c r="J203" s="323" t="n"/>
      <c r="K203" s="323" t="n"/>
      <c r="L203" s="323" t="n"/>
      <c r="M203" s="323" t="n"/>
      <c r="N203" s="323" t="n"/>
    </row>
    <row r="204" ht="12.5" customHeight="1" s="189">
      <c r="C204" s="323" t="n"/>
      <c r="D204" s="323" t="n"/>
      <c r="E204" s="323" t="n"/>
      <c r="F204" s="323" t="n"/>
      <c r="G204" s="323" t="n"/>
      <c r="H204" s="323" t="n"/>
      <c r="I204" s="323" t="n"/>
      <c r="J204" s="323" t="n"/>
      <c r="K204" s="323" t="n"/>
      <c r="L204" s="323" t="n"/>
      <c r="M204" s="323" t="n"/>
      <c r="N204" s="323" t="n"/>
    </row>
    <row r="205" ht="12.5" customHeight="1" s="189">
      <c r="C205" s="323" t="n"/>
      <c r="D205" s="323" t="n"/>
      <c r="E205" s="323" t="n"/>
      <c r="F205" s="323" t="n"/>
      <c r="G205" s="323" t="n"/>
      <c r="H205" s="323" t="n"/>
      <c r="I205" s="323" t="n"/>
      <c r="J205" s="323" t="n"/>
      <c r="K205" s="323" t="n"/>
      <c r="L205" s="323" t="n"/>
      <c r="M205" s="323" t="n"/>
      <c r="N205" s="323" t="n"/>
    </row>
    <row r="206" ht="12.5" customHeight="1" s="189">
      <c r="C206" s="323" t="n"/>
      <c r="D206" s="323" t="n"/>
      <c r="E206" s="323" t="n"/>
      <c r="F206" s="323" t="n"/>
      <c r="G206" s="323" t="n"/>
      <c r="H206" s="323" t="n"/>
      <c r="I206" s="323" t="n"/>
      <c r="J206" s="323" t="n"/>
      <c r="K206" s="323" t="n"/>
      <c r="L206" s="323" t="n"/>
      <c r="M206" s="323" t="n"/>
      <c r="N206" s="323" t="n"/>
    </row>
    <row r="207" ht="12.5" customHeight="1" s="189">
      <c r="C207" s="323" t="n"/>
      <c r="D207" s="323" t="n"/>
      <c r="E207" s="323" t="n"/>
      <c r="F207" s="323" t="n"/>
      <c r="G207" s="323" t="n"/>
      <c r="H207" s="323" t="n"/>
      <c r="I207" s="323" t="n"/>
      <c r="J207" s="323" t="n"/>
      <c r="K207" s="323" t="n"/>
      <c r="L207" s="323" t="n"/>
      <c r="M207" s="323" t="n"/>
      <c r="N207" s="323" t="n"/>
    </row>
    <row r="208" ht="12.5" customHeight="1" s="189">
      <c r="C208" s="323" t="n"/>
      <c r="D208" s="323" t="n"/>
      <c r="E208" s="323" t="n"/>
      <c r="F208" s="323" t="n"/>
      <c r="G208" s="323" t="n"/>
      <c r="H208" s="323" t="n"/>
      <c r="I208" s="323" t="n"/>
      <c r="J208" s="323" t="n"/>
      <c r="K208" s="323" t="n"/>
      <c r="L208" s="323" t="n"/>
      <c r="M208" s="323" t="n"/>
      <c r="N208" s="323" t="n"/>
    </row>
    <row r="209" ht="12.5" customHeight="1" s="189">
      <c r="C209" s="323" t="n"/>
      <c r="D209" s="323" t="n"/>
      <c r="E209" s="323" t="n"/>
      <c r="F209" s="323" t="n"/>
      <c r="G209" s="323" t="n"/>
      <c r="H209" s="323" t="n"/>
      <c r="I209" s="323" t="n"/>
      <c r="J209" s="323" t="n"/>
      <c r="K209" s="323" t="n"/>
      <c r="L209" s="323" t="n"/>
      <c r="M209" s="323" t="n"/>
      <c r="N209" s="323" t="n"/>
    </row>
    <row r="210" ht="12.5" customHeight="1" s="189">
      <c r="C210" s="323" t="n"/>
      <c r="D210" s="323" t="n"/>
      <c r="E210" s="323" t="n"/>
      <c r="F210" s="323" t="n"/>
      <c r="G210" s="323" t="n"/>
      <c r="H210" s="323" t="n"/>
      <c r="I210" s="323" t="n"/>
      <c r="J210" s="323" t="n"/>
      <c r="K210" s="323" t="n"/>
      <c r="L210" s="323" t="n"/>
      <c r="M210" s="323" t="n"/>
      <c r="N210" s="323" t="n"/>
    </row>
    <row r="211" ht="12.5" customHeight="1" s="189">
      <c r="C211" s="323" t="n"/>
      <c r="D211" s="323" t="n"/>
      <c r="E211" s="323" t="n"/>
      <c r="F211" s="323" t="n"/>
      <c r="G211" s="323" t="n"/>
      <c r="H211" s="323" t="n"/>
      <c r="I211" s="323" t="n"/>
      <c r="J211" s="323" t="n"/>
      <c r="K211" s="323" t="n"/>
      <c r="L211" s="323" t="n"/>
      <c r="M211" s="323" t="n"/>
      <c r="N211" s="323" t="n"/>
    </row>
    <row r="212" ht="12.5" customHeight="1" s="189">
      <c r="C212" s="323" t="n"/>
      <c r="D212" s="323" t="n"/>
      <c r="E212" s="323" t="n"/>
      <c r="F212" s="323" t="n"/>
      <c r="G212" s="323" t="n"/>
      <c r="H212" s="323" t="n"/>
      <c r="I212" s="323" t="n"/>
      <c r="J212" s="323" t="n"/>
      <c r="K212" s="323" t="n"/>
      <c r="L212" s="323" t="n"/>
      <c r="M212" s="323" t="n"/>
      <c r="N212" s="323" t="n"/>
    </row>
    <row r="213" ht="12.5" customHeight="1" s="189">
      <c r="C213" s="323" t="n"/>
      <c r="D213" s="323" t="n"/>
      <c r="E213" s="323" t="n"/>
      <c r="F213" s="323" t="n"/>
      <c r="G213" s="323" t="n"/>
      <c r="H213" s="323" t="n"/>
      <c r="I213" s="323" t="n"/>
      <c r="J213" s="323" t="n"/>
      <c r="K213" s="323" t="n"/>
      <c r="L213" s="323" t="n"/>
      <c r="M213" s="323" t="n"/>
      <c r="N213" s="323" t="n"/>
    </row>
    <row r="214" ht="12.5" customHeight="1" s="189">
      <c r="C214" s="323" t="n"/>
      <c r="D214" s="323" t="n"/>
      <c r="E214" s="323" t="n"/>
      <c r="F214" s="323" t="n"/>
      <c r="G214" s="323" t="n"/>
      <c r="H214" s="323" t="n"/>
      <c r="I214" s="323" t="n"/>
      <c r="J214" s="323" t="n"/>
      <c r="K214" s="323" t="n"/>
      <c r="L214" s="323" t="n"/>
      <c r="M214" s="323" t="n"/>
      <c r="N214" s="323" t="n"/>
    </row>
    <row r="215" ht="12.5" customHeight="1" s="189">
      <c r="C215" s="323" t="n"/>
      <c r="D215" s="323" t="n"/>
      <c r="E215" s="323" t="n"/>
      <c r="F215" s="323" t="n"/>
      <c r="G215" s="323" t="n"/>
      <c r="H215" s="323" t="n"/>
      <c r="I215" s="323" t="n"/>
      <c r="J215" s="323" t="n"/>
      <c r="K215" s="323" t="n"/>
      <c r="L215" s="323" t="n"/>
      <c r="M215" s="323" t="n"/>
      <c r="N215" s="323" t="n"/>
    </row>
    <row r="216" ht="12.5" customHeight="1" s="189">
      <c r="C216" s="323" t="n"/>
      <c r="D216" s="323" t="n"/>
      <c r="E216" s="323" t="n"/>
      <c r="F216" s="323" t="n"/>
      <c r="G216" s="323" t="n"/>
      <c r="H216" s="323" t="n"/>
      <c r="I216" s="323" t="n"/>
      <c r="J216" s="323" t="n"/>
      <c r="K216" s="323" t="n"/>
      <c r="L216" s="323" t="n"/>
      <c r="M216" s="323" t="n"/>
      <c r="N216" s="323" t="n"/>
    </row>
    <row r="217" ht="12.5" customHeight="1" s="189">
      <c r="C217" s="323" t="n"/>
      <c r="D217" s="323" t="n"/>
      <c r="E217" s="323" t="n"/>
      <c r="F217" s="323" t="n"/>
      <c r="G217" s="323" t="n"/>
      <c r="H217" s="323" t="n"/>
      <c r="I217" s="323" t="n"/>
      <c r="J217" s="323" t="n"/>
      <c r="K217" s="323" t="n"/>
      <c r="L217" s="323" t="n"/>
      <c r="M217" s="323" t="n"/>
      <c r="N217" s="323" t="n"/>
    </row>
    <row r="218" ht="12.5" customHeight="1" s="189">
      <c r="C218" s="323" t="n"/>
      <c r="D218" s="323" t="n"/>
      <c r="E218" s="323" t="n"/>
      <c r="F218" s="323" t="n"/>
      <c r="G218" s="323" t="n"/>
      <c r="H218" s="323" t="n"/>
      <c r="I218" s="323" t="n"/>
      <c r="J218" s="323" t="n"/>
      <c r="K218" s="323" t="n"/>
      <c r="L218" s="323" t="n"/>
      <c r="M218" s="323" t="n"/>
      <c r="N218" s="323" t="n"/>
    </row>
    <row r="219" ht="12.5" customHeight="1" s="189">
      <c r="C219" s="323" t="n"/>
      <c r="D219" s="323" t="n"/>
      <c r="E219" s="323" t="n"/>
      <c r="F219" s="323" t="n"/>
      <c r="G219" s="323" t="n"/>
      <c r="H219" s="323" t="n"/>
      <c r="I219" s="323" t="n"/>
      <c r="J219" s="323" t="n"/>
      <c r="K219" s="323" t="n"/>
      <c r="L219" s="323" t="n"/>
      <c r="M219" s="323" t="n"/>
      <c r="N219" s="323" t="n"/>
    </row>
    <row r="220" ht="12.5" customHeight="1" s="189">
      <c r="C220" s="323" t="n"/>
      <c r="D220" s="323" t="n"/>
      <c r="E220" s="323" t="n"/>
      <c r="F220" s="323" t="n"/>
      <c r="G220" s="323" t="n"/>
      <c r="H220" s="323" t="n"/>
      <c r="I220" s="323" t="n"/>
      <c r="J220" s="323" t="n"/>
      <c r="K220" s="323" t="n"/>
      <c r="L220" s="323" t="n"/>
      <c r="M220" s="323" t="n"/>
      <c r="N220" s="323" t="n"/>
    </row>
    <row r="221" ht="12.5" customHeight="1" s="189">
      <c r="C221" s="323" t="n"/>
      <c r="D221" s="323" t="n"/>
      <c r="E221" s="323" t="n"/>
      <c r="F221" s="323" t="n"/>
      <c r="G221" s="323" t="n"/>
      <c r="H221" s="323" t="n"/>
      <c r="I221" s="323" t="n"/>
      <c r="J221" s="323" t="n"/>
      <c r="K221" s="323" t="n"/>
      <c r="L221" s="323" t="n"/>
      <c r="M221" s="323" t="n"/>
      <c r="N221" s="323" t="n"/>
    </row>
    <row r="222" ht="12.5" customHeight="1" s="189">
      <c r="C222" s="323" t="n"/>
      <c r="D222" s="323" t="n"/>
      <c r="E222" s="323" t="n"/>
      <c r="F222" s="323" t="n"/>
      <c r="G222" s="323" t="n"/>
      <c r="H222" s="323" t="n"/>
      <c r="I222" s="323" t="n"/>
      <c r="J222" s="323" t="n"/>
      <c r="K222" s="323" t="n"/>
      <c r="L222" s="323" t="n"/>
      <c r="M222" s="323" t="n"/>
      <c r="N222" s="323" t="n"/>
    </row>
    <row r="223" ht="12.5" customHeight="1" s="189">
      <c r="C223" s="323" t="n"/>
      <c r="D223" s="323" t="n"/>
      <c r="E223" s="323" t="n"/>
      <c r="F223" s="323" t="n"/>
      <c r="G223" s="323" t="n"/>
      <c r="H223" s="323" t="n"/>
      <c r="I223" s="323" t="n"/>
      <c r="J223" s="323" t="n"/>
      <c r="K223" s="323" t="n"/>
      <c r="L223" s="323" t="n"/>
      <c r="M223" s="323" t="n"/>
      <c r="N223" s="323" t="n"/>
    </row>
    <row r="224" ht="12.5" customHeight="1" s="189">
      <c r="C224" s="323" t="n"/>
      <c r="D224" s="323" t="n"/>
      <c r="E224" s="323" t="n"/>
      <c r="F224" s="323" t="n"/>
      <c r="G224" s="323" t="n"/>
      <c r="H224" s="323" t="n"/>
      <c r="I224" s="323" t="n"/>
      <c r="J224" s="323" t="n"/>
      <c r="K224" s="323" t="n"/>
      <c r="L224" s="323" t="n"/>
      <c r="M224" s="323" t="n"/>
      <c r="N224" s="323" t="n"/>
    </row>
    <row r="225" ht="12.5" customHeight="1" s="189">
      <c r="C225" s="323" t="n"/>
      <c r="D225" s="323" t="n"/>
      <c r="E225" s="323" t="n"/>
      <c r="F225" s="323" t="n"/>
      <c r="G225" s="323" t="n"/>
      <c r="H225" s="323" t="n"/>
      <c r="I225" s="323" t="n"/>
      <c r="J225" s="323" t="n"/>
      <c r="K225" s="323" t="n"/>
      <c r="L225" s="323" t="n"/>
      <c r="M225" s="323" t="n"/>
      <c r="N225" s="323" t="n"/>
    </row>
    <row r="226" ht="12.5" customHeight="1" s="189">
      <c r="C226" s="323" t="n"/>
      <c r="D226" s="323" t="n"/>
      <c r="E226" s="323" t="n"/>
      <c r="F226" s="323" t="n"/>
      <c r="G226" s="323" t="n"/>
      <c r="H226" s="323" t="n"/>
      <c r="I226" s="323" t="n"/>
      <c r="J226" s="323" t="n"/>
      <c r="K226" s="323" t="n"/>
      <c r="L226" s="323" t="n"/>
      <c r="M226" s="323" t="n"/>
      <c r="N226" s="323" t="n"/>
    </row>
    <row r="227" ht="12.5" customHeight="1" s="189">
      <c r="C227" s="323" t="n"/>
      <c r="D227" s="323" t="n"/>
      <c r="E227" s="323" t="n"/>
      <c r="F227" s="323" t="n"/>
      <c r="G227" s="323" t="n"/>
      <c r="H227" s="323" t="n"/>
      <c r="I227" s="323" t="n"/>
      <c r="J227" s="323" t="n"/>
      <c r="K227" s="323" t="n"/>
      <c r="L227" s="323" t="n"/>
      <c r="M227" s="323" t="n"/>
      <c r="N227" s="323" t="n"/>
    </row>
    <row r="228" ht="12.5" customHeight="1" s="189">
      <c r="C228" s="323" t="n"/>
      <c r="D228" s="323" t="n"/>
      <c r="E228" s="323" t="n"/>
      <c r="F228" s="323" t="n"/>
      <c r="G228" s="323" t="n"/>
      <c r="H228" s="323" t="n"/>
      <c r="I228" s="323" t="n"/>
      <c r="J228" s="323" t="n"/>
      <c r="K228" s="323" t="n"/>
      <c r="L228" s="323" t="n"/>
      <c r="M228" s="323" t="n"/>
      <c r="N228" s="323" t="n"/>
    </row>
    <row r="229" ht="12.5" customHeight="1" s="189">
      <c r="C229" s="323" t="n"/>
      <c r="D229" s="323" t="n"/>
      <c r="E229" s="323" t="n"/>
      <c r="F229" s="323" t="n"/>
      <c r="G229" s="323" t="n"/>
      <c r="H229" s="323" t="n"/>
      <c r="I229" s="323" t="n"/>
      <c r="J229" s="323" t="n"/>
      <c r="K229" s="323" t="n"/>
      <c r="L229" s="323" t="n"/>
      <c r="M229" s="323" t="n"/>
      <c r="N229" s="323" t="n"/>
    </row>
    <row r="230" ht="12.5" customHeight="1" s="189">
      <c r="C230" s="323" t="n"/>
      <c r="D230" s="323" t="n"/>
      <c r="E230" s="323" t="n"/>
      <c r="F230" s="323" t="n"/>
      <c r="G230" s="323" t="n"/>
      <c r="H230" s="323" t="n"/>
      <c r="I230" s="323" t="n"/>
      <c r="J230" s="323" t="n"/>
      <c r="K230" s="323" t="n"/>
      <c r="L230" s="323" t="n"/>
      <c r="M230" s="323" t="n"/>
      <c r="N230" s="323" t="n"/>
    </row>
    <row r="231" ht="12.5" customHeight="1" s="189">
      <c r="C231" s="323" t="n"/>
      <c r="D231" s="323" t="n"/>
      <c r="E231" s="323" t="n"/>
      <c r="F231" s="323" t="n"/>
      <c r="G231" s="323" t="n"/>
      <c r="H231" s="323" t="n"/>
      <c r="I231" s="323" t="n"/>
      <c r="J231" s="323" t="n"/>
      <c r="K231" s="323" t="n"/>
      <c r="L231" s="323" t="n"/>
      <c r="M231" s="323" t="n"/>
      <c r="N231" s="323" t="n"/>
    </row>
    <row r="232" ht="12.5" customHeight="1" s="189">
      <c r="C232" s="323" t="n"/>
      <c r="D232" s="323" t="n"/>
      <c r="E232" s="323" t="n"/>
      <c r="F232" s="323" t="n"/>
      <c r="G232" s="323" t="n"/>
      <c r="H232" s="323" t="n"/>
      <c r="I232" s="323" t="n"/>
      <c r="J232" s="323" t="n"/>
      <c r="K232" s="323" t="n"/>
      <c r="L232" s="323" t="n"/>
      <c r="M232" s="323" t="n"/>
      <c r="N232" s="323" t="n"/>
    </row>
    <row r="233" ht="12.5" customHeight="1" s="189">
      <c r="C233" s="323" t="n"/>
      <c r="D233" s="323" t="n"/>
      <c r="E233" s="323" t="n"/>
      <c r="F233" s="323" t="n"/>
      <c r="G233" s="323" t="n"/>
      <c r="H233" s="323" t="n"/>
      <c r="I233" s="323" t="n"/>
      <c r="J233" s="323" t="n"/>
      <c r="K233" s="323" t="n"/>
      <c r="L233" s="323" t="n"/>
      <c r="M233" s="323" t="n"/>
      <c r="N233" s="323" t="n"/>
    </row>
    <row r="234" ht="12.5" customHeight="1" s="189">
      <c r="C234" s="323" t="n"/>
      <c r="D234" s="323" t="n"/>
      <c r="E234" s="323" t="n"/>
      <c r="F234" s="323" t="n"/>
      <c r="G234" s="323" t="n"/>
      <c r="H234" s="323" t="n"/>
      <c r="I234" s="323" t="n"/>
      <c r="J234" s="323" t="n"/>
      <c r="K234" s="323" t="n"/>
      <c r="L234" s="323" t="n"/>
      <c r="M234" s="323" t="n"/>
      <c r="N234" s="323" t="n"/>
    </row>
    <row r="235" ht="12.5" customHeight="1" s="189">
      <c r="C235" s="323" t="n"/>
      <c r="D235" s="323" t="n"/>
      <c r="E235" s="323" t="n"/>
      <c r="F235" s="323" t="n"/>
      <c r="G235" s="323" t="n"/>
      <c r="H235" s="323" t="n"/>
      <c r="I235" s="323" t="n"/>
      <c r="J235" s="323" t="n"/>
      <c r="K235" s="323" t="n"/>
      <c r="L235" s="323" t="n"/>
      <c r="M235" s="323" t="n"/>
      <c r="N235" s="323" t="n"/>
    </row>
    <row r="236" ht="12.5" customHeight="1" s="189">
      <c r="C236" s="323" t="n"/>
      <c r="D236" s="323" t="n"/>
      <c r="E236" s="323" t="n"/>
      <c r="F236" s="323" t="n"/>
      <c r="G236" s="323" t="n"/>
      <c r="H236" s="323" t="n"/>
      <c r="I236" s="323" t="n"/>
      <c r="J236" s="323" t="n"/>
      <c r="K236" s="323" t="n"/>
      <c r="L236" s="323" t="n"/>
      <c r="M236" s="323" t="n"/>
      <c r="N236" s="323" t="n"/>
    </row>
    <row r="237" ht="12.5" customHeight="1" s="189">
      <c r="C237" s="323" t="n"/>
      <c r="D237" s="323" t="n"/>
      <c r="E237" s="323" t="n"/>
      <c r="F237" s="323" t="n"/>
      <c r="G237" s="323" t="n"/>
      <c r="H237" s="323" t="n"/>
      <c r="I237" s="323" t="n"/>
      <c r="J237" s="323" t="n"/>
      <c r="K237" s="323" t="n"/>
      <c r="L237" s="323" t="n"/>
      <c r="M237" s="323" t="n"/>
      <c r="N237" s="323" t="n"/>
    </row>
    <row r="238" ht="12.5" customHeight="1" s="189">
      <c r="C238" s="323" t="n"/>
      <c r="D238" s="323" t="n"/>
      <c r="E238" s="323" t="n"/>
      <c r="F238" s="323" t="n"/>
      <c r="G238" s="323" t="n"/>
      <c r="H238" s="323" t="n"/>
      <c r="I238" s="323" t="n"/>
      <c r="J238" s="323" t="n"/>
      <c r="K238" s="323" t="n"/>
      <c r="L238" s="323" t="n"/>
      <c r="M238" s="323" t="n"/>
      <c r="N238" s="323" t="n"/>
    </row>
    <row r="239" ht="12.5" customHeight="1" s="189">
      <c r="C239" s="323" t="n"/>
      <c r="D239" s="323" t="n"/>
      <c r="E239" s="323" t="n"/>
      <c r="F239" s="323" t="n"/>
      <c r="G239" s="323" t="n"/>
      <c r="H239" s="323" t="n"/>
      <c r="I239" s="323" t="n"/>
      <c r="J239" s="323" t="n"/>
      <c r="K239" s="323" t="n"/>
      <c r="L239" s="323" t="n"/>
      <c r="M239" s="323" t="n"/>
      <c r="N239" s="323" t="n"/>
    </row>
    <row r="240" ht="12.5" customHeight="1" s="189">
      <c r="C240" s="323" t="n"/>
      <c r="D240" s="323" t="n"/>
      <c r="E240" s="323" t="n"/>
      <c r="F240" s="323" t="n"/>
      <c r="G240" s="323" t="n"/>
      <c r="H240" s="323" t="n"/>
      <c r="I240" s="323" t="n"/>
      <c r="J240" s="323" t="n"/>
      <c r="K240" s="323" t="n"/>
      <c r="L240" s="323" t="n"/>
      <c r="M240" s="323" t="n"/>
      <c r="N240" s="323" t="n"/>
    </row>
    <row r="241" ht="12.5" customHeight="1" s="189">
      <c r="C241" s="323" t="n"/>
      <c r="D241" s="323" t="n"/>
      <c r="E241" s="323" t="n"/>
      <c r="F241" s="323" t="n"/>
      <c r="G241" s="323" t="n"/>
      <c r="H241" s="323" t="n"/>
      <c r="I241" s="323" t="n"/>
      <c r="J241" s="323" t="n"/>
      <c r="K241" s="323" t="n"/>
      <c r="L241" s="323" t="n"/>
      <c r="M241" s="323" t="n"/>
      <c r="N241" s="323" t="n"/>
    </row>
    <row r="242" ht="12.5" customHeight="1" s="189">
      <c r="C242" s="323" t="n"/>
      <c r="D242" s="323" t="n"/>
      <c r="E242" s="323" t="n"/>
      <c r="F242" s="323" t="n"/>
      <c r="G242" s="323" t="n"/>
      <c r="H242" s="323" t="n"/>
      <c r="I242" s="323" t="n"/>
      <c r="J242" s="323" t="n"/>
      <c r="K242" s="323" t="n"/>
      <c r="L242" s="323" t="n"/>
      <c r="M242" s="323" t="n"/>
      <c r="N242" s="323" t="n"/>
    </row>
    <row r="243" ht="12.5" customHeight="1" s="189">
      <c r="C243" s="323" t="n"/>
      <c r="D243" s="323" t="n"/>
      <c r="E243" s="323" t="n"/>
      <c r="F243" s="323" t="n"/>
      <c r="G243" s="323" t="n"/>
      <c r="H243" s="323" t="n"/>
      <c r="I243" s="323" t="n"/>
      <c r="J243" s="323" t="n"/>
      <c r="K243" s="323" t="n"/>
      <c r="L243" s="323" t="n"/>
      <c r="M243" s="323" t="n"/>
      <c r="N243" s="323" t="n"/>
    </row>
    <row r="244" ht="12.5" customHeight="1" s="189">
      <c r="C244" s="323" t="n"/>
      <c r="D244" s="323" t="n"/>
      <c r="E244" s="323" t="n"/>
      <c r="F244" s="323" t="n"/>
      <c r="G244" s="323" t="n"/>
      <c r="H244" s="323" t="n"/>
      <c r="I244" s="323" t="n"/>
      <c r="J244" s="323" t="n"/>
      <c r="K244" s="323" t="n"/>
      <c r="L244" s="323" t="n"/>
      <c r="M244" s="323" t="n"/>
      <c r="N244" s="323" t="n"/>
    </row>
    <row r="245" ht="12.5" customHeight="1" s="189">
      <c r="C245" s="323" t="n"/>
      <c r="D245" s="323" t="n"/>
      <c r="E245" s="323" t="n"/>
      <c r="F245" s="323" t="n"/>
      <c r="G245" s="323" t="n"/>
      <c r="H245" s="323" t="n"/>
      <c r="I245" s="323" t="n"/>
      <c r="J245" s="323" t="n"/>
      <c r="K245" s="323" t="n"/>
      <c r="L245" s="323" t="n"/>
      <c r="M245" s="323" t="n"/>
      <c r="N245" s="323" t="n"/>
    </row>
    <row r="246" ht="12.5" customHeight="1" s="189">
      <c r="C246" s="323" t="n"/>
      <c r="D246" s="323" t="n"/>
      <c r="E246" s="323" t="n"/>
      <c r="F246" s="323" t="n"/>
      <c r="G246" s="323" t="n"/>
      <c r="H246" s="323" t="n"/>
      <c r="I246" s="323" t="n"/>
      <c r="J246" s="323" t="n"/>
      <c r="K246" s="323" t="n"/>
      <c r="L246" s="323" t="n"/>
      <c r="M246" s="323" t="n"/>
      <c r="N246" s="323" t="n"/>
    </row>
    <row r="247" ht="12.5" customHeight="1" s="189">
      <c r="C247" s="323" t="n"/>
      <c r="D247" s="323" t="n"/>
      <c r="E247" s="323" t="n"/>
      <c r="F247" s="323" t="n"/>
      <c r="G247" s="323" t="n"/>
      <c r="H247" s="323" t="n"/>
      <c r="I247" s="323" t="n"/>
      <c r="J247" s="323" t="n"/>
      <c r="K247" s="323" t="n"/>
      <c r="L247" s="323" t="n"/>
      <c r="M247" s="323" t="n"/>
      <c r="N247" s="323" t="n"/>
    </row>
    <row r="248" ht="12.5" customHeight="1" s="189">
      <c r="C248" s="323" t="n"/>
      <c r="D248" s="323" t="n"/>
      <c r="E248" s="323" t="n"/>
      <c r="F248" s="323" t="n"/>
      <c r="G248" s="323" t="n"/>
      <c r="H248" s="323" t="n"/>
      <c r="I248" s="323" t="n"/>
      <c r="J248" s="323" t="n"/>
      <c r="K248" s="323" t="n"/>
      <c r="L248" s="323" t="n"/>
      <c r="M248" s="323" t="n"/>
      <c r="N248" s="323" t="n"/>
    </row>
    <row r="249" ht="12.5" customHeight="1" s="189">
      <c r="C249" s="323" t="n"/>
      <c r="D249" s="323" t="n"/>
      <c r="E249" s="323" t="n"/>
      <c r="F249" s="323" t="n"/>
      <c r="G249" s="323" t="n"/>
      <c r="H249" s="323" t="n"/>
      <c r="I249" s="323" t="n"/>
      <c r="J249" s="323" t="n"/>
      <c r="K249" s="323" t="n"/>
      <c r="L249" s="323" t="n"/>
      <c r="M249" s="323" t="n"/>
      <c r="N249" s="323" t="n"/>
    </row>
    <row r="250" ht="12.5" customHeight="1" s="189">
      <c r="C250" s="323" t="n"/>
      <c r="D250" s="323" t="n"/>
      <c r="E250" s="323" t="n"/>
      <c r="F250" s="323" t="n"/>
      <c r="G250" s="323" t="n"/>
      <c r="H250" s="323" t="n"/>
      <c r="I250" s="323" t="n"/>
      <c r="J250" s="323" t="n"/>
      <c r="K250" s="323" t="n"/>
      <c r="L250" s="323" t="n"/>
      <c r="M250" s="323" t="n"/>
      <c r="N250" s="323" t="n"/>
    </row>
    <row r="251" ht="12.5" customHeight="1" s="189">
      <c r="C251" s="323" t="n"/>
      <c r="D251" s="323" t="n"/>
      <c r="E251" s="323" t="n"/>
      <c r="F251" s="323" t="n"/>
      <c r="G251" s="323" t="n"/>
      <c r="H251" s="323" t="n"/>
      <c r="I251" s="323" t="n"/>
      <c r="J251" s="323" t="n"/>
      <c r="K251" s="323" t="n"/>
      <c r="L251" s="323" t="n"/>
      <c r="M251" s="323" t="n"/>
      <c r="N251" s="323" t="n"/>
    </row>
    <row r="252" ht="12.5" customHeight="1" s="189">
      <c r="C252" s="323" t="n"/>
      <c r="D252" s="323" t="n"/>
      <c r="E252" s="323" t="n"/>
      <c r="F252" s="323" t="n"/>
      <c r="G252" s="323" t="n"/>
      <c r="H252" s="323" t="n"/>
      <c r="I252" s="323" t="n"/>
      <c r="J252" s="323" t="n"/>
      <c r="K252" s="323" t="n"/>
      <c r="L252" s="323" t="n"/>
      <c r="M252" s="323" t="n"/>
      <c r="N252" s="323" t="n"/>
    </row>
    <row r="253" ht="12.5" customHeight="1" s="189">
      <c r="C253" s="323" t="n"/>
      <c r="D253" s="323" t="n"/>
      <c r="E253" s="323" t="n"/>
      <c r="F253" s="323" t="n"/>
      <c r="G253" s="323" t="n"/>
      <c r="H253" s="323" t="n"/>
      <c r="I253" s="323" t="n"/>
      <c r="J253" s="323" t="n"/>
      <c r="K253" s="323" t="n"/>
      <c r="L253" s="323" t="n"/>
      <c r="M253" s="323" t="n"/>
      <c r="N253" s="323" t="n"/>
    </row>
    <row r="254" ht="12.5" customHeight="1" s="189">
      <c r="C254" s="323" t="n"/>
      <c r="D254" s="323" t="n"/>
      <c r="E254" s="323" t="n"/>
      <c r="F254" s="323" t="n"/>
      <c r="G254" s="323" t="n"/>
      <c r="H254" s="323" t="n"/>
      <c r="I254" s="323" t="n"/>
      <c r="J254" s="323" t="n"/>
      <c r="K254" s="323" t="n"/>
      <c r="L254" s="323" t="n"/>
      <c r="M254" s="323" t="n"/>
      <c r="N254" s="323" t="n"/>
    </row>
    <row r="255" ht="12.5" customHeight="1" s="189">
      <c r="C255" s="323" t="n"/>
      <c r="D255" s="323" t="n"/>
      <c r="E255" s="323" t="n"/>
      <c r="F255" s="323" t="n"/>
      <c r="G255" s="323" t="n"/>
      <c r="H255" s="323" t="n"/>
      <c r="I255" s="323" t="n"/>
      <c r="J255" s="323" t="n"/>
      <c r="K255" s="323" t="n"/>
      <c r="L255" s="323" t="n"/>
      <c r="M255" s="323" t="n"/>
      <c r="N255" s="323" t="n"/>
    </row>
    <row r="256" ht="12.5" customHeight="1" s="189">
      <c r="C256" s="323" t="n"/>
      <c r="D256" s="323" t="n"/>
      <c r="E256" s="323" t="n"/>
      <c r="F256" s="323" t="n"/>
      <c r="G256" s="323" t="n"/>
      <c r="H256" s="323" t="n"/>
      <c r="I256" s="323" t="n"/>
      <c r="J256" s="323" t="n"/>
      <c r="K256" s="323" t="n"/>
      <c r="L256" s="323" t="n"/>
      <c r="M256" s="323" t="n"/>
      <c r="N256" s="323" t="n"/>
    </row>
    <row r="257" ht="12.5" customHeight="1" s="189">
      <c r="C257" s="323" t="n"/>
      <c r="D257" s="323" t="n"/>
      <c r="E257" s="323" t="n"/>
      <c r="F257" s="323" t="n"/>
      <c r="G257" s="323" t="n"/>
      <c r="H257" s="323" t="n"/>
      <c r="I257" s="323" t="n"/>
      <c r="J257" s="323" t="n"/>
      <c r="K257" s="323" t="n"/>
      <c r="L257" s="323" t="n"/>
      <c r="M257" s="323" t="n"/>
      <c r="N257" s="323" t="n"/>
    </row>
    <row r="258" ht="12.5" customHeight="1" s="189">
      <c r="C258" s="323" t="n"/>
      <c r="D258" s="323" t="n"/>
      <c r="E258" s="323" t="n"/>
      <c r="F258" s="323" t="n"/>
      <c r="G258" s="323" t="n"/>
      <c r="H258" s="323" t="n"/>
      <c r="I258" s="323" t="n"/>
      <c r="J258" s="323" t="n"/>
      <c r="K258" s="323" t="n"/>
      <c r="L258" s="323" t="n"/>
      <c r="M258" s="323" t="n"/>
      <c r="N258" s="323" t="n"/>
    </row>
    <row r="259" ht="12.5" customHeight="1" s="189">
      <c r="C259" s="323" t="n"/>
      <c r="D259" s="323" t="n"/>
      <c r="E259" s="323" t="n"/>
      <c r="F259" s="323" t="n"/>
      <c r="G259" s="323" t="n"/>
      <c r="H259" s="323" t="n"/>
      <c r="I259" s="323" t="n"/>
      <c r="J259" s="323" t="n"/>
      <c r="K259" s="323" t="n"/>
      <c r="L259" s="323" t="n"/>
      <c r="M259" s="323" t="n"/>
      <c r="N259" s="323" t="n"/>
    </row>
    <row r="260" ht="12.5" customHeight="1" s="189">
      <c r="C260" s="323" t="n"/>
      <c r="D260" s="323" t="n"/>
      <c r="E260" s="323" t="n"/>
      <c r="F260" s="323" t="n"/>
      <c r="G260" s="323" t="n"/>
      <c r="H260" s="323" t="n"/>
      <c r="I260" s="323" t="n"/>
      <c r="J260" s="323" t="n"/>
      <c r="K260" s="323" t="n"/>
      <c r="L260" s="323" t="n"/>
      <c r="M260" s="323" t="n"/>
      <c r="N260" s="323" t="n"/>
    </row>
    <row r="261" ht="12.5" customHeight="1" s="189">
      <c r="C261" s="323" t="n"/>
      <c r="D261" s="323" t="n"/>
      <c r="E261" s="323" t="n"/>
      <c r="F261" s="323" t="n"/>
      <c r="G261" s="323" t="n"/>
      <c r="H261" s="323" t="n"/>
      <c r="I261" s="323" t="n"/>
      <c r="J261" s="323" t="n"/>
      <c r="K261" s="323" t="n"/>
      <c r="L261" s="323" t="n"/>
      <c r="M261" s="323" t="n"/>
      <c r="N261" s="323" t="n"/>
    </row>
    <row r="262" ht="12.5" customHeight="1" s="189">
      <c r="C262" s="323" t="n"/>
      <c r="D262" s="323" t="n"/>
      <c r="E262" s="323" t="n"/>
      <c r="F262" s="323" t="n"/>
      <c r="G262" s="323" t="n"/>
      <c r="H262" s="323" t="n"/>
      <c r="I262" s="323" t="n"/>
      <c r="J262" s="323" t="n"/>
      <c r="K262" s="323" t="n"/>
      <c r="L262" s="323" t="n"/>
      <c r="M262" s="323" t="n"/>
      <c r="N262" s="323" t="n"/>
    </row>
    <row r="263" ht="12.5" customHeight="1" s="189">
      <c r="C263" s="323" t="n"/>
      <c r="D263" s="323" t="n"/>
      <c r="E263" s="323" t="n"/>
      <c r="F263" s="323" t="n"/>
      <c r="G263" s="323" t="n"/>
      <c r="H263" s="323" t="n"/>
      <c r="I263" s="323" t="n"/>
      <c r="J263" s="323" t="n"/>
      <c r="K263" s="323" t="n"/>
      <c r="L263" s="323" t="n"/>
      <c r="M263" s="323" t="n"/>
      <c r="N263" s="323" t="n"/>
    </row>
    <row r="264" ht="12.5" customHeight="1" s="189">
      <c r="C264" s="323" t="n"/>
      <c r="D264" s="323" t="n"/>
      <c r="E264" s="323" t="n"/>
      <c r="F264" s="323" t="n"/>
      <c r="G264" s="323" t="n"/>
      <c r="H264" s="323" t="n"/>
      <c r="I264" s="323" t="n"/>
      <c r="J264" s="323" t="n"/>
      <c r="K264" s="323" t="n"/>
      <c r="L264" s="323" t="n"/>
      <c r="M264" s="323" t="n"/>
      <c r="N264" s="323" t="n"/>
    </row>
    <row r="265" ht="12.5" customHeight="1" s="189">
      <c r="C265" s="323" t="n"/>
      <c r="D265" s="323" t="n"/>
      <c r="E265" s="323" t="n"/>
      <c r="F265" s="323" t="n"/>
      <c r="G265" s="323" t="n"/>
      <c r="H265" s="323" t="n"/>
      <c r="I265" s="323" t="n"/>
      <c r="J265" s="323" t="n"/>
      <c r="K265" s="323" t="n"/>
      <c r="L265" s="323" t="n"/>
      <c r="M265" s="323" t="n"/>
      <c r="N265" s="323" t="n"/>
    </row>
    <row r="266" ht="12.5" customHeight="1" s="189">
      <c r="C266" s="323" t="n"/>
      <c r="D266" s="323" t="n"/>
      <c r="E266" s="323" t="n"/>
      <c r="F266" s="323" t="n"/>
      <c r="G266" s="323" t="n"/>
      <c r="H266" s="323" t="n"/>
      <c r="I266" s="323" t="n"/>
      <c r="J266" s="323" t="n"/>
      <c r="K266" s="323" t="n"/>
      <c r="L266" s="323" t="n"/>
      <c r="M266" s="323" t="n"/>
      <c r="N266" s="323" t="n"/>
    </row>
    <row r="267" ht="12.5" customHeight="1" s="189">
      <c r="C267" s="323" t="n"/>
      <c r="D267" s="323" t="n"/>
      <c r="E267" s="323" t="n"/>
      <c r="F267" s="323" t="n"/>
      <c r="G267" s="323" t="n"/>
      <c r="H267" s="323" t="n"/>
      <c r="I267" s="323" t="n"/>
      <c r="J267" s="323" t="n"/>
      <c r="K267" s="323" t="n"/>
      <c r="L267" s="323" t="n"/>
      <c r="M267" s="323" t="n"/>
      <c r="N267" s="323" t="n"/>
    </row>
    <row r="268" ht="12.5" customHeight="1" s="189">
      <c r="C268" s="323" t="n"/>
      <c r="D268" s="323" t="n"/>
      <c r="E268" s="323" t="n"/>
      <c r="F268" s="323" t="n"/>
      <c r="G268" s="323" t="n"/>
      <c r="H268" s="323" t="n"/>
      <c r="I268" s="323" t="n"/>
      <c r="J268" s="323" t="n"/>
      <c r="K268" s="323" t="n"/>
      <c r="L268" s="323" t="n"/>
      <c r="M268" s="323" t="n"/>
      <c r="N268" s="323" t="n"/>
    </row>
    <row r="269" ht="12.5" customHeight="1" s="189">
      <c r="C269" s="323" t="n"/>
      <c r="D269" s="323" t="n"/>
      <c r="E269" s="323" t="n"/>
      <c r="F269" s="323" t="n"/>
      <c r="G269" s="323" t="n"/>
      <c r="H269" s="323" t="n"/>
      <c r="I269" s="323" t="n"/>
      <c r="J269" s="323" t="n"/>
      <c r="K269" s="323" t="n"/>
      <c r="L269" s="323" t="n"/>
      <c r="M269" s="323" t="n"/>
      <c r="N269" s="323" t="n"/>
    </row>
    <row r="270" ht="12.5" customHeight="1" s="189">
      <c r="C270" s="323" t="n"/>
      <c r="D270" s="323" t="n"/>
      <c r="E270" s="323" t="n"/>
      <c r="F270" s="323" t="n"/>
      <c r="G270" s="323" t="n"/>
      <c r="H270" s="323" t="n"/>
      <c r="I270" s="323" t="n"/>
      <c r="J270" s="323" t="n"/>
      <c r="K270" s="323" t="n"/>
      <c r="L270" s="323" t="n"/>
      <c r="M270" s="323" t="n"/>
      <c r="N270" s="323" t="n"/>
    </row>
    <row r="271" ht="12.5" customHeight="1" s="189">
      <c r="C271" s="323" t="n"/>
      <c r="D271" s="323" t="n"/>
      <c r="E271" s="323" t="n"/>
      <c r="F271" s="323" t="n"/>
      <c r="G271" s="323" t="n"/>
      <c r="H271" s="323" t="n"/>
      <c r="I271" s="323" t="n"/>
      <c r="J271" s="323" t="n"/>
      <c r="K271" s="323" t="n"/>
      <c r="L271" s="323" t="n"/>
      <c r="M271" s="323" t="n"/>
      <c r="N271" s="323" t="n"/>
    </row>
    <row r="272" ht="12.5" customHeight="1" s="189">
      <c r="C272" s="323" t="n"/>
      <c r="D272" s="323" t="n"/>
      <c r="E272" s="323" t="n"/>
      <c r="F272" s="323" t="n"/>
      <c r="G272" s="323" t="n"/>
      <c r="H272" s="323" t="n"/>
      <c r="I272" s="323" t="n"/>
      <c r="J272" s="323" t="n"/>
      <c r="K272" s="323" t="n"/>
      <c r="L272" s="323" t="n"/>
      <c r="M272" s="323" t="n"/>
      <c r="N272" s="323" t="n"/>
    </row>
    <row r="273" ht="12.5" customHeight="1" s="189">
      <c r="C273" s="323" t="n"/>
      <c r="D273" s="323" t="n"/>
      <c r="E273" s="323" t="n"/>
      <c r="F273" s="323" t="n"/>
      <c r="G273" s="323" t="n"/>
      <c r="H273" s="323" t="n"/>
      <c r="I273" s="323" t="n"/>
      <c r="J273" s="323" t="n"/>
      <c r="K273" s="323" t="n"/>
      <c r="L273" s="323" t="n"/>
      <c r="M273" s="323" t="n"/>
      <c r="N273" s="323" t="n"/>
    </row>
    <row r="274" ht="12.5" customHeight="1" s="189">
      <c r="C274" s="323" t="n"/>
      <c r="D274" s="323" t="n"/>
      <c r="E274" s="323" t="n"/>
      <c r="F274" s="323" t="n"/>
      <c r="G274" s="323" t="n"/>
      <c r="H274" s="323" t="n"/>
      <c r="I274" s="323" t="n"/>
      <c r="J274" s="323" t="n"/>
      <c r="K274" s="323" t="n"/>
      <c r="L274" s="323" t="n"/>
      <c r="M274" s="323" t="n"/>
      <c r="N274" s="323" t="n"/>
    </row>
    <row r="275" ht="12.5" customHeight="1" s="189">
      <c r="C275" s="323" t="n"/>
      <c r="D275" s="323" t="n"/>
      <c r="E275" s="323" t="n"/>
      <c r="F275" s="323" t="n"/>
      <c r="G275" s="323" t="n"/>
      <c r="H275" s="323" t="n"/>
      <c r="I275" s="323" t="n"/>
      <c r="J275" s="323" t="n"/>
      <c r="K275" s="323" t="n"/>
      <c r="L275" s="323" t="n"/>
      <c r="M275" s="323" t="n"/>
      <c r="N275" s="323" t="n"/>
    </row>
    <row r="276" ht="12.5" customHeight="1" s="189">
      <c r="C276" s="323" t="n"/>
      <c r="D276" s="323" t="n"/>
      <c r="E276" s="323" t="n"/>
      <c r="F276" s="323" t="n"/>
      <c r="G276" s="323" t="n"/>
      <c r="H276" s="323" t="n"/>
      <c r="I276" s="323" t="n"/>
      <c r="J276" s="323" t="n"/>
      <c r="K276" s="323" t="n"/>
      <c r="L276" s="323" t="n"/>
      <c r="M276" s="323" t="n"/>
      <c r="N276" s="323" t="n"/>
    </row>
    <row r="277" ht="12.5" customHeight="1" s="189">
      <c r="C277" s="323" t="n"/>
      <c r="D277" s="323" t="n"/>
      <c r="E277" s="323" t="n"/>
      <c r="F277" s="323" t="n"/>
      <c r="G277" s="323" t="n"/>
      <c r="H277" s="323" t="n"/>
      <c r="I277" s="323" t="n"/>
      <c r="J277" s="323" t="n"/>
      <c r="K277" s="323" t="n"/>
      <c r="L277" s="323" t="n"/>
      <c r="M277" s="323" t="n"/>
      <c r="N277" s="323" t="n"/>
    </row>
    <row r="278" ht="12.5" customHeight="1" s="189">
      <c r="C278" s="323" t="n"/>
      <c r="D278" s="323" t="n"/>
      <c r="E278" s="323" t="n"/>
      <c r="F278" s="323" t="n"/>
      <c r="G278" s="323" t="n"/>
      <c r="H278" s="323" t="n"/>
      <c r="I278" s="323" t="n"/>
      <c r="J278" s="323" t="n"/>
      <c r="K278" s="323" t="n"/>
      <c r="L278" s="323" t="n"/>
      <c r="M278" s="323" t="n"/>
      <c r="N278" s="323" t="n"/>
    </row>
    <row r="279" ht="12.5" customHeight="1" s="189">
      <c r="C279" s="323" t="n"/>
      <c r="D279" s="323" t="n"/>
      <c r="E279" s="323" t="n"/>
      <c r="F279" s="323" t="n"/>
      <c r="G279" s="323" t="n"/>
      <c r="H279" s="323" t="n"/>
      <c r="I279" s="323" t="n"/>
      <c r="J279" s="323" t="n"/>
      <c r="K279" s="323" t="n"/>
      <c r="L279" s="323" t="n"/>
      <c r="M279" s="323" t="n"/>
      <c r="N279" s="323" t="n"/>
    </row>
    <row r="280" ht="12.5" customHeight="1" s="189">
      <c r="C280" s="323" t="n"/>
      <c r="D280" s="323" t="n"/>
      <c r="E280" s="323" t="n"/>
      <c r="F280" s="323" t="n"/>
      <c r="G280" s="323" t="n"/>
      <c r="H280" s="323" t="n"/>
      <c r="I280" s="323" t="n"/>
      <c r="J280" s="323" t="n"/>
      <c r="K280" s="323" t="n"/>
      <c r="L280" s="323" t="n"/>
      <c r="M280" s="323" t="n"/>
      <c r="N280" s="323" t="n"/>
    </row>
    <row r="281" ht="12.5" customHeight="1" s="189">
      <c r="C281" s="323" t="n"/>
      <c r="D281" s="323" t="n"/>
      <c r="E281" s="323" t="n"/>
      <c r="F281" s="323" t="n"/>
      <c r="G281" s="323" t="n"/>
      <c r="H281" s="323" t="n"/>
      <c r="I281" s="323" t="n"/>
      <c r="J281" s="323" t="n"/>
      <c r="K281" s="323" t="n"/>
      <c r="L281" s="323" t="n"/>
      <c r="M281" s="323" t="n"/>
      <c r="N281" s="323" t="n"/>
    </row>
    <row r="282" ht="12.5" customHeight="1" s="189">
      <c r="C282" s="323" t="n"/>
      <c r="D282" s="323" t="n"/>
      <c r="E282" s="323" t="n"/>
      <c r="F282" s="323" t="n"/>
      <c r="G282" s="323" t="n"/>
      <c r="H282" s="323" t="n"/>
      <c r="I282" s="323" t="n"/>
      <c r="J282" s="323" t="n"/>
      <c r="K282" s="323" t="n"/>
      <c r="L282" s="323" t="n"/>
      <c r="M282" s="323" t="n"/>
      <c r="N282" s="323" t="n"/>
    </row>
    <row r="283" ht="12.5" customHeight="1" s="189">
      <c r="C283" s="323" t="n"/>
      <c r="D283" s="323" t="n"/>
      <c r="E283" s="323" t="n"/>
      <c r="F283" s="323" t="n"/>
      <c r="G283" s="323" t="n"/>
      <c r="H283" s="323" t="n"/>
      <c r="I283" s="323" t="n"/>
      <c r="J283" s="323" t="n"/>
      <c r="K283" s="323" t="n"/>
      <c r="L283" s="323" t="n"/>
      <c r="M283" s="323" t="n"/>
      <c r="N283" s="323" t="n"/>
    </row>
    <row r="284" ht="12.5" customHeight="1" s="189">
      <c r="C284" s="323" t="n"/>
      <c r="D284" s="323" t="n"/>
      <c r="E284" s="323" t="n"/>
      <c r="F284" s="323" t="n"/>
      <c r="G284" s="323" t="n"/>
      <c r="H284" s="323" t="n"/>
      <c r="I284" s="323" t="n"/>
      <c r="J284" s="323" t="n"/>
      <c r="K284" s="323" t="n"/>
      <c r="L284" s="323" t="n"/>
      <c r="M284" s="323" t="n"/>
      <c r="N284" s="323" t="n"/>
    </row>
    <row r="285" ht="12.5" customHeight="1" s="189">
      <c r="C285" s="323" t="n"/>
      <c r="D285" s="323" t="n"/>
      <c r="E285" s="323" t="n"/>
      <c r="F285" s="323" t="n"/>
      <c r="G285" s="323" t="n"/>
      <c r="H285" s="323" t="n"/>
      <c r="I285" s="323" t="n"/>
      <c r="J285" s="323" t="n"/>
      <c r="K285" s="323" t="n"/>
      <c r="L285" s="323" t="n"/>
      <c r="M285" s="323" t="n"/>
      <c r="N285" s="323" t="n"/>
    </row>
    <row r="286" ht="12.5" customHeight="1" s="189">
      <c r="C286" s="323" t="n"/>
      <c r="D286" s="323" t="n"/>
      <c r="E286" s="323" t="n"/>
      <c r="F286" s="323" t="n"/>
      <c r="G286" s="323" t="n"/>
      <c r="H286" s="323" t="n"/>
      <c r="I286" s="323" t="n"/>
      <c r="J286" s="323" t="n"/>
      <c r="K286" s="323" t="n"/>
      <c r="L286" s="323" t="n"/>
      <c r="M286" s="323" t="n"/>
      <c r="N286" s="323" t="n"/>
    </row>
    <row r="287" ht="12.5" customHeight="1" s="189">
      <c r="C287" s="323" t="n"/>
      <c r="D287" s="323" t="n"/>
      <c r="E287" s="323" t="n"/>
      <c r="F287" s="323" t="n"/>
      <c r="G287" s="323" t="n"/>
      <c r="H287" s="323" t="n"/>
      <c r="I287" s="323" t="n"/>
      <c r="J287" s="323" t="n"/>
      <c r="K287" s="323" t="n"/>
      <c r="L287" s="323" t="n"/>
      <c r="M287" s="323" t="n"/>
      <c r="N287" s="323" t="n"/>
    </row>
    <row r="288" ht="12.5" customHeight="1" s="189">
      <c r="C288" s="323" t="n"/>
      <c r="D288" s="323" t="n"/>
      <c r="E288" s="323" t="n"/>
      <c r="F288" s="323" t="n"/>
      <c r="G288" s="323" t="n"/>
      <c r="H288" s="323" t="n"/>
      <c r="I288" s="323" t="n"/>
      <c r="J288" s="323" t="n"/>
      <c r="K288" s="323" t="n"/>
      <c r="L288" s="323" t="n"/>
      <c r="M288" s="323" t="n"/>
      <c r="N288" s="323" t="n"/>
    </row>
    <row r="289" ht="12.5" customHeight="1" s="189">
      <c r="C289" s="323" t="n"/>
      <c r="D289" s="323" t="n"/>
      <c r="E289" s="323" t="n"/>
      <c r="F289" s="323" t="n"/>
      <c r="G289" s="323" t="n"/>
      <c r="H289" s="323" t="n"/>
      <c r="I289" s="323" t="n"/>
      <c r="J289" s="323" t="n"/>
      <c r="K289" s="323" t="n"/>
      <c r="L289" s="323" t="n"/>
      <c r="M289" s="323" t="n"/>
      <c r="N289" s="323" t="n"/>
    </row>
    <row r="290" ht="12.5" customHeight="1" s="189">
      <c r="C290" s="323" t="n"/>
      <c r="D290" s="323" t="n"/>
      <c r="E290" s="323" t="n"/>
      <c r="F290" s="323" t="n"/>
      <c r="G290" s="323" t="n"/>
      <c r="H290" s="323" t="n"/>
      <c r="I290" s="323" t="n"/>
      <c r="J290" s="323" t="n"/>
      <c r="K290" s="323" t="n"/>
      <c r="L290" s="323" t="n"/>
      <c r="M290" s="323" t="n"/>
      <c r="N290" s="323" t="n"/>
    </row>
    <row r="291" ht="12.5" customHeight="1" s="189">
      <c r="C291" s="323" t="n"/>
      <c r="D291" s="323" t="n"/>
      <c r="E291" s="323" t="n"/>
      <c r="F291" s="323" t="n"/>
      <c r="G291" s="323" t="n"/>
      <c r="H291" s="323" t="n"/>
      <c r="I291" s="323" t="n"/>
      <c r="J291" s="323" t="n"/>
      <c r="K291" s="323" t="n"/>
      <c r="L291" s="323" t="n"/>
      <c r="M291" s="323" t="n"/>
      <c r="N291" s="323" t="n"/>
    </row>
    <row r="292" ht="12.5" customHeight="1" s="189">
      <c r="C292" s="323" t="n"/>
      <c r="D292" s="323" t="n"/>
      <c r="E292" s="323" t="n"/>
      <c r="F292" s="323" t="n"/>
      <c r="G292" s="323" t="n"/>
      <c r="H292" s="323" t="n"/>
      <c r="I292" s="323" t="n"/>
      <c r="J292" s="323" t="n"/>
      <c r="K292" s="323" t="n"/>
      <c r="L292" s="323" t="n"/>
      <c r="M292" s="323" t="n"/>
      <c r="N292" s="323" t="n"/>
    </row>
    <row r="293" ht="12.5" customHeight="1" s="189">
      <c r="C293" s="323" t="n"/>
      <c r="D293" s="323" t="n"/>
      <c r="E293" s="323" t="n"/>
      <c r="F293" s="323" t="n"/>
      <c r="G293" s="323" t="n"/>
      <c r="H293" s="323" t="n"/>
      <c r="I293" s="323" t="n"/>
      <c r="J293" s="323" t="n"/>
      <c r="K293" s="323" t="n"/>
      <c r="L293" s="323" t="n"/>
      <c r="M293" s="323" t="n"/>
      <c r="N293" s="323" t="n"/>
    </row>
    <row r="294" ht="12.5" customHeight="1" s="189">
      <c r="C294" s="323" t="n"/>
      <c r="D294" s="323" t="n"/>
      <c r="E294" s="323" t="n"/>
      <c r="F294" s="323" t="n"/>
      <c r="G294" s="323" t="n"/>
      <c r="H294" s="323" t="n"/>
      <c r="I294" s="323" t="n"/>
      <c r="J294" s="323" t="n"/>
      <c r="K294" s="323" t="n"/>
      <c r="L294" s="323" t="n"/>
      <c r="M294" s="323" t="n"/>
      <c r="N294" s="323" t="n"/>
    </row>
    <row r="295" ht="12.5" customHeight="1" s="189">
      <c r="C295" s="323" t="n"/>
      <c r="D295" s="323" t="n"/>
      <c r="E295" s="323" t="n"/>
      <c r="F295" s="323" t="n"/>
      <c r="G295" s="323" t="n"/>
      <c r="H295" s="323" t="n"/>
      <c r="I295" s="323" t="n"/>
      <c r="J295" s="323" t="n"/>
      <c r="K295" s="323" t="n"/>
      <c r="L295" s="323" t="n"/>
      <c r="M295" s="323" t="n"/>
      <c r="N295" s="323" t="n"/>
    </row>
    <row r="296" ht="12.5" customHeight="1" s="189">
      <c r="C296" s="323" t="n"/>
      <c r="D296" s="323" t="n"/>
      <c r="E296" s="323" t="n"/>
      <c r="F296" s="323" t="n"/>
      <c r="G296" s="323" t="n"/>
      <c r="H296" s="323" t="n"/>
      <c r="I296" s="323" t="n"/>
      <c r="J296" s="323" t="n"/>
      <c r="K296" s="323" t="n"/>
      <c r="L296" s="323" t="n"/>
      <c r="M296" s="323" t="n"/>
      <c r="N296" s="323" t="n"/>
    </row>
    <row r="297" ht="12.5" customHeight="1" s="189">
      <c r="C297" s="323" t="n"/>
      <c r="D297" s="323" t="n"/>
      <c r="E297" s="323" t="n"/>
      <c r="F297" s="323" t="n"/>
      <c r="G297" s="323" t="n"/>
      <c r="H297" s="323" t="n"/>
      <c r="I297" s="323" t="n"/>
      <c r="J297" s="323" t="n"/>
      <c r="K297" s="323" t="n"/>
      <c r="L297" s="323" t="n"/>
      <c r="M297" s="323" t="n"/>
      <c r="N297" s="323" t="n"/>
    </row>
    <row r="298" ht="12.5" customHeight="1" s="189">
      <c r="C298" s="323" t="n"/>
      <c r="D298" s="323" t="n"/>
      <c r="E298" s="323" t="n"/>
      <c r="F298" s="323" t="n"/>
      <c r="G298" s="323" t="n"/>
      <c r="H298" s="323" t="n"/>
      <c r="I298" s="323" t="n"/>
      <c r="J298" s="323" t="n"/>
      <c r="K298" s="323" t="n"/>
      <c r="L298" s="323" t="n"/>
      <c r="M298" s="323" t="n"/>
      <c r="N298" s="323" t="n"/>
    </row>
    <row r="299" ht="12.5" customHeight="1" s="189">
      <c r="C299" s="323" t="n"/>
      <c r="D299" s="323" t="n"/>
      <c r="E299" s="323" t="n"/>
      <c r="F299" s="323" t="n"/>
      <c r="G299" s="323" t="n"/>
      <c r="H299" s="323" t="n"/>
      <c r="I299" s="323" t="n"/>
      <c r="J299" s="323" t="n"/>
      <c r="K299" s="323" t="n"/>
      <c r="L299" s="323" t="n"/>
      <c r="M299" s="323" t="n"/>
      <c r="N299" s="323" t="n"/>
    </row>
    <row r="300" ht="12.5" customHeight="1" s="189">
      <c r="C300" s="323" t="n"/>
      <c r="D300" s="323" t="n"/>
      <c r="E300" s="323" t="n"/>
      <c r="F300" s="323" t="n"/>
      <c r="G300" s="323" t="n"/>
      <c r="H300" s="323" t="n"/>
      <c r="I300" s="323" t="n"/>
      <c r="J300" s="323" t="n"/>
      <c r="K300" s="323" t="n"/>
      <c r="L300" s="323" t="n"/>
      <c r="M300" s="323" t="n"/>
      <c r="N300" s="323" t="n"/>
    </row>
    <row r="301" ht="12.5" customHeight="1" s="189">
      <c r="C301" s="323" t="n"/>
      <c r="D301" s="323" t="n"/>
      <c r="E301" s="323" t="n"/>
      <c r="F301" s="323" t="n"/>
      <c r="G301" s="323" t="n"/>
      <c r="H301" s="323" t="n"/>
      <c r="I301" s="323" t="n"/>
      <c r="J301" s="323" t="n"/>
      <c r="K301" s="323" t="n"/>
      <c r="L301" s="323" t="n"/>
      <c r="M301" s="323" t="n"/>
      <c r="N301" s="323" t="n"/>
    </row>
    <row r="302" ht="12.5" customHeight="1" s="189">
      <c r="C302" s="323" t="n"/>
      <c r="D302" s="323" t="n"/>
      <c r="E302" s="323" t="n"/>
      <c r="F302" s="323" t="n"/>
      <c r="G302" s="323" t="n"/>
      <c r="H302" s="323" t="n"/>
      <c r="I302" s="323" t="n"/>
      <c r="J302" s="323" t="n"/>
      <c r="K302" s="323" t="n"/>
      <c r="L302" s="323" t="n"/>
      <c r="M302" s="323" t="n"/>
      <c r="N302" s="323" t="n"/>
    </row>
    <row r="303" ht="12.5" customHeight="1" s="189">
      <c r="C303" s="323" t="n"/>
      <c r="D303" s="323" t="n"/>
      <c r="E303" s="323" t="n"/>
      <c r="F303" s="323" t="n"/>
      <c r="G303" s="323" t="n"/>
      <c r="H303" s="323" t="n"/>
      <c r="I303" s="323" t="n"/>
      <c r="J303" s="323" t="n"/>
      <c r="K303" s="323" t="n"/>
      <c r="L303" s="323" t="n"/>
      <c r="M303" s="323" t="n"/>
      <c r="N303" s="323" t="n"/>
    </row>
    <row r="304" ht="12.5" customHeight="1" s="189">
      <c r="C304" s="323" t="n"/>
      <c r="D304" s="323" t="n"/>
      <c r="E304" s="323" t="n"/>
      <c r="F304" s="323" t="n"/>
      <c r="G304" s="323" t="n"/>
      <c r="H304" s="323" t="n"/>
      <c r="I304" s="323" t="n"/>
      <c r="J304" s="323" t="n"/>
      <c r="K304" s="323" t="n"/>
      <c r="L304" s="323" t="n"/>
      <c r="M304" s="323" t="n"/>
      <c r="N304" s="323" t="n"/>
    </row>
    <row r="305" ht="12.5" customHeight="1" s="189">
      <c r="C305" s="323" t="n"/>
      <c r="D305" s="323" t="n"/>
      <c r="E305" s="323" t="n"/>
      <c r="F305" s="323" t="n"/>
      <c r="G305" s="323" t="n"/>
      <c r="H305" s="323" t="n"/>
      <c r="I305" s="323" t="n"/>
      <c r="J305" s="323" t="n"/>
      <c r="K305" s="323" t="n"/>
      <c r="L305" s="323" t="n"/>
      <c r="M305" s="323" t="n"/>
      <c r="N305" s="323" t="n"/>
    </row>
    <row r="306" ht="12.5" customHeight="1" s="189">
      <c r="C306" s="323" t="n"/>
      <c r="D306" s="323" t="n"/>
      <c r="E306" s="323" t="n"/>
      <c r="F306" s="323" t="n"/>
      <c r="G306" s="323" t="n"/>
      <c r="H306" s="323" t="n"/>
      <c r="I306" s="323" t="n"/>
      <c r="J306" s="323" t="n"/>
      <c r="K306" s="323" t="n"/>
      <c r="L306" s="323" t="n"/>
      <c r="M306" s="323" t="n"/>
      <c r="N306" s="323" t="n"/>
    </row>
    <row r="307" ht="12.5" customHeight="1" s="189">
      <c r="C307" s="323" t="n"/>
      <c r="D307" s="323" t="n"/>
      <c r="E307" s="323" t="n"/>
      <c r="F307" s="323" t="n"/>
      <c r="G307" s="323" t="n"/>
      <c r="H307" s="323" t="n"/>
      <c r="I307" s="323" t="n"/>
      <c r="J307" s="323" t="n"/>
      <c r="K307" s="323" t="n"/>
      <c r="L307" s="323" t="n"/>
      <c r="M307" s="323" t="n"/>
      <c r="N307" s="323" t="n"/>
    </row>
    <row r="308" ht="12.5" customHeight="1" s="189">
      <c r="C308" s="323" t="n"/>
      <c r="D308" s="323" t="n"/>
      <c r="E308" s="323" t="n"/>
      <c r="F308" s="323" t="n"/>
      <c r="G308" s="323" t="n"/>
      <c r="H308" s="323" t="n"/>
      <c r="I308" s="323" t="n"/>
      <c r="J308" s="323" t="n"/>
      <c r="K308" s="323" t="n"/>
      <c r="L308" s="323" t="n"/>
      <c r="M308" s="323" t="n"/>
      <c r="N308" s="323" t="n"/>
    </row>
    <row r="309" ht="12.5" customHeight="1" s="189">
      <c r="C309" s="323" t="n"/>
      <c r="D309" s="323" t="n"/>
      <c r="E309" s="323" t="n"/>
      <c r="F309" s="323" t="n"/>
      <c r="G309" s="323" t="n"/>
      <c r="H309" s="323" t="n"/>
      <c r="I309" s="323" t="n"/>
      <c r="J309" s="323" t="n"/>
      <c r="K309" s="323" t="n"/>
      <c r="L309" s="323" t="n"/>
      <c r="M309" s="323" t="n"/>
      <c r="N309" s="323" t="n"/>
    </row>
    <row r="310" ht="12.5" customHeight="1" s="189">
      <c r="C310" s="323" t="n"/>
      <c r="D310" s="323" t="n"/>
      <c r="E310" s="323" t="n"/>
      <c r="F310" s="323" t="n"/>
      <c r="G310" s="323" t="n"/>
      <c r="H310" s="323" t="n"/>
      <c r="I310" s="323" t="n"/>
      <c r="J310" s="323" t="n"/>
      <c r="K310" s="323" t="n"/>
      <c r="L310" s="323" t="n"/>
      <c r="M310" s="323" t="n"/>
      <c r="N310" s="323" t="n"/>
    </row>
    <row r="311" ht="12.5" customHeight="1" s="189">
      <c r="C311" s="323" t="n"/>
      <c r="D311" s="323" t="n"/>
      <c r="E311" s="323" t="n"/>
      <c r="F311" s="323" t="n"/>
      <c r="G311" s="323" t="n"/>
      <c r="H311" s="323" t="n"/>
      <c r="I311" s="323" t="n"/>
      <c r="J311" s="323" t="n"/>
      <c r="K311" s="323" t="n"/>
      <c r="L311" s="323" t="n"/>
      <c r="M311" s="323" t="n"/>
      <c r="N311" s="323" t="n"/>
    </row>
    <row r="312" ht="12.5" customHeight="1" s="189">
      <c r="C312" s="323" t="n"/>
      <c r="D312" s="323" t="n"/>
      <c r="E312" s="323" t="n"/>
      <c r="F312" s="323" t="n"/>
      <c r="G312" s="323" t="n"/>
      <c r="H312" s="323" t="n"/>
      <c r="I312" s="323" t="n"/>
      <c r="J312" s="323" t="n"/>
      <c r="K312" s="323" t="n"/>
      <c r="L312" s="323" t="n"/>
      <c r="M312" s="323" t="n"/>
      <c r="N312" s="323" t="n"/>
    </row>
    <row r="313" ht="12.5" customHeight="1" s="189">
      <c r="C313" s="323" t="n"/>
      <c r="D313" s="323" t="n"/>
      <c r="E313" s="323" t="n"/>
      <c r="F313" s="323" t="n"/>
      <c r="G313" s="323" t="n"/>
      <c r="H313" s="323" t="n"/>
      <c r="I313" s="323" t="n"/>
      <c r="J313" s="323" t="n"/>
      <c r="K313" s="323" t="n"/>
      <c r="L313" s="323" t="n"/>
      <c r="M313" s="323" t="n"/>
      <c r="N313" s="323" t="n"/>
    </row>
    <row r="314" ht="12.5" customHeight="1" s="189">
      <c r="C314" s="323" t="n"/>
      <c r="D314" s="323" t="n"/>
      <c r="E314" s="323" t="n"/>
      <c r="F314" s="323" t="n"/>
      <c r="G314" s="323" t="n"/>
      <c r="H314" s="323" t="n"/>
      <c r="I314" s="323" t="n"/>
      <c r="J314" s="323" t="n"/>
      <c r="K314" s="323" t="n"/>
      <c r="L314" s="323" t="n"/>
      <c r="M314" s="323" t="n"/>
      <c r="N314" s="323" t="n"/>
    </row>
    <row r="315" ht="12.5" customHeight="1" s="189">
      <c r="C315" s="323" t="n"/>
      <c r="D315" s="323" t="n"/>
      <c r="E315" s="323" t="n"/>
      <c r="F315" s="323" t="n"/>
      <c r="G315" s="323" t="n"/>
      <c r="H315" s="323" t="n"/>
      <c r="I315" s="323" t="n"/>
      <c r="J315" s="323" t="n"/>
      <c r="K315" s="323" t="n"/>
      <c r="L315" s="323" t="n"/>
      <c r="M315" s="323" t="n"/>
      <c r="N315" s="323" t="n"/>
    </row>
    <row r="316" ht="12.5" customHeight="1" s="189">
      <c r="C316" s="323" t="n"/>
      <c r="D316" s="323" t="n"/>
      <c r="E316" s="323" t="n"/>
      <c r="F316" s="323" t="n"/>
      <c r="G316" s="323" t="n"/>
      <c r="H316" s="323" t="n"/>
      <c r="I316" s="323" t="n"/>
      <c r="J316" s="323" t="n"/>
      <c r="K316" s="323" t="n"/>
      <c r="L316" s="323" t="n"/>
      <c r="M316" s="323" t="n"/>
      <c r="N316" s="323" t="n"/>
    </row>
    <row r="317" ht="12.5" customHeight="1" s="189">
      <c r="C317" s="323" t="n"/>
      <c r="D317" s="323" t="n"/>
      <c r="E317" s="323" t="n"/>
      <c r="F317" s="323" t="n"/>
      <c r="G317" s="323" t="n"/>
      <c r="H317" s="323" t="n"/>
      <c r="I317" s="323" t="n"/>
      <c r="J317" s="323" t="n"/>
      <c r="K317" s="323" t="n"/>
      <c r="L317" s="323" t="n"/>
      <c r="M317" s="323" t="n"/>
      <c r="N317" s="323" t="n"/>
    </row>
    <row r="318" ht="12.5" customHeight="1" s="189">
      <c r="C318" s="323" t="n"/>
      <c r="D318" s="323" t="n"/>
      <c r="E318" s="323" t="n"/>
      <c r="F318" s="323" t="n"/>
      <c r="G318" s="323" t="n"/>
      <c r="H318" s="323" t="n"/>
      <c r="I318" s="323" t="n"/>
      <c r="J318" s="323" t="n"/>
      <c r="K318" s="323" t="n"/>
      <c r="L318" s="323" t="n"/>
      <c r="M318" s="323" t="n"/>
      <c r="N318" s="323" t="n"/>
    </row>
    <row r="319" ht="12.5" customHeight="1" s="189">
      <c r="C319" s="323" t="n"/>
      <c r="D319" s="323" t="n"/>
      <c r="E319" s="323" t="n"/>
      <c r="F319" s="323" t="n"/>
      <c r="G319" s="323" t="n"/>
      <c r="H319" s="323" t="n"/>
      <c r="I319" s="323" t="n"/>
      <c r="J319" s="323" t="n"/>
      <c r="K319" s="323" t="n"/>
      <c r="L319" s="323" t="n"/>
      <c r="M319" s="323" t="n"/>
      <c r="N319" s="323" t="n"/>
    </row>
    <row r="320" ht="12.5" customHeight="1" s="189">
      <c r="C320" s="323" t="n"/>
      <c r="D320" s="323" t="n"/>
      <c r="E320" s="323" t="n"/>
      <c r="F320" s="323" t="n"/>
      <c r="G320" s="323" t="n"/>
      <c r="H320" s="323" t="n"/>
      <c r="I320" s="323" t="n"/>
      <c r="J320" s="323" t="n"/>
      <c r="K320" s="323" t="n"/>
      <c r="L320" s="323" t="n"/>
      <c r="M320" s="323" t="n"/>
      <c r="N320" s="323" t="n"/>
    </row>
    <row r="321" ht="12.5" customHeight="1" s="189">
      <c r="C321" s="323" t="n"/>
      <c r="D321" s="323" t="n"/>
      <c r="E321" s="323" t="n"/>
      <c r="F321" s="323" t="n"/>
      <c r="G321" s="323" t="n"/>
      <c r="H321" s="323" t="n"/>
      <c r="I321" s="323" t="n"/>
      <c r="J321" s="323" t="n"/>
      <c r="K321" s="323" t="n"/>
      <c r="L321" s="323" t="n"/>
      <c r="M321" s="323" t="n"/>
      <c r="N321" s="323" t="n"/>
    </row>
    <row r="322" ht="12.5" customHeight="1" s="189">
      <c r="C322" s="323" t="n"/>
      <c r="D322" s="323" t="n"/>
      <c r="E322" s="323" t="n"/>
      <c r="F322" s="323" t="n"/>
      <c r="G322" s="323" t="n"/>
      <c r="H322" s="323" t="n"/>
      <c r="I322" s="323" t="n"/>
      <c r="J322" s="323" t="n"/>
      <c r="K322" s="323" t="n"/>
      <c r="L322" s="323" t="n"/>
      <c r="M322" s="323" t="n"/>
      <c r="N322" s="323" t="n"/>
    </row>
    <row r="323" ht="12.5" customHeight="1" s="189">
      <c r="C323" s="323" t="n"/>
      <c r="D323" s="323" t="n"/>
      <c r="E323" s="323" t="n"/>
      <c r="F323" s="323" t="n"/>
      <c r="G323" s="323" t="n"/>
      <c r="H323" s="323" t="n"/>
      <c r="I323" s="323" t="n"/>
      <c r="J323" s="323" t="n"/>
      <c r="K323" s="323" t="n"/>
      <c r="L323" s="323" t="n"/>
      <c r="M323" s="323" t="n"/>
      <c r="N323" s="323" t="n"/>
    </row>
    <row r="324" ht="12.5" customHeight="1" s="189">
      <c r="C324" s="323" t="n"/>
      <c r="D324" s="323" t="n"/>
      <c r="E324" s="323" t="n"/>
      <c r="F324" s="323" t="n"/>
      <c r="G324" s="323" t="n"/>
      <c r="H324" s="323" t="n"/>
      <c r="I324" s="323" t="n"/>
      <c r="J324" s="323" t="n"/>
      <c r="K324" s="323" t="n"/>
      <c r="L324" s="323" t="n"/>
      <c r="M324" s="323" t="n"/>
      <c r="N324" s="323" t="n"/>
    </row>
    <row r="325" ht="12.5" customHeight="1" s="189">
      <c r="C325" s="323" t="n"/>
      <c r="D325" s="323" t="n"/>
      <c r="E325" s="323" t="n"/>
      <c r="F325" s="323" t="n"/>
      <c r="G325" s="323" t="n"/>
      <c r="H325" s="323" t="n"/>
      <c r="I325" s="323" t="n"/>
      <c r="J325" s="323" t="n"/>
      <c r="K325" s="323" t="n"/>
      <c r="L325" s="323" t="n"/>
      <c r="M325" s="323" t="n"/>
      <c r="N325" s="323" t="n"/>
    </row>
    <row r="326" ht="12.5" customHeight="1" s="189">
      <c r="C326" s="323" t="n"/>
      <c r="D326" s="323" t="n"/>
      <c r="E326" s="323" t="n"/>
      <c r="F326" s="323" t="n"/>
      <c r="G326" s="323" t="n"/>
      <c r="H326" s="323" t="n"/>
      <c r="I326" s="323" t="n"/>
      <c r="J326" s="323" t="n"/>
      <c r="K326" s="323" t="n"/>
      <c r="L326" s="323" t="n"/>
      <c r="M326" s="323" t="n"/>
      <c r="N326" s="323" t="n"/>
    </row>
    <row r="327" ht="12.5" customHeight="1" s="189">
      <c r="C327" s="323" t="n"/>
      <c r="D327" s="323" t="n"/>
      <c r="E327" s="323" t="n"/>
      <c r="F327" s="323" t="n"/>
      <c r="G327" s="323" t="n"/>
      <c r="H327" s="323" t="n"/>
      <c r="I327" s="323" t="n"/>
      <c r="J327" s="323" t="n"/>
      <c r="K327" s="323" t="n"/>
      <c r="L327" s="323" t="n"/>
      <c r="M327" s="323" t="n"/>
      <c r="N327" s="323" t="n"/>
    </row>
    <row r="328" ht="12.5" customHeight="1" s="189">
      <c r="C328" s="323" t="n"/>
      <c r="D328" s="323" t="n"/>
      <c r="E328" s="323" t="n"/>
      <c r="F328" s="323" t="n"/>
      <c r="G328" s="323" t="n"/>
      <c r="H328" s="323" t="n"/>
      <c r="I328" s="323" t="n"/>
      <c r="J328" s="323" t="n"/>
      <c r="K328" s="323" t="n"/>
      <c r="L328" s="323" t="n"/>
      <c r="M328" s="323" t="n"/>
      <c r="N328" s="323" t="n"/>
    </row>
    <row r="329" ht="12.5" customHeight="1" s="189">
      <c r="C329" s="323" t="n"/>
      <c r="D329" s="323" t="n"/>
      <c r="E329" s="323" t="n"/>
      <c r="F329" s="323" t="n"/>
      <c r="G329" s="323" t="n"/>
      <c r="H329" s="323" t="n"/>
      <c r="I329" s="323" t="n"/>
      <c r="J329" s="323" t="n"/>
      <c r="K329" s="323" t="n"/>
      <c r="L329" s="323" t="n"/>
      <c r="M329" s="323" t="n"/>
      <c r="N329" s="323" t="n"/>
    </row>
    <row r="330" ht="12.5" customHeight="1" s="189">
      <c r="C330" s="323" t="n"/>
      <c r="D330" s="323" t="n"/>
      <c r="E330" s="323" t="n"/>
      <c r="F330" s="323" t="n"/>
      <c r="G330" s="323" t="n"/>
      <c r="H330" s="323" t="n"/>
      <c r="I330" s="323" t="n"/>
      <c r="J330" s="323" t="n"/>
      <c r="K330" s="323" t="n"/>
      <c r="L330" s="323" t="n"/>
      <c r="M330" s="323" t="n"/>
      <c r="N330" s="323" t="n"/>
    </row>
    <row r="331" ht="12.5" customHeight="1" s="189">
      <c r="C331" s="323" t="n"/>
      <c r="D331" s="323" t="n"/>
      <c r="E331" s="323" t="n"/>
      <c r="F331" s="323" t="n"/>
      <c r="G331" s="323" t="n"/>
      <c r="H331" s="323" t="n"/>
      <c r="I331" s="323" t="n"/>
      <c r="J331" s="323" t="n"/>
      <c r="K331" s="323" t="n"/>
      <c r="L331" s="323" t="n"/>
      <c r="M331" s="323" t="n"/>
      <c r="N331" s="323" t="n"/>
    </row>
    <row r="332" ht="12.5" customHeight="1" s="189">
      <c r="C332" s="323" t="n"/>
      <c r="D332" s="323" t="n"/>
      <c r="E332" s="323" t="n"/>
      <c r="F332" s="323" t="n"/>
      <c r="G332" s="323" t="n"/>
      <c r="H332" s="323" t="n"/>
      <c r="I332" s="323" t="n"/>
      <c r="J332" s="323" t="n"/>
      <c r="K332" s="323" t="n"/>
      <c r="L332" s="323" t="n"/>
      <c r="M332" s="323" t="n"/>
      <c r="N332" s="323" t="n"/>
    </row>
    <row r="333" ht="12.5" customHeight="1" s="189">
      <c r="C333" s="323" t="n"/>
      <c r="D333" s="323" t="n"/>
      <c r="E333" s="323" t="n"/>
      <c r="F333" s="323" t="n"/>
      <c r="G333" s="323" t="n"/>
      <c r="H333" s="323" t="n"/>
      <c r="I333" s="323" t="n"/>
      <c r="J333" s="323" t="n"/>
      <c r="K333" s="323" t="n"/>
      <c r="L333" s="323" t="n"/>
      <c r="M333" s="323" t="n"/>
      <c r="N333" s="323" t="n"/>
    </row>
    <row r="334" ht="12.5" customHeight="1" s="189">
      <c r="C334" s="323" t="n"/>
      <c r="D334" s="323" t="n"/>
      <c r="E334" s="323" t="n"/>
      <c r="F334" s="323" t="n"/>
      <c r="G334" s="323" t="n"/>
      <c r="H334" s="323" t="n"/>
      <c r="I334" s="323" t="n"/>
      <c r="J334" s="323" t="n"/>
      <c r="K334" s="323" t="n"/>
      <c r="L334" s="323" t="n"/>
      <c r="M334" s="323" t="n"/>
      <c r="N334" s="323" t="n"/>
    </row>
    <row r="335" ht="12.5" customHeight="1" s="189">
      <c r="C335" s="323" t="n"/>
      <c r="D335" s="323" t="n"/>
      <c r="E335" s="323" t="n"/>
      <c r="F335" s="323" t="n"/>
      <c r="G335" s="323" t="n"/>
      <c r="H335" s="323" t="n"/>
      <c r="I335" s="323" t="n"/>
      <c r="J335" s="323" t="n"/>
      <c r="K335" s="323" t="n"/>
      <c r="L335" s="323" t="n"/>
      <c r="M335" s="323" t="n"/>
      <c r="N335" s="323" t="n"/>
    </row>
    <row r="336" ht="12.5" customHeight="1" s="189">
      <c r="C336" s="323" t="n"/>
      <c r="D336" s="323" t="n"/>
      <c r="E336" s="323" t="n"/>
      <c r="F336" s="323" t="n"/>
      <c r="G336" s="323" t="n"/>
      <c r="H336" s="323" t="n"/>
      <c r="I336" s="323" t="n"/>
      <c r="J336" s="323" t="n"/>
      <c r="K336" s="323" t="n"/>
      <c r="L336" s="323" t="n"/>
      <c r="M336" s="323" t="n"/>
      <c r="N336" s="323" t="n"/>
    </row>
    <row r="337" ht="12.5" customHeight="1" s="189">
      <c r="C337" s="323" t="n"/>
      <c r="D337" s="323" t="n"/>
      <c r="E337" s="323" t="n"/>
      <c r="F337" s="323" t="n"/>
      <c r="G337" s="323" t="n"/>
      <c r="H337" s="323" t="n"/>
      <c r="I337" s="323" t="n"/>
      <c r="J337" s="323" t="n"/>
      <c r="K337" s="323" t="n"/>
      <c r="L337" s="323" t="n"/>
      <c r="M337" s="323" t="n"/>
      <c r="N337" s="323" t="n"/>
    </row>
    <row r="338" ht="12.5" customHeight="1" s="189">
      <c r="C338" s="323" t="n"/>
      <c r="D338" s="323" t="n"/>
      <c r="E338" s="323" t="n"/>
      <c r="F338" s="323" t="n"/>
      <c r="G338" s="323" t="n"/>
      <c r="H338" s="323" t="n"/>
      <c r="I338" s="323" t="n"/>
      <c r="J338" s="323" t="n"/>
      <c r="K338" s="323" t="n"/>
      <c r="L338" s="323" t="n"/>
      <c r="M338" s="323" t="n"/>
      <c r="N338" s="323" t="n"/>
    </row>
    <row r="339" ht="12.5" customHeight="1" s="189">
      <c r="C339" s="323" t="n"/>
      <c r="D339" s="323" t="n"/>
      <c r="E339" s="323" t="n"/>
      <c r="F339" s="323" t="n"/>
      <c r="G339" s="323" t="n"/>
      <c r="H339" s="323" t="n"/>
      <c r="I339" s="323" t="n"/>
      <c r="J339" s="323" t="n"/>
      <c r="K339" s="323" t="n"/>
      <c r="L339" s="323" t="n"/>
      <c r="M339" s="323" t="n"/>
      <c r="N339" s="323" t="n"/>
    </row>
    <row r="340" ht="12.5" customHeight="1" s="189">
      <c r="C340" s="323" t="n"/>
      <c r="D340" s="323" t="n"/>
      <c r="E340" s="323" t="n"/>
      <c r="F340" s="323" t="n"/>
      <c r="G340" s="323" t="n"/>
      <c r="H340" s="323" t="n"/>
      <c r="I340" s="323" t="n"/>
      <c r="J340" s="323" t="n"/>
      <c r="K340" s="323" t="n"/>
      <c r="L340" s="323" t="n"/>
      <c r="M340" s="323" t="n"/>
      <c r="N340" s="323" t="n"/>
    </row>
    <row r="341" ht="12.5" customHeight="1" s="189">
      <c r="C341" s="323" t="n"/>
      <c r="D341" s="323" t="n"/>
      <c r="E341" s="323" t="n"/>
      <c r="F341" s="323" t="n"/>
      <c r="G341" s="323" t="n"/>
      <c r="H341" s="323" t="n"/>
      <c r="I341" s="323" t="n"/>
      <c r="J341" s="323" t="n"/>
      <c r="K341" s="323" t="n"/>
      <c r="L341" s="323" t="n"/>
      <c r="M341" s="323" t="n"/>
      <c r="N341" s="323" t="n"/>
    </row>
    <row r="342" ht="12.5" customHeight="1" s="189">
      <c r="C342" s="323" t="n"/>
      <c r="D342" s="323" t="n"/>
      <c r="E342" s="323" t="n"/>
      <c r="F342" s="323" t="n"/>
      <c r="G342" s="323" t="n"/>
      <c r="H342" s="323" t="n"/>
      <c r="I342" s="323" t="n"/>
      <c r="J342" s="323" t="n"/>
      <c r="K342" s="323" t="n"/>
      <c r="L342" s="323" t="n"/>
      <c r="M342" s="323" t="n"/>
      <c r="N342" s="323" t="n"/>
    </row>
    <row r="343" ht="12.5" customHeight="1" s="189">
      <c r="C343" s="323" t="n"/>
      <c r="D343" s="323" t="n"/>
      <c r="E343" s="323" t="n"/>
      <c r="F343" s="323" t="n"/>
      <c r="G343" s="323" t="n"/>
      <c r="H343" s="323" t="n"/>
      <c r="I343" s="323" t="n"/>
      <c r="J343" s="323" t="n"/>
      <c r="K343" s="323" t="n"/>
      <c r="L343" s="323" t="n"/>
      <c r="M343" s="323" t="n"/>
      <c r="N343" s="323" t="n"/>
    </row>
    <row r="344" ht="12.5" customHeight="1" s="189">
      <c r="C344" s="323" t="n"/>
      <c r="D344" s="323" t="n"/>
      <c r="E344" s="323" t="n"/>
      <c r="F344" s="323" t="n"/>
      <c r="G344" s="323" t="n"/>
      <c r="H344" s="323" t="n"/>
      <c r="I344" s="323" t="n"/>
      <c r="J344" s="323" t="n"/>
      <c r="K344" s="323" t="n"/>
      <c r="L344" s="323" t="n"/>
      <c r="M344" s="323" t="n"/>
      <c r="N344" s="323" t="n"/>
    </row>
    <row r="345" ht="12.5" customHeight="1" s="189">
      <c r="C345" s="323" t="n"/>
      <c r="D345" s="323" t="n"/>
      <c r="E345" s="323" t="n"/>
      <c r="F345" s="323" t="n"/>
      <c r="G345" s="323" t="n"/>
      <c r="H345" s="323" t="n"/>
      <c r="I345" s="323" t="n"/>
      <c r="J345" s="323" t="n"/>
      <c r="K345" s="323" t="n"/>
      <c r="L345" s="323" t="n"/>
      <c r="M345" s="323" t="n"/>
      <c r="N345" s="323" t="n"/>
    </row>
    <row r="346" ht="12.5" customHeight="1" s="189">
      <c r="C346" s="323" t="n"/>
      <c r="D346" s="323" t="n"/>
      <c r="E346" s="323" t="n"/>
      <c r="F346" s="323" t="n"/>
      <c r="G346" s="323" t="n"/>
      <c r="H346" s="323" t="n"/>
      <c r="I346" s="323" t="n"/>
      <c r="J346" s="323" t="n"/>
      <c r="K346" s="323" t="n"/>
      <c r="L346" s="323" t="n"/>
      <c r="M346" s="323" t="n"/>
      <c r="N346" s="323" t="n"/>
    </row>
    <row r="347" ht="12.5" customHeight="1" s="189">
      <c r="C347" s="323" t="n"/>
      <c r="D347" s="323" t="n"/>
      <c r="E347" s="323" t="n"/>
      <c r="F347" s="323" t="n"/>
      <c r="G347" s="323" t="n"/>
      <c r="H347" s="323" t="n"/>
      <c r="I347" s="323" t="n"/>
      <c r="J347" s="323" t="n"/>
      <c r="K347" s="323" t="n"/>
      <c r="L347" s="323" t="n"/>
      <c r="M347" s="323" t="n"/>
      <c r="N347" s="323" t="n"/>
    </row>
    <row r="348" ht="12.5" customHeight="1" s="189">
      <c r="C348" s="323" t="n"/>
      <c r="D348" s="323" t="n"/>
      <c r="E348" s="323" t="n"/>
      <c r="F348" s="323" t="n"/>
      <c r="G348" s="323" t="n"/>
      <c r="H348" s="323" t="n"/>
      <c r="I348" s="323" t="n"/>
      <c r="J348" s="323" t="n"/>
      <c r="K348" s="323" t="n"/>
      <c r="L348" s="323" t="n"/>
      <c r="M348" s="323" t="n"/>
      <c r="N348" s="323" t="n"/>
    </row>
    <row r="349" ht="12.5" customHeight="1" s="189">
      <c r="C349" s="323" t="n"/>
      <c r="D349" s="323" t="n"/>
      <c r="E349" s="323" t="n"/>
      <c r="F349" s="323" t="n"/>
      <c r="G349" s="323" t="n"/>
      <c r="H349" s="323" t="n"/>
      <c r="I349" s="323" t="n"/>
      <c r="J349" s="323" t="n"/>
      <c r="K349" s="323" t="n"/>
      <c r="L349" s="323" t="n"/>
      <c r="M349" s="323" t="n"/>
      <c r="N349" s="323" t="n"/>
    </row>
    <row r="350" ht="12.5" customHeight="1" s="189">
      <c r="C350" s="323" t="n"/>
      <c r="D350" s="323" t="n"/>
      <c r="E350" s="323" t="n"/>
      <c r="F350" s="323" t="n"/>
      <c r="G350" s="323" t="n"/>
      <c r="H350" s="323" t="n"/>
      <c r="I350" s="323" t="n"/>
      <c r="J350" s="323" t="n"/>
      <c r="K350" s="323" t="n"/>
      <c r="L350" s="323" t="n"/>
      <c r="M350" s="323" t="n"/>
      <c r="N350" s="323" t="n"/>
    </row>
    <row r="351" ht="12.5" customHeight="1" s="189">
      <c r="C351" s="323" t="n"/>
      <c r="D351" s="323" t="n"/>
      <c r="E351" s="323" t="n"/>
      <c r="F351" s="323" t="n"/>
      <c r="G351" s="323" t="n"/>
      <c r="H351" s="323" t="n"/>
      <c r="I351" s="323" t="n"/>
      <c r="J351" s="323" t="n"/>
      <c r="K351" s="323" t="n"/>
      <c r="L351" s="323" t="n"/>
      <c r="M351" s="323" t="n"/>
      <c r="N351" s="323" t="n"/>
    </row>
    <row r="352" ht="12.5" customHeight="1" s="189">
      <c r="C352" s="323" t="n"/>
      <c r="D352" s="323" t="n"/>
      <c r="E352" s="323" t="n"/>
      <c r="F352" s="323" t="n"/>
      <c r="G352" s="323" t="n"/>
      <c r="H352" s="323" t="n"/>
      <c r="I352" s="323" t="n"/>
      <c r="J352" s="323" t="n"/>
      <c r="K352" s="323" t="n"/>
      <c r="L352" s="323" t="n"/>
      <c r="M352" s="323" t="n"/>
      <c r="N352" s="323" t="n"/>
    </row>
    <row r="353" ht="12.5" customHeight="1" s="189">
      <c r="C353" s="323" t="n"/>
      <c r="D353" s="323" t="n"/>
      <c r="E353" s="323" t="n"/>
      <c r="F353" s="323" t="n"/>
      <c r="G353" s="323" t="n"/>
      <c r="H353" s="323" t="n"/>
      <c r="I353" s="323" t="n"/>
      <c r="J353" s="323" t="n"/>
      <c r="K353" s="323" t="n"/>
      <c r="L353" s="323" t="n"/>
      <c r="M353" s="323" t="n"/>
      <c r="N353" s="323" t="n"/>
    </row>
    <row r="354" ht="12.5" customHeight="1" s="189">
      <c r="C354" s="323" t="n"/>
      <c r="D354" s="323" t="n"/>
      <c r="E354" s="323" t="n"/>
      <c r="F354" s="323" t="n"/>
      <c r="G354" s="323" t="n"/>
      <c r="H354" s="323" t="n"/>
      <c r="I354" s="323" t="n"/>
      <c r="J354" s="323" t="n"/>
      <c r="K354" s="323" t="n"/>
      <c r="L354" s="323" t="n"/>
      <c r="M354" s="323" t="n"/>
      <c r="N354" s="323" t="n"/>
    </row>
    <row r="355" ht="12.5" customHeight="1" s="189">
      <c r="C355" s="323" t="n"/>
      <c r="D355" s="323" t="n"/>
      <c r="E355" s="323" t="n"/>
      <c r="F355" s="323" t="n"/>
      <c r="G355" s="323" t="n"/>
      <c r="H355" s="323" t="n"/>
      <c r="I355" s="323" t="n"/>
      <c r="J355" s="323" t="n"/>
      <c r="K355" s="323" t="n"/>
      <c r="L355" s="323" t="n"/>
      <c r="M355" s="323" t="n"/>
      <c r="N355" s="323" t="n"/>
    </row>
    <row r="356" ht="12.5" customHeight="1" s="189">
      <c r="C356" s="323" t="n"/>
      <c r="D356" s="323" t="n"/>
      <c r="E356" s="323" t="n"/>
      <c r="F356" s="323" t="n"/>
      <c r="G356" s="323" t="n"/>
      <c r="H356" s="323" t="n"/>
      <c r="I356" s="323" t="n"/>
      <c r="J356" s="323" t="n"/>
      <c r="K356" s="323" t="n"/>
      <c r="L356" s="323" t="n"/>
      <c r="M356" s="323" t="n"/>
      <c r="N356" s="323" t="n"/>
    </row>
    <row r="357" ht="12.5" customHeight="1" s="189">
      <c r="C357" s="323" t="n"/>
      <c r="D357" s="323" t="n"/>
      <c r="E357" s="323" t="n"/>
      <c r="F357" s="323" t="n"/>
      <c r="G357" s="323" t="n"/>
      <c r="H357" s="323" t="n"/>
      <c r="I357" s="323" t="n"/>
      <c r="J357" s="323" t="n"/>
      <c r="K357" s="323" t="n"/>
      <c r="L357" s="323" t="n"/>
      <c r="M357" s="323" t="n"/>
      <c r="N357" s="323" t="n"/>
    </row>
    <row r="358" ht="12.5" customHeight="1" s="189">
      <c r="C358" s="323" t="n"/>
      <c r="D358" s="323" t="n"/>
      <c r="E358" s="323" t="n"/>
      <c r="F358" s="323" t="n"/>
      <c r="G358" s="323" t="n"/>
      <c r="H358" s="323" t="n"/>
      <c r="I358" s="323" t="n"/>
      <c r="J358" s="323" t="n"/>
      <c r="K358" s="323" t="n"/>
      <c r="L358" s="323" t="n"/>
      <c r="M358" s="323" t="n"/>
      <c r="N358" s="323" t="n"/>
    </row>
    <row r="359" ht="12.5" customHeight="1" s="189">
      <c r="C359" s="323" t="n"/>
      <c r="D359" s="323" t="n"/>
      <c r="E359" s="323" t="n"/>
      <c r="F359" s="323" t="n"/>
      <c r="G359" s="323" t="n"/>
      <c r="H359" s="323" t="n"/>
      <c r="I359" s="323" t="n"/>
      <c r="J359" s="323" t="n"/>
      <c r="K359" s="323" t="n"/>
      <c r="L359" s="323" t="n"/>
      <c r="M359" s="323" t="n"/>
      <c r="N359" s="323" t="n"/>
    </row>
    <row r="360" ht="12.5" customHeight="1" s="189">
      <c r="C360" s="323" t="n"/>
      <c r="D360" s="323" t="n"/>
      <c r="E360" s="323" t="n"/>
      <c r="F360" s="323" t="n"/>
      <c r="G360" s="323" t="n"/>
      <c r="H360" s="323" t="n"/>
      <c r="I360" s="323" t="n"/>
      <c r="J360" s="323" t="n"/>
      <c r="K360" s="323" t="n"/>
      <c r="L360" s="323" t="n"/>
      <c r="M360" s="323" t="n"/>
      <c r="N360" s="323" t="n"/>
    </row>
    <row r="361" ht="12.5" customHeight="1" s="189">
      <c r="C361" s="323" t="n"/>
      <c r="D361" s="323" t="n"/>
      <c r="E361" s="323" t="n"/>
      <c r="F361" s="323" t="n"/>
      <c r="G361" s="323" t="n"/>
      <c r="H361" s="323" t="n"/>
      <c r="I361" s="323" t="n"/>
      <c r="J361" s="323" t="n"/>
      <c r="K361" s="323" t="n"/>
      <c r="L361" s="323" t="n"/>
      <c r="M361" s="323" t="n"/>
      <c r="N361" s="323" t="n"/>
    </row>
    <row r="362" ht="12.5" customHeight="1" s="189">
      <c r="C362" s="323" t="n"/>
      <c r="D362" s="323" t="n"/>
      <c r="E362" s="323" t="n"/>
      <c r="F362" s="323" t="n"/>
      <c r="G362" s="323" t="n"/>
      <c r="H362" s="323" t="n"/>
      <c r="I362" s="323" t="n"/>
      <c r="J362" s="323" t="n"/>
      <c r="K362" s="323" t="n"/>
      <c r="L362" s="323" t="n"/>
      <c r="M362" s="323" t="n"/>
      <c r="N362" s="323" t="n"/>
    </row>
    <row r="363" ht="12.5" customHeight="1" s="189">
      <c r="C363" s="323" t="n"/>
      <c r="D363" s="323" t="n"/>
      <c r="E363" s="323" t="n"/>
      <c r="F363" s="323" t="n"/>
      <c r="G363" s="323" t="n"/>
      <c r="H363" s="323" t="n"/>
      <c r="I363" s="323" t="n"/>
      <c r="J363" s="323" t="n"/>
      <c r="K363" s="323" t="n"/>
      <c r="L363" s="323" t="n"/>
      <c r="M363" s="323" t="n"/>
      <c r="N363" s="323" t="n"/>
    </row>
    <row r="364" ht="12.5" customHeight="1" s="189">
      <c r="C364" s="323" t="n"/>
      <c r="D364" s="323" t="n"/>
      <c r="E364" s="323" t="n"/>
      <c r="F364" s="323" t="n"/>
      <c r="G364" s="323" t="n"/>
      <c r="H364" s="323" t="n"/>
      <c r="I364" s="323" t="n"/>
      <c r="J364" s="323" t="n"/>
      <c r="K364" s="323" t="n"/>
      <c r="L364" s="323" t="n"/>
      <c r="M364" s="323" t="n"/>
      <c r="N364" s="323" t="n"/>
    </row>
    <row r="365" ht="12.5" customHeight="1" s="189">
      <c r="C365" s="323" t="n"/>
      <c r="D365" s="323" t="n"/>
      <c r="E365" s="323" t="n"/>
      <c r="F365" s="323" t="n"/>
      <c r="G365" s="323" t="n"/>
      <c r="H365" s="323" t="n"/>
      <c r="I365" s="323" t="n"/>
      <c r="J365" s="323" t="n"/>
      <c r="K365" s="323" t="n"/>
      <c r="L365" s="323" t="n"/>
      <c r="M365" s="323" t="n"/>
      <c r="N365" s="323" t="n"/>
    </row>
    <row r="366" ht="12.5" customHeight="1" s="189">
      <c r="C366" s="323" t="n"/>
      <c r="D366" s="323" t="n"/>
      <c r="E366" s="323" t="n"/>
      <c r="F366" s="323" t="n"/>
      <c r="G366" s="323" t="n"/>
      <c r="H366" s="323" t="n"/>
      <c r="I366" s="323" t="n"/>
      <c r="J366" s="323" t="n"/>
      <c r="K366" s="323" t="n"/>
      <c r="L366" s="323" t="n"/>
      <c r="M366" s="323" t="n"/>
      <c r="N366" s="323" t="n"/>
    </row>
    <row r="367" ht="12.5" customHeight="1" s="189">
      <c r="C367" s="323" t="n"/>
      <c r="D367" s="323" t="n"/>
      <c r="E367" s="323" t="n"/>
      <c r="F367" s="323" t="n"/>
      <c r="G367" s="323" t="n"/>
      <c r="H367" s="323" t="n"/>
      <c r="I367" s="323" t="n"/>
      <c r="J367" s="323" t="n"/>
      <c r="K367" s="323" t="n"/>
      <c r="L367" s="323" t="n"/>
      <c r="M367" s="323" t="n"/>
      <c r="N367" s="323" t="n"/>
    </row>
    <row r="368" ht="12.5" customHeight="1" s="189">
      <c r="C368" s="323" t="n"/>
      <c r="D368" s="323" t="n"/>
      <c r="E368" s="323" t="n"/>
      <c r="F368" s="323" t="n"/>
      <c r="G368" s="323" t="n"/>
      <c r="H368" s="323" t="n"/>
      <c r="I368" s="323" t="n"/>
      <c r="J368" s="323" t="n"/>
      <c r="K368" s="323" t="n"/>
      <c r="L368" s="323" t="n"/>
      <c r="M368" s="323" t="n"/>
      <c r="N368" s="323" t="n"/>
    </row>
    <row r="369" ht="12.5" customHeight="1" s="189">
      <c r="C369" s="323" t="n"/>
      <c r="D369" s="323" t="n"/>
      <c r="E369" s="323" t="n"/>
      <c r="F369" s="323" t="n"/>
      <c r="G369" s="323" t="n"/>
      <c r="H369" s="323" t="n"/>
      <c r="I369" s="323" t="n"/>
      <c r="J369" s="323" t="n"/>
      <c r="K369" s="323" t="n"/>
      <c r="L369" s="323" t="n"/>
      <c r="M369" s="323" t="n"/>
      <c r="N369" s="323" t="n"/>
    </row>
    <row r="370" ht="12.5" customHeight="1" s="189">
      <c r="C370" s="323" t="n"/>
      <c r="D370" s="323" t="n"/>
      <c r="E370" s="323" t="n"/>
      <c r="F370" s="323" t="n"/>
      <c r="G370" s="323" t="n"/>
      <c r="H370" s="323" t="n"/>
      <c r="I370" s="323" t="n"/>
      <c r="J370" s="323" t="n"/>
      <c r="K370" s="323" t="n"/>
      <c r="L370" s="323" t="n"/>
      <c r="M370" s="323" t="n"/>
      <c r="N370" s="323" t="n"/>
    </row>
    <row r="371" ht="12.5" customHeight="1" s="189">
      <c r="C371" s="323" t="n"/>
      <c r="D371" s="323" t="n"/>
      <c r="E371" s="323" t="n"/>
      <c r="F371" s="323" t="n"/>
      <c r="G371" s="323" t="n"/>
      <c r="H371" s="323" t="n"/>
      <c r="I371" s="323" t="n"/>
      <c r="J371" s="323" t="n"/>
      <c r="K371" s="323" t="n"/>
      <c r="L371" s="323" t="n"/>
      <c r="M371" s="323" t="n"/>
      <c r="N371" s="323" t="n"/>
    </row>
    <row r="372" ht="12.5" customHeight="1" s="189">
      <c r="C372" s="323" t="n"/>
      <c r="D372" s="323" t="n"/>
      <c r="E372" s="323" t="n"/>
      <c r="F372" s="323" t="n"/>
      <c r="G372" s="323" t="n"/>
      <c r="H372" s="323" t="n"/>
      <c r="I372" s="323" t="n"/>
      <c r="J372" s="323" t="n"/>
      <c r="K372" s="323" t="n"/>
      <c r="L372" s="323" t="n"/>
      <c r="M372" s="323" t="n"/>
      <c r="N372" s="323" t="n"/>
    </row>
    <row r="373" ht="12.5" customHeight="1" s="189">
      <c r="C373" s="323" t="n"/>
      <c r="D373" s="323" t="n"/>
      <c r="E373" s="323" t="n"/>
      <c r="F373" s="323" t="n"/>
      <c r="G373" s="323" t="n"/>
      <c r="H373" s="323" t="n"/>
      <c r="I373" s="323" t="n"/>
      <c r="J373" s="323" t="n"/>
      <c r="K373" s="323" t="n"/>
      <c r="L373" s="323" t="n"/>
      <c r="M373" s="323" t="n"/>
      <c r="N373" s="323" t="n"/>
    </row>
    <row r="374" ht="12.5" customHeight="1" s="189">
      <c r="C374" s="323" t="n"/>
      <c r="D374" s="323" t="n"/>
      <c r="E374" s="323" t="n"/>
      <c r="F374" s="323" t="n"/>
      <c r="G374" s="323" t="n"/>
      <c r="H374" s="323" t="n"/>
      <c r="I374" s="323" t="n"/>
      <c r="J374" s="323" t="n"/>
      <c r="K374" s="323" t="n"/>
      <c r="L374" s="323" t="n"/>
      <c r="M374" s="323" t="n"/>
      <c r="N374" s="323" t="n"/>
    </row>
    <row r="375" ht="12.5" customHeight="1" s="189">
      <c r="C375" s="323" t="n"/>
      <c r="D375" s="323" t="n"/>
      <c r="E375" s="323" t="n"/>
      <c r="F375" s="323" t="n"/>
      <c r="G375" s="323" t="n"/>
      <c r="H375" s="323" t="n"/>
      <c r="I375" s="323" t="n"/>
      <c r="J375" s="323" t="n"/>
      <c r="K375" s="323" t="n"/>
      <c r="L375" s="323" t="n"/>
      <c r="M375" s="323" t="n"/>
      <c r="N375" s="323" t="n"/>
    </row>
    <row r="376" ht="12.5" customHeight="1" s="189">
      <c r="C376" s="323" t="n"/>
      <c r="D376" s="323" t="n"/>
      <c r="E376" s="323" t="n"/>
      <c r="F376" s="323" t="n"/>
      <c r="G376" s="323" t="n"/>
      <c r="H376" s="323" t="n"/>
      <c r="I376" s="323" t="n"/>
      <c r="J376" s="323" t="n"/>
      <c r="K376" s="323" t="n"/>
      <c r="L376" s="323" t="n"/>
      <c r="M376" s="323" t="n"/>
      <c r="N376" s="323" t="n"/>
    </row>
    <row r="377" ht="12.5" customHeight="1" s="189">
      <c r="C377" s="323" t="n"/>
      <c r="D377" s="323" t="n"/>
      <c r="E377" s="323" t="n"/>
      <c r="F377" s="323" t="n"/>
      <c r="G377" s="323" t="n"/>
      <c r="H377" s="323" t="n"/>
      <c r="I377" s="323" t="n"/>
      <c r="J377" s="323" t="n"/>
      <c r="K377" s="323" t="n"/>
      <c r="L377" s="323" t="n"/>
      <c r="M377" s="323" t="n"/>
      <c r="N377" s="323" t="n"/>
    </row>
    <row r="378" ht="12.5" customHeight="1" s="189">
      <c r="C378" s="323" t="n"/>
      <c r="D378" s="323" t="n"/>
      <c r="E378" s="323" t="n"/>
      <c r="F378" s="323" t="n"/>
      <c r="G378" s="323" t="n"/>
      <c r="H378" s="323" t="n"/>
      <c r="I378" s="323" t="n"/>
      <c r="J378" s="323" t="n"/>
      <c r="K378" s="323" t="n"/>
      <c r="L378" s="323" t="n"/>
      <c r="M378" s="323" t="n"/>
      <c r="N378" s="323" t="n"/>
    </row>
    <row r="379" ht="12.5" customHeight="1" s="189">
      <c r="C379" s="323" t="n"/>
      <c r="D379" s="323" t="n"/>
      <c r="E379" s="323" t="n"/>
      <c r="F379" s="323" t="n"/>
      <c r="G379" s="323" t="n"/>
      <c r="H379" s="323" t="n"/>
      <c r="I379" s="323" t="n"/>
      <c r="J379" s="323" t="n"/>
      <c r="K379" s="323" t="n"/>
      <c r="L379" s="323" t="n"/>
      <c r="M379" s="323" t="n"/>
      <c r="N379" s="323" t="n"/>
    </row>
    <row r="380" ht="12.5" customHeight="1" s="189">
      <c r="C380" s="323" t="n"/>
      <c r="D380" s="323" t="n"/>
      <c r="E380" s="323" t="n"/>
      <c r="F380" s="323" t="n"/>
      <c r="G380" s="323" t="n"/>
      <c r="H380" s="323" t="n"/>
      <c r="I380" s="323" t="n"/>
      <c r="J380" s="323" t="n"/>
      <c r="K380" s="323" t="n"/>
      <c r="L380" s="323" t="n"/>
      <c r="M380" s="323" t="n"/>
      <c r="N380" s="323" t="n"/>
    </row>
    <row r="381" ht="12.5" customHeight="1" s="189">
      <c r="C381" s="323" t="n"/>
      <c r="D381" s="323" t="n"/>
      <c r="E381" s="323" t="n"/>
      <c r="F381" s="323" t="n"/>
      <c r="G381" s="323" t="n"/>
      <c r="H381" s="323" t="n"/>
      <c r="I381" s="323" t="n"/>
      <c r="J381" s="323" t="n"/>
      <c r="K381" s="323" t="n"/>
      <c r="L381" s="323" t="n"/>
      <c r="M381" s="323" t="n"/>
      <c r="N381" s="323" t="n"/>
    </row>
    <row r="382" ht="12.5" customHeight="1" s="189">
      <c r="C382" s="323" t="n"/>
      <c r="D382" s="323" t="n"/>
      <c r="E382" s="323" t="n"/>
      <c r="F382" s="323" t="n"/>
      <c r="G382" s="323" t="n"/>
      <c r="H382" s="323" t="n"/>
      <c r="I382" s="323" t="n"/>
      <c r="J382" s="323" t="n"/>
      <c r="K382" s="323" t="n"/>
      <c r="L382" s="323" t="n"/>
      <c r="M382" s="323" t="n"/>
      <c r="N382" s="323" t="n"/>
    </row>
    <row r="383" ht="12.5" customHeight="1" s="189">
      <c r="C383" s="323" t="n"/>
      <c r="D383" s="323" t="n"/>
      <c r="E383" s="323" t="n"/>
      <c r="F383" s="323" t="n"/>
      <c r="G383" s="323" t="n"/>
      <c r="H383" s="323" t="n"/>
      <c r="I383" s="323" t="n"/>
      <c r="J383" s="323" t="n"/>
      <c r="K383" s="323" t="n"/>
      <c r="L383" s="323" t="n"/>
      <c r="M383" s="323" t="n"/>
      <c r="N383" s="323" t="n"/>
    </row>
    <row r="384" ht="12.5" customHeight="1" s="189">
      <c r="C384" s="323" t="n"/>
      <c r="D384" s="323" t="n"/>
      <c r="E384" s="323" t="n"/>
      <c r="F384" s="323" t="n"/>
      <c r="G384" s="323" t="n"/>
      <c r="H384" s="323" t="n"/>
      <c r="I384" s="323" t="n"/>
      <c r="J384" s="323" t="n"/>
      <c r="K384" s="323" t="n"/>
      <c r="L384" s="323" t="n"/>
      <c r="M384" s="323" t="n"/>
      <c r="N384" s="323" t="n"/>
    </row>
    <row r="385" ht="12.5" customHeight="1" s="189">
      <c r="C385" s="323" t="n"/>
      <c r="D385" s="323" t="n"/>
      <c r="E385" s="323" t="n"/>
      <c r="F385" s="323" t="n"/>
      <c r="G385" s="323" t="n"/>
      <c r="H385" s="323" t="n"/>
      <c r="I385" s="323" t="n"/>
      <c r="J385" s="323" t="n"/>
      <c r="K385" s="323" t="n"/>
      <c r="L385" s="323" t="n"/>
      <c r="M385" s="323" t="n"/>
      <c r="N385" s="323" t="n"/>
    </row>
    <row r="386" ht="12.5" customHeight="1" s="189">
      <c r="C386" s="323" t="n"/>
      <c r="D386" s="323" t="n"/>
      <c r="E386" s="323" t="n"/>
      <c r="F386" s="323" t="n"/>
      <c r="G386" s="323" t="n"/>
      <c r="H386" s="323" t="n"/>
      <c r="I386" s="323" t="n"/>
      <c r="J386" s="323" t="n"/>
      <c r="K386" s="323" t="n"/>
      <c r="L386" s="323" t="n"/>
      <c r="M386" s="323" t="n"/>
      <c r="N386" s="323" t="n"/>
    </row>
    <row r="387" ht="12.5" customHeight="1" s="189">
      <c r="C387" s="323" t="n"/>
      <c r="D387" s="323" t="n"/>
      <c r="E387" s="323" t="n"/>
      <c r="F387" s="323" t="n"/>
      <c r="G387" s="323" t="n"/>
      <c r="H387" s="323" t="n"/>
      <c r="I387" s="323" t="n"/>
      <c r="J387" s="323" t="n"/>
      <c r="K387" s="323" t="n"/>
      <c r="L387" s="323" t="n"/>
      <c r="M387" s="323" t="n"/>
      <c r="N387" s="323" t="n"/>
    </row>
    <row r="388" ht="12.5" customHeight="1" s="189">
      <c r="C388" s="323" t="n"/>
      <c r="D388" s="323" t="n"/>
      <c r="E388" s="323" t="n"/>
      <c r="F388" s="323" t="n"/>
      <c r="G388" s="323" t="n"/>
      <c r="H388" s="323" t="n"/>
      <c r="I388" s="323" t="n"/>
      <c r="J388" s="323" t="n"/>
      <c r="K388" s="323" t="n"/>
      <c r="L388" s="323" t="n"/>
      <c r="M388" s="323" t="n"/>
      <c r="N388" s="323" t="n"/>
    </row>
    <row r="389" ht="12.5" customHeight="1" s="189">
      <c r="C389" s="323" t="n"/>
      <c r="D389" s="323" t="n"/>
      <c r="E389" s="323" t="n"/>
      <c r="F389" s="323" t="n"/>
      <c r="G389" s="323" t="n"/>
      <c r="H389" s="323" t="n"/>
      <c r="I389" s="323" t="n"/>
      <c r="J389" s="323" t="n"/>
      <c r="K389" s="323" t="n"/>
      <c r="L389" s="323" t="n"/>
      <c r="M389" s="323" t="n"/>
      <c r="N389" s="323" t="n"/>
    </row>
    <row r="390" ht="12.5" customHeight="1" s="189">
      <c r="C390" s="323" t="n"/>
      <c r="D390" s="323" t="n"/>
      <c r="E390" s="323" t="n"/>
      <c r="F390" s="323" t="n"/>
      <c r="G390" s="323" t="n"/>
      <c r="H390" s="323" t="n"/>
      <c r="I390" s="323" t="n"/>
      <c r="J390" s="323" t="n"/>
      <c r="K390" s="323" t="n"/>
      <c r="L390" s="323" t="n"/>
      <c r="M390" s="323" t="n"/>
      <c r="N390" s="323" t="n"/>
    </row>
    <row r="391" ht="12.5" customHeight="1" s="189">
      <c r="C391" s="323" t="n"/>
      <c r="D391" s="323" t="n"/>
      <c r="E391" s="323" t="n"/>
      <c r="F391" s="323" t="n"/>
      <c r="G391" s="323" t="n"/>
      <c r="H391" s="323" t="n"/>
      <c r="I391" s="323" t="n"/>
      <c r="J391" s="323" t="n"/>
      <c r="K391" s="323" t="n"/>
      <c r="L391" s="323" t="n"/>
      <c r="M391" s="323" t="n"/>
      <c r="N391" s="323" t="n"/>
    </row>
    <row r="392" ht="12.5" customHeight="1" s="189">
      <c r="C392" s="323" t="n"/>
      <c r="D392" s="323" t="n"/>
      <c r="E392" s="323" t="n"/>
      <c r="F392" s="323" t="n"/>
      <c r="G392" s="323" t="n"/>
      <c r="H392" s="323" t="n"/>
      <c r="I392" s="323" t="n"/>
      <c r="J392" s="323" t="n"/>
      <c r="K392" s="323" t="n"/>
      <c r="L392" s="323" t="n"/>
      <c r="M392" s="323" t="n"/>
      <c r="N392" s="323" t="n"/>
    </row>
    <row r="393" ht="12.5" customHeight="1" s="189">
      <c r="C393" s="323" t="n"/>
      <c r="D393" s="323" t="n"/>
      <c r="E393" s="323" t="n"/>
      <c r="F393" s="323" t="n"/>
      <c r="G393" s="323" t="n"/>
      <c r="H393" s="323" t="n"/>
      <c r="I393" s="323" t="n"/>
      <c r="J393" s="323" t="n"/>
      <c r="K393" s="323" t="n"/>
      <c r="L393" s="323" t="n"/>
      <c r="M393" s="323" t="n"/>
      <c r="N393" s="323" t="n"/>
    </row>
    <row r="394" ht="12.5" customHeight="1" s="189">
      <c r="C394" s="323" t="n"/>
      <c r="D394" s="323" t="n"/>
      <c r="E394" s="323" t="n"/>
      <c r="F394" s="323" t="n"/>
      <c r="G394" s="323" t="n"/>
      <c r="H394" s="323" t="n"/>
      <c r="I394" s="323" t="n"/>
      <c r="J394" s="323" t="n"/>
      <c r="K394" s="323" t="n"/>
      <c r="L394" s="323" t="n"/>
      <c r="M394" s="323" t="n"/>
      <c r="N394" s="323" t="n"/>
    </row>
    <row r="395" ht="12.5" customHeight="1" s="189">
      <c r="C395" s="323" t="n"/>
      <c r="D395" s="323" t="n"/>
      <c r="E395" s="323" t="n"/>
      <c r="F395" s="323" t="n"/>
      <c r="G395" s="323" t="n"/>
      <c r="H395" s="323" t="n"/>
      <c r="I395" s="323" t="n"/>
      <c r="J395" s="323" t="n"/>
      <c r="K395" s="323" t="n"/>
      <c r="L395" s="323" t="n"/>
      <c r="M395" s="323" t="n"/>
      <c r="N395" s="323" t="n"/>
    </row>
    <row r="396" ht="12.5" customHeight="1" s="189">
      <c r="C396" s="323" t="n"/>
      <c r="D396" s="323" t="n"/>
      <c r="E396" s="323" t="n"/>
      <c r="F396" s="323" t="n"/>
      <c r="G396" s="323" t="n"/>
      <c r="H396" s="323" t="n"/>
      <c r="I396" s="323" t="n"/>
      <c r="J396" s="323" t="n"/>
      <c r="K396" s="323" t="n"/>
      <c r="L396" s="323" t="n"/>
      <c r="M396" s="323" t="n"/>
      <c r="N396" s="323" t="n"/>
    </row>
    <row r="397" ht="12.5" customHeight="1" s="189">
      <c r="C397" s="323" t="n"/>
      <c r="D397" s="323" t="n"/>
      <c r="E397" s="323" t="n"/>
      <c r="F397" s="323" t="n"/>
      <c r="G397" s="323" t="n"/>
      <c r="H397" s="323" t="n"/>
      <c r="I397" s="323" t="n"/>
      <c r="J397" s="323" t="n"/>
      <c r="K397" s="323" t="n"/>
      <c r="L397" s="323" t="n"/>
      <c r="M397" s="323" t="n"/>
      <c r="N397" s="323" t="n"/>
    </row>
    <row r="398" ht="12.5" customHeight="1" s="189">
      <c r="C398" s="323" t="n"/>
      <c r="D398" s="323" t="n"/>
      <c r="E398" s="323" t="n"/>
      <c r="F398" s="323" t="n"/>
      <c r="G398" s="323" t="n"/>
      <c r="H398" s="323" t="n"/>
      <c r="I398" s="323" t="n"/>
      <c r="J398" s="323" t="n"/>
      <c r="K398" s="323" t="n"/>
      <c r="L398" s="323" t="n"/>
      <c r="M398" s="323" t="n"/>
      <c r="N398" s="323" t="n"/>
    </row>
    <row r="399" ht="12.5" customHeight="1" s="189">
      <c r="C399" s="323" t="n"/>
      <c r="D399" s="323" t="n"/>
      <c r="E399" s="323" t="n"/>
      <c r="F399" s="323" t="n"/>
      <c r="G399" s="323" t="n"/>
      <c r="H399" s="323" t="n"/>
      <c r="I399" s="323" t="n"/>
      <c r="J399" s="323" t="n"/>
      <c r="K399" s="323" t="n"/>
      <c r="L399" s="323" t="n"/>
      <c r="M399" s="323" t="n"/>
      <c r="N399" s="323" t="n"/>
    </row>
    <row r="400" ht="12.5" customHeight="1" s="189">
      <c r="C400" s="323" t="n"/>
      <c r="D400" s="323" t="n"/>
      <c r="E400" s="323" t="n"/>
      <c r="F400" s="323" t="n"/>
      <c r="G400" s="323" t="n"/>
      <c r="H400" s="323" t="n"/>
      <c r="I400" s="323" t="n"/>
      <c r="J400" s="323" t="n"/>
      <c r="K400" s="323" t="n"/>
      <c r="L400" s="323" t="n"/>
      <c r="M400" s="323" t="n"/>
      <c r="N400" s="323" t="n"/>
    </row>
    <row r="401" ht="12.5" customHeight="1" s="189">
      <c r="C401" s="323" t="n"/>
      <c r="D401" s="323" t="n"/>
      <c r="E401" s="323" t="n"/>
      <c r="F401" s="323" t="n"/>
      <c r="G401" s="323" t="n"/>
      <c r="H401" s="323" t="n"/>
      <c r="I401" s="323" t="n"/>
      <c r="J401" s="323" t="n"/>
      <c r="K401" s="323" t="n"/>
      <c r="L401" s="323" t="n"/>
      <c r="M401" s="323" t="n"/>
      <c r="N401" s="323" t="n"/>
    </row>
    <row r="402" ht="12.5" customHeight="1" s="189">
      <c r="C402" s="323" t="n"/>
      <c r="D402" s="323" t="n"/>
      <c r="E402" s="323" t="n"/>
      <c r="F402" s="323" t="n"/>
      <c r="G402" s="323" t="n"/>
      <c r="H402" s="323" t="n"/>
      <c r="I402" s="323" t="n"/>
      <c r="J402" s="323" t="n"/>
      <c r="K402" s="323" t="n"/>
      <c r="L402" s="323" t="n"/>
      <c r="M402" s="323" t="n"/>
      <c r="N402" s="323" t="n"/>
    </row>
    <row r="403" ht="12.5" customHeight="1" s="189">
      <c r="C403" s="323" t="n"/>
      <c r="D403" s="323" t="n"/>
      <c r="E403" s="323" t="n"/>
      <c r="F403" s="323" t="n"/>
      <c r="G403" s="323" t="n"/>
      <c r="H403" s="323" t="n"/>
      <c r="I403" s="323" t="n"/>
      <c r="J403" s="323" t="n"/>
      <c r="K403" s="323" t="n"/>
      <c r="L403" s="323" t="n"/>
      <c r="M403" s="323" t="n"/>
      <c r="N403" s="323" t="n"/>
    </row>
    <row r="404" ht="12.5" customHeight="1" s="189">
      <c r="C404" s="323" t="n"/>
      <c r="D404" s="323" t="n"/>
      <c r="E404" s="323" t="n"/>
      <c r="F404" s="323" t="n"/>
      <c r="G404" s="323" t="n"/>
      <c r="H404" s="323" t="n"/>
      <c r="I404" s="323" t="n"/>
      <c r="J404" s="323" t="n"/>
      <c r="K404" s="323" t="n"/>
      <c r="L404" s="323" t="n"/>
      <c r="M404" s="323" t="n"/>
      <c r="N404" s="323" t="n"/>
    </row>
    <row r="405" ht="12.5" customHeight="1" s="189">
      <c r="C405" s="323" t="n"/>
      <c r="D405" s="323" t="n"/>
      <c r="E405" s="323" t="n"/>
      <c r="F405" s="323" t="n"/>
      <c r="G405" s="323" t="n"/>
      <c r="H405" s="323" t="n"/>
      <c r="I405" s="323" t="n"/>
      <c r="J405" s="323" t="n"/>
      <c r="K405" s="323" t="n"/>
      <c r="L405" s="323" t="n"/>
      <c r="M405" s="323" t="n"/>
      <c r="N405" s="323" t="n"/>
    </row>
    <row r="406" ht="12.5" customHeight="1" s="189">
      <c r="C406" s="323" t="n"/>
      <c r="D406" s="323" t="n"/>
      <c r="E406" s="323" t="n"/>
      <c r="F406" s="323" t="n"/>
      <c r="G406" s="323" t="n"/>
      <c r="H406" s="323" t="n"/>
      <c r="I406" s="323" t="n"/>
      <c r="J406" s="323" t="n"/>
      <c r="K406" s="323" t="n"/>
      <c r="L406" s="323" t="n"/>
      <c r="M406" s="323" t="n"/>
      <c r="N406" s="323" t="n"/>
    </row>
    <row r="407" ht="12.5" customHeight="1" s="189">
      <c r="C407" s="323" t="n"/>
      <c r="D407" s="323" t="n"/>
      <c r="E407" s="323" t="n"/>
      <c r="F407" s="323" t="n"/>
      <c r="G407" s="323" t="n"/>
      <c r="H407" s="323" t="n"/>
      <c r="I407" s="323" t="n"/>
      <c r="J407" s="323" t="n"/>
      <c r="K407" s="323" t="n"/>
      <c r="L407" s="323" t="n"/>
      <c r="M407" s="323" t="n"/>
      <c r="N407" s="323" t="n"/>
    </row>
    <row r="408" ht="12.5" customHeight="1" s="189">
      <c r="C408" s="323" t="n"/>
      <c r="D408" s="323" t="n"/>
      <c r="E408" s="323" t="n"/>
      <c r="F408" s="323" t="n"/>
      <c r="G408" s="323" t="n"/>
      <c r="H408" s="323" t="n"/>
      <c r="I408" s="323" t="n"/>
      <c r="J408" s="323" t="n"/>
      <c r="K408" s="323" t="n"/>
      <c r="L408" s="323" t="n"/>
      <c r="M408" s="323" t="n"/>
      <c r="N408" s="323" t="n"/>
    </row>
    <row r="409" ht="12.5" customHeight="1" s="189">
      <c r="C409" s="323" t="n"/>
      <c r="D409" s="323" t="n"/>
      <c r="E409" s="323" t="n"/>
      <c r="F409" s="323" t="n"/>
      <c r="G409" s="323" t="n"/>
      <c r="H409" s="323" t="n"/>
      <c r="I409" s="323" t="n"/>
      <c r="J409" s="323" t="n"/>
      <c r="K409" s="323" t="n"/>
      <c r="L409" s="323" t="n"/>
      <c r="M409" s="323" t="n"/>
      <c r="N409" s="323" t="n"/>
    </row>
    <row r="410" ht="12.5" customHeight="1" s="189">
      <c r="C410" s="323" t="n"/>
      <c r="D410" s="323" t="n"/>
      <c r="E410" s="323" t="n"/>
      <c r="F410" s="323" t="n"/>
      <c r="G410" s="323" t="n"/>
      <c r="H410" s="323" t="n"/>
      <c r="I410" s="323" t="n"/>
      <c r="J410" s="323" t="n"/>
      <c r="K410" s="323" t="n"/>
      <c r="L410" s="323" t="n"/>
      <c r="M410" s="323" t="n"/>
      <c r="N410" s="323" t="n"/>
    </row>
    <row r="411" ht="12.5" customHeight="1" s="189">
      <c r="C411" s="323" t="n"/>
      <c r="D411" s="323" t="n"/>
      <c r="E411" s="323" t="n"/>
      <c r="F411" s="323" t="n"/>
      <c r="G411" s="323" t="n"/>
      <c r="H411" s="323" t="n"/>
      <c r="I411" s="323" t="n"/>
      <c r="J411" s="323" t="n"/>
      <c r="K411" s="323" t="n"/>
      <c r="L411" s="323" t="n"/>
      <c r="M411" s="323" t="n"/>
      <c r="N411" s="323" t="n"/>
    </row>
    <row r="412" ht="12.5" customHeight="1" s="189">
      <c r="C412" s="323" t="n"/>
      <c r="D412" s="323" t="n"/>
      <c r="E412" s="323" t="n"/>
      <c r="F412" s="323" t="n"/>
      <c r="G412" s="323" t="n"/>
      <c r="H412" s="323" t="n"/>
      <c r="I412" s="323" t="n"/>
      <c r="J412" s="323" t="n"/>
      <c r="K412" s="323" t="n"/>
      <c r="L412" s="323" t="n"/>
      <c r="M412" s="323" t="n"/>
      <c r="N412" s="323" t="n"/>
    </row>
    <row r="413" ht="12.5" customHeight="1" s="189">
      <c r="C413" s="323" t="n"/>
      <c r="D413" s="323" t="n"/>
      <c r="E413" s="323" t="n"/>
      <c r="F413" s="323" t="n"/>
      <c r="G413" s="323" t="n"/>
      <c r="H413" s="323" t="n"/>
      <c r="I413" s="323" t="n"/>
      <c r="J413" s="323" t="n"/>
      <c r="K413" s="323" t="n"/>
      <c r="L413" s="323" t="n"/>
      <c r="M413" s="323" t="n"/>
      <c r="N413" s="323" t="n"/>
    </row>
    <row r="414" ht="12.5" customHeight="1" s="189">
      <c r="C414" s="323" t="n"/>
      <c r="D414" s="323" t="n"/>
      <c r="E414" s="323" t="n"/>
      <c r="F414" s="323" t="n"/>
      <c r="G414" s="323" t="n"/>
      <c r="H414" s="323" t="n"/>
      <c r="I414" s="323" t="n"/>
      <c r="J414" s="323" t="n"/>
      <c r="K414" s="323" t="n"/>
      <c r="L414" s="323" t="n"/>
      <c r="M414" s="323" t="n"/>
      <c r="N414" s="323" t="n"/>
    </row>
    <row r="415" ht="12.5" customHeight="1" s="189">
      <c r="C415" s="323" t="n"/>
      <c r="D415" s="323" t="n"/>
      <c r="E415" s="323" t="n"/>
      <c r="F415" s="323" t="n"/>
      <c r="G415" s="323" t="n"/>
      <c r="H415" s="323" t="n"/>
      <c r="I415" s="323" t="n"/>
      <c r="J415" s="323" t="n"/>
      <c r="K415" s="323" t="n"/>
      <c r="L415" s="323" t="n"/>
      <c r="M415" s="323" t="n"/>
      <c r="N415" s="323" t="n"/>
    </row>
    <row r="416" ht="12.5" customHeight="1" s="189">
      <c r="C416" s="323" t="n"/>
      <c r="D416" s="323" t="n"/>
      <c r="E416" s="323" t="n"/>
      <c r="F416" s="323" t="n"/>
      <c r="G416" s="323" t="n"/>
      <c r="H416" s="323" t="n"/>
      <c r="I416" s="323" t="n"/>
      <c r="J416" s="323" t="n"/>
      <c r="K416" s="323" t="n"/>
      <c r="L416" s="323" t="n"/>
      <c r="M416" s="323" t="n"/>
      <c r="N416" s="323" t="n"/>
    </row>
    <row r="417" ht="12.5" customHeight="1" s="189">
      <c r="C417" s="323" t="n"/>
      <c r="D417" s="323" t="n"/>
      <c r="E417" s="323" t="n"/>
      <c r="F417" s="323" t="n"/>
      <c r="G417" s="323" t="n"/>
      <c r="H417" s="323" t="n"/>
      <c r="I417" s="323" t="n"/>
      <c r="J417" s="323" t="n"/>
      <c r="K417" s="323" t="n"/>
      <c r="L417" s="323" t="n"/>
      <c r="M417" s="323" t="n"/>
      <c r="N417" s="323" t="n"/>
    </row>
    <row r="418" ht="12.5" customHeight="1" s="189">
      <c r="C418" s="323" t="n"/>
      <c r="D418" s="323" t="n"/>
      <c r="E418" s="323" t="n"/>
      <c r="F418" s="323" t="n"/>
      <c r="G418" s="323" t="n"/>
      <c r="H418" s="323" t="n"/>
      <c r="I418" s="323" t="n"/>
      <c r="J418" s="323" t="n"/>
      <c r="K418" s="323" t="n"/>
      <c r="L418" s="323" t="n"/>
      <c r="M418" s="323" t="n"/>
      <c r="N418" s="323" t="n"/>
    </row>
    <row r="419" ht="12.5" customHeight="1" s="189">
      <c r="C419" s="323" t="n"/>
      <c r="D419" s="323" t="n"/>
      <c r="E419" s="323" t="n"/>
      <c r="F419" s="323" t="n"/>
      <c r="G419" s="323" t="n"/>
      <c r="H419" s="323" t="n"/>
      <c r="I419" s="323" t="n"/>
      <c r="J419" s="323" t="n"/>
      <c r="K419" s="323" t="n"/>
      <c r="L419" s="323" t="n"/>
      <c r="M419" s="323" t="n"/>
      <c r="N419" s="323" t="n"/>
    </row>
    <row r="420" ht="12.5" customHeight="1" s="189">
      <c r="C420" s="323" t="n"/>
      <c r="D420" s="323" t="n"/>
      <c r="E420" s="323" t="n"/>
      <c r="F420" s="323" t="n"/>
      <c r="G420" s="323" t="n"/>
      <c r="H420" s="323" t="n"/>
      <c r="I420" s="323" t="n"/>
      <c r="J420" s="323" t="n"/>
      <c r="K420" s="323" t="n"/>
      <c r="L420" s="323" t="n"/>
      <c r="M420" s="323" t="n"/>
      <c r="N420" s="323" t="n"/>
    </row>
    <row r="421" ht="12.5" customHeight="1" s="189">
      <c r="C421" s="323" t="n"/>
      <c r="D421" s="323" t="n"/>
      <c r="E421" s="323" t="n"/>
      <c r="F421" s="323" t="n"/>
      <c r="G421" s="323" t="n"/>
      <c r="H421" s="323" t="n"/>
      <c r="I421" s="323" t="n"/>
      <c r="J421" s="323" t="n"/>
      <c r="K421" s="323" t="n"/>
      <c r="L421" s="323" t="n"/>
      <c r="M421" s="323" t="n"/>
      <c r="N421" s="323" t="n"/>
    </row>
    <row r="422" ht="12.5" customHeight="1" s="189">
      <c r="C422" s="323" t="n"/>
      <c r="D422" s="323" t="n"/>
      <c r="E422" s="323" t="n"/>
      <c r="F422" s="323" t="n"/>
      <c r="G422" s="323" t="n"/>
      <c r="H422" s="323" t="n"/>
      <c r="I422" s="323" t="n"/>
      <c r="J422" s="323" t="n"/>
      <c r="K422" s="323" t="n"/>
      <c r="L422" s="323" t="n"/>
      <c r="M422" s="323" t="n"/>
      <c r="N422" s="323" t="n"/>
    </row>
    <row r="423" ht="12.5" customHeight="1" s="189">
      <c r="C423" s="323" t="n"/>
      <c r="D423" s="323" t="n"/>
      <c r="E423" s="323" t="n"/>
      <c r="F423" s="323" t="n"/>
      <c r="G423" s="323" t="n"/>
      <c r="H423" s="323" t="n"/>
      <c r="I423" s="323" t="n"/>
      <c r="J423" s="323" t="n"/>
      <c r="K423" s="323" t="n"/>
      <c r="L423" s="323" t="n"/>
      <c r="M423" s="323" t="n"/>
      <c r="N423" s="323" t="n"/>
    </row>
    <row r="424" ht="12.5" customHeight="1" s="189">
      <c r="C424" s="323" t="n"/>
      <c r="D424" s="323" t="n"/>
      <c r="E424" s="323" t="n"/>
      <c r="F424" s="323" t="n"/>
      <c r="G424" s="323" t="n"/>
      <c r="H424" s="323" t="n"/>
      <c r="I424" s="323" t="n"/>
      <c r="J424" s="323" t="n"/>
      <c r="K424" s="323" t="n"/>
      <c r="L424" s="323" t="n"/>
      <c r="M424" s="323" t="n"/>
      <c r="N424" s="323" t="n"/>
    </row>
    <row r="425" ht="12.5" customHeight="1" s="189">
      <c r="C425" s="323" t="n"/>
      <c r="D425" s="323" t="n"/>
      <c r="E425" s="323" t="n"/>
      <c r="F425" s="323" t="n"/>
      <c r="G425" s="323" t="n"/>
      <c r="H425" s="323" t="n"/>
      <c r="I425" s="323" t="n"/>
      <c r="J425" s="323" t="n"/>
      <c r="K425" s="323" t="n"/>
      <c r="L425" s="323" t="n"/>
      <c r="M425" s="323" t="n"/>
      <c r="N425" s="323" t="n"/>
    </row>
    <row r="426" ht="12.5" customHeight="1" s="189">
      <c r="C426" s="323" t="n"/>
      <c r="D426" s="323" t="n"/>
      <c r="E426" s="323" t="n"/>
      <c r="F426" s="323" t="n"/>
      <c r="G426" s="323" t="n"/>
      <c r="H426" s="323" t="n"/>
      <c r="I426" s="323" t="n"/>
      <c r="J426" s="323" t="n"/>
      <c r="K426" s="323" t="n"/>
      <c r="L426" s="323" t="n"/>
      <c r="M426" s="323" t="n"/>
      <c r="N426" s="323" t="n"/>
    </row>
    <row r="427" ht="12.5" customHeight="1" s="189">
      <c r="C427" s="323" t="n"/>
      <c r="D427" s="323" t="n"/>
      <c r="E427" s="323" t="n"/>
      <c r="F427" s="323" t="n"/>
      <c r="G427" s="323" t="n"/>
      <c r="H427" s="323" t="n"/>
      <c r="I427" s="323" t="n"/>
      <c r="J427" s="323" t="n"/>
      <c r="K427" s="323" t="n"/>
      <c r="L427" s="323" t="n"/>
      <c r="M427" s="323" t="n"/>
      <c r="N427" s="323" t="n"/>
    </row>
    <row r="428" ht="12.5" customHeight="1" s="189">
      <c r="C428" s="323" t="n"/>
      <c r="D428" s="323" t="n"/>
      <c r="E428" s="323" t="n"/>
      <c r="F428" s="323" t="n"/>
      <c r="G428" s="323" t="n"/>
      <c r="H428" s="323" t="n"/>
      <c r="I428" s="323" t="n"/>
      <c r="J428" s="323" t="n"/>
      <c r="K428" s="323" t="n"/>
      <c r="L428" s="323" t="n"/>
      <c r="M428" s="323" t="n"/>
      <c r="N428" s="323" t="n"/>
    </row>
    <row r="429" ht="12.5" customHeight="1" s="189">
      <c r="C429" s="323" t="n"/>
      <c r="D429" s="323" t="n"/>
      <c r="E429" s="323" t="n"/>
      <c r="F429" s="323" t="n"/>
      <c r="G429" s="323" t="n"/>
      <c r="H429" s="323" t="n"/>
      <c r="I429" s="323" t="n"/>
      <c r="J429" s="323" t="n"/>
      <c r="K429" s="323" t="n"/>
      <c r="L429" s="323" t="n"/>
      <c r="M429" s="323" t="n"/>
      <c r="N429" s="323" t="n"/>
    </row>
    <row r="430" ht="12.5" customHeight="1" s="189">
      <c r="C430" s="323" t="n"/>
      <c r="D430" s="323" t="n"/>
      <c r="E430" s="323" t="n"/>
      <c r="F430" s="323" t="n"/>
      <c r="G430" s="323" t="n"/>
      <c r="H430" s="323" t="n"/>
      <c r="I430" s="323" t="n"/>
      <c r="J430" s="323" t="n"/>
      <c r="K430" s="323" t="n"/>
      <c r="L430" s="323" t="n"/>
      <c r="M430" s="323" t="n"/>
      <c r="N430" s="323" t="n"/>
    </row>
    <row r="431" ht="12.5" customHeight="1" s="189">
      <c r="C431" s="323" t="n"/>
      <c r="D431" s="323" t="n"/>
      <c r="E431" s="323" t="n"/>
      <c r="F431" s="323" t="n"/>
      <c r="G431" s="323" t="n"/>
      <c r="H431" s="323" t="n"/>
      <c r="I431" s="323" t="n"/>
      <c r="J431" s="323" t="n"/>
      <c r="K431" s="323" t="n"/>
      <c r="L431" s="323" t="n"/>
      <c r="M431" s="323" t="n"/>
      <c r="N431" s="323" t="n"/>
    </row>
    <row r="432" ht="12.5" customHeight="1" s="189">
      <c r="C432" s="323" t="n"/>
      <c r="D432" s="323" t="n"/>
      <c r="E432" s="323" t="n"/>
      <c r="F432" s="323" t="n"/>
      <c r="G432" s="323" t="n"/>
      <c r="H432" s="323" t="n"/>
      <c r="I432" s="323" t="n"/>
      <c r="J432" s="323" t="n"/>
      <c r="K432" s="323" t="n"/>
      <c r="L432" s="323" t="n"/>
      <c r="M432" s="323" t="n"/>
      <c r="N432" s="323" t="n"/>
    </row>
    <row r="433" ht="12.5" customHeight="1" s="189">
      <c r="C433" s="323" t="n"/>
      <c r="D433" s="323" t="n"/>
      <c r="E433" s="323" t="n"/>
      <c r="F433" s="323" t="n"/>
      <c r="G433" s="323" t="n"/>
      <c r="H433" s="323" t="n"/>
      <c r="I433" s="323" t="n"/>
      <c r="J433" s="323" t="n"/>
      <c r="K433" s="323" t="n"/>
      <c r="L433" s="323" t="n"/>
      <c r="M433" s="323" t="n"/>
      <c r="N433" s="323" t="n"/>
    </row>
    <row r="434" ht="12.5" customHeight="1" s="189">
      <c r="C434" s="323" t="n"/>
      <c r="D434" s="323" t="n"/>
      <c r="E434" s="323" t="n"/>
      <c r="F434" s="323" t="n"/>
      <c r="G434" s="323" t="n"/>
      <c r="H434" s="323" t="n"/>
      <c r="I434" s="323" t="n"/>
      <c r="J434" s="323" t="n"/>
      <c r="K434" s="323" t="n"/>
      <c r="L434" s="323" t="n"/>
      <c r="M434" s="323" t="n"/>
      <c r="N434" s="323" t="n"/>
    </row>
    <row r="435" ht="12.5" customHeight="1" s="189">
      <c r="C435" s="323" t="n"/>
      <c r="D435" s="323" t="n"/>
      <c r="E435" s="323" t="n"/>
      <c r="F435" s="323" t="n"/>
      <c r="G435" s="323" t="n"/>
      <c r="H435" s="323" t="n"/>
      <c r="I435" s="323" t="n"/>
      <c r="J435" s="323" t="n"/>
      <c r="K435" s="323" t="n"/>
      <c r="L435" s="323" t="n"/>
      <c r="M435" s="323" t="n"/>
      <c r="N435" s="323" t="n"/>
    </row>
    <row r="436" ht="12.5" customHeight="1" s="189">
      <c r="C436" s="323" t="n"/>
      <c r="D436" s="323" t="n"/>
      <c r="E436" s="323" t="n"/>
      <c r="F436" s="323" t="n"/>
      <c r="G436" s="323" t="n"/>
      <c r="H436" s="323" t="n"/>
      <c r="I436" s="323" t="n"/>
      <c r="J436" s="323" t="n"/>
      <c r="K436" s="323" t="n"/>
      <c r="L436" s="323" t="n"/>
      <c r="M436" s="323" t="n"/>
      <c r="N436" s="323" t="n"/>
    </row>
    <row r="437" ht="12.5" customHeight="1" s="189">
      <c r="C437" s="323" t="n"/>
      <c r="D437" s="323" t="n"/>
      <c r="E437" s="323" t="n"/>
      <c r="F437" s="323" t="n"/>
      <c r="G437" s="323" t="n"/>
      <c r="H437" s="323" t="n"/>
      <c r="I437" s="323" t="n"/>
      <c r="J437" s="323" t="n"/>
      <c r="K437" s="323" t="n"/>
      <c r="L437" s="323" t="n"/>
      <c r="M437" s="323" t="n"/>
      <c r="N437" s="323" t="n"/>
    </row>
    <row r="438" ht="12.5" customHeight="1" s="189">
      <c r="C438" s="323" t="n"/>
      <c r="D438" s="323" t="n"/>
      <c r="E438" s="323" t="n"/>
      <c r="F438" s="323" t="n"/>
      <c r="G438" s="323" t="n"/>
      <c r="H438" s="323" t="n"/>
      <c r="I438" s="323" t="n"/>
      <c r="J438" s="323" t="n"/>
      <c r="K438" s="323" t="n"/>
      <c r="L438" s="323" t="n"/>
      <c r="M438" s="323" t="n"/>
      <c r="N438" s="323" t="n"/>
    </row>
    <row r="439" ht="12.5" customHeight="1" s="189">
      <c r="C439" s="323" t="n"/>
      <c r="D439" s="323" t="n"/>
      <c r="E439" s="323" t="n"/>
      <c r="F439" s="323" t="n"/>
      <c r="G439" s="323" t="n"/>
      <c r="H439" s="323" t="n"/>
      <c r="I439" s="323" t="n"/>
      <c r="J439" s="323" t="n"/>
      <c r="K439" s="323" t="n"/>
      <c r="L439" s="323" t="n"/>
      <c r="M439" s="323" t="n"/>
      <c r="N439" s="323" t="n"/>
    </row>
    <row r="440" ht="12.5" customHeight="1" s="189">
      <c r="C440" s="323" t="n"/>
      <c r="D440" s="323" t="n"/>
      <c r="E440" s="323" t="n"/>
      <c r="F440" s="323" t="n"/>
      <c r="G440" s="323" t="n"/>
      <c r="H440" s="323" t="n"/>
      <c r="I440" s="323" t="n"/>
      <c r="J440" s="323" t="n"/>
      <c r="K440" s="323" t="n"/>
      <c r="L440" s="323" t="n"/>
      <c r="M440" s="323" t="n"/>
      <c r="N440" s="323" t="n"/>
    </row>
    <row r="441" ht="12.5" customHeight="1" s="189">
      <c r="C441" s="323" t="n"/>
      <c r="D441" s="323" t="n"/>
      <c r="E441" s="323" t="n"/>
      <c r="F441" s="323" t="n"/>
      <c r="G441" s="323" t="n"/>
      <c r="H441" s="323" t="n"/>
      <c r="I441" s="323" t="n"/>
      <c r="J441" s="323" t="n"/>
      <c r="K441" s="323" t="n"/>
      <c r="L441" s="323" t="n"/>
      <c r="M441" s="323" t="n"/>
      <c r="N441" s="323" t="n"/>
    </row>
    <row r="442" ht="12.5" customHeight="1" s="189">
      <c r="C442" s="323" t="n"/>
      <c r="D442" s="323" t="n"/>
      <c r="E442" s="323" t="n"/>
      <c r="F442" s="323" t="n"/>
      <c r="G442" s="323" t="n"/>
      <c r="H442" s="323" t="n"/>
      <c r="I442" s="323" t="n"/>
      <c r="J442" s="323" t="n"/>
      <c r="K442" s="323" t="n"/>
      <c r="L442" s="323" t="n"/>
      <c r="M442" s="323" t="n"/>
      <c r="N442" s="323" t="n"/>
    </row>
    <row r="443" ht="12.5" customHeight="1" s="189">
      <c r="C443" s="323" t="n"/>
      <c r="D443" s="323" t="n"/>
      <c r="E443" s="323" t="n"/>
      <c r="F443" s="323" t="n"/>
      <c r="G443" s="323" t="n"/>
      <c r="H443" s="323" t="n"/>
      <c r="I443" s="323" t="n"/>
      <c r="J443" s="323" t="n"/>
      <c r="K443" s="323" t="n"/>
      <c r="L443" s="323" t="n"/>
      <c r="M443" s="323" t="n"/>
      <c r="N443" s="323" t="n"/>
    </row>
    <row r="444" ht="12.5" customHeight="1" s="189">
      <c r="C444" s="323" t="n"/>
      <c r="D444" s="323" t="n"/>
      <c r="E444" s="323" t="n"/>
      <c r="F444" s="323" t="n"/>
      <c r="G444" s="323" t="n"/>
      <c r="H444" s="323" t="n"/>
      <c r="I444" s="323" t="n"/>
      <c r="J444" s="323" t="n"/>
      <c r="K444" s="323" t="n"/>
      <c r="L444" s="323" t="n"/>
      <c r="M444" s="323" t="n"/>
      <c r="N444" s="323" t="n"/>
    </row>
    <row r="445" ht="12.5" customHeight="1" s="189">
      <c r="C445" s="323" t="n"/>
      <c r="D445" s="323" t="n"/>
      <c r="E445" s="323" t="n"/>
      <c r="F445" s="323" t="n"/>
      <c r="G445" s="323" t="n"/>
      <c r="H445" s="323" t="n"/>
      <c r="I445" s="323" t="n"/>
      <c r="J445" s="323" t="n"/>
      <c r="K445" s="323" t="n"/>
      <c r="L445" s="323" t="n"/>
      <c r="M445" s="323" t="n"/>
      <c r="N445" s="323" t="n"/>
    </row>
    <row r="446" ht="12.5" customHeight="1" s="189">
      <c r="C446" s="323" t="n"/>
      <c r="D446" s="323" t="n"/>
      <c r="E446" s="323" t="n"/>
      <c r="F446" s="323" t="n"/>
      <c r="G446" s="323" t="n"/>
      <c r="H446" s="323" t="n"/>
      <c r="I446" s="323" t="n"/>
      <c r="J446" s="323" t="n"/>
      <c r="K446" s="323" t="n"/>
      <c r="L446" s="323" t="n"/>
      <c r="M446" s="323" t="n"/>
      <c r="N446" s="323" t="n"/>
    </row>
    <row r="447" ht="12.5" customHeight="1" s="189">
      <c r="C447" s="323" t="n"/>
      <c r="D447" s="323" t="n"/>
      <c r="E447" s="323" t="n"/>
      <c r="F447" s="323" t="n"/>
      <c r="G447" s="323" t="n"/>
      <c r="H447" s="323" t="n"/>
      <c r="I447" s="323" t="n"/>
      <c r="J447" s="323" t="n"/>
      <c r="K447" s="323" t="n"/>
      <c r="L447" s="323" t="n"/>
      <c r="M447" s="323" t="n"/>
      <c r="N447" s="323" t="n"/>
    </row>
    <row r="448" ht="12.5" customHeight="1" s="189">
      <c r="C448" s="323" t="n"/>
      <c r="D448" s="323" t="n"/>
      <c r="E448" s="323" t="n"/>
      <c r="F448" s="323" t="n"/>
      <c r="G448" s="323" t="n"/>
      <c r="H448" s="323" t="n"/>
      <c r="I448" s="323" t="n"/>
      <c r="J448" s="323" t="n"/>
      <c r="K448" s="323" t="n"/>
      <c r="L448" s="323" t="n"/>
      <c r="M448" s="323" t="n"/>
      <c r="N448" s="323" t="n"/>
    </row>
    <row r="449" ht="12.5" customHeight="1" s="189">
      <c r="C449" s="323" t="n"/>
      <c r="D449" s="323" t="n"/>
      <c r="E449" s="323" t="n"/>
      <c r="F449" s="323" t="n"/>
      <c r="G449" s="323" t="n"/>
      <c r="H449" s="323" t="n"/>
      <c r="I449" s="323" t="n"/>
      <c r="J449" s="323" t="n"/>
      <c r="K449" s="323" t="n"/>
      <c r="L449" s="323" t="n"/>
      <c r="M449" s="323" t="n"/>
      <c r="N449" s="323" t="n"/>
    </row>
    <row r="450" ht="12.5" customHeight="1" s="189">
      <c r="C450" s="323" t="n"/>
      <c r="D450" s="323" t="n"/>
      <c r="E450" s="323" t="n"/>
      <c r="F450" s="323" t="n"/>
      <c r="G450" s="323" t="n"/>
      <c r="H450" s="323" t="n"/>
      <c r="I450" s="323" t="n"/>
      <c r="J450" s="323" t="n"/>
      <c r="K450" s="323" t="n"/>
      <c r="L450" s="323" t="n"/>
      <c r="M450" s="323" t="n"/>
      <c r="N450" s="323" t="n"/>
    </row>
    <row r="451" ht="12.5" customHeight="1" s="189">
      <c r="C451" s="323" t="n"/>
      <c r="D451" s="323" t="n"/>
      <c r="E451" s="323" t="n"/>
      <c r="F451" s="323" t="n"/>
      <c r="G451" s="323" t="n"/>
      <c r="H451" s="323" t="n"/>
      <c r="I451" s="323" t="n"/>
      <c r="J451" s="323" t="n"/>
      <c r="K451" s="323" t="n"/>
      <c r="L451" s="323" t="n"/>
      <c r="M451" s="323" t="n"/>
      <c r="N451" s="323" t="n"/>
    </row>
    <row r="452" ht="12.5" customHeight="1" s="189">
      <c r="C452" s="323" t="n"/>
      <c r="D452" s="323" t="n"/>
      <c r="E452" s="323" t="n"/>
      <c r="F452" s="323" t="n"/>
      <c r="G452" s="323" t="n"/>
      <c r="H452" s="323" t="n"/>
      <c r="I452" s="323" t="n"/>
      <c r="J452" s="323" t="n"/>
      <c r="K452" s="323" t="n"/>
      <c r="L452" s="323" t="n"/>
      <c r="M452" s="323" t="n"/>
      <c r="N452" s="323" t="n"/>
    </row>
    <row r="453" ht="12.5" customHeight="1" s="189">
      <c r="C453" s="323" t="n"/>
      <c r="D453" s="323" t="n"/>
      <c r="E453" s="323" t="n"/>
      <c r="F453" s="323" t="n"/>
      <c r="G453" s="323" t="n"/>
      <c r="H453" s="323" t="n"/>
      <c r="I453" s="323" t="n"/>
      <c r="J453" s="323" t="n"/>
      <c r="K453" s="323" t="n"/>
      <c r="L453" s="323" t="n"/>
      <c r="M453" s="323" t="n"/>
      <c r="N453" s="323" t="n"/>
    </row>
    <row r="454" ht="12.5" customHeight="1" s="189">
      <c r="C454" s="323" t="n"/>
      <c r="D454" s="323" t="n"/>
      <c r="E454" s="323" t="n"/>
      <c r="F454" s="323" t="n"/>
      <c r="G454" s="323" t="n"/>
      <c r="H454" s="323" t="n"/>
      <c r="I454" s="323" t="n"/>
      <c r="J454" s="323" t="n"/>
      <c r="K454" s="323" t="n"/>
      <c r="L454" s="323" t="n"/>
      <c r="M454" s="323" t="n"/>
      <c r="N454" s="323" t="n"/>
    </row>
    <row r="455" ht="12.5" customHeight="1" s="189">
      <c r="C455" s="323" t="n"/>
      <c r="D455" s="323" t="n"/>
      <c r="E455" s="323" t="n"/>
      <c r="F455" s="323" t="n"/>
      <c r="G455" s="323" t="n"/>
      <c r="H455" s="323" t="n"/>
      <c r="I455" s="323" t="n"/>
      <c r="J455" s="323" t="n"/>
      <c r="K455" s="323" t="n"/>
      <c r="L455" s="323" t="n"/>
      <c r="M455" s="323" t="n"/>
      <c r="N455" s="323" t="n"/>
    </row>
    <row r="456" ht="12.5" customHeight="1" s="189">
      <c r="C456" s="323" t="n"/>
      <c r="D456" s="323" t="n"/>
      <c r="E456" s="323" t="n"/>
      <c r="F456" s="323" t="n"/>
      <c r="G456" s="323" t="n"/>
      <c r="H456" s="323" t="n"/>
      <c r="I456" s="323" t="n"/>
      <c r="J456" s="323" t="n"/>
      <c r="K456" s="323" t="n"/>
      <c r="L456" s="323" t="n"/>
      <c r="M456" s="323" t="n"/>
      <c r="N456" s="323" t="n"/>
    </row>
    <row r="457" ht="12.5" customHeight="1" s="189">
      <c r="C457" s="323" t="n"/>
      <c r="D457" s="323" t="n"/>
      <c r="E457" s="323" t="n"/>
      <c r="F457" s="323" t="n"/>
      <c r="G457" s="323" t="n"/>
      <c r="H457" s="323" t="n"/>
      <c r="I457" s="323" t="n"/>
      <c r="J457" s="323" t="n"/>
      <c r="K457" s="323" t="n"/>
      <c r="L457" s="323" t="n"/>
      <c r="M457" s="323" t="n"/>
      <c r="N457" s="323" t="n"/>
    </row>
    <row r="458" ht="12.5" customHeight="1" s="189">
      <c r="C458" s="323" t="n"/>
      <c r="D458" s="323" t="n"/>
      <c r="E458" s="323" t="n"/>
      <c r="F458" s="323" t="n"/>
      <c r="G458" s="323" t="n"/>
      <c r="H458" s="323" t="n"/>
      <c r="I458" s="323" t="n"/>
      <c r="J458" s="323" t="n"/>
      <c r="K458" s="323" t="n"/>
      <c r="L458" s="323" t="n"/>
      <c r="M458" s="323" t="n"/>
      <c r="N458" s="323" t="n"/>
    </row>
    <row r="459" ht="12.5" customHeight="1" s="189">
      <c r="C459" s="323" t="n"/>
      <c r="D459" s="323" t="n"/>
      <c r="E459" s="323" t="n"/>
      <c r="F459" s="323" t="n"/>
      <c r="G459" s="323" t="n"/>
      <c r="H459" s="323" t="n"/>
      <c r="I459" s="323" t="n"/>
      <c r="J459" s="323" t="n"/>
      <c r="K459" s="323" t="n"/>
      <c r="L459" s="323" t="n"/>
      <c r="M459" s="323" t="n"/>
      <c r="N459" s="323" t="n"/>
    </row>
    <row r="460" ht="12.5" customHeight="1" s="189">
      <c r="C460" s="323" t="n"/>
      <c r="D460" s="323" t="n"/>
      <c r="E460" s="323" t="n"/>
      <c r="F460" s="323" t="n"/>
      <c r="G460" s="323" t="n"/>
      <c r="H460" s="323" t="n"/>
      <c r="I460" s="323" t="n"/>
      <c r="J460" s="323" t="n"/>
      <c r="K460" s="323" t="n"/>
      <c r="L460" s="323" t="n"/>
      <c r="M460" s="323" t="n"/>
      <c r="N460" s="323" t="n"/>
    </row>
    <row r="461" ht="12.5" customHeight="1" s="189">
      <c r="C461" s="323" t="n"/>
      <c r="D461" s="323" t="n"/>
      <c r="E461" s="323" t="n"/>
      <c r="F461" s="323" t="n"/>
      <c r="G461" s="323" t="n"/>
      <c r="H461" s="323" t="n"/>
      <c r="I461" s="323" t="n"/>
      <c r="J461" s="323" t="n"/>
      <c r="K461" s="323" t="n"/>
      <c r="L461" s="323" t="n"/>
      <c r="M461" s="323" t="n"/>
      <c r="N461" s="323" t="n"/>
    </row>
    <row r="462" ht="12.5" customHeight="1" s="189">
      <c r="C462" s="323" t="n"/>
      <c r="D462" s="323" t="n"/>
      <c r="E462" s="323" t="n"/>
      <c r="F462" s="323" t="n"/>
      <c r="G462" s="323" t="n"/>
      <c r="H462" s="323" t="n"/>
      <c r="I462" s="323" t="n"/>
      <c r="J462" s="323" t="n"/>
      <c r="K462" s="323" t="n"/>
      <c r="L462" s="323" t="n"/>
      <c r="M462" s="323" t="n"/>
      <c r="N462" s="323" t="n"/>
    </row>
    <row r="463" ht="12.5" customHeight="1" s="189">
      <c r="C463" s="323" t="n"/>
      <c r="D463" s="323" t="n"/>
      <c r="E463" s="323" t="n"/>
      <c r="F463" s="323" t="n"/>
      <c r="G463" s="323" t="n"/>
      <c r="H463" s="323" t="n"/>
      <c r="I463" s="323" t="n"/>
      <c r="J463" s="323" t="n"/>
      <c r="K463" s="323" t="n"/>
      <c r="L463" s="323" t="n"/>
      <c r="M463" s="323" t="n"/>
      <c r="N463" s="323" t="n"/>
    </row>
    <row r="464" ht="12.5" customHeight="1" s="189">
      <c r="C464" s="323" t="n"/>
      <c r="D464" s="323" t="n"/>
      <c r="E464" s="323" t="n"/>
      <c r="F464" s="323" t="n"/>
      <c r="G464" s="323" t="n"/>
      <c r="H464" s="323" t="n"/>
      <c r="I464" s="323" t="n"/>
      <c r="J464" s="323" t="n"/>
      <c r="K464" s="323" t="n"/>
      <c r="L464" s="323" t="n"/>
      <c r="M464" s="323" t="n"/>
      <c r="N464" s="323" t="n"/>
    </row>
    <row r="465" ht="12.5" customHeight="1" s="189">
      <c r="C465" s="323" t="n"/>
      <c r="D465" s="323" t="n"/>
      <c r="E465" s="323" t="n"/>
      <c r="F465" s="323" t="n"/>
      <c r="G465" s="323" t="n"/>
      <c r="H465" s="323" t="n"/>
      <c r="I465" s="323" t="n"/>
      <c r="J465" s="323" t="n"/>
      <c r="K465" s="323" t="n"/>
      <c r="L465" s="323" t="n"/>
      <c r="M465" s="323" t="n"/>
      <c r="N465" s="323" t="n"/>
    </row>
    <row r="466" ht="12.5" customHeight="1" s="189">
      <c r="C466" s="323" t="n"/>
      <c r="D466" s="323" t="n"/>
      <c r="E466" s="323" t="n"/>
      <c r="F466" s="323" t="n"/>
      <c r="G466" s="323" t="n"/>
      <c r="H466" s="323" t="n"/>
      <c r="I466" s="323" t="n"/>
      <c r="J466" s="323" t="n"/>
      <c r="K466" s="323" t="n"/>
      <c r="L466" s="323" t="n"/>
      <c r="M466" s="323" t="n"/>
      <c r="N466" s="323" t="n"/>
    </row>
    <row r="467" ht="12.5" customHeight="1" s="189">
      <c r="C467" s="323" t="n"/>
      <c r="D467" s="323" t="n"/>
      <c r="E467" s="323" t="n"/>
      <c r="F467" s="323" t="n"/>
      <c r="G467" s="323" t="n"/>
      <c r="H467" s="323" t="n"/>
      <c r="I467" s="323" t="n"/>
      <c r="J467" s="323" t="n"/>
      <c r="K467" s="323" t="n"/>
      <c r="L467" s="323" t="n"/>
      <c r="M467" s="323" t="n"/>
      <c r="N467" s="323" t="n"/>
    </row>
    <row r="468" ht="12.5" customHeight="1" s="189">
      <c r="C468" s="323" t="n"/>
      <c r="D468" s="323" t="n"/>
      <c r="E468" s="323" t="n"/>
      <c r="F468" s="323" t="n"/>
      <c r="G468" s="323" t="n"/>
      <c r="H468" s="323" t="n"/>
      <c r="I468" s="323" t="n"/>
      <c r="J468" s="323" t="n"/>
      <c r="K468" s="323" t="n"/>
      <c r="L468" s="323" t="n"/>
      <c r="M468" s="323" t="n"/>
      <c r="N468" s="323" t="n"/>
    </row>
    <row r="469" ht="12.5" customHeight="1" s="189">
      <c r="C469" s="323" t="n"/>
      <c r="D469" s="323" t="n"/>
      <c r="E469" s="323" t="n"/>
      <c r="F469" s="323" t="n"/>
      <c r="G469" s="323" t="n"/>
      <c r="H469" s="323" t="n"/>
      <c r="I469" s="323" t="n"/>
      <c r="J469" s="323" t="n"/>
      <c r="K469" s="323" t="n"/>
      <c r="L469" s="323" t="n"/>
      <c r="M469" s="323" t="n"/>
      <c r="N469" s="323" t="n"/>
    </row>
    <row r="470" ht="12.5" customHeight="1" s="189">
      <c r="C470" s="323" t="n"/>
      <c r="D470" s="323" t="n"/>
      <c r="E470" s="323" t="n"/>
      <c r="F470" s="323" t="n"/>
      <c r="G470" s="323" t="n"/>
      <c r="H470" s="323" t="n"/>
      <c r="I470" s="323" t="n"/>
      <c r="J470" s="323" t="n"/>
      <c r="K470" s="323" t="n"/>
      <c r="L470" s="323" t="n"/>
      <c r="M470" s="323" t="n"/>
      <c r="N470" s="323" t="n"/>
    </row>
    <row r="471" ht="12.5" customHeight="1" s="189">
      <c r="C471" s="323" t="n"/>
      <c r="D471" s="323" t="n"/>
      <c r="E471" s="323" t="n"/>
      <c r="F471" s="323" t="n"/>
      <c r="G471" s="323" t="n"/>
      <c r="H471" s="323" t="n"/>
      <c r="I471" s="323" t="n"/>
      <c r="J471" s="323" t="n"/>
      <c r="K471" s="323" t="n"/>
      <c r="L471" s="323" t="n"/>
      <c r="M471" s="323" t="n"/>
      <c r="N471" s="323" t="n"/>
    </row>
    <row r="472" ht="12.5" customHeight="1" s="189">
      <c r="C472" s="323" t="n"/>
      <c r="D472" s="323" t="n"/>
      <c r="E472" s="323" t="n"/>
      <c r="F472" s="323" t="n"/>
      <c r="G472" s="323" t="n"/>
      <c r="H472" s="323" t="n"/>
      <c r="I472" s="323" t="n"/>
      <c r="J472" s="323" t="n"/>
      <c r="K472" s="323" t="n"/>
      <c r="L472" s="323" t="n"/>
      <c r="M472" s="323" t="n"/>
      <c r="N472" s="323" t="n"/>
    </row>
    <row r="473" ht="12.5" customHeight="1" s="189">
      <c r="C473" s="323" t="n"/>
      <c r="D473" s="323" t="n"/>
      <c r="E473" s="323" t="n"/>
      <c r="F473" s="323" t="n"/>
      <c r="G473" s="323" t="n"/>
      <c r="H473" s="323" t="n"/>
      <c r="I473" s="323" t="n"/>
      <c r="J473" s="323" t="n"/>
      <c r="K473" s="323" t="n"/>
      <c r="L473" s="323" t="n"/>
      <c r="M473" s="323" t="n"/>
      <c r="N473" s="323" t="n"/>
    </row>
    <row r="474" ht="12.5" customHeight="1" s="189">
      <c r="C474" s="323" t="n"/>
      <c r="D474" s="323" t="n"/>
      <c r="E474" s="323" t="n"/>
      <c r="F474" s="323" t="n"/>
      <c r="G474" s="323" t="n"/>
      <c r="H474" s="323" t="n"/>
      <c r="I474" s="323" t="n"/>
      <c r="J474" s="323" t="n"/>
      <c r="K474" s="323" t="n"/>
      <c r="L474" s="323" t="n"/>
      <c r="M474" s="323" t="n"/>
      <c r="N474" s="323" t="n"/>
    </row>
    <row r="475" ht="12.5" customHeight="1" s="189">
      <c r="C475" s="323" t="n"/>
      <c r="D475" s="323" t="n"/>
      <c r="E475" s="323" t="n"/>
      <c r="F475" s="323" t="n"/>
      <c r="G475" s="323" t="n"/>
      <c r="H475" s="323" t="n"/>
      <c r="I475" s="323" t="n"/>
      <c r="J475" s="323" t="n"/>
      <c r="K475" s="323" t="n"/>
      <c r="L475" s="323" t="n"/>
      <c r="M475" s="323" t="n"/>
      <c r="N475" s="323" t="n"/>
    </row>
    <row r="476" ht="12.5" customHeight="1" s="189">
      <c r="C476" s="323" t="n"/>
      <c r="D476" s="323" t="n"/>
      <c r="E476" s="323" t="n"/>
      <c r="F476" s="323" t="n"/>
      <c r="G476" s="323" t="n"/>
      <c r="H476" s="323" t="n"/>
      <c r="I476" s="323" t="n"/>
      <c r="J476" s="323" t="n"/>
      <c r="K476" s="323" t="n"/>
      <c r="L476" s="323" t="n"/>
      <c r="M476" s="323" t="n"/>
      <c r="N476" s="323" t="n"/>
    </row>
    <row r="477" ht="12.5" customHeight="1" s="189">
      <c r="C477" s="323" t="n"/>
      <c r="D477" s="323" t="n"/>
      <c r="E477" s="323" t="n"/>
      <c r="F477" s="323" t="n"/>
      <c r="G477" s="323" t="n"/>
      <c r="H477" s="323" t="n"/>
      <c r="I477" s="323" t="n"/>
      <c r="J477" s="323" t="n"/>
      <c r="K477" s="323" t="n"/>
      <c r="L477" s="323" t="n"/>
      <c r="M477" s="323" t="n"/>
      <c r="N477" s="323" t="n"/>
    </row>
    <row r="478" ht="12.5" customHeight="1" s="189">
      <c r="C478" s="323" t="n"/>
      <c r="D478" s="323" t="n"/>
      <c r="E478" s="323" t="n"/>
      <c r="F478" s="323" t="n"/>
      <c r="G478" s="323" t="n"/>
      <c r="H478" s="323" t="n"/>
      <c r="I478" s="323" t="n"/>
      <c r="J478" s="323" t="n"/>
      <c r="K478" s="323" t="n"/>
      <c r="L478" s="323" t="n"/>
      <c r="M478" s="323" t="n"/>
      <c r="N478" s="323" t="n"/>
    </row>
    <row r="479" ht="12.5" customHeight="1" s="189">
      <c r="C479" s="323" t="n"/>
      <c r="D479" s="323" t="n"/>
      <c r="E479" s="323" t="n"/>
      <c r="F479" s="323" t="n"/>
      <c r="G479" s="323" t="n"/>
      <c r="H479" s="323" t="n"/>
      <c r="I479" s="323" t="n"/>
      <c r="J479" s="323" t="n"/>
      <c r="K479" s="323" t="n"/>
      <c r="L479" s="323" t="n"/>
      <c r="M479" s="323" t="n"/>
      <c r="N479" s="323" t="n"/>
    </row>
    <row r="480" ht="12.5" customHeight="1" s="189">
      <c r="C480" s="323" t="n"/>
      <c r="D480" s="323" t="n"/>
      <c r="E480" s="323" t="n"/>
      <c r="F480" s="323" t="n"/>
      <c r="G480" s="323" t="n"/>
      <c r="H480" s="323" t="n"/>
      <c r="I480" s="323" t="n"/>
      <c r="J480" s="323" t="n"/>
      <c r="K480" s="323" t="n"/>
      <c r="L480" s="323" t="n"/>
      <c r="M480" s="323" t="n"/>
      <c r="N480" s="323" t="n"/>
    </row>
    <row r="481" ht="12.5" customHeight="1" s="189">
      <c r="C481" s="323" t="n"/>
      <c r="D481" s="323" t="n"/>
      <c r="E481" s="323" t="n"/>
      <c r="F481" s="323" t="n"/>
      <c r="G481" s="323" t="n"/>
      <c r="H481" s="323" t="n"/>
      <c r="I481" s="323" t="n"/>
      <c r="J481" s="323" t="n"/>
      <c r="K481" s="323" t="n"/>
      <c r="L481" s="323" t="n"/>
      <c r="M481" s="323" t="n"/>
      <c r="N481" s="323" t="n"/>
    </row>
    <row r="482" ht="12.5" customHeight="1" s="189">
      <c r="C482" s="323" t="n"/>
      <c r="D482" s="323" t="n"/>
      <c r="E482" s="323" t="n"/>
      <c r="F482" s="323" t="n"/>
      <c r="G482" s="323" t="n"/>
      <c r="H482" s="323" t="n"/>
      <c r="I482" s="323" t="n"/>
      <c r="J482" s="323" t="n"/>
      <c r="K482" s="323" t="n"/>
      <c r="L482" s="323" t="n"/>
      <c r="M482" s="323" t="n"/>
      <c r="N482" s="323" t="n"/>
    </row>
    <row r="483" ht="12.5" customHeight="1" s="189">
      <c r="C483" s="323" t="n"/>
      <c r="D483" s="323" t="n"/>
      <c r="E483" s="323" t="n"/>
      <c r="F483" s="323" t="n"/>
      <c r="G483" s="323" t="n"/>
      <c r="H483" s="323" t="n"/>
      <c r="I483" s="323" t="n"/>
      <c r="J483" s="323" t="n"/>
      <c r="K483" s="323" t="n"/>
      <c r="L483" s="323" t="n"/>
      <c r="M483" s="323" t="n"/>
      <c r="N483" s="323" t="n"/>
    </row>
    <row r="484" ht="12.5" customHeight="1" s="189">
      <c r="C484" s="323" t="n"/>
      <c r="D484" s="323" t="n"/>
      <c r="E484" s="323" t="n"/>
      <c r="F484" s="323" t="n"/>
      <c r="G484" s="323" t="n"/>
      <c r="H484" s="323" t="n"/>
      <c r="I484" s="323" t="n"/>
      <c r="J484" s="323" t="n"/>
      <c r="K484" s="323" t="n"/>
      <c r="L484" s="323" t="n"/>
      <c r="M484" s="323" t="n"/>
      <c r="N484" s="323" t="n"/>
    </row>
    <row r="485" ht="12.5" customHeight="1" s="189">
      <c r="C485" s="323" t="n"/>
      <c r="D485" s="323" t="n"/>
      <c r="E485" s="323" t="n"/>
      <c r="F485" s="323" t="n"/>
      <c r="G485" s="323" t="n"/>
      <c r="H485" s="323" t="n"/>
      <c r="I485" s="323" t="n"/>
      <c r="J485" s="323" t="n"/>
      <c r="K485" s="323" t="n"/>
      <c r="L485" s="323" t="n"/>
      <c r="M485" s="323" t="n"/>
      <c r="N485" s="323" t="n"/>
    </row>
    <row r="486" ht="12.5" customHeight="1" s="189">
      <c r="C486" s="323" t="n"/>
      <c r="D486" s="323" t="n"/>
      <c r="E486" s="323" t="n"/>
      <c r="F486" s="323" t="n"/>
      <c r="G486" s="323" t="n"/>
      <c r="H486" s="323" t="n"/>
      <c r="I486" s="323" t="n"/>
      <c r="J486" s="323" t="n"/>
      <c r="K486" s="323" t="n"/>
      <c r="L486" s="323" t="n"/>
      <c r="M486" s="323" t="n"/>
      <c r="N486" s="323" t="n"/>
    </row>
    <row r="487" ht="12.5" customHeight="1" s="189">
      <c r="C487" s="323" t="n"/>
      <c r="D487" s="323" t="n"/>
      <c r="E487" s="323" t="n"/>
      <c r="F487" s="323" t="n"/>
      <c r="G487" s="323" t="n"/>
      <c r="H487" s="323" t="n"/>
      <c r="I487" s="323" t="n"/>
      <c r="J487" s="323" t="n"/>
      <c r="K487" s="323" t="n"/>
      <c r="L487" s="323" t="n"/>
      <c r="M487" s="323" t="n"/>
      <c r="N487" s="323" t="n"/>
    </row>
    <row r="488" ht="12.5" customHeight="1" s="189">
      <c r="C488" s="323" t="n"/>
      <c r="D488" s="323" t="n"/>
      <c r="E488" s="323" t="n"/>
      <c r="F488" s="323" t="n"/>
      <c r="G488" s="323" t="n"/>
      <c r="H488" s="323" t="n"/>
      <c r="I488" s="323" t="n"/>
      <c r="J488" s="323" t="n"/>
      <c r="K488" s="323" t="n"/>
      <c r="L488" s="323" t="n"/>
      <c r="M488" s="323" t="n"/>
      <c r="N488" s="323" t="n"/>
    </row>
    <row r="489" ht="12.5" customHeight="1" s="189">
      <c r="C489" s="323" t="n"/>
      <c r="D489" s="323" t="n"/>
      <c r="E489" s="323" t="n"/>
      <c r="F489" s="323" t="n"/>
      <c r="G489" s="323" t="n"/>
      <c r="H489" s="323" t="n"/>
      <c r="I489" s="323" t="n"/>
      <c r="J489" s="323" t="n"/>
      <c r="K489" s="323" t="n"/>
      <c r="L489" s="323" t="n"/>
      <c r="M489" s="323" t="n"/>
      <c r="N489" s="323" t="n"/>
    </row>
    <row r="490" ht="12.5" customHeight="1" s="189">
      <c r="C490" s="323" t="n"/>
      <c r="D490" s="323" t="n"/>
      <c r="E490" s="323" t="n"/>
      <c r="F490" s="323" t="n"/>
      <c r="G490" s="323" t="n"/>
      <c r="H490" s="323" t="n"/>
      <c r="I490" s="323" t="n"/>
      <c r="J490" s="323" t="n"/>
      <c r="K490" s="323" t="n"/>
      <c r="L490" s="323" t="n"/>
      <c r="M490" s="323" t="n"/>
      <c r="N490" s="323" t="n"/>
    </row>
    <row r="491" ht="12.5" customHeight="1" s="189">
      <c r="C491" s="323" t="n"/>
      <c r="D491" s="323" t="n"/>
      <c r="E491" s="323" t="n"/>
      <c r="F491" s="323" t="n"/>
      <c r="G491" s="323" t="n"/>
      <c r="H491" s="323" t="n"/>
      <c r="I491" s="323" t="n"/>
      <c r="J491" s="323" t="n"/>
      <c r="K491" s="323" t="n"/>
      <c r="L491" s="323" t="n"/>
      <c r="M491" s="323" t="n"/>
      <c r="N491" s="323" t="n"/>
    </row>
    <row r="492" ht="12.5" customHeight="1" s="189">
      <c r="C492" s="323" t="n"/>
      <c r="D492" s="323" t="n"/>
      <c r="E492" s="323" t="n"/>
      <c r="F492" s="323" t="n"/>
      <c r="G492" s="323" t="n"/>
      <c r="H492" s="323" t="n"/>
      <c r="I492" s="323" t="n"/>
      <c r="J492" s="323" t="n"/>
      <c r="K492" s="323" t="n"/>
      <c r="L492" s="323" t="n"/>
      <c r="M492" s="323" t="n"/>
      <c r="N492" s="323" t="n"/>
    </row>
    <row r="493" ht="12.5" customHeight="1" s="189">
      <c r="C493" s="323" t="n"/>
      <c r="D493" s="323" t="n"/>
      <c r="E493" s="323" t="n"/>
      <c r="F493" s="323" t="n"/>
      <c r="G493" s="323" t="n"/>
      <c r="H493" s="323" t="n"/>
      <c r="I493" s="323" t="n"/>
      <c r="J493" s="323" t="n"/>
      <c r="K493" s="323" t="n"/>
      <c r="L493" s="323" t="n"/>
      <c r="M493" s="323" t="n"/>
      <c r="N493" s="323" t="n"/>
    </row>
    <row r="494" ht="12.5" customHeight="1" s="189">
      <c r="C494" s="323" t="n"/>
      <c r="D494" s="323" t="n"/>
      <c r="E494" s="323" t="n"/>
      <c r="F494" s="323" t="n"/>
      <c r="G494" s="323" t="n"/>
      <c r="H494" s="323" t="n"/>
      <c r="I494" s="323" t="n"/>
      <c r="J494" s="323" t="n"/>
      <c r="K494" s="323" t="n"/>
      <c r="L494" s="323" t="n"/>
      <c r="M494" s="323" t="n"/>
      <c r="N494" s="323" t="n"/>
    </row>
    <row r="495" ht="12.5" customHeight="1" s="189">
      <c r="C495" s="323" t="n"/>
      <c r="D495" s="323" t="n"/>
      <c r="E495" s="323" t="n"/>
      <c r="F495" s="323" t="n"/>
      <c r="G495" s="323" t="n"/>
      <c r="H495" s="323" t="n"/>
      <c r="I495" s="323" t="n"/>
      <c r="J495" s="323" t="n"/>
      <c r="K495" s="323" t="n"/>
      <c r="L495" s="323" t="n"/>
      <c r="M495" s="323" t="n"/>
      <c r="N495" s="323" t="n"/>
    </row>
    <row r="496" ht="12.5" customHeight="1" s="189">
      <c r="C496" s="323" t="n"/>
      <c r="D496" s="323" t="n"/>
      <c r="E496" s="323" t="n"/>
      <c r="F496" s="323" t="n"/>
      <c r="G496" s="323" t="n"/>
      <c r="H496" s="323" t="n"/>
      <c r="I496" s="323" t="n"/>
      <c r="J496" s="323" t="n"/>
      <c r="K496" s="323" t="n"/>
      <c r="L496" s="323" t="n"/>
      <c r="M496" s="323" t="n"/>
      <c r="N496" s="323" t="n"/>
    </row>
    <row r="497" ht="12.5" customHeight="1" s="189">
      <c r="C497" s="323" t="n"/>
      <c r="D497" s="323" t="n"/>
      <c r="E497" s="323" t="n"/>
      <c r="F497" s="323" t="n"/>
      <c r="G497" s="323" t="n"/>
      <c r="H497" s="323" t="n"/>
      <c r="I497" s="323" t="n"/>
      <c r="J497" s="323" t="n"/>
      <c r="K497" s="323" t="n"/>
      <c r="L497" s="323" t="n"/>
      <c r="M497" s="323" t="n"/>
      <c r="N497" s="323" t="n"/>
    </row>
    <row r="498" ht="12.5" customHeight="1" s="189">
      <c r="C498" s="323" t="n"/>
      <c r="D498" s="323" t="n"/>
      <c r="E498" s="323" t="n"/>
      <c r="F498" s="323" t="n"/>
      <c r="G498" s="323" t="n"/>
      <c r="H498" s="323" t="n"/>
      <c r="I498" s="323" t="n"/>
      <c r="J498" s="323" t="n"/>
      <c r="K498" s="323" t="n"/>
      <c r="L498" s="323" t="n"/>
      <c r="M498" s="323" t="n"/>
      <c r="N498" s="323" t="n"/>
    </row>
    <row r="499" ht="12.5" customHeight="1" s="189">
      <c r="C499" s="323" t="n"/>
      <c r="D499" s="323" t="n"/>
      <c r="E499" s="323" t="n"/>
      <c r="F499" s="323" t="n"/>
      <c r="G499" s="323" t="n"/>
      <c r="H499" s="323" t="n"/>
      <c r="I499" s="323" t="n"/>
      <c r="J499" s="323" t="n"/>
      <c r="K499" s="323" t="n"/>
      <c r="L499" s="323" t="n"/>
      <c r="M499" s="323" t="n"/>
      <c r="N499" s="323" t="n"/>
    </row>
    <row r="500" ht="12.5" customHeight="1" s="189">
      <c r="C500" s="323" t="n"/>
      <c r="D500" s="323" t="n"/>
      <c r="E500" s="323" t="n"/>
      <c r="F500" s="323" t="n"/>
      <c r="G500" s="323" t="n"/>
      <c r="H500" s="323" t="n"/>
      <c r="I500" s="323" t="n"/>
      <c r="J500" s="323" t="n"/>
      <c r="K500" s="323" t="n"/>
      <c r="L500" s="323" t="n"/>
      <c r="M500" s="323" t="n"/>
      <c r="N500" s="323" t="n"/>
    </row>
    <row r="501" ht="12.5" customHeight="1" s="189">
      <c r="C501" s="323" t="n"/>
      <c r="D501" s="323" t="n"/>
      <c r="E501" s="323" t="n"/>
      <c r="F501" s="323" t="n"/>
      <c r="G501" s="323" t="n"/>
      <c r="H501" s="323" t="n"/>
      <c r="I501" s="323" t="n"/>
      <c r="J501" s="323" t="n"/>
      <c r="K501" s="323" t="n"/>
      <c r="L501" s="323" t="n"/>
      <c r="M501" s="323" t="n"/>
      <c r="N501" s="323" t="n"/>
    </row>
    <row r="502" ht="12.5" customHeight="1" s="189">
      <c r="C502" s="323" t="n"/>
      <c r="D502" s="323" t="n"/>
      <c r="E502" s="323" t="n"/>
      <c r="F502" s="323" t="n"/>
      <c r="G502" s="323" t="n"/>
      <c r="H502" s="323" t="n"/>
      <c r="I502" s="323" t="n"/>
      <c r="J502" s="323" t="n"/>
      <c r="K502" s="323" t="n"/>
      <c r="L502" s="323" t="n"/>
      <c r="M502" s="323" t="n"/>
      <c r="N502" s="323" t="n"/>
    </row>
    <row r="503" ht="12.5" customHeight="1" s="189">
      <c r="C503" s="323" t="n"/>
      <c r="D503" s="323" t="n"/>
      <c r="E503" s="323" t="n"/>
      <c r="F503" s="323" t="n"/>
      <c r="G503" s="323" t="n"/>
      <c r="H503" s="323" t="n"/>
      <c r="I503" s="323" t="n"/>
      <c r="J503" s="323" t="n"/>
      <c r="K503" s="323" t="n"/>
      <c r="L503" s="323" t="n"/>
      <c r="M503" s="323" t="n"/>
      <c r="N503" s="323" t="n"/>
    </row>
    <row r="504" ht="12.5" customHeight="1" s="189">
      <c r="C504" s="323" t="n"/>
      <c r="D504" s="323" t="n"/>
      <c r="E504" s="323" t="n"/>
      <c r="F504" s="323" t="n"/>
      <c r="G504" s="323" t="n"/>
      <c r="H504" s="323" t="n"/>
      <c r="I504" s="323" t="n"/>
      <c r="J504" s="323" t="n"/>
      <c r="K504" s="323" t="n"/>
      <c r="L504" s="323" t="n"/>
      <c r="M504" s="323" t="n"/>
      <c r="N504" s="323" t="n"/>
    </row>
    <row r="505" ht="12.5" customHeight="1" s="189">
      <c r="C505" s="323" t="n"/>
      <c r="D505" s="323" t="n"/>
      <c r="E505" s="323" t="n"/>
      <c r="F505" s="323" t="n"/>
      <c r="G505" s="323" t="n"/>
      <c r="H505" s="323" t="n"/>
      <c r="I505" s="323" t="n"/>
      <c r="J505" s="323" t="n"/>
      <c r="K505" s="323" t="n"/>
      <c r="L505" s="323" t="n"/>
      <c r="M505" s="323" t="n"/>
      <c r="N505" s="323" t="n"/>
    </row>
    <row r="506" ht="12.5" customHeight="1" s="189">
      <c r="C506" s="323" t="n"/>
      <c r="D506" s="323" t="n"/>
      <c r="E506" s="323" t="n"/>
      <c r="F506" s="323" t="n"/>
      <c r="G506" s="323" t="n"/>
      <c r="H506" s="323" t="n"/>
      <c r="I506" s="323" t="n"/>
      <c r="J506" s="323" t="n"/>
      <c r="K506" s="323" t="n"/>
      <c r="L506" s="323" t="n"/>
      <c r="M506" s="323" t="n"/>
      <c r="N506" s="323" t="n"/>
    </row>
    <row r="507" ht="12.5" customHeight="1" s="189">
      <c r="C507" s="323" t="n"/>
      <c r="D507" s="323" t="n"/>
      <c r="E507" s="323" t="n"/>
      <c r="F507" s="323" t="n"/>
      <c r="G507" s="323" t="n"/>
      <c r="H507" s="323" t="n"/>
      <c r="I507" s="323" t="n"/>
      <c r="J507" s="323" t="n"/>
      <c r="K507" s="323" t="n"/>
      <c r="L507" s="323" t="n"/>
      <c r="M507" s="323" t="n"/>
      <c r="N507" s="323" t="n"/>
    </row>
    <row r="508" ht="12.5" customHeight="1" s="189">
      <c r="C508" s="323" t="n"/>
      <c r="D508" s="323" t="n"/>
      <c r="E508" s="323" t="n"/>
      <c r="F508" s="323" t="n"/>
      <c r="G508" s="323" t="n"/>
      <c r="H508" s="323" t="n"/>
      <c r="I508" s="323" t="n"/>
      <c r="J508" s="323" t="n"/>
      <c r="K508" s="323" t="n"/>
      <c r="L508" s="323" t="n"/>
      <c r="M508" s="323" t="n"/>
      <c r="N508" s="323" t="n"/>
    </row>
    <row r="509" ht="12.5" customHeight="1" s="189">
      <c r="C509" s="323" t="n"/>
      <c r="D509" s="323" t="n"/>
      <c r="E509" s="323" t="n"/>
      <c r="F509" s="323" t="n"/>
      <c r="G509" s="323" t="n"/>
      <c r="H509" s="323" t="n"/>
      <c r="I509" s="323" t="n"/>
      <c r="J509" s="323" t="n"/>
      <c r="K509" s="323" t="n"/>
      <c r="L509" s="323" t="n"/>
      <c r="M509" s="323" t="n"/>
      <c r="N509" s="323" t="n"/>
    </row>
    <row r="510" ht="12.5" customHeight="1" s="189">
      <c r="C510" s="323" t="n"/>
      <c r="D510" s="323" t="n"/>
      <c r="E510" s="323" t="n"/>
      <c r="F510" s="323" t="n"/>
      <c r="G510" s="323" t="n"/>
      <c r="H510" s="323" t="n"/>
      <c r="I510" s="323" t="n"/>
      <c r="J510" s="323" t="n"/>
      <c r="K510" s="323" t="n"/>
      <c r="L510" s="323" t="n"/>
      <c r="M510" s="323" t="n"/>
      <c r="N510" s="323" t="n"/>
    </row>
    <row r="511" ht="12.5" customHeight="1" s="189">
      <c r="C511" s="323" t="n"/>
      <c r="D511" s="323" t="n"/>
      <c r="E511" s="323" t="n"/>
      <c r="F511" s="323" t="n"/>
      <c r="G511" s="323" t="n"/>
      <c r="H511" s="323" t="n"/>
      <c r="I511" s="323" t="n"/>
      <c r="J511" s="323" t="n"/>
      <c r="K511" s="323" t="n"/>
      <c r="L511" s="323" t="n"/>
      <c r="M511" s="323" t="n"/>
      <c r="N511" s="323" t="n"/>
    </row>
    <row r="512" ht="12.5" customHeight="1" s="189">
      <c r="C512" s="323" t="n"/>
      <c r="D512" s="323" t="n"/>
      <c r="E512" s="323" t="n"/>
      <c r="F512" s="323" t="n"/>
      <c r="G512" s="323" t="n"/>
      <c r="H512" s="323" t="n"/>
      <c r="I512" s="323" t="n"/>
      <c r="J512" s="323" t="n"/>
      <c r="K512" s="323" t="n"/>
      <c r="L512" s="323" t="n"/>
      <c r="M512" s="323" t="n"/>
      <c r="N512" s="323" t="n"/>
    </row>
    <row r="513" ht="12.5" customHeight="1" s="189">
      <c r="C513" s="323" t="n"/>
      <c r="D513" s="323" t="n"/>
      <c r="E513" s="323" t="n"/>
      <c r="F513" s="323" t="n"/>
      <c r="G513" s="323" t="n"/>
      <c r="H513" s="323" t="n"/>
      <c r="I513" s="323" t="n"/>
      <c r="J513" s="323" t="n"/>
      <c r="K513" s="323" t="n"/>
      <c r="L513" s="323" t="n"/>
      <c r="M513" s="323" t="n"/>
      <c r="N513" s="323" t="n"/>
    </row>
    <row r="514" ht="12.5" customHeight="1" s="189">
      <c r="C514" s="323" t="n"/>
      <c r="D514" s="323" t="n"/>
      <c r="E514" s="323" t="n"/>
      <c r="F514" s="323" t="n"/>
      <c r="G514" s="323" t="n"/>
      <c r="H514" s="323" t="n"/>
      <c r="I514" s="323" t="n"/>
      <c r="J514" s="323" t="n"/>
      <c r="K514" s="323" t="n"/>
      <c r="L514" s="323" t="n"/>
      <c r="M514" s="323" t="n"/>
      <c r="N514" s="323" t="n"/>
    </row>
    <row r="515" ht="12.5" customHeight="1" s="189">
      <c r="C515" s="323" t="n"/>
      <c r="D515" s="323" t="n"/>
      <c r="E515" s="323" t="n"/>
      <c r="F515" s="323" t="n"/>
      <c r="G515" s="323" t="n"/>
      <c r="H515" s="323" t="n"/>
      <c r="I515" s="323" t="n"/>
      <c r="J515" s="323" t="n"/>
      <c r="K515" s="323" t="n"/>
      <c r="L515" s="323" t="n"/>
      <c r="M515" s="323" t="n"/>
      <c r="N515" s="323" t="n"/>
    </row>
    <row r="516" ht="12.5" customHeight="1" s="189">
      <c r="C516" s="323" t="n"/>
      <c r="D516" s="323" t="n"/>
      <c r="E516" s="323" t="n"/>
      <c r="F516" s="323" t="n"/>
      <c r="G516" s="323" t="n"/>
      <c r="H516" s="323" t="n"/>
      <c r="I516" s="323" t="n"/>
      <c r="J516" s="323" t="n"/>
      <c r="K516" s="323" t="n"/>
      <c r="L516" s="323" t="n"/>
      <c r="M516" s="323" t="n"/>
      <c r="N516" s="323" t="n"/>
    </row>
    <row r="517" ht="12.5" customHeight="1" s="189">
      <c r="C517" s="323" t="n"/>
      <c r="D517" s="323" t="n"/>
      <c r="E517" s="323" t="n"/>
      <c r="F517" s="323" t="n"/>
      <c r="G517" s="323" t="n"/>
      <c r="H517" s="323" t="n"/>
      <c r="I517" s="323" t="n"/>
      <c r="J517" s="323" t="n"/>
      <c r="K517" s="323" t="n"/>
      <c r="L517" s="323" t="n"/>
      <c r="M517" s="323" t="n"/>
      <c r="N517" s="323" t="n"/>
    </row>
    <row r="518" ht="12.5" customHeight="1" s="189">
      <c r="C518" s="323" t="n"/>
      <c r="D518" s="323" t="n"/>
      <c r="E518" s="323" t="n"/>
      <c r="F518" s="323" t="n"/>
      <c r="G518" s="323" t="n"/>
      <c r="H518" s="323" t="n"/>
      <c r="I518" s="323" t="n"/>
      <c r="J518" s="323" t="n"/>
      <c r="K518" s="323" t="n"/>
      <c r="L518" s="323" t="n"/>
      <c r="M518" s="323" t="n"/>
      <c r="N518" s="323" t="n"/>
    </row>
    <row r="519" ht="12.5" customHeight="1" s="189">
      <c r="C519" s="323" t="n"/>
      <c r="D519" s="323" t="n"/>
      <c r="E519" s="323" t="n"/>
      <c r="F519" s="323" t="n"/>
      <c r="G519" s="323" t="n"/>
      <c r="H519" s="323" t="n"/>
      <c r="I519" s="323" t="n"/>
      <c r="J519" s="323" t="n"/>
      <c r="K519" s="323" t="n"/>
      <c r="L519" s="323" t="n"/>
      <c r="M519" s="323" t="n"/>
      <c r="N519" s="323" t="n"/>
    </row>
    <row r="520" ht="12.5" customHeight="1" s="189">
      <c r="C520" s="323" t="n"/>
      <c r="D520" s="323" t="n"/>
      <c r="E520" s="323" t="n"/>
      <c r="F520" s="323" t="n"/>
      <c r="G520" s="323" t="n"/>
      <c r="H520" s="323" t="n"/>
      <c r="I520" s="323" t="n"/>
      <c r="J520" s="323" t="n"/>
      <c r="K520" s="323" t="n"/>
      <c r="L520" s="323" t="n"/>
      <c r="M520" s="323" t="n"/>
      <c r="N520" s="323" t="n"/>
    </row>
    <row r="521" ht="12.5" customHeight="1" s="189">
      <c r="C521" s="323" t="n"/>
      <c r="D521" s="323" t="n"/>
      <c r="E521" s="323" t="n"/>
      <c r="F521" s="323" t="n"/>
      <c r="G521" s="323" t="n"/>
      <c r="H521" s="323" t="n"/>
      <c r="I521" s="323" t="n"/>
      <c r="J521" s="323" t="n"/>
      <c r="K521" s="323" t="n"/>
      <c r="L521" s="323" t="n"/>
      <c r="M521" s="323" t="n"/>
      <c r="N521" s="323" t="n"/>
    </row>
    <row r="522" ht="12.5" customHeight="1" s="189">
      <c r="C522" s="323" t="n"/>
      <c r="D522" s="323" t="n"/>
      <c r="E522" s="323" t="n"/>
      <c r="F522" s="323" t="n"/>
      <c r="G522" s="323" t="n"/>
      <c r="H522" s="323" t="n"/>
      <c r="I522" s="323" t="n"/>
      <c r="J522" s="323" t="n"/>
      <c r="K522" s="323" t="n"/>
      <c r="L522" s="323" t="n"/>
      <c r="M522" s="323" t="n"/>
      <c r="N522" s="323" t="n"/>
    </row>
    <row r="523" ht="12.5" customHeight="1" s="189">
      <c r="C523" s="323" t="n"/>
      <c r="D523" s="323" t="n"/>
      <c r="E523" s="323" t="n"/>
      <c r="F523" s="323" t="n"/>
      <c r="G523" s="323" t="n"/>
      <c r="H523" s="323" t="n"/>
      <c r="I523" s="323" t="n"/>
      <c r="J523" s="323" t="n"/>
      <c r="K523" s="323" t="n"/>
      <c r="L523" s="323" t="n"/>
      <c r="M523" s="323" t="n"/>
      <c r="N523" s="323" t="n"/>
    </row>
    <row r="524" ht="12.5" customHeight="1" s="189">
      <c r="C524" s="323" t="n"/>
      <c r="D524" s="323" t="n"/>
      <c r="E524" s="323" t="n"/>
      <c r="F524" s="323" t="n"/>
      <c r="G524" s="323" t="n"/>
      <c r="H524" s="323" t="n"/>
      <c r="I524" s="323" t="n"/>
      <c r="J524" s="323" t="n"/>
      <c r="K524" s="323" t="n"/>
      <c r="L524" s="323" t="n"/>
      <c r="M524" s="323" t="n"/>
      <c r="N524" s="323" t="n"/>
    </row>
    <row r="525" ht="12.5" customHeight="1" s="189">
      <c r="C525" s="323" t="n"/>
      <c r="D525" s="323" t="n"/>
      <c r="E525" s="323" t="n"/>
      <c r="F525" s="323" t="n"/>
      <c r="G525" s="323" t="n"/>
      <c r="H525" s="323" t="n"/>
      <c r="I525" s="323" t="n"/>
      <c r="J525" s="323" t="n"/>
      <c r="K525" s="323" t="n"/>
      <c r="L525" s="323" t="n"/>
      <c r="M525" s="323" t="n"/>
      <c r="N525" s="323" t="n"/>
    </row>
    <row r="526" ht="12.5" customHeight="1" s="189">
      <c r="C526" s="323" t="n"/>
      <c r="D526" s="323" t="n"/>
      <c r="E526" s="323" t="n"/>
      <c r="F526" s="323" t="n"/>
      <c r="G526" s="323" t="n"/>
      <c r="H526" s="323" t="n"/>
      <c r="I526" s="323" t="n"/>
      <c r="J526" s="323" t="n"/>
      <c r="K526" s="323" t="n"/>
      <c r="L526" s="323" t="n"/>
      <c r="M526" s="323" t="n"/>
      <c r="N526" s="323" t="n"/>
    </row>
    <row r="527" ht="12.5" customHeight="1" s="189">
      <c r="C527" s="323" t="n"/>
      <c r="D527" s="323" t="n"/>
      <c r="E527" s="323" t="n"/>
      <c r="F527" s="323" t="n"/>
      <c r="G527" s="323" t="n"/>
      <c r="H527" s="323" t="n"/>
      <c r="I527" s="323" t="n"/>
      <c r="J527" s="323" t="n"/>
      <c r="K527" s="323" t="n"/>
      <c r="L527" s="323" t="n"/>
      <c r="M527" s="323" t="n"/>
      <c r="N527" s="323" t="n"/>
    </row>
    <row r="528" ht="12.5" customHeight="1" s="189">
      <c r="C528" s="323" t="n"/>
      <c r="D528" s="323" t="n"/>
      <c r="E528" s="323" t="n"/>
      <c r="F528" s="323" t="n"/>
      <c r="G528" s="323" t="n"/>
      <c r="H528" s="323" t="n"/>
      <c r="I528" s="323" t="n"/>
      <c r="J528" s="323" t="n"/>
      <c r="K528" s="323" t="n"/>
      <c r="L528" s="323" t="n"/>
      <c r="M528" s="323" t="n"/>
      <c r="N528" s="323" t="n"/>
    </row>
    <row r="529" ht="12.5" customHeight="1" s="189">
      <c r="C529" s="323" t="n"/>
      <c r="D529" s="323" t="n"/>
      <c r="E529" s="323" t="n"/>
      <c r="F529" s="323" t="n"/>
      <c r="G529" s="323" t="n"/>
      <c r="H529" s="323" t="n"/>
      <c r="I529" s="323" t="n"/>
      <c r="J529" s="323" t="n"/>
      <c r="K529" s="323" t="n"/>
      <c r="L529" s="323" t="n"/>
      <c r="M529" s="323" t="n"/>
      <c r="N529" s="323" t="n"/>
    </row>
    <row r="530" ht="12.5" customHeight="1" s="189">
      <c r="C530" s="323" t="n"/>
      <c r="D530" s="323" t="n"/>
      <c r="E530" s="323" t="n"/>
      <c r="F530" s="323" t="n"/>
      <c r="G530" s="323" t="n"/>
      <c r="H530" s="323" t="n"/>
      <c r="I530" s="323" t="n"/>
      <c r="J530" s="323" t="n"/>
      <c r="K530" s="323" t="n"/>
      <c r="L530" s="323" t="n"/>
      <c r="M530" s="323" t="n"/>
      <c r="N530" s="323" t="n"/>
    </row>
    <row r="531" ht="12.5" customHeight="1" s="189">
      <c r="C531" s="323" t="n"/>
      <c r="D531" s="323" t="n"/>
      <c r="E531" s="323" t="n"/>
      <c r="F531" s="323" t="n"/>
      <c r="G531" s="323" t="n"/>
      <c r="H531" s="323" t="n"/>
      <c r="I531" s="323" t="n"/>
      <c r="J531" s="323" t="n"/>
      <c r="K531" s="323" t="n"/>
      <c r="L531" s="323" t="n"/>
      <c r="M531" s="323" t="n"/>
      <c r="N531" s="323" t="n"/>
    </row>
    <row r="532" ht="12.5" customHeight="1" s="189">
      <c r="C532" s="323" t="n"/>
      <c r="D532" s="323" t="n"/>
      <c r="E532" s="323" t="n"/>
      <c r="F532" s="323" t="n"/>
      <c r="G532" s="323" t="n"/>
      <c r="H532" s="323" t="n"/>
      <c r="I532" s="323" t="n"/>
      <c r="J532" s="323" t="n"/>
      <c r="K532" s="323" t="n"/>
      <c r="L532" s="323" t="n"/>
      <c r="M532" s="323" t="n"/>
      <c r="N532" s="323" t="n"/>
    </row>
    <row r="533" ht="12.5" customHeight="1" s="189">
      <c r="C533" s="323" t="n"/>
      <c r="D533" s="323" t="n"/>
      <c r="E533" s="323" t="n"/>
      <c r="F533" s="323" t="n"/>
      <c r="G533" s="323" t="n"/>
      <c r="H533" s="323" t="n"/>
      <c r="I533" s="323" t="n"/>
      <c r="J533" s="323" t="n"/>
      <c r="K533" s="323" t="n"/>
      <c r="L533" s="323" t="n"/>
      <c r="M533" s="323" t="n"/>
      <c r="N533" s="323" t="n"/>
    </row>
    <row r="534" ht="12.5" customHeight="1" s="189">
      <c r="C534" s="323" t="n"/>
      <c r="D534" s="323" t="n"/>
      <c r="E534" s="323" t="n"/>
      <c r="F534" s="323" t="n"/>
      <c r="G534" s="323" t="n"/>
      <c r="H534" s="323" t="n"/>
      <c r="I534" s="323" t="n"/>
      <c r="J534" s="323" t="n"/>
      <c r="K534" s="323" t="n"/>
      <c r="L534" s="323" t="n"/>
      <c r="M534" s="323" t="n"/>
      <c r="N534" s="323" t="n"/>
    </row>
    <row r="535" ht="12.5" customHeight="1" s="189">
      <c r="C535" s="323" t="n"/>
      <c r="D535" s="323" t="n"/>
      <c r="E535" s="323" t="n"/>
      <c r="F535" s="323" t="n"/>
      <c r="G535" s="323" t="n"/>
      <c r="H535" s="323" t="n"/>
      <c r="I535" s="323" t="n"/>
      <c r="J535" s="323" t="n"/>
      <c r="K535" s="323" t="n"/>
      <c r="L535" s="323" t="n"/>
      <c r="M535" s="323" t="n"/>
      <c r="N535" s="323" t="n"/>
    </row>
    <row r="536" ht="12.5" customHeight="1" s="189">
      <c r="C536" s="323" t="n"/>
      <c r="D536" s="323" t="n"/>
      <c r="E536" s="323" t="n"/>
      <c r="F536" s="323" t="n"/>
      <c r="G536" s="323" t="n"/>
      <c r="H536" s="323" t="n"/>
      <c r="I536" s="323" t="n"/>
      <c r="J536" s="323" t="n"/>
      <c r="K536" s="323" t="n"/>
      <c r="L536" s="323" t="n"/>
      <c r="M536" s="323" t="n"/>
      <c r="N536" s="323" t="n"/>
    </row>
    <row r="537" ht="12.5" customHeight="1" s="189">
      <c r="C537" s="323" t="n"/>
      <c r="D537" s="323" t="n"/>
      <c r="E537" s="323" t="n"/>
      <c r="F537" s="323" t="n"/>
      <c r="G537" s="323" t="n"/>
      <c r="H537" s="323" t="n"/>
      <c r="I537" s="323" t="n"/>
      <c r="J537" s="323" t="n"/>
      <c r="K537" s="323" t="n"/>
      <c r="L537" s="323" t="n"/>
      <c r="M537" s="323" t="n"/>
      <c r="N537" s="323" t="n"/>
    </row>
    <row r="538" ht="12.5" customHeight="1" s="189">
      <c r="C538" s="323" t="n"/>
      <c r="D538" s="323" t="n"/>
      <c r="E538" s="323" t="n"/>
      <c r="F538" s="323" t="n"/>
      <c r="G538" s="323" t="n"/>
      <c r="H538" s="323" t="n"/>
      <c r="I538" s="323" t="n"/>
      <c r="J538" s="323" t="n"/>
      <c r="K538" s="323" t="n"/>
      <c r="L538" s="323" t="n"/>
      <c r="M538" s="323" t="n"/>
      <c r="N538" s="323" t="n"/>
    </row>
    <row r="539" ht="12.5" customHeight="1" s="189">
      <c r="C539" s="323" t="n"/>
      <c r="D539" s="323" t="n"/>
      <c r="E539" s="323" t="n"/>
      <c r="F539" s="323" t="n"/>
      <c r="G539" s="323" t="n"/>
      <c r="H539" s="323" t="n"/>
      <c r="I539" s="323" t="n"/>
      <c r="J539" s="323" t="n"/>
      <c r="K539" s="323" t="n"/>
      <c r="L539" s="323" t="n"/>
      <c r="M539" s="323" t="n"/>
      <c r="N539" s="323" t="n"/>
    </row>
    <row r="540" ht="12.5" customHeight="1" s="189">
      <c r="C540" s="323" t="n"/>
      <c r="D540" s="323" t="n"/>
      <c r="E540" s="323" t="n"/>
      <c r="F540" s="323" t="n"/>
      <c r="G540" s="323" t="n"/>
      <c r="H540" s="323" t="n"/>
      <c r="I540" s="323" t="n"/>
      <c r="J540" s="323" t="n"/>
      <c r="K540" s="323" t="n"/>
      <c r="L540" s="323" t="n"/>
      <c r="M540" s="323" t="n"/>
      <c r="N540" s="323" t="n"/>
    </row>
    <row r="541" ht="12.5" customHeight="1" s="189">
      <c r="C541" s="323" t="n"/>
      <c r="D541" s="323" t="n"/>
      <c r="E541" s="323" t="n"/>
      <c r="F541" s="323" t="n"/>
      <c r="G541" s="323" t="n"/>
      <c r="H541" s="323" t="n"/>
      <c r="I541" s="323" t="n"/>
      <c r="J541" s="323" t="n"/>
      <c r="K541" s="323" t="n"/>
      <c r="L541" s="323" t="n"/>
      <c r="M541" s="323" t="n"/>
      <c r="N541" s="323" t="n"/>
    </row>
    <row r="542" ht="12.5" customHeight="1" s="189">
      <c r="C542" s="323" t="n"/>
      <c r="D542" s="323" t="n"/>
      <c r="E542" s="323" t="n"/>
      <c r="F542" s="323" t="n"/>
      <c r="G542" s="323" t="n"/>
      <c r="H542" s="323" t="n"/>
      <c r="I542" s="323" t="n"/>
      <c r="J542" s="323" t="n"/>
      <c r="K542" s="323" t="n"/>
      <c r="L542" s="323" t="n"/>
      <c r="M542" s="323" t="n"/>
      <c r="N542" s="323" t="n"/>
    </row>
    <row r="543" ht="12.5" customHeight="1" s="189">
      <c r="C543" s="323" t="n"/>
      <c r="D543" s="323" t="n"/>
      <c r="E543" s="323" t="n"/>
      <c r="F543" s="323" t="n"/>
      <c r="G543" s="323" t="n"/>
      <c r="H543" s="323" t="n"/>
      <c r="I543" s="323" t="n"/>
      <c r="J543" s="323" t="n"/>
      <c r="K543" s="323" t="n"/>
      <c r="L543" s="323" t="n"/>
      <c r="M543" s="323" t="n"/>
      <c r="N543" s="323" t="n"/>
    </row>
    <row r="544" ht="12.5" customHeight="1" s="189">
      <c r="C544" s="323" t="n"/>
      <c r="D544" s="323" t="n"/>
      <c r="E544" s="323" t="n"/>
      <c r="F544" s="323" t="n"/>
      <c r="G544" s="323" t="n"/>
      <c r="H544" s="323" t="n"/>
      <c r="I544" s="323" t="n"/>
      <c r="J544" s="323" t="n"/>
      <c r="K544" s="323" t="n"/>
      <c r="L544" s="323" t="n"/>
      <c r="M544" s="323" t="n"/>
      <c r="N544" s="323" t="n"/>
    </row>
    <row r="545" ht="12.5" customHeight="1" s="189">
      <c r="C545" s="323" t="n"/>
      <c r="D545" s="323" t="n"/>
      <c r="E545" s="323" t="n"/>
      <c r="F545" s="323" t="n"/>
      <c r="G545" s="323" t="n"/>
      <c r="H545" s="323" t="n"/>
      <c r="I545" s="323" t="n"/>
      <c r="J545" s="323" t="n"/>
      <c r="K545" s="323" t="n"/>
      <c r="L545" s="323" t="n"/>
      <c r="M545" s="323" t="n"/>
      <c r="N545" s="323" t="n"/>
    </row>
    <row r="546" ht="12.5" customHeight="1" s="189">
      <c r="C546" s="323" t="n"/>
      <c r="D546" s="323" t="n"/>
      <c r="E546" s="323" t="n"/>
      <c r="F546" s="323" t="n"/>
      <c r="G546" s="323" t="n"/>
      <c r="H546" s="323" t="n"/>
      <c r="I546" s="323" t="n"/>
      <c r="J546" s="323" t="n"/>
      <c r="K546" s="323" t="n"/>
      <c r="L546" s="323" t="n"/>
      <c r="M546" s="323" t="n"/>
      <c r="N546" s="323" t="n"/>
    </row>
  </sheetData>
  <mergeCells count="14">
    <mergeCell ref="A4:B4"/>
    <mergeCell ref="A1:N1"/>
    <mergeCell ref="K4:N4"/>
    <mergeCell ref="C2:H2"/>
    <mergeCell ref="A2:B2"/>
    <mergeCell ref="I4:J4"/>
    <mergeCell ref="K3:N3"/>
    <mergeCell ref="I2:J2"/>
    <mergeCell ref="A5:F5"/>
    <mergeCell ref="C4:H4"/>
    <mergeCell ref="K2:N2"/>
    <mergeCell ref="C3:H3"/>
    <mergeCell ref="A3:B3"/>
    <mergeCell ref="I3:J3"/>
  </mergeCells>
  <printOptions horizontalCentered="0" verticalCentered="0" headings="0" gridLines="1"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K1072"/>
  <sheetViews>
    <sheetView showFormulas="0" showGridLines="1" showRowColHeaders="1" showZeros="1" rightToLeft="0" tabSelected="0" showOutlineSymbols="1" defaultGridColor="1" view="normal" topLeftCell="A46" colorId="64" zoomScale="100" zoomScaleNormal="100" zoomScalePageLayoutView="100" workbookViewId="0">
      <selection pane="topLeft" activeCell="K72" activeCellId="0" sqref="K72"/>
    </sheetView>
  </sheetViews>
  <sheetFormatPr baseColWidth="8" defaultColWidth="9.0546875" defaultRowHeight="12.5" zeroHeight="0" outlineLevelRow="0"/>
  <cols>
    <col width="14.99" customWidth="1" style="188" min="1" max="1"/>
    <col width="10.72" customWidth="1" style="188" min="2" max="3"/>
    <col width="10.72" customWidth="1" style="293" min="4" max="4"/>
    <col width="10.72" customWidth="1" style="188" min="5" max="11"/>
  </cols>
  <sheetData>
    <row r="1" ht="15.5" customHeight="1" s="189">
      <c r="A1" s="243" t="inlineStr">
        <is>
          <t>Delphi Exercise</t>
        </is>
      </c>
      <c r="B1" s="213" t="n"/>
      <c r="C1" s="213" t="n"/>
      <c r="D1" s="213" t="n"/>
      <c r="E1" s="213" t="n"/>
      <c r="F1" s="213" t="n"/>
      <c r="G1" s="213" t="n"/>
      <c r="H1" s="213" t="n"/>
      <c r="I1" s="213" t="n"/>
      <c r="J1" s="213" t="n"/>
      <c r="K1" s="214" t="n"/>
    </row>
    <row r="2" ht="13" customHeight="1" s="189">
      <c r="A2" s="266" t="inlineStr">
        <is>
          <t>Project</t>
        </is>
      </c>
      <c r="B2" s="208">
        <f>Data!B1</f>
        <v/>
      </c>
      <c r="C2" s="213" t="n"/>
      <c r="D2" s="213" t="n"/>
      <c r="E2" s="213" t="n"/>
      <c r="F2" s="214" t="n"/>
      <c r="G2" s="266" t="inlineStr">
        <is>
          <t>Project #</t>
        </is>
      </c>
      <c r="H2" s="214" t="n"/>
      <c r="I2" s="208">
        <f>Data!B2</f>
        <v/>
      </c>
      <c r="J2" s="213" t="n"/>
      <c r="K2" s="214" t="n"/>
    </row>
    <row r="3" ht="13" customHeight="1" s="189">
      <c r="A3" s="266" t="inlineStr">
        <is>
          <t>Project manager</t>
        </is>
      </c>
      <c r="B3" s="208">
        <f>Data!B3</f>
        <v/>
      </c>
      <c r="C3" s="213" t="n"/>
      <c r="D3" s="213" t="n"/>
      <c r="E3" s="213" t="n"/>
      <c r="F3" s="214" t="n"/>
      <c r="G3" s="266" t="inlineStr">
        <is>
          <t>Sponsor</t>
        </is>
      </c>
      <c r="H3" s="214" t="n"/>
      <c r="I3" s="208">
        <f>Data!B4</f>
        <v/>
      </c>
      <c r="J3" s="213" t="n"/>
      <c r="K3" s="214" t="n"/>
    </row>
    <row r="4" ht="13" customHeight="1" s="189">
      <c r="A4" s="266" t="inlineStr">
        <is>
          <t>Project artifacts</t>
        </is>
      </c>
      <c r="B4" s="208">
        <f>Data!B5</f>
        <v/>
      </c>
      <c r="C4" s="213" t="n"/>
      <c r="D4" s="213" t="n"/>
      <c r="E4" s="213" t="n"/>
      <c r="F4" s="214" t="n"/>
      <c r="G4" s="266" t="inlineStr">
        <is>
          <t>Updated</t>
        </is>
      </c>
      <c r="H4" s="214" t="n"/>
      <c r="I4" s="208">
        <f>Data!B6</f>
        <v/>
      </c>
      <c r="J4" s="213" t="n"/>
      <c r="K4" s="214" t="n"/>
    </row>
    <row r="5" ht="12.5" customHeight="1" s="189">
      <c r="A5" s="308" t="n"/>
      <c r="B5" s="213" t="n"/>
      <c r="C5" s="213" t="n"/>
      <c r="D5" s="213" t="n"/>
      <c r="E5" s="213" t="n"/>
      <c r="F5" s="213" t="n"/>
      <c r="G5" s="213" t="n"/>
      <c r="H5" s="213" t="n"/>
      <c r="I5" s="213" t="n"/>
      <c r="J5" s="213" t="n"/>
      <c r="K5" s="213" t="n"/>
    </row>
    <row r="6" ht="13" customHeight="1" s="189">
      <c r="A6" s="266" t="inlineStr">
        <is>
          <t>Task</t>
        </is>
      </c>
      <c r="B6" s="217" t="inlineStr">
        <is>
          <t>Sample task here</t>
        </is>
      </c>
      <c r="C6" s="213" t="n"/>
      <c r="D6" s="213" t="n"/>
      <c r="E6" s="213" t="n"/>
      <c r="F6" s="213" t="n"/>
      <c r="G6" s="213" t="n"/>
      <c r="H6" s="213" t="n"/>
      <c r="I6" s="213" t="n"/>
      <c r="J6" s="213" t="n"/>
      <c r="K6" s="214" t="n"/>
    </row>
    <row r="7" ht="13" customHeight="1" s="189">
      <c r="A7" s="266" t="inlineStr">
        <is>
          <t>Team members</t>
        </is>
      </c>
      <c r="B7" s="272" t="inlineStr">
        <is>
          <t>Name 1</t>
        </is>
      </c>
      <c r="C7" s="272" t="inlineStr">
        <is>
          <t>Name 2</t>
        </is>
      </c>
      <c r="D7" s="272" t="inlineStr">
        <is>
          <t>Name 3</t>
        </is>
      </c>
      <c r="E7" s="272" t="inlineStr">
        <is>
          <t>Name 4</t>
        </is>
      </c>
      <c r="F7" s="272" t="inlineStr">
        <is>
          <t>Name 5</t>
        </is>
      </c>
      <c r="G7" s="272" t="inlineStr">
        <is>
          <t>Name 6</t>
        </is>
      </c>
      <c r="H7" s="272" t="inlineStr">
        <is>
          <t>Name 7</t>
        </is>
      </c>
      <c r="I7" s="272" t="inlineStr">
        <is>
          <t>Name 8</t>
        </is>
      </c>
      <c r="J7" s="220" t="inlineStr">
        <is>
          <t>Total</t>
        </is>
      </c>
      <c r="K7" s="220" t="inlineStr">
        <is>
          <t>Average</t>
        </is>
      </c>
    </row>
    <row r="8" ht="13" customHeight="1" s="189">
      <c r="A8" s="266" t="inlineStr">
        <is>
          <t>Most likely</t>
        </is>
      </c>
      <c r="B8" s="272" t="n"/>
      <c r="C8" s="272" t="n"/>
      <c r="D8" s="272" t="n"/>
      <c r="E8" s="272" t="n"/>
      <c r="F8" s="222" t="inlineStr">
        <is>
          <t xml:space="preserve"> </t>
        </is>
      </c>
      <c r="G8" s="272" t="n"/>
      <c r="H8" s="272" t="n"/>
      <c r="I8" s="272" t="n"/>
      <c r="J8" s="314">
        <f>SUM(B8:I8)</f>
        <v/>
      </c>
      <c r="K8" s="314">
        <f>AVERAGE(B8:I8)</f>
        <v/>
      </c>
    </row>
    <row r="9" ht="13" customHeight="1" s="189">
      <c r="A9" s="266" t="inlineStr">
        <is>
          <t>Minimum</t>
        </is>
      </c>
      <c r="B9" s="272" t="n"/>
      <c r="C9" s="272" t="n"/>
      <c r="D9" s="272" t="n"/>
      <c r="E9" s="272" t="n"/>
      <c r="F9" s="222" t="n"/>
      <c r="G9" s="272" t="n"/>
      <c r="H9" s="272" t="n"/>
      <c r="I9" s="272" t="n"/>
      <c r="J9" s="314">
        <f>SUM(B9:I9)</f>
        <v/>
      </c>
      <c r="K9" s="314">
        <f>AVERAGE(B9:I9)</f>
        <v/>
      </c>
    </row>
    <row r="10" ht="13" customHeight="1" s="189">
      <c r="A10" s="266" t="inlineStr">
        <is>
          <t>Maximum</t>
        </is>
      </c>
      <c r="B10" s="272" t="n"/>
      <c r="C10" s="272" t="n"/>
      <c r="D10" s="272" t="n"/>
      <c r="E10" s="272" t="n"/>
      <c r="F10" s="222" t="n"/>
      <c r="G10" s="272" t="n"/>
      <c r="H10" s="272" t="n"/>
      <c r="I10" s="272" t="n"/>
      <c r="J10" s="314">
        <f>SUM(B10:I10)</f>
        <v/>
      </c>
      <c r="K10" s="314">
        <f>AVERAGE(B10:I10)</f>
        <v/>
      </c>
    </row>
    <row r="11" ht="13" customHeight="1" s="189">
      <c r="B11" s="290" t="n"/>
      <c r="C11" s="290" t="n"/>
      <c r="D11" s="291" t="n"/>
      <c r="E11" s="290" t="n"/>
      <c r="F11" s="290" t="n"/>
    </row>
    <row r="12" ht="13" customHeight="1" s="189">
      <c r="A12" s="266" t="inlineStr">
        <is>
          <t>Task</t>
        </is>
      </c>
      <c r="B12" s="217" t="inlineStr">
        <is>
          <t>Sample task here</t>
        </is>
      </c>
      <c r="C12" s="213" t="n"/>
      <c r="D12" s="213" t="n"/>
      <c r="E12" s="213" t="n"/>
      <c r="F12" s="213" t="n"/>
      <c r="G12" s="213" t="n"/>
      <c r="H12" s="213" t="n"/>
      <c r="I12" s="213" t="n"/>
      <c r="J12" s="213" t="n"/>
      <c r="K12" s="214" t="n"/>
    </row>
    <row r="13" ht="13" customHeight="1" s="189">
      <c r="A13" s="266" t="inlineStr">
        <is>
          <t>Team members</t>
        </is>
      </c>
      <c r="B13" s="272" t="inlineStr">
        <is>
          <t>Name 1</t>
        </is>
      </c>
      <c r="C13" s="272" t="inlineStr">
        <is>
          <t>Name 2</t>
        </is>
      </c>
      <c r="D13" s="272" t="inlineStr">
        <is>
          <t>Name 3</t>
        </is>
      </c>
      <c r="E13" s="272" t="inlineStr">
        <is>
          <t>Name 4</t>
        </is>
      </c>
      <c r="F13" s="272" t="inlineStr">
        <is>
          <t>Name 5</t>
        </is>
      </c>
      <c r="G13" s="272" t="inlineStr">
        <is>
          <t>Name 6</t>
        </is>
      </c>
      <c r="H13" s="272" t="inlineStr">
        <is>
          <t>Name 7</t>
        </is>
      </c>
      <c r="I13" s="272" t="inlineStr">
        <is>
          <t>Name 8</t>
        </is>
      </c>
      <c r="J13" s="220" t="inlineStr">
        <is>
          <t>Total</t>
        </is>
      </c>
      <c r="K13" s="220" t="inlineStr">
        <is>
          <t>Average</t>
        </is>
      </c>
    </row>
    <row r="14" ht="13" customHeight="1" s="189">
      <c r="A14" s="266" t="inlineStr">
        <is>
          <t>Most likely</t>
        </is>
      </c>
      <c r="B14" s="272" t="n"/>
      <c r="C14" s="272" t="n"/>
      <c r="D14" s="272" t="n"/>
      <c r="E14" s="272" t="n"/>
      <c r="F14" s="222" t="n"/>
      <c r="G14" s="272" t="n"/>
      <c r="H14" s="272" t="n"/>
      <c r="I14" s="272" t="n"/>
      <c r="J14" s="314">
        <f>SUM(B14:I14)</f>
        <v/>
      </c>
      <c r="K14" s="314">
        <f>AVERAGE(B14:I14)</f>
        <v/>
      </c>
    </row>
    <row r="15" ht="13" customHeight="1" s="189">
      <c r="A15" s="266" t="inlineStr">
        <is>
          <t>Minimum</t>
        </is>
      </c>
      <c r="B15" s="272" t="n"/>
      <c r="C15" s="272" t="n"/>
      <c r="D15" s="272" t="n"/>
      <c r="E15" s="272" t="n"/>
      <c r="F15" s="222" t="n"/>
      <c r="G15" s="272" t="n"/>
      <c r="H15" s="272" t="n"/>
      <c r="I15" s="272" t="n"/>
      <c r="J15" s="314">
        <f>SUM(B15:I15)</f>
        <v/>
      </c>
      <c r="K15" s="314">
        <f>AVERAGE(B15:I15)</f>
        <v/>
      </c>
    </row>
    <row r="16" ht="13" customHeight="1" s="189">
      <c r="A16" s="266" t="inlineStr">
        <is>
          <t>Maximum</t>
        </is>
      </c>
      <c r="B16" s="272" t="n"/>
      <c r="C16" s="272" t="n"/>
      <c r="D16" s="272" t="n"/>
      <c r="E16" s="272" t="n"/>
      <c r="F16" s="222" t="n"/>
      <c r="G16" s="272" t="n"/>
      <c r="H16" s="272" t="n"/>
      <c r="I16" s="272" t="n"/>
      <c r="J16" s="314">
        <f>SUM(B16:I16)</f>
        <v/>
      </c>
      <c r="K16" s="314">
        <f>AVERAGE(B16:I16)</f>
        <v/>
      </c>
    </row>
    <row r="17" ht="12.5" customHeight="1" s="189">
      <c r="A17" s="308" t="n"/>
      <c r="B17" s="213" t="n"/>
      <c r="C17" s="213" t="n"/>
      <c r="D17" s="213" t="n"/>
      <c r="E17" s="213" t="n"/>
      <c r="F17" s="213" t="n"/>
      <c r="G17" s="213" t="n"/>
      <c r="H17" s="213" t="n"/>
      <c r="I17" s="213" t="n"/>
      <c r="J17" s="213" t="n"/>
      <c r="K17" s="213" t="n"/>
    </row>
    <row r="18" ht="13" customHeight="1" s="189">
      <c r="A18" s="266" t="inlineStr">
        <is>
          <t>Task</t>
        </is>
      </c>
      <c r="B18" s="217" t="inlineStr">
        <is>
          <t>Sample task here</t>
        </is>
      </c>
      <c r="C18" s="213" t="n"/>
      <c r="D18" s="213" t="n"/>
      <c r="E18" s="213" t="n"/>
      <c r="F18" s="213" t="n"/>
      <c r="G18" s="213" t="n"/>
      <c r="H18" s="213" t="n"/>
      <c r="I18" s="213" t="n"/>
      <c r="J18" s="213" t="n"/>
      <c r="K18" s="214" t="n"/>
    </row>
    <row r="19" ht="13" customHeight="1" s="189">
      <c r="A19" s="266" t="inlineStr">
        <is>
          <t>Team members</t>
        </is>
      </c>
      <c r="B19" s="272" t="inlineStr">
        <is>
          <t>Name 1</t>
        </is>
      </c>
      <c r="C19" s="272" t="inlineStr">
        <is>
          <t>Name 2</t>
        </is>
      </c>
      <c r="D19" s="272" t="inlineStr">
        <is>
          <t>Name 3</t>
        </is>
      </c>
      <c r="E19" s="272" t="inlineStr">
        <is>
          <t>Name 4</t>
        </is>
      </c>
      <c r="F19" s="272" t="inlineStr">
        <is>
          <t>Name 5</t>
        </is>
      </c>
      <c r="G19" s="272" t="inlineStr">
        <is>
          <t>Name 6</t>
        </is>
      </c>
      <c r="H19" s="272" t="inlineStr">
        <is>
          <t>Name 7</t>
        </is>
      </c>
      <c r="I19" s="272" t="inlineStr">
        <is>
          <t>Name 8</t>
        </is>
      </c>
      <c r="J19" s="220" t="inlineStr">
        <is>
          <t>Total</t>
        </is>
      </c>
      <c r="K19" s="220" t="inlineStr">
        <is>
          <t>Average</t>
        </is>
      </c>
    </row>
    <row r="20" ht="13" customHeight="1" s="189">
      <c r="A20" s="266" t="inlineStr">
        <is>
          <t>Most likely</t>
        </is>
      </c>
      <c r="B20" s="272" t="n"/>
      <c r="C20" s="272" t="n"/>
      <c r="D20" s="272" t="n"/>
      <c r="E20" s="272" t="n"/>
      <c r="F20" s="222" t="n"/>
      <c r="G20" s="272" t="n"/>
      <c r="H20" s="272" t="n"/>
      <c r="I20" s="272" t="n"/>
      <c r="J20" s="314">
        <f>SUM(B20:I20)</f>
        <v/>
      </c>
      <c r="K20" s="314">
        <f>AVERAGE(B20:I20)</f>
        <v/>
      </c>
    </row>
    <row r="21" ht="13" customHeight="1" s="189">
      <c r="A21" s="266" t="inlineStr">
        <is>
          <t>Minimum</t>
        </is>
      </c>
      <c r="B21" s="272" t="n"/>
      <c r="C21" s="272" t="n"/>
      <c r="D21" s="272" t="n"/>
      <c r="E21" s="272" t="n"/>
      <c r="F21" s="222" t="n"/>
      <c r="G21" s="272" t="n"/>
      <c r="H21" s="272" t="n"/>
      <c r="I21" s="272" t="n"/>
      <c r="J21" s="314">
        <f>SUM(B21:I21)</f>
        <v/>
      </c>
      <c r="K21" s="314">
        <f>AVERAGE(B21:I21)</f>
        <v/>
      </c>
    </row>
    <row r="22" ht="13" customHeight="1" s="189">
      <c r="A22" s="266" t="inlineStr">
        <is>
          <t>Maximum</t>
        </is>
      </c>
      <c r="B22" s="272" t="n"/>
      <c r="C22" s="272" t="n"/>
      <c r="D22" s="272" t="n"/>
      <c r="E22" s="272" t="n"/>
      <c r="F22" s="222" t="n"/>
      <c r="G22" s="272" t="n"/>
      <c r="H22" s="272" t="n"/>
      <c r="I22" s="272" t="n"/>
      <c r="J22" s="314">
        <f>SUM(B22:I22)</f>
        <v/>
      </c>
      <c r="K22" s="314">
        <f>AVERAGE(B22:I22)</f>
        <v/>
      </c>
    </row>
    <row r="23" ht="12.5" customHeight="1" s="189">
      <c r="A23" s="308" t="n"/>
      <c r="B23" s="213" t="n"/>
      <c r="C23" s="213" t="n"/>
      <c r="D23" s="213" t="n"/>
      <c r="E23" s="213" t="n"/>
      <c r="F23" s="213" t="n"/>
      <c r="G23" s="213" t="n"/>
      <c r="H23" s="213" t="n"/>
      <c r="I23" s="213" t="n"/>
      <c r="J23" s="213" t="n"/>
      <c r="K23" s="213" t="n"/>
    </row>
    <row r="24" ht="13" customHeight="1" s="189">
      <c r="A24" s="266" t="inlineStr">
        <is>
          <t>Task</t>
        </is>
      </c>
      <c r="B24" s="217" t="inlineStr">
        <is>
          <t>Sample task here</t>
        </is>
      </c>
      <c r="C24" s="213" t="n"/>
      <c r="D24" s="213" t="n"/>
      <c r="E24" s="213" t="n"/>
      <c r="F24" s="213" t="n"/>
      <c r="G24" s="213" t="n"/>
      <c r="H24" s="213" t="n"/>
      <c r="I24" s="213" t="n"/>
      <c r="J24" s="213" t="n"/>
      <c r="K24" s="214" t="n"/>
    </row>
    <row r="25" ht="13" customHeight="1" s="189">
      <c r="A25" s="266" t="inlineStr">
        <is>
          <t>Team members</t>
        </is>
      </c>
      <c r="B25" s="272" t="inlineStr">
        <is>
          <t>Name 1</t>
        </is>
      </c>
      <c r="C25" s="272" t="inlineStr">
        <is>
          <t>Name 2</t>
        </is>
      </c>
      <c r="D25" s="272" t="inlineStr">
        <is>
          <t>Name 3</t>
        </is>
      </c>
      <c r="E25" s="272" t="inlineStr">
        <is>
          <t>Name 4</t>
        </is>
      </c>
      <c r="F25" s="272" t="inlineStr">
        <is>
          <t>Name 5</t>
        </is>
      </c>
      <c r="G25" s="272" t="inlineStr">
        <is>
          <t>Name 6</t>
        </is>
      </c>
      <c r="H25" s="272" t="inlineStr">
        <is>
          <t>Name 7</t>
        </is>
      </c>
      <c r="I25" s="272" t="inlineStr">
        <is>
          <t>Name 8</t>
        </is>
      </c>
      <c r="J25" s="220" t="inlineStr">
        <is>
          <t>Total</t>
        </is>
      </c>
      <c r="K25" s="220" t="inlineStr">
        <is>
          <t>Average</t>
        </is>
      </c>
    </row>
    <row r="26" ht="13" customHeight="1" s="189">
      <c r="A26" s="266" t="inlineStr">
        <is>
          <t>Most likely</t>
        </is>
      </c>
      <c r="B26" s="272" t="n"/>
      <c r="C26" s="272" t="n"/>
      <c r="D26" s="272" t="n"/>
      <c r="E26" s="272" t="n"/>
      <c r="F26" s="222" t="n"/>
      <c r="G26" s="272" t="n"/>
      <c r="H26" s="272" t="n"/>
      <c r="I26" s="272" t="n"/>
      <c r="J26" s="314">
        <f>SUM(B26:I26)</f>
        <v/>
      </c>
      <c r="K26" s="314">
        <f>AVERAGE(B26:I26)</f>
        <v/>
      </c>
    </row>
    <row r="27" ht="13" customHeight="1" s="189">
      <c r="A27" s="266" t="inlineStr">
        <is>
          <t>Minimum</t>
        </is>
      </c>
      <c r="B27" s="272" t="n"/>
      <c r="C27" s="272" t="n"/>
      <c r="D27" s="272" t="n"/>
      <c r="E27" s="272" t="n"/>
      <c r="F27" s="222" t="n"/>
      <c r="G27" s="272" t="n"/>
      <c r="H27" s="272" t="n"/>
      <c r="I27" s="272" t="n"/>
      <c r="J27" s="314">
        <f>SUM(B27:I27)</f>
        <v/>
      </c>
      <c r="K27" s="314">
        <f>AVERAGE(B27:I27)</f>
        <v/>
      </c>
    </row>
    <row r="28" ht="13" customHeight="1" s="189">
      <c r="A28" s="266" t="inlineStr">
        <is>
          <t>Maximum</t>
        </is>
      </c>
      <c r="B28" s="272" t="n"/>
      <c r="C28" s="272" t="n"/>
      <c r="D28" s="272" t="n"/>
      <c r="E28" s="272" t="n"/>
      <c r="F28" s="222" t="n"/>
      <c r="G28" s="272" t="n"/>
      <c r="H28" s="272" t="n"/>
      <c r="I28" s="272" t="n"/>
      <c r="J28" s="314">
        <f>SUM(B28:I28)</f>
        <v/>
      </c>
      <c r="K28" s="314">
        <f>AVERAGE(B28:I28)</f>
        <v/>
      </c>
    </row>
    <row r="29" ht="12.5" customHeight="1" s="189">
      <c r="A29" s="308" t="n"/>
      <c r="B29" s="213" t="n"/>
      <c r="C29" s="213" t="n"/>
      <c r="D29" s="213" t="n"/>
      <c r="E29" s="213" t="n"/>
      <c r="F29" s="213" t="n"/>
      <c r="G29" s="213" t="n"/>
      <c r="H29" s="213" t="n"/>
      <c r="I29" s="213" t="n"/>
      <c r="J29" s="213" t="n"/>
      <c r="K29" s="213" t="n"/>
    </row>
    <row r="30" ht="13" customHeight="1" s="189">
      <c r="A30" s="266" t="inlineStr">
        <is>
          <t>Task</t>
        </is>
      </c>
      <c r="B30" s="217" t="inlineStr">
        <is>
          <t>Sample task here</t>
        </is>
      </c>
      <c r="C30" s="213" t="n"/>
      <c r="D30" s="213" t="n"/>
      <c r="E30" s="213" t="n"/>
      <c r="F30" s="213" t="n"/>
      <c r="G30" s="213" t="n"/>
      <c r="H30" s="213" t="n"/>
      <c r="I30" s="213" t="n"/>
      <c r="J30" s="213" t="n"/>
      <c r="K30" s="214" t="n"/>
    </row>
    <row r="31" ht="13" customHeight="1" s="189">
      <c r="A31" s="266" t="inlineStr">
        <is>
          <t>Team members</t>
        </is>
      </c>
      <c r="B31" s="272" t="inlineStr">
        <is>
          <t>Name 1</t>
        </is>
      </c>
      <c r="C31" s="272" t="inlineStr">
        <is>
          <t>Name 2</t>
        </is>
      </c>
      <c r="D31" s="272" t="inlineStr">
        <is>
          <t>Name 3</t>
        </is>
      </c>
      <c r="E31" s="272" t="inlineStr">
        <is>
          <t>Name 4</t>
        </is>
      </c>
      <c r="F31" s="272" t="inlineStr">
        <is>
          <t>Name 5</t>
        </is>
      </c>
      <c r="G31" s="272" t="inlineStr">
        <is>
          <t>Name 6</t>
        </is>
      </c>
      <c r="H31" s="272" t="inlineStr">
        <is>
          <t>Name 7</t>
        </is>
      </c>
      <c r="I31" s="272" t="inlineStr">
        <is>
          <t>Name 8</t>
        </is>
      </c>
      <c r="J31" s="220" t="inlineStr">
        <is>
          <t>Total</t>
        </is>
      </c>
      <c r="K31" s="220" t="inlineStr">
        <is>
          <t>Average</t>
        </is>
      </c>
    </row>
    <row r="32" ht="13" customHeight="1" s="189">
      <c r="A32" s="266" t="inlineStr">
        <is>
          <t>Most likely</t>
        </is>
      </c>
      <c r="B32" s="272" t="n"/>
      <c r="C32" s="272" t="n"/>
      <c r="D32" s="272" t="n"/>
      <c r="E32" s="272" t="n"/>
      <c r="F32" s="222" t="n"/>
      <c r="G32" s="272" t="n"/>
      <c r="H32" s="272" t="n"/>
      <c r="I32" s="272" t="n"/>
      <c r="J32" s="314">
        <f>SUM(B32:I32)</f>
        <v/>
      </c>
      <c r="K32" s="314">
        <f>AVERAGE(B32:I32)</f>
        <v/>
      </c>
    </row>
    <row r="33" ht="13" customHeight="1" s="189">
      <c r="A33" s="266" t="inlineStr">
        <is>
          <t>Minimum</t>
        </is>
      </c>
      <c r="B33" s="272" t="n"/>
      <c r="C33" s="272" t="n"/>
      <c r="D33" s="272" t="n"/>
      <c r="E33" s="272" t="n"/>
      <c r="F33" s="222" t="n"/>
      <c r="G33" s="272" t="n"/>
      <c r="H33" s="272" t="n"/>
      <c r="I33" s="272" t="n"/>
      <c r="J33" s="314">
        <f>SUM(B33:I33)</f>
        <v/>
      </c>
      <c r="K33" s="314">
        <f>AVERAGE(B33:I33)</f>
        <v/>
      </c>
    </row>
    <row r="34" ht="13" customHeight="1" s="189">
      <c r="A34" s="266" t="inlineStr">
        <is>
          <t>Maximum</t>
        </is>
      </c>
      <c r="B34" s="272" t="n"/>
      <c r="C34" s="272" t="n"/>
      <c r="D34" s="272" t="n"/>
      <c r="E34" s="272" t="n"/>
      <c r="F34" s="222" t="n"/>
      <c r="G34" s="272" t="n"/>
      <c r="H34" s="272" t="n"/>
      <c r="I34" s="272" t="n"/>
      <c r="J34" s="314">
        <f>SUM(B34:I34)</f>
        <v/>
      </c>
      <c r="K34" s="314">
        <f>AVERAGE(B34:I34)</f>
        <v/>
      </c>
    </row>
    <row r="35" ht="12.5" customHeight="1" s="189">
      <c r="A35" s="308" t="n"/>
      <c r="B35" s="213" t="n"/>
      <c r="C35" s="213" t="n"/>
      <c r="D35" s="213" t="n"/>
      <c r="E35" s="213" t="n"/>
      <c r="F35" s="213" t="n"/>
      <c r="G35" s="213" t="n"/>
      <c r="H35" s="213" t="n"/>
      <c r="I35" s="213" t="n"/>
      <c r="J35" s="213" t="n"/>
      <c r="K35" s="213" t="n"/>
    </row>
    <row r="36" ht="13" customHeight="1" s="189">
      <c r="A36" s="266" t="inlineStr">
        <is>
          <t>Task</t>
        </is>
      </c>
      <c r="B36" s="217" t="inlineStr">
        <is>
          <t>Sample task here</t>
        </is>
      </c>
      <c r="C36" s="213" t="n"/>
      <c r="D36" s="213" t="n"/>
      <c r="E36" s="213" t="n"/>
      <c r="F36" s="213" t="n"/>
      <c r="G36" s="213" t="n"/>
      <c r="H36" s="213" t="n"/>
      <c r="I36" s="213" t="n"/>
      <c r="J36" s="213" t="n"/>
      <c r="K36" s="214" t="n"/>
    </row>
    <row r="37" ht="13" customHeight="1" s="189">
      <c r="A37" s="266" t="inlineStr">
        <is>
          <t>Team members</t>
        </is>
      </c>
      <c r="B37" s="272" t="inlineStr">
        <is>
          <t>Name 1</t>
        </is>
      </c>
      <c r="C37" s="272" t="inlineStr">
        <is>
          <t>Name 2</t>
        </is>
      </c>
      <c r="D37" s="272" t="inlineStr">
        <is>
          <t>Name 3</t>
        </is>
      </c>
      <c r="E37" s="272" t="inlineStr">
        <is>
          <t>Name 4</t>
        </is>
      </c>
      <c r="F37" s="272" t="inlineStr">
        <is>
          <t>Name 5</t>
        </is>
      </c>
      <c r="G37" s="272" t="inlineStr">
        <is>
          <t>Name 6</t>
        </is>
      </c>
      <c r="H37" s="272" t="inlineStr">
        <is>
          <t>Name 7</t>
        </is>
      </c>
      <c r="I37" s="272" t="inlineStr">
        <is>
          <t>Name 8</t>
        </is>
      </c>
      <c r="J37" s="220" t="inlineStr">
        <is>
          <t>Total</t>
        </is>
      </c>
      <c r="K37" s="220" t="inlineStr">
        <is>
          <t>Average</t>
        </is>
      </c>
    </row>
    <row r="38" ht="13" customHeight="1" s="189">
      <c r="A38" s="266" t="inlineStr">
        <is>
          <t>Most likely</t>
        </is>
      </c>
      <c r="B38" s="272" t="n"/>
      <c r="C38" s="272" t="n"/>
      <c r="D38" s="272" t="n"/>
      <c r="E38" s="272" t="n"/>
      <c r="F38" s="222" t="n"/>
      <c r="G38" s="272" t="n"/>
      <c r="H38" s="272" t="n"/>
      <c r="I38" s="272" t="n"/>
      <c r="J38" s="314">
        <f>SUM(B38:I38)</f>
        <v/>
      </c>
      <c r="K38" s="314">
        <f>AVERAGE(B38:I38)</f>
        <v/>
      </c>
    </row>
    <row r="39" ht="13" customHeight="1" s="189">
      <c r="A39" s="266" t="inlineStr">
        <is>
          <t>Minimum</t>
        </is>
      </c>
      <c r="B39" s="272" t="n"/>
      <c r="C39" s="272" t="n"/>
      <c r="D39" s="272" t="n"/>
      <c r="E39" s="272" t="n"/>
      <c r="F39" s="222" t="n"/>
      <c r="G39" s="272" t="n"/>
      <c r="H39" s="272" t="n"/>
      <c r="I39" s="272" t="n"/>
      <c r="J39" s="314">
        <f>SUM(B39:I39)</f>
        <v/>
      </c>
      <c r="K39" s="314">
        <f>AVERAGE(B39:I39)</f>
        <v/>
      </c>
    </row>
    <row r="40" ht="13" customHeight="1" s="189">
      <c r="A40" s="266" t="inlineStr">
        <is>
          <t>Maximum</t>
        </is>
      </c>
      <c r="B40" s="272" t="n"/>
      <c r="C40" s="272" t="n"/>
      <c r="D40" s="272" t="n"/>
      <c r="E40" s="272" t="n"/>
      <c r="F40" s="222" t="n"/>
      <c r="G40" s="272" t="n"/>
      <c r="H40" s="272" t="n"/>
      <c r="I40" s="272" t="n"/>
      <c r="J40" s="314">
        <f>SUM(B40:I40)</f>
        <v/>
      </c>
      <c r="K40" s="314">
        <f>AVERAGE(B40:I40)</f>
        <v/>
      </c>
    </row>
    <row r="41" ht="12.5" customHeight="1" s="189">
      <c r="A41" s="308" t="n"/>
      <c r="B41" s="213" t="n"/>
      <c r="C41" s="213" t="n"/>
      <c r="D41" s="213" t="n"/>
      <c r="E41" s="213" t="n"/>
      <c r="F41" s="213" t="n"/>
      <c r="G41" s="213" t="n"/>
      <c r="H41" s="213" t="n"/>
      <c r="I41" s="213" t="n"/>
      <c r="J41" s="213" t="n"/>
      <c r="K41" s="213" t="n"/>
    </row>
    <row r="42" ht="13" customHeight="1" s="189">
      <c r="A42" s="266" t="inlineStr">
        <is>
          <t>Task</t>
        </is>
      </c>
      <c r="B42" s="217" t="inlineStr">
        <is>
          <t>Sample task here</t>
        </is>
      </c>
      <c r="C42" s="213" t="n"/>
      <c r="D42" s="213" t="n"/>
      <c r="E42" s="213" t="n"/>
      <c r="F42" s="213" t="n"/>
      <c r="G42" s="213" t="n"/>
      <c r="H42" s="213" t="n"/>
      <c r="I42" s="213" t="n"/>
      <c r="J42" s="213" t="n"/>
      <c r="K42" s="214" t="n"/>
    </row>
    <row r="43" ht="13" customHeight="1" s="189">
      <c r="A43" s="266" t="inlineStr">
        <is>
          <t>Team members</t>
        </is>
      </c>
      <c r="B43" s="272" t="inlineStr">
        <is>
          <t>Name 1</t>
        </is>
      </c>
      <c r="C43" s="272" t="inlineStr">
        <is>
          <t>Name 2</t>
        </is>
      </c>
      <c r="D43" s="272" t="inlineStr">
        <is>
          <t>Name 3</t>
        </is>
      </c>
      <c r="E43" s="272" t="inlineStr">
        <is>
          <t>Name 4</t>
        </is>
      </c>
      <c r="F43" s="272" t="inlineStr">
        <is>
          <t>Name 5</t>
        </is>
      </c>
      <c r="G43" s="272" t="inlineStr">
        <is>
          <t>Name 6</t>
        </is>
      </c>
      <c r="H43" s="272" t="inlineStr">
        <is>
          <t>Name 7</t>
        </is>
      </c>
      <c r="I43" s="272" t="inlineStr">
        <is>
          <t>Name 8</t>
        </is>
      </c>
      <c r="J43" s="220" t="inlineStr">
        <is>
          <t>Total</t>
        </is>
      </c>
      <c r="K43" s="220" t="inlineStr">
        <is>
          <t>Average</t>
        </is>
      </c>
    </row>
    <row r="44" ht="13" customHeight="1" s="189">
      <c r="A44" s="266" t="inlineStr">
        <is>
          <t>Most likely</t>
        </is>
      </c>
      <c r="B44" s="272" t="n"/>
      <c r="C44" s="272" t="n"/>
      <c r="D44" s="272" t="n"/>
      <c r="E44" s="272" t="n"/>
      <c r="F44" s="222" t="n"/>
      <c r="G44" s="272" t="n"/>
      <c r="H44" s="272" t="n"/>
      <c r="I44" s="272" t="n"/>
      <c r="J44" s="314">
        <f>SUM(B44:I44)</f>
        <v/>
      </c>
      <c r="K44" s="314">
        <f>AVERAGE(B44:I44)</f>
        <v/>
      </c>
    </row>
    <row r="45" ht="13" customHeight="1" s="189">
      <c r="A45" s="266" t="inlineStr">
        <is>
          <t>Minimum</t>
        </is>
      </c>
      <c r="B45" s="272" t="n"/>
      <c r="C45" s="272" t="n"/>
      <c r="D45" s="272" t="n"/>
      <c r="E45" s="272" t="n"/>
      <c r="F45" s="222" t="n"/>
      <c r="G45" s="272" t="n"/>
      <c r="H45" s="272" t="n"/>
      <c r="I45" s="272" t="n"/>
      <c r="J45" s="314">
        <f>SUM(B45:I45)</f>
        <v/>
      </c>
      <c r="K45" s="314">
        <f>AVERAGE(B45:I45)</f>
        <v/>
      </c>
    </row>
    <row r="46" ht="13" customHeight="1" s="189">
      <c r="A46" s="266" t="inlineStr">
        <is>
          <t>Maximum</t>
        </is>
      </c>
      <c r="B46" s="272" t="n"/>
      <c r="C46" s="272" t="n"/>
      <c r="D46" s="272" t="n"/>
      <c r="E46" s="272" t="n"/>
      <c r="F46" s="222" t="n"/>
      <c r="G46" s="272" t="n"/>
      <c r="H46" s="272" t="n"/>
      <c r="I46" s="272" t="n"/>
      <c r="J46" s="314">
        <f>SUM(B46:I46)</f>
        <v/>
      </c>
      <c r="K46" s="314">
        <f>AVERAGE(B46:I46)</f>
        <v/>
      </c>
    </row>
    <row r="47" ht="12.5" customHeight="1" s="189">
      <c r="A47" s="308" t="n"/>
      <c r="B47" s="213" t="n"/>
      <c r="C47" s="213" t="n"/>
      <c r="D47" s="213" t="n"/>
      <c r="E47" s="213" t="n"/>
      <c r="F47" s="213" t="n"/>
      <c r="G47" s="213" t="n"/>
      <c r="H47" s="213" t="n"/>
      <c r="I47" s="213" t="n"/>
      <c r="J47" s="213" t="n"/>
      <c r="K47" s="213" t="n"/>
    </row>
    <row r="48" ht="13" customHeight="1" s="189">
      <c r="A48" s="266" t="inlineStr">
        <is>
          <t>Task</t>
        </is>
      </c>
      <c r="B48" s="217" t="inlineStr">
        <is>
          <t>Sample task here</t>
        </is>
      </c>
      <c r="C48" s="213" t="n"/>
      <c r="D48" s="213" t="n"/>
      <c r="E48" s="213" t="n"/>
      <c r="F48" s="213" t="n"/>
      <c r="G48" s="213" t="n"/>
      <c r="H48" s="213" t="n"/>
      <c r="I48" s="213" t="n"/>
      <c r="J48" s="213" t="n"/>
      <c r="K48" s="214" t="n"/>
    </row>
    <row r="49" ht="13" customHeight="1" s="189">
      <c r="A49" s="266" t="inlineStr">
        <is>
          <t>Team members</t>
        </is>
      </c>
      <c r="B49" s="272" t="inlineStr">
        <is>
          <t>Name 1</t>
        </is>
      </c>
      <c r="C49" s="272" t="inlineStr">
        <is>
          <t>Name 2</t>
        </is>
      </c>
      <c r="D49" s="272" t="inlineStr">
        <is>
          <t>Name 3</t>
        </is>
      </c>
      <c r="E49" s="272" t="inlineStr">
        <is>
          <t>Name 4</t>
        </is>
      </c>
      <c r="F49" s="272" t="inlineStr">
        <is>
          <t>Name 5</t>
        </is>
      </c>
      <c r="G49" s="272" t="inlineStr">
        <is>
          <t>Name 6</t>
        </is>
      </c>
      <c r="H49" s="272" t="inlineStr">
        <is>
          <t>Name 7</t>
        </is>
      </c>
      <c r="I49" s="272" t="inlineStr">
        <is>
          <t>Name 8</t>
        </is>
      </c>
      <c r="J49" s="220" t="inlineStr">
        <is>
          <t>Total</t>
        </is>
      </c>
      <c r="K49" s="220" t="inlineStr">
        <is>
          <t>Average</t>
        </is>
      </c>
    </row>
    <row r="50" ht="13" customHeight="1" s="189">
      <c r="A50" s="266" t="inlineStr">
        <is>
          <t>Most likely</t>
        </is>
      </c>
      <c r="B50" s="272" t="n"/>
      <c r="C50" s="272" t="n"/>
      <c r="D50" s="272" t="n"/>
      <c r="E50" s="272" t="n"/>
      <c r="F50" s="222" t="n"/>
      <c r="G50" s="272" t="n"/>
      <c r="H50" s="272" t="n"/>
      <c r="I50" s="272" t="n"/>
      <c r="J50" s="314">
        <f>SUM(B50:I50)</f>
        <v/>
      </c>
      <c r="K50" s="314">
        <f>AVERAGE(B50:I50)</f>
        <v/>
      </c>
    </row>
    <row r="51" ht="13" customHeight="1" s="189">
      <c r="A51" s="266" t="inlineStr">
        <is>
          <t>Minimum</t>
        </is>
      </c>
      <c r="B51" s="272" t="n"/>
      <c r="C51" s="272" t="n"/>
      <c r="D51" s="272" t="n"/>
      <c r="E51" s="272" t="n"/>
      <c r="F51" s="222" t="n"/>
      <c r="G51" s="272" t="n"/>
      <c r="H51" s="272" t="n"/>
      <c r="I51" s="272" t="n"/>
      <c r="J51" s="314">
        <f>SUM(B51:I51)</f>
        <v/>
      </c>
      <c r="K51" s="314">
        <f>AVERAGE(B51:I51)</f>
        <v/>
      </c>
    </row>
    <row r="52" ht="13" customHeight="1" s="189">
      <c r="A52" s="266" t="inlineStr">
        <is>
          <t>Maximum</t>
        </is>
      </c>
      <c r="B52" s="272" t="n"/>
      <c r="C52" s="272" t="n"/>
      <c r="D52" s="272" t="n"/>
      <c r="E52" s="272" t="n"/>
      <c r="F52" s="222" t="n"/>
      <c r="G52" s="272" t="n"/>
      <c r="H52" s="272" t="n"/>
      <c r="I52" s="272" t="n"/>
      <c r="J52" s="314">
        <f>SUM(B52:I52)</f>
        <v/>
      </c>
      <c r="K52" s="314">
        <f>AVERAGE(B52:I52)</f>
        <v/>
      </c>
    </row>
    <row r="53" ht="12.5" customHeight="1" s="189">
      <c r="A53" s="308" t="n"/>
      <c r="B53" s="213" t="n"/>
      <c r="C53" s="213" t="n"/>
      <c r="D53" s="213" t="n"/>
      <c r="E53" s="213" t="n"/>
      <c r="F53" s="213" t="n"/>
      <c r="G53" s="213" t="n"/>
      <c r="H53" s="213" t="n"/>
      <c r="I53" s="213" t="n"/>
      <c r="J53" s="213" t="n"/>
      <c r="K53" s="213" t="n"/>
    </row>
    <row r="54" ht="13" customHeight="1" s="189">
      <c r="A54" s="266" t="inlineStr">
        <is>
          <t>Task</t>
        </is>
      </c>
      <c r="B54" s="217" t="inlineStr">
        <is>
          <t>Sample task here</t>
        </is>
      </c>
      <c r="C54" s="213" t="n"/>
      <c r="D54" s="213" t="n"/>
      <c r="E54" s="213" t="n"/>
      <c r="F54" s="213" t="n"/>
      <c r="G54" s="213" t="n"/>
      <c r="H54" s="213" t="n"/>
      <c r="I54" s="213" t="n"/>
      <c r="J54" s="213" t="n"/>
      <c r="K54" s="214" t="n"/>
    </row>
    <row r="55" ht="13" customHeight="1" s="189">
      <c r="A55" s="266" t="inlineStr">
        <is>
          <t>Team members</t>
        </is>
      </c>
      <c r="B55" s="272" t="inlineStr">
        <is>
          <t>Name 1</t>
        </is>
      </c>
      <c r="C55" s="272" t="inlineStr">
        <is>
          <t>Name 2</t>
        </is>
      </c>
      <c r="D55" s="272" t="inlineStr">
        <is>
          <t>Name 3</t>
        </is>
      </c>
      <c r="E55" s="272" t="inlineStr">
        <is>
          <t>Name 4</t>
        </is>
      </c>
      <c r="F55" s="272" t="inlineStr">
        <is>
          <t>Name 5</t>
        </is>
      </c>
      <c r="G55" s="272" t="inlineStr">
        <is>
          <t>Name 6</t>
        </is>
      </c>
      <c r="H55" s="272" t="inlineStr">
        <is>
          <t>Name 7</t>
        </is>
      </c>
      <c r="I55" s="272" t="inlineStr">
        <is>
          <t>Name 8</t>
        </is>
      </c>
      <c r="J55" s="220" t="inlineStr">
        <is>
          <t>Total</t>
        </is>
      </c>
      <c r="K55" s="220" t="inlineStr">
        <is>
          <t>Average</t>
        </is>
      </c>
    </row>
    <row r="56" ht="13" customHeight="1" s="189">
      <c r="A56" s="266" t="inlineStr">
        <is>
          <t>Most likely</t>
        </is>
      </c>
      <c r="B56" s="272" t="n"/>
      <c r="C56" s="272" t="n"/>
      <c r="D56" s="272" t="n"/>
      <c r="E56" s="272" t="n"/>
      <c r="F56" s="222" t="n"/>
      <c r="G56" s="272" t="n"/>
      <c r="H56" s="272" t="n"/>
      <c r="I56" s="272" t="n"/>
      <c r="J56" s="314">
        <f>SUM(B56:I56)</f>
        <v/>
      </c>
      <c r="K56" s="314">
        <f>AVERAGE(B56:I56)</f>
        <v/>
      </c>
    </row>
    <row r="57" ht="13" customHeight="1" s="189">
      <c r="A57" s="266" t="inlineStr">
        <is>
          <t>Minimum</t>
        </is>
      </c>
      <c r="B57" s="272" t="n"/>
      <c r="C57" s="272" t="n"/>
      <c r="D57" s="272" t="n"/>
      <c r="E57" s="272" t="n"/>
      <c r="F57" s="222" t="n"/>
      <c r="G57" s="272" t="n"/>
      <c r="H57" s="272" t="n"/>
      <c r="I57" s="272" t="n"/>
      <c r="J57" s="314">
        <f>SUM(B57:I57)</f>
        <v/>
      </c>
      <c r="K57" s="314">
        <f>AVERAGE(B57:I57)</f>
        <v/>
      </c>
    </row>
    <row r="58" ht="13" customHeight="1" s="189">
      <c r="A58" s="266" t="inlineStr">
        <is>
          <t>Maximum</t>
        </is>
      </c>
      <c r="B58" s="272" t="n"/>
      <c r="C58" s="272" t="n"/>
      <c r="D58" s="272" t="n"/>
      <c r="E58" s="272" t="n"/>
      <c r="F58" s="222" t="n"/>
      <c r="G58" s="272" t="n"/>
      <c r="H58" s="272" t="n"/>
      <c r="I58" s="272" t="n"/>
      <c r="J58" s="314">
        <f>SUM(B58:I58)</f>
        <v/>
      </c>
      <c r="K58" s="314">
        <f>AVERAGE(B58:I58)</f>
        <v/>
      </c>
    </row>
    <row r="59" ht="12.5" customHeight="1" s="189">
      <c r="A59" s="308" t="n"/>
      <c r="B59" s="213" t="n"/>
      <c r="C59" s="213" t="n"/>
      <c r="D59" s="213" t="n"/>
      <c r="E59" s="213" t="n"/>
      <c r="F59" s="213" t="n"/>
      <c r="G59" s="213" t="n"/>
      <c r="H59" s="213" t="n"/>
      <c r="I59" s="213" t="n"/>
      <c r="J59" s="213" t="n"/>
      <c r="K59" s="213" t="n"/>
    </row>
    <row r="60" ht="13" customHeight="1" s="189">
      <c r="A60" s="266" t="inlineStr">
        <is>
          <t>Task</t>
        </is>
      </c>
      <c r="B60" s="217" t="inlineStr">
        <is>
          <t>Sample task here</t>
        </is>
      </c>
      <c r="C60" s="213" t="n"/>
      <c r="D60" s="213" t="n"/>
      <c r="E60" s="213" t="n"/>
      <c r="F60" s="213" t="n"/>
      <c r="G60" s="213" t="n"/>
      <c r="H60" s="213" t="n"/>
      <c r="I60" s="213" t="n"/>
      <c r="J60" s="213" t="n"/>
      <c r="K60" s="214" t="n"/>
    </row>
    <row r="61" ht="13" customHeight="1" s="189">
      <c r="A61" s="266" t="inlineStr">
        <is>
          <t>Team members</t>
        </is>
      </c>
      <c r="B61" s="272" t="inlineStr">
        <is>
          <t>Name 1</t>
        </is>
      </c>
      <c r="C61" s="272" t="inlineStr">
        <is>
          <t>Name 2</t>
        </is>
      </c>
      <c r="D61" s="272" t="inlineStr">
        <is>
          <t>Name 3</t>
        </is>
      </c>
      <c r="E61" s="272" t="inlineStr">
        <is>
          <t>Name 4</t>
        </is>
      </c>
      <c r="F61" s="272" t="inlineStr">
        <is>
          <t>Name 5</t>
        </is>
      </c>
      <c r="G61" s="272" t="inlineStr">
        <is>
          <t>Name 6</t>
        </is>
      </c>
      <c r="H61" s="272" t="inlineStr">
        <is>
          <t>Name 7</t>
        </is>
      </c>
      <c r="I61" s="272" t="inlineStr">
        <is>
          <t>Name 8</t>
        </is>
      </c>
      <c r="J61" s="220" t="inlineStr">
        <is>
          <t>Total</t>
        </is>
      </c>
      <c r="K61" s="220" t="inlineStr">
        <is>
          <t>Average</t>
        </is>
      </c>
    </row>
    <row r="62" ht="13" customHeight="1" s="189">
      <c r="A62" s="266" t="inlineStr">
        <is>
          <t>Most likely</t>
        </is>
      </c>
      <c r="B62" s="272" t="n"/>
      <c r="C62" s="272" t="n"/>
      <c r="D62" s="272" t="n"/>
      <c r="E62" s="272" t="n"/>
      <c r="F62" s="222" t="n"/>
      <c r="G62" s="272" t="n"/>
      <c r="H62" s="272" t="n"/>
      <c r="I62" s="272" t="n"/>
      <c r="J62" s="314">
        <f>SUM(B62:I62)</f>
        <v/>
      </c>
      <c r="K62" s="314">
        <f>AVERAGE(B62:I62)</f>
        <v/>
      </c>
    </row>
    <row r="63" ht="13" customHeight="1" s="189">
      <c r="A63" s="266" t="inlineStr">
        <is>
          <t>Minimum</t>
        </is>
      </c>
      <c r="B63" s="272" t="n"/>
      <c r="C63" s="272" t="n"/>
      <c r="D63" s="272" t="n"/>
      <c r="E63" s="272" t="n"/>
      <c r="F63" s="222" t="n"/>
      <c r="G63" s="272" t="n"/>
      <c r="H63" s="272" t="n"/>
      <c r="I63" s="272" t="n"/>
      <c r="J63" s="314">
        <f>SUM(B63:I63)</f>
        <v/>
      </c>
      <c r="K63" s="314">
        <f>AVERAGE(B63:I63)</f>
        <v/>
      </c>
    </row>
    <row r="64" ht="13" customHeight="1" s="189">
      <c r="A64" s="266" t="inlineStr">
        <is>
          <t>Maximum</t>
        </is>
      </c>
      <c r="B64" s="272" t="n"/>
      <c r="C64" s="272" t="n"/>
      <c r="D64" s="272" t="n"/>
      <c r="E64" s="272" t="n"/>
      <c r="F64" s="222" t="n"/>
      <c r="G64" s="272" t="n"/>
      <c r="H64" s="272" t="n"/>
      <c r="I64" s="272" t="n"/>
      <c r="J64" s="314">
        <f>SUM(B64:I64)</f>
        <v/>
      </c>
      <c r="K64" s="314">
        <f>AVERAGE(B64:I64)</f>
        <v/>
      </c>
    </row>
    <row r="65" ht="12.5" customHeight="1" s="189">
      <c r="A65" s="308" t="n"/>
      <c r="B65" s="213" t="n"/>
      <c r="C65" s="213" t="n"/>
      <c r="D65" s="213" t="n"/>
      <c r="E65" s="213" t="n"/>
      <c r="F65" s="213" t="n"/>
      <c r="G65" s="213" t="n"/>
      <c r="H65" s="213" t="n"/>
      <c r="I65" s="213" t="n"/>
      <c r="J65" s="213" t="n"/>
      <c r="K65" s="213" t="n"/>
    </row>
    <row r="66" ht="13" customHeight="1" s="189">
      <c r="A66" s="266" t="inlineStr">
        <is>
          <t>Task</t>
        </is>
      </c>
      <c r="B66" s="217" t="inlineStr">
        <is>
          <t>Sample task here</t>
        </is>
      </c>
      <c r="C66" s="213" t="n"/>
      <c r="D66" s="213" t="n"/>
      <c r="E66" s="213" t="n"/>
      <c r="F66" s="213" t="n"/>
      <c r="G66" s="213" t="n"/>
      <c r="H66" s="213" t="n"/>
      <c r="I66" s="213" t="n"/>
      <c r="J66" s="213" t="n"/>
      <c r="K66" s="214" t="n"/>
    </row>
    <row r="67" ht="13" customHeight="1" s="189">
      <c r="A67" s="266" t="inlineStr">
        <is>
          <t>Team members</t>
        </is>
      </c>
      <c r="B67" s="272" t="inlineStr">
        <is>
          <t>Name 1</t>
        </is>
      </c>
      <c r="C67" s="272" t="inlineStr">
        <is>
          <t>Name 2</t>
        </is>
      </c>
      <c r="D67" s="272" t="inlineStr">
        <is>
          <t>Name 3</t>
        </is>
      </c>
      <c r="E67" s="272" t="inlineStr">
        <is>
          <t>Name 4</t>
        </is>
      </c>
      <c r="F67" s="272" t="inlineStr">
        <is>
          <t>Name 5</t>
        </is>
      </c>
      <c r="G67" s="272" t="inlineStr">
        <is>
          <t>Name 6</t>
        </is>
      </c>
      <c r="H67" s="272" t="inlineStr">
        <is>
          <t>Name 7</t>
        </is>
      </c>
      <c r="I67" s="272" t="inlineStr">
        <is>
          <t>Name 8</t>
        </is>
      </c>
      <c r="J67" s="220" t="inlineStr">
        <is>
          <t>Total</t>
        </is>
      </c>
      <c r="K67" s="220" t="inlineStr">
        <is>
          <t>Average</t>
        </is>
      </c>
    </row>
    <row r="68" ht="13" customHeight="1" s="189">
      <c r="A68" s="266" t="inlineStr">
        <is>
          <t>Most likely</t>
        </is>
      </c>
      <c r="B68" s="272" t="n"/>
      <c r="C68" s="272" t="n"/>
      <c r="D68" s="272" t="n"/>
      <c r="E68" s="272" t="n"/>
      <c r="F68" s="222" t="n"/>
      <c r="G68" s="272" t="n"/>
      <c r="H68" s="272" t="n"/>
      <c r="I68" s="272" t="n"/>
      <c r="J68" s="314">
        <f>SUM(B68:I68)</f>
        <v/>
      </c>
      <c r="K68" s="314">
        <f>AVERAGE(B68:I68)</f>
        <v/>
      </c>
    </row>
    <row r="69" ht="13" customHeight="1" s="189">
      <c r="A69" s="266" t="inlineStr">
        <is>
          <t>Minimum</t>
        </is>
      </c>
      <c r="B69" s="272" t="n"/>
      <c r="C69" s="272" t="n"/>
      <c r="D69" s="272" t="n"/>
      <c r="E69" s="272" t="n"/>
      <c r="F69" s="222" t="n"/>
      <c r="G69" s="272" t="n"/>
      <c r="H69" s="272" t="n"/>
      <c r="I69" s="272" t="n"/>
      <c r="J69" s="314">
        <f>SUM(B69:I69)</f>
        <v/>
      </c>
      <c r="K69" s="314">
        <f>AVERAGE(B69:I69)</f>
        <v/>
      </c>
    </row>
    <row r="70" ht="13" customHeight="1" s="189">
      <c r="A70" s="266" t="inlineStr">
        <is>
          <t>Maximum</t>
        </is>
      </c>
      <c r="B70" s="272" t="n"/>
      <c r="C70" s="272" t="n"/>
      <c r="D70" s="272" t="n"/>
      <c r="E70" s="272" t="n"/>
      <c r="F70" s="222" t="n"/>
      <c r="G70" s="272" t="n"/>
      <c r="H70" s="272" t="n"/>
      <c r="I70" s="272" t="n"/>
      <c r="J70" s="314">
        <f>SUM(B70:I70)</f>
        <v/>
      </c>
      <c r="K70" s="314">
        <f>AVERAGE(B70:I70)</f>
        <v/>
      </c>
    </row>
    <row r="71" ht="13" customHeight="1" s="189">
      <c r="B71" s="290" t="n"/>
      <c r="C71" s="290" t="n"/>
      <c r="D71" s="291" t="n"/>
      <c r="E71" s="290" t="n"/>
      <c r="F71" s="290" t="n"/>
    </row>
    <row r="72" ht="13" customHeight="1" s="189">
      <c r="B72" s="290" t="n"/>
      <c r="C72" s="290" t="n"/>
      <c r="D72" s="291" t="n"/>
      <c r="E72" s="290" t="n"/>
      <c r="F72" s="290" t="n"/>
      <c r="K72" s="201" t="inlineStr">
        <is>
          <t>© Global Knowledge Training LLC</t>
        </is>
      </c>
    </row>
    <row r="73" ht="13" customHeight="1" s="189">
      <c r="B73" s="290" t="n"/>
      <c r="C73" s="290" t="n"/>
      <c r="D73" s="291" t="n"/>
      <c r="E73" s="290" t="n"/>
      <c r="F73" s="290" t="n"/>
    </row>
    <row r="74" ht="13" customHeight="1" s="189">
      <c r="B74" s="290" t="n"/>
      <c r="C74" s="290" t="n"/>
      <c r="D74" s="291" t="n"/>
      <c r="E74" s="290" t="n"/>
      <c r="F74" s="290" t="n"/>
    </row>
    <row r="75" ht="13" customHeight="1" s="189">
      <c r="B75" s="290" t="n"/>
      <c r="C75" s="290" t="n"/>
      <c r="D75" s="291" t="n"/>
      <c r="E75" s="290" t="n"/>
      <c r="F75" s="290" t="n"/>
    </row>
    <row r="76" ht="13" customHeight="1" s="189">
      <c r="B76" s="290" t="n"/>
      <c r="C76" s="290" t="n"/>
      <c r="D76" s="291" t="n"/>
      <c r="E76" s="290" t="n"/>
      <c r="F76" s="290" t="n"/>
    </row>
    <row r="77" ht="13" customHeight="1" s="189">
      <c r="B77" s="290" t="n"/>
      <c r="C77" s="290" t="n"/>
      <c r="D77" s="291" t="n"/>
      <c r="E77" s="290" t="n"/>
      <c r="F77" s="290" t="n"/>
    </row>
    <row r="78" ht="13" customHeight="1" s="189">
      <c r="B78" s="290" t="n"/>
      <c r="C78" s="290" t="n"/>
      <c r="D78" s="291" t="n"/>
      <c r="E78" s="290" t="n"/>
      <c r="F78" s="290" t="n"/>
    </row>
    <row r="79" ht="13" customHeight="1" s="189">
      <c r="B79" s="290" t="n"/>
      <c r="C79" s="290" t="n"/>
      <c r="D79" s="291" t="n"/>
      <c r="E79" s="290" t="n"/>
      <c r="F79" s="290" t="n"/>
    </row>
    <row r="80" ht="13" customHeight="1" s="189">
      <c r="B80" s="290" t="n"/>
      <c r="C80" s="290" t="n"/>
      <c r="D80" s="291" t="n"/>
      <c r="E80" s="290" t="n"/>
      <c r="F80" s="290" t="n"/>
    </row>
    <row r="81" ht="13" customHeight="1" s="189">
      <c r="B81" s="290" t="n"/>
      <c r="C81" s="290" t="n"/>
      <c r="D81" s="291" t="n"/>
      <c r="E81" s="290" t="n"/>
      <c r="F81" s="290" t="n"/>
    </row>
    <row r="82" ht="13" customHeight="1" s="189">
      <c r="B82" s="290" t="n"/>
      <c r="C82" s="290" t="n"/>
      <c r="D82" s="291" t="n"/>
      <c r="E82" s="290" t="n"/>
      <c r="F82" s="290" t="n"/>
    </row>
    <row r="83" ht="13" customHeight="1" s="189">
      <c r="B83" s="290" t="n"/>
      <c r="C83" s="290" t="n"/>
      <c r="D83" s="291" t="n"/>
      <c r="E83" s="290" t="n"/>
      <c r="F83" s="290" t="n"/>
    </row>
    <row r="84" ht="13" customHeight="1" s="189">
      <c r="B84" s="290" t="n"/>
      <c r="C84" s="290" t="n"/>
      <c r="D84" s="291" t="n"/>
      <c r="E84" s="290" t="n"/>
      <c r="F84" s="290" t="n"/>
    </row>
    <row r="85" ht="13" customHeight="1" s="189">
      <c r="B85" s="290" t="n"/>
      <c r="C85" s="290" t="n"/>
      <c r="D85" s="291" t="n"/>
      <c r="E85" s="290" t="n"/>
      <c r="F85" s="290" t="n"/>
    </row>
    <row r="86" ht="13" customHeight="1" s="189">
      <c r="B86" s="290" t="n"/>
      <c r="C86" s="290" t="n"/>
      <c r="D86" s="291" t="n"/>
      <c r="E86" s="290" t="n"/>
      <c r="F86" s="290" t="n"/>
    </row>
    <row r="87" ht="13" customHeight="1" s="189">
      <c r="B87" s="290" t="n"/>
      <c r="C87" s="290" t="n"/>
      <c r="D87" s="291" t="n"/>
      <c r="E87" s="290" t="n"/>
      <c r="F87" s="290" t="n"/>
    </row>
    <row r="88" ht="13" customHeight="1" s="189">
      <c r="B88" s="290" t="n"/>
      <c r="C88" s="290" t="n"/>
      <c r="D88" s="291" t="n"/>
      <c r="E88" s="290" t="n"/>
      <c r="F88" s="290" t="n"/>
    </row>
    <row r="89" ht="13" customHeight="1" s="189">
      <c r="B89" s="290" t="n"/>
      <c r="C89" s="290" t="n"/>
      <c r="D89" s="291" t="n"/>
      <c r="E89" s="290" t="n"/>
      <c r="F89" s="290" t="n"/>
    </row>
    <row r="90" ht="13" customHeight="1" s="189">
      <c r="B90" s="290" t="n"/>
      <c r="C90" s="290" t="n"/>
      <c r="D90" s="291" t="n"/>
      <c r="E90" s="290" t="n"/>
      <c r="F90" s="290" t="n"/>
    </row>
    <row r="91" ht="13" customHeight="1" s="189">
      <c r="B91" s="290" t="n"/>
      <c r="C91" s="290" t="n"/>
      <c r="D91" s="291" t="n"/>
      <c r="E91" s="290" t="n"/>
      <c r="F91" s="290" t="n"/>
    </row>
    <row r="92" ht="13" customHeight="1" s="189">
      <c r="B92" s="290" t="n"/>
      <c r="C92" s="290" t="n"/>
      <c r="D92" s="291" t="n"/>
      <c r="E92" s="290" t="n"/>
      <c r="F92" s="290" t="n"/>
    </row>
    <row r="93" ht="13" customHeight="1" s="189">
      <c r="B93" s="290" t="n"/>
      <c r="C93" s="290" t="n"/>
      <c r="D93" s="291" t="n"/>
      <c r="E93" s="290" t="n"/>
      <c r="F93" s="290" t="n"/>
    </row>
    <row r="94" ht="13" customHeight="1" s="189">
      <c r="B94" s="290" t="n"/>
      <c r="C94" s="290" t="n"/>
      <c r="D94" s="291" t="n"/>
      <c r="E94" s="290" t="n"/>
      <c r="F94" s="290" t="n"/>
    </row>
    <row r="95" ht="13" customHeight="1" s="189">
      <c r="B95" s="290" t="n"/>
      <c r="C95" s="290" t="n"/>
      <c r="D95" s="291" t="n"/>
      <c r="E95" s="290" t="n"/>
      <c r="F95" s="290" t="n"/>
    </row>
    <row r="96" ht="13" customHeight="1" s="189">
      <c r="B96" s="290" t="n"/>
      <c r="C96" s="290" t="n"/>
      <c r="D96" s="291" t="n"/>
      <c r="E96" s="290" t="n"/>
      <c r="F96" s="290" t="n"/>
    </row>
    <row r="97" ht="13" customHeight="1" s="189">
      <c r="B97" s="290" t="n"/>
      <c r="C97" s="290" t="n"/>
      <c r="D97" s="291" t="n"/>
      <c r="E97" s="290" t="n"/>
      <c r="F97" s="290" t="n"/>
    </row>
    <row r="98" ht="13" customHeight="1" s="189">
      <c r="B98" s="290" t="n"/>
      <c r="C98" s="290" t="n"/>
      <c r="D98" s="291" t="n"/>
      <c r="E98" s="290" t="n"/>
      <c r="F98" s="290" t="n"/>
    </row>
    <row r="99" ht="13" customHeight="1" s="189">
      <c r="B99" s="290" t="n"/>
      <c r="C99" s="290" t="n"/>
      <c r="D99" s="291" t="n"/>
      <c r="E99" s="290" t="n"/>
      <c r="F99" s="290" t="n"/>
    </row>
    <row r="100" ht="13" customHeight="1" s="189">
      <c r="B100" s="290" t="n"/>
      <c r="C100" s="290" t="n"/>
      <c r="D100" s="291" t="n"/>
      <c r="E100" s="290" t="n"/>
      <c r="F100" s="290" t="n"/>
    </row>
    <row r="101" ht="13" customHeight="1" s="189">
      <c r="B101" s="290" t="n"/>
      <c r="C101" s="290" t="n"/>
      <c r="D101" s="291" t="n"/>
      <c r="E101" s="290" t="n"/>
      <c r="F101" s="290" t="n"/>
    </row>
    <row r="102" ht="13" customHeight="1" s="189">
      <c r="B102" s="290" t="n"/>
      <c r="C102" s="290" t="n"/>
      <c r="D102" s="291" t="n"/>
      <c r="E102" s="290" t="n"/>
      <c r="F102" s="290" t="n"/>
    </row>
    <row r="103" ht="13" customHeight="1" s="189">
      <c r="B103" s="290" t="n"/>
      <c r="C103" s="290" t="n"/>
      <c r="D103" s="291" t="n"/>
      <c r="E103" s="290" t="n"/>
      <c r="F103" s="290" t="n"/>
    </row>
    <row r="104" ht="13" customHeight="1" s="189">
      <c r="B104" s="290" t="n"/>
      <c r="C104" s="290" t="n"/>
      <c r="D104" s="291" t="n"/>
      <c r="E104" s="290" t="n"/>
      <c r="F104" s="290" t="n"/>
    </row>
    <row r="105" ht="13" customHeight="1" s="189">
      <c r="B105" s="290" t="n"/>
      <c r="C105" s="290" t="n"/>
      <c r="D105" s="291" t="n"/>
      <c r="E105" s="290" t="n"/>
      <c r="F105" s="290" t="n"/>
    </row>
    <row r="106" ht="13" customHeight="1" s="189">
      <c r="B106" s="290" t="n"/>
      <c r="C106" s="290" t="n"/>
      <c r="D106" s="291" t="n"/>
      <c r="E106" s="290" t="n"/>
      <c r="F106" s="290" t="n"/>
    </row>
    <row r="107" ht="13" customHeight="1" s="189">
      <c r="B107" s="290" t="n"/>
      <c r="C107" s="290" t="n"/>
      <c r="D107" s="291" t="n"/>
      <c r="E107" s="290" t="n"/>
      <c r="F107" s="290" t="n"/>
    </row>
    <row r="108" ht="13" customHeight="1" s="189">
      <c r="B108" s="290" t="n"/>
      <c r="C108" s="290" t="n"/>
      <c r="D108" s="291" t="n"/>
      <c r="E108" s="290" t="n"/>
      <c r="F108" s="290" t="n"/>
    </row>
    <row r="109" ht="13" customHeight="1" s="189">
      <c r="B109" s="290" t="n"/>
      <c r="C109" s="290" t="n"/>
      <c r="D109" s="291" t="n"/>
      <c r="E109" s="290" t="n"/>
      <c r="F109" s="290" t="n"/>
    </row>
    <row r="110" ht="13" customHeight="1" s="189">
      <c r="B110" s="290" t="n"/>
      <c r="C110" s="290" t="n"/>
      <c r="D110" s="291" t="n"/>
      <c r="E110" s="290" t="n"/>
      <c r="F110" s="290" t="n"/>
    </row>
    <row r="111" ht="13" customHeight="1" s="189">
      <c r="B111" s="290" t="n"/>
      <c r="C111" s="290" t="n"/>
      <c r="D111" s="291" t="n"/>
      <c r="E111" s="290" t="n"/>
      <c r="F111" s="290" t="n"/>
    </row>
    <row r="112" ht="13" customHeight="1" s="189">
      <c r="B112" s="290" t="n"/>
      <c r="C112" s="290" t="n"/>
      <c r="D112" s="291" t="n"/>
      <c r="E112" s="290" t="n"/>
      <c r="F112" s="290" t="n"/>
    </row>
    <row r="113" ht="13" customHeight="1" s="189">
      <c r="B113" s="290" t="n"/>
      <c r="C113" s="290" t="n"/>
      <c r="D113" s="291" t="n"/>
      <c r="E113" s="290" t="n"/>
      <c r="F113" s="290" t="n"/>
    </row>
    <row r="114" ht="13" customHeight="1" s="189">
      <c r="B114" s="290" t="n"/>
      <c r="C114" s="290" t="n"/>
      <c r="D114" s="291" t="n"/>
      <c r="E114" s="290" t="n"/>
      <c r="F114" s="290" t="n"/>
    </row>
    <row r="115" ht="13" customHeight="1" s="189">
      <c r="B115" s="290" t="n"/>
      <c r="C115" s="290" t="n"/>
      <c r="D115" s="291" t="n"/>
      <c r="E115" s="290" t="n"/>
      <c r="F115" s="290" t="n"/>
    </row>
    <row r="116" ht="13" customHeight="1" s="189">
      <c r="B116" s="290" t="n"/>
      <c r="C116" s="290" t="n"/>
      <c r="D116" s="291" t="n"/>
      <c r="E116" s="290" t="n"/>
      <c r="F116" s="290" t="n"/>
    </row>
    <row r="117" ht="13" customHeight="1" s="189">
      <c r="B117" s="290" t="n"/>
      <c r="C117" s="290" t="n"/>
      <c r="D117" s="291" t="n"/>
      <c r="E117" s="290" t="n"/>
      <c r="F117" s="290" t="n"/>
    </row>
    <row r="118" ht="13" customHeight="1" s="189">
      <c r="B118" s="290" t="n"/>
      <c r="C118" s="290" t="n"/>
      <c r="D118" s="291" t="n"/>
      <c r="E118" s="290" t="n"/>
      <c r="F118" s="290" t="n"/>
    </row>
    <row r="119" ht="13" customHeight="1" s="189">
      <c r="B119" s="290" t="n"/>
      <c r="C119" s="290" t="n"/>
      <c r="D119" s="291" t="n"/>
      <c r="E119" s="290" t="n"/>
      <c r="F119" s="290" t="n"/>
    </row>
    <row r="120" ht="13" customHeight="1" s="189">
      <c r="B120" s="290" t="n"/>
      <c r="C120" s="290" t="n"/>
      <c r="D120" s="291" t="n"/>
      <c r="E120" s="290" t="n"/>
      <c r="F120" s="290" t="n"/>
    </row>
    <row r="121" ht="13" customHeight="1" s="189">
      <c r="B121" s="290" t="n"/>
      <c r="C121" s="290" t="n"/>
      <c r="D121" s="291" t="n"/>
      <c r="E121" s="290" t="n"/>
      <c r="F121" s="290" t="n"/>
    </row>
    <row r="122" ht="13" customHeight="1" s="189">
      <c r="B122" s="290" t="n"/>
      <c r="C122" s="290" t="n"/>
      <c r="D122" s="291" t="n"/>
      <c r="E122" s="290" t="n"/>
      <c r="F122" s="290" t="n"/>
    </row>
    <row r="123" ht="13" customHeight="1" s="189">
      <c r="B123" s="290" t="n"/>
      <c r="C123" s="290" t="n"/>
      <c r="D123" s="291" t="n"/>
      <c r="E123" s="290" t="n"/>
      <c r="F123" s="290" t="n"/>
    </row>
    <row r="124" ht="13" customHeight="1" s="189">
      <c r="B124" s="290" t="n"/>
      <c r="C124" s="290" t="n"/>
      <c r="D124" s="291" t="n"/>
      <c r="E124" s="290" t="n"/>
      <c r="F124" s="290" t="n"/>
    </row>
    <row r="125" ht="13" customHeight="1" s="189">
      <c r="B125" s="290" t="n"/>
      <c r="C125" s="290" t="n"/>
      <c r="D125" s="291" t="n"/>
      <c r="E125" s="290" t="n"/>
      <c r="F125" s="290" t="n"/>
    </row>
    <row r="126" ht="13" customHeight="1" s="189">
      <c r="B126" s="290" t="n"/>
      <c r="C126" s="290" t="n"/>
      <c r="D126" s="291" t="n"/>
      <c r="E126" s="290" t="n"/>
      <c r="F126" s="290" t="n"/>
    </row>
    <row r="127" ht="13" customHeight="1" s="189">
      <c r="B127" s="290" t="n"/>
      <c r="C127" s="290" t="n"/>
      <c r="D127" s="291" t="n"/>
      <c r="E127" s="290" t="n"/>
      <c r="F127" s="290" t="n"/>
    </row>
    <row r="128" ht="13" customHeight="1" s="189">
      <c r="B128" s="290" t="n"/>
      <c r="C128" s="290" t="n"/>
      <c r="D128" s="291" t="n"/>
      <c r="E128" s="290" t="n"/>
      <c r="F128" s="290" t="n"/>
    </row>
    <row r="129" ht="13" customHeight="1" s="189">
      <c r="B129" s="290" t="n"/>
      <c r="C129" s="290" t="n"/>
      <c r="D129" s="291" t="n"/>
      <c r="E129" s="290" t="n"/>
      <c r="F129" s="290" t="n"/>
    </row>
    <row r="130" ht="13" customHeight="1" s="189">
      <c r="B130" s="290" t="n"/>
      <c r="C130" s="290" t="n"/>
      <c r="D130" s="291" t="n"/>
      <c r="E130" s="290" t="n"/>
      <c r="F130" s="290" t="n"/>
    </row>
    <row r="131" ht="13" customHeight="1" s="189">
      <c r="B131" s="290" t="n"/>
      <c r="C131" s="290" t="n"/>
      <c r="D131" s="291" t="n"/>
      <c r="E131" s="290" t="n"/>
      <c r="F131" s="290" t="n"/>
    </row>
    <row r="132" ht="13" customHeight="1" s="189">
      <c r="B132" s="290" t="n"/>
      <c r="C132" s="290" t="n"/>
      <c r="D132" s="291" t="n"/>
      <c r="E132" s="290" t="n"/>
      <c r="F132" s="290" t="n"/>
    </row>
    <row r="133" ht="13" customHeight="1" s="189">
      <c r="B133" s="290" t="n"/>
      <c r="C133" s="290" t="n"/>
      <c r="D133" s="291" t="n"/>
      <c r="E133" s="290" t="n"/>
      <c r="F133" s="290" t="n"/>
    </row>
    <row r="134" ht="13" customHeight="1" s="189">
      <c r="B134" s="290" t="n"/>
      <c r="C134" s="290" t="n"/>
      <c r="D134" s="291" t="n"/>
      <c r="E134" s="290" t="n"/>
      <c r="F134" s="290" t="n"/>
    </row>
    <row r="135" ht="13" customHeight="1" s="189">
      <c r="B135" s="290" t="n"/>
      <c r="C135" s="290" t="n"/>
      <c r="D135" s="291" t="n"/>
      <c r="E135" s="290" t="n"/>
      <c r="F135" s="290" t="n"/>
    </row>
    <row r="136" ht="13" customHeight="1" s="189">
      <c r="B136" s="290" t="n"/>
      <c r="C136" s="290" t="n"/>
      <c r="D136" s="291" t="n"/>
      <c r="E136" s="290" t="n"/>
      <c r="F136" s="290" t="n"/>
    </row>
    <row r="137" ht="13" customHeight="1" s="189">
      <c r="B137" s="290" t="n"/>
      <c r="C137" s="290" t="n"/>
      <c r="D137" s="291" t="n"/>
      <c r="E137" s="290" t="n"/>
      <c r="F137" s="290" t="n"/>
    </row>
    <row r="138" ht="13" customHeight="1" s="189">
      <c r="B138" s="290" t="n"/>
      <c r="C138" s="290" t="n"/>
      <c r="D138" s="291" t="n"/>
      <c r="E138" s="290" t="n"/>
      <c r="F138" s="290" t="n"/>
    </row>
    <row r="139" ht="13" customHeight="1" s="189">
      <c r="B139" s="290" t="n"/>
      <c r="C139" s="290" t="n"/>
      <c r="D139" s="291" t="n"/>
      <c r="E139" s="290" t="n"/>
      <c r="F139" s="290" t="n"/>
    </row>
    <row r="140" ht="13" customHeight="1" s="189">
      <c r="B140" s="290" t="n"/>
      <c r="C140" s="290" t="n"/>
      <c r="D140" s="291" t="n"/>
      <c r="E140" s="290" t="n"/>
      <c r="F140" s="290" t="n"/>
    </row>
    <row r="141" ht="13" customHeight="1" s="189">
      <c r="B141" s="290" t="n"/>
      <c r="C141" s="290" t="n"/>
      <c r="D141" s="291" t="n"/>
      <c r="E141" s="290" t="n"/>
      <c r="F141" s="290" t="n"/>
    </row>
    <row r="142" ht="13" customHeight="1" s="189">
      <c r="B142" s="290" t="n"/>
      <c r="C142" s="290" t="n"/>
      <c r="D142" s="291" t="n"/>
      <c r="E142" s="290" t="n"/>
      <c r="F142" s="290" t="n"/>
    </row>
    <row r="143" ht="13" customHeight="1" s="189">
      <c r="B143" s="290" t="n"/>
      <c r="C143" s="290" t="n"/>
      <c r="D143" s="291" t="n"/>
      <c r="E143" s="290" t="n"/>
      <c r="F143" s="290" t="n"/>
    </row>
    <row r="144" ht="13" customHeight="1" s="189">
      <c r="B144" s="290" t="n"/>
      <c r="C144" s="290" t="n"/>
      <c r="D144" s="291" t="n"/>
      <c r="E144" s="290" t="n"/>
      <c r="F144" s="290" t="n"/>
    </row>
    <row r="145" ht="13" customHeight="1" s="189">
      <c r="B145" s="290" t="n"/>
      <c r="C145" s="290" t="n"/>
      <c r="D145" s="291" t="n"/>
      <c r="E145" s="290" t="n"/>
      <c r="F145" s="290" t="n"/>
    </row>
    <row r="146" ht="13" customHeight="1" s="189">
      <c r="B146" s="290" t="n"/>
      <c r="C146" s="290" t="n"/>
      <c r="D146" s="291" t="n"/>
      <c r="E146" s="290" t="n"/>
      <c r="F146" s="290" t="n"/>
    </row>
    <row r="147" ht="13" customHeight="1" s="189">
      <c r="B147" s="290" t="n"/>
      <c r="C147" s="290" t="n"/>
      <c r="D147" s="291" t="n"/>
      <c r="E147" s="290" t="n"/>
      <c r="F147" s="290" t="n"/>
    </row>
    <row r="148" ht="13" customHeight="1" s="189">
      <c r="B148" s="290" t="n"/>
      <c r="C148" s="290" t="n"/>
      <c r="D148" s="291" t="n"/>
      <c r="E148" s="290" t="n"/>
      <c r="F148" s="290" t="n"/>
    </row>
    <row r="149" ht="13" customHeight="1" s="189">
      <c r="B149" s="290" t="n"/>
      <c r="C149" s="290" t="n"/>
      <c r="D149" s="291" t="n"/>
      <c r="E149" s="290" t="n"/>
      <c r="F149" s="290" t="n"/>
    </row>
    <row r="150" ht="13" customHeight="1" s="189">
      <c r="B150" s="290" t="n"/>
      <c r="C150" s="290" t="n"/>
      <c r="D150" s="291" t="n"/>
      <c r="E150" s="290" t="n"/>
      <c r="F150" s="290" t="n"/>
    </row>
    <row r="151" ht="13" customHeight="1" s="189">
      <c r="B151" s="290" t="n"/>
      <c r="C151" s="290" t="n"/>
      <c r="D151" s="291" t="n"/>
      <c r="E151" s="290" t="n"/>
      <c r="F151" s="290" t="n"/>
    </row>
    <row r="152" ht="13" customHeight="1" s="189">
      <c r="B152" s="290" t="n"/>
      <c r="C152" s="290" t="n"/>
      <c r="D152" s="291" t="n"/>
      <c r="E152" s="290" t="n"/>
      <c r="F152" s="290" t="n"/>
    </row>
    <row r="153" ht="13" customHeight="1" s="189">
      <c r="B153" s="290" t="n"/>
      <c r="C153" s="290" t="n"/>
      <c r="D153" s="291" t="n"/>
      <c r="E153" s="290" t="n"/>
      <c r="F153" s="290" t="n"/>
    </row>
    <row r="154" ht="13" customHeight="1" s="189">
      <c r="B154" s="290" t="n"/>
      <c r="C154" s="290" t="n"/>
      <c r="D154" s="291" t="n"/>
      <c r="E154" s="290" t="n"/>
      <c r="F154" s="290" t="n"/>
    </row>
    <row r="155" ht="13" customHeight="1" s="189">
      <c r="B155" s="290" t="n"/>
      <c r="C155" s="290" t="n"/>
      <c r="D155" s="291" t="n"/>
      <c r="E155" s="290" t="n"/>
      <c r="F155" s="290" t="n"/>
    </row>
    <row r="156" ht="13" customHeight="1" s="189">
      <c r="B156" s="290" t="n"/>
      <c r="C156" s="290" t="n"/>
      <c r="D156" s="291" t="n"/>
      <c r="E156" s="290" t="n"/>
      <c r="F156" s="290" t="n"/>
    </row>
    <row r="157" ht="13" customHeight="1" s="189">
      <c r="B157" s="290" t="n"/>
      <c r="C157" s="290" t="n"/>
      <c r="D157" s="291" t="n"/>
      <c r="E157" s="290" t="n"/>
      <c r="F157" s="290" t="n"/>
    </row>
    <row r="158" ht="13" customHeight="1" s="189">
      <c r="B158" s="290" t="n"/>
      <c r="C158" s="290" t="n"/>
      <c r="D158" s="291" t="n"/>
      <c r="E158" s="290" t="n"/>
      <c r="F158" s="290" t="n"/>
    </row>
    <row r="159" ht="13" customHeight="1" s="189">
      <c r="B159" s="290" t="n"/>
      <c r="C159" s="290" t="n"/>
      <c r="D159" s="291" t="n"/>
      <c r="E159" s="290" t="n"/>
      <c r="F159" s="290" t="n"/>
    </row>
    <row r="160" ht="13" customHeight="1" s="189">
      <c r="B160" s="290" t="n"/>
      <c r="C160" s="290" t="n"/>
      <c r="D160" s="291" t="n"/>
      <c r="E160" s="290" t="n"/>
      <c r="F160" s="290" t="n"/>
    </row>
    <row r="161" ht="13" customHeight="1" s="189">
      <c r="B161" s="290" t="n"/>
      <c r="C161" s="290" t="n"/>
      <c r="D161" s="291" t="n"/>
      <c r="E161" s="290" t="n"/>
      <c r="F161" s="290" t="n"/>
    </row>
    <row r="162" ht="13" customHeight="1" s="189">
      <c r="B162" s="290" t="n"/>
      <c r="C162" s="290" t="n"/>
      <c r="D162" s="291" t="n"/>
      <c r="E162" s="290" t="n"/>
      <c r="F162" s="290" t="n"/>
    </row>
    <row r="163" ht="13" customHeight="1" s="189">
      <c r="B163" s="290" t="n"/>
      <c r="C163" s="290" t="n"/>
      <c r="D163" s="291" t="n"/>
      <c r="E163" s="290" t="n"/>
      <c r="F163" s="290" t="n"/>
    </row>
    <row r="164" ht="13" customHeight="1" s="189">
      <c r="B164" s="290" t="n"/>
      <c r="C164" s="290" t="n"/>
      <c r="D164" s="291" t="n"/>
      <c r="E164" s="290" t="n"/>
      <c r="F164" s="290" t="n"/>
    </row>
    <row r="165" ht="13" customHeight="1" s="189">
      <c r="B165" s="290" t="n"/>
      <c r="C165" s="290" t="n"/>
      <c r="D165" s="291" t="n"/>
      <c r="E165" s="290" t="n"/>
      <c r="F165" s="290" t="n"/>
    </row>
    <row r="166" ht="13" customHeight="1" s="189">
      <c r="B166" s="290" t="n"/>
      <c r="C166" s="290" t="n"/>
      <c r="D166" s="291" t="n"/>
      <c r="E166" s="290" t="n"/>
      <c r="F166" s="290" t="n"/>
    </row>
    <row r="167" ht="13" customHeight="1" s="189">
      <c r="B167" s="290" t="n"/>
      <c r="C167" s="290" t="n"/>
      <c r="D167" s="291" t="n"/>
      <c r="E167" s="290" t="n"/>
      <c r="F167" s="290" t="n"/>
    </row>
    <row r="168" ht="13" customHeight="1" s="189">
      <c r="B168" s="290" t="n"/>
      <c r="C168" s="290" t="n"/>
      <c r="D168" s="291" t="n"/>
      <c r="E168" s="290" t="n"/>
      <c r="F168" s="290" t="n"/>
    </row>
    <row r="169" ht="13" customHeight="1" s="189">
      <c r="B169" s="290" t="n"/>
      <c r="C169" s="290" t="n"/>
      <c r="D169" s="291" t="n"/>
      <c r="E169" s="290" t="n"/>
      <c r="F169" s="290" t="n"/>
    </row>
    <row r="170" ht="13" customHeight="1" s="189">
      <c r="B170" s="290" t="n"/>
      <c r="C170" s="290" t="n"/>
      <c r="D170" s="291" t="n"/>
      <c r="E170" s="290" t="n"/>
      <c r="F170" s="290" t="n"/>
    </row>
    <row r="171" ht="13" customHeight="1" s="189">
      <c r="B171" s="290" t="n"/>
      <c r="C171" s="290" t="n"/>
      <c r="D171" s="291" t="n"/>
      <c r="E171" s="290" t="n"/>
      <c r="F171" s="290" t="n"/>
    </row>
    <row r="172" ht="13" customHeight="1" s="189">
      <c r="B172" s="290" t="n"/>
      <c r="C172" s="290" t="n"/>
      <c r="D172" s="291" t="n"/>
      <c r="E172" s="290" t="n"/>
      <c r="F172" s="290" t="n"/>
    </row>
    <row r="173" ht="13" customHeight="1" s="189">
      <c r="B173" s="290" t="n"/>
      <c r="C173" s="290" t="n"/>
      <c r="D173" s="291" t="n"/>
      <c r="E173" s="290" t="n"/>
      <c r="F173" s="290" t="n"/>
    </row>
    <row r="174" ht="13" customHeight="1" s="189">
      <c r="B174" s="290" t="n"/>
      <c r="C174" s="290" t="n"/>
      <c r="D174" s="291" t="n"/>
      <c r="E174" s="290" t="n"/>
      <c r="F174" s="290" t="n"/>
    </row>
    <row r="175" ht="13" customHeight="1" s="189">
      <c r="B175" s="290" t="n"/>
      <c r="C175" s="290" t="n"/>
      <c r="D175" s="291" t="n"/>
      <c r="E175" s="290" t="n"/>
      <c r="F175" s="290" t="n"/>
    </row>
    <row r="176" ht="13" customHeight="1" s="189">
      <c r="B176" s="290" t="n"/>
      <c r="C176" s="290" t="n"/>
      <c r="D176" s="291" t="n"/>
      <c r="E176" s="290" t="n"/>
      <c r="F176" s="290" t="n"/>
    </row>
    <row r="177" ht="13" customHeight="1" s="189">
      <c r="B177" s="290" t="n"/>
      <c r="C177" s="290" t="n"/>
      <c r="D177" s="291" t="n"/>
      <c r="E177" s="290" t="n"/>
      <c r="F177" s="290" t="n"/>
    </row>
    <row r="178" ht="13" customHeight="1" s="189">
      <c r="B178" s="290" t="n"/>
      <c r="C178" s="290" t="n"/>
      <c r="D178" s="291" t="n"/>
      <c r="E178" s="290" t="n"/>
      <c r="F178" s="290" t="n"/>
    </row>
    <row r="179" ht="13" customHeight="1" s="189">
      <c r="B179" s="290" t="n"/>
      <c r="C179" s="290" t="n"/>
      <c r="D179" s="291" t="n"/>
      <c r="E179" s="290" t="n"/>
      <c r="F179" s="290" t="n"/>
    </row>
    <row r="180" ht="13" customHeight="1" s="189">
      <c r="B180" s="290" t="n"/>
      <c r="C180" s="290" t="n"/>
      <c r="D180" s="291" t="n"/>
      <c r="E180" s="290" t="n"/>
      <c r="F180" s="290" t="n"/>
    </row>
    <row r="181" ht="13" customHeight="1" s="189">
      <c r="B181" s="290" t="n"/>
      <c r="C181" s="290" t="n"/>
      <c r="D181" s="291" t="n"/>
      <c r="E181" s="290" t="n"/>
      <c r="F181" s="290" t="n"/>
    </row>
    <row r="182" ht="13" customHeight="1" s="189">
      <c r="B182" s="290" t="n"/>
      <c r="C182" s="290" t="n"/>
      <c r="D182" s="291" t="n"/>
      <c r="E182" s="290" t="n"/>
      <c r="F182" s="290" t="n"/>
    </row>
    <row r="183" ht="13" customHeight="1" s="189">
      <c r="B183" s="290" t="n"/>
      <c r="C183" s="290" t="n"/>
      <c r="D183" s="291" t="n"/>
      <c r="E183" s="290" t="n"/>
      <c r="F183" s="290" t="n"/>
    </row>
    <row r="184" ht="13" customHeight="1" s="189">
      <c r="B184" s="290" t="n"/>
      <c r="C184" s="290" t="n"/>
      <c r="D184" s="291" t="n"/>
      <c r="E184" s="290" t="n"/>
      <c r="F184" s="290" t="n"/>
    </row>
    <row r="185" ht="13" customHeight="1" s="189">
      <c r="B185" s="290" t="n"/>
      <c r="C185" s="290" t="n"/>
      <c r="D185" s="291" t="n"/>
      <c r="E185" s="290" t="n"/>
      <c r="F185" s="290" t="n"/>
    </row>
    <row r="186" ht="13" customHeight="1" s="189">
      <c r="B186" s="290" t="n"/>
      <c r="C186" s="290" t="n"/>
      <c r="D186" s="291" t="n"/>
      <c r="E186" s="290" t="n"/>
      <c r="F186" s="290" t="n"/>
    </row>
    <row r="187" ht="13" customHeight="1" s="189">
      <c r="B187" s="290" t="n"/>
      <c r="C187" s="290" t="n"/>
      <c r="D187" s="291" t="n"/>
      <c r="E187" s="290" t="n"/>
      <c r="F187" s="290" t="n"/>
    </row>
    <row r="188" ht="13" customHeight="1" s="189">
      <c r="B188" s="290" t="n"/>
      <c r="C188" s="290" t="n"/>
      <c r="D188" s="291" t="n"/>
      <c r="E188" s="290" t="n"/>
      <c r="F188" s="290" t="n"/>
    </row>
    <row r="189" ht="13" customHeight="1" s="189">
      <c r="B189" s="290" t="n"/>
      <c r="C189" s="290" t="n"/>
      <c r="D189" s="291" t="n"/>
      <c r="E189" s="290" t="n"/>
      <c r="F189" s="290" t="n"/>
    </row>
    <row r="190" ht="13" customHeight="1" s="189">
      <c r="B190" s="290" t="n"/>
      <c r="C190" s="290" t="n"/>
      <c r="D190" s="291" t="n"/>
      <c r="E190" s="290" t="n"/>
      <c r="F190" s="290" t="n"/>
    </row>
    <row r="191" ht="13" customHeight="1" s="189">
      <c r="B191" s="290" t="n"/>
      <c r="C191" s="290" t="n"/>
      <c r="D191" s="291" t="n"/>
      <c r="E191" s="290" t="n"/>
      <c r="F191" s="290" t="n"/>
    </row>
    <row r="192" ht="13" customHeight="1" s="189">
      <c r="B192" s="290" t="n"/>
      <c r="C192" s="290" t="n"/>
      <c r="D192" s="291" t="n"/>
      <c r="E192" s="290" t="n"/>
      <c r="F192" s="290" t="n"/>
    </row>
    <row r="193" ht="13" customHeight="1" s="189">
      <c r="B193" s="290" t="n"/>
      <c r="C193" s="290" t="n"/>
      <c r="D193" s="291" t="n"/>
      <c r="E193" s="290" t="n"/>
      <c r="F193" s="290" t="n"/>
    </row>
    <row r="194" ht="13" customHeight="1" s="189">
      <c r="B194" s="290" t="n"/>
      <c r="C194" s="290" t="n"/>
      <c r="D194" s="291" t="n"/>
      <c r="E194" s="290" t="n"/>
      <c r="F194" s="290" t="n"/>
    </row>
    <row r="195" ht="13" customHeight="1" s="189">
      <c r="B195" s="290" t="n"/>
      <c r="C195" s="290" t="n"/>
      <c r="D195" s="291" t="n"/>
      <c r="E195" s="290" t="n"/>
      <c r="F195" s="290" t="n"/>
    </row>
    <row r="196" ht="13" customHeight="1" s="189">
      <c r="B196" s="290" t="n"/>
      <c r="C196" s="290" t="n"/>
      <c r="D196" s="291" t="n"/>
      <c r="E196" s="290" t="n"/>
      <c r="F196" s="290" t="n"/>
    </row>
    <row r="197" ht="13" customHeight="1" s="189">
      <c r="B197" s="290" t="n"/>
      <c r="C197" s="290" t="n"/>
      <c r="D197" s="291" t="n"/>
      <c r="E197" s="290" t="n"/>
      <c r="F197" s="290" t="n"/>
    </row>
    <row r="198" ht="13" customHeight="1" s="189">
      <c r="B198" s="290" t="n"/>
      <c r="C198" s="290" t="n"/>
      <c r="D198" s="291" t="n"/>
      <c r="E198" s="290" t="n"/>
      <c r="F198" s="290" t="n"/>
    </row>
    <row r="199" ht="13" customHeight="1" s="189">
      <c r="B199" s="290" t="n"/>
      <c r="C199" s="290" t="n"/>
      <c r="D199" s="291" t="n"/>
      <c r="E199" s="290" t="n"/>
      <c r="F199" s="290" t="n"/>
    </row>
    <row r="200" ht="13" customHeight="1" s="189">
      <c r="B200" s="290" t="n"/>
      <c r="C200" s="290" t="n"/>
      <c r="D200" s="291" t="n"/>
      <c r="E200" s="290" t="n"/>
      <c r="F200" s="290" t="n"/>
    </row>
    <row r="201" ht="13" customHeight="1" s="189">
      <c r="B201" s="290" t="n"/>
      <c r="C201" s="290" t="n"/>
      <c r="D201" s="291" t="n"/>
      <c r="E201" s="290" t="n"/>
      <c r="F201" s="290" t="n"/>
    </row>
    <row r="202" ht="13" customHeight="1" s="189">
      <c r="B202" s="290" t="n"/>
      <c r="C202" s="290" t="n"/>
      <c r="D202" s="291" t="n"/>
      <c r="E202" s="290" t="n"/>
      <c r="F202" s="290" t="n"/>
    </row>
    <row r="203" ht="13" customHeight="1" s="189">
      <c r="B203" s="290" t="n"/>
      <c r="C203" s="290" t="n"/>
      <c r="D203" s="291" t="n"/>
      <c r="E203" s="290" t="n"/>
      <c r="F203" s="290" t="n"/>
    </row>
    <row r="204" ht="13" customHeight="1" s="189">
      <c r="B204" s="290" t="n"/>
      <c r="C204" s="290" t="n"/>
      <c r="D204" s="291" t="n"/>
      <c r="E204" s="290" t="n"/>
      <c r="F204" s="290" t="n"/>
    </row>
    <row r="205" ht="13" customHeight="1" s="189">
      <c r="B205" s="290" t="n"/>
      <c r="C205" s="290" t="n"/>
      <c r="D205" s="291" t="n"/>
      <c r="E205" s="290" t="n"/>
      <c r="F205" s="290" t="n"/>
    </row>
    <row r="206" ht="13" customHeight="1" s="189">
      <c r="B206" s="290" t="n"/>
      <c r="C206" s="290" t="n"/>
      <c r="D206" s="291" t="n"/>
      <c r="E206" s="290" t="n"/>
      <c r="F206" s="290" t="n"/>
    </row>
    <row r="207" ht="13" customHeight="1" s="189">
      <c r="B207" s="290" t="n"/>
      <c r="C207" s="290" t="n"/>
      <c r="D207" s="291" t="n"/>
      <c r="E207" s="290" t="n"/>
      <c r="F207" s="290" t="n"/>
    </row>
    <row r="208" ht="13" customHeight="1" s="189">
      <c r="B208" s="290" t="n"/>
      <c r="C208" s="290" t="n"/>
      <c r="D208" s="291" t="n"/>
      <c r="E208" s="290" t="n"/>
      <c r="F208" s="290" t="n"/>
    </row>
    <row r="209" ht="13" customHeight="1" s="189">
      <c r="B209" s="290" t="n"/>
      <c r="C209" s="290" t="n"/>
      <c r="D209" s="291" t="n"/>
      <c r="E209" s="290" t="n"/>
      <c r="F209" s="290" t="n"/>
    </row>
    <row r="210" ht="13" customHeight="1" s="189">
      <c r="B210" s="290" t="n"/>
      <c r="C210" s="290" t="n"/>
      <c r="D210" s="291" t="n"/>
      <c r="E210" s="290" t="n"/>
      <c r="F210" s="290" t="n"/>
    </row>
    <row r="211" ht="13" customHeight="1" s="189">
      <c r="B211" s="290" t="n"/>
      <c r="C211" s="290" t="n"/>
      <c r="D211" s="291" t="n"/>
      <c r="E211" s="290" t="n"/>
      <c r="F211" s="290" t="n"/>
    </row>
    <row r="212" ht="13" customHeight="1" s="189">
      <c r="B212" s="290" t="n"/>
      <c r="C212" s="290" t="n"/>
      <c r="D212" s="291" t="n"/>
      <c r="E212" s="290" t="n"/>
      <c r="F212" s="290" t="n"/>
    </row>
    <row r="213" ht="13" customHeight="1" s="189">
      <c r="B213" s="290" t="n"/>
      <c r="C213" s="290" t="n"/>
      <c r="D213" s="291" t="n"/>
      <c r="E213" s="290" t="n"/>
      <c r="F213" s="290" t="n"/>
    </row>
    <row r="214" ht="13" customHeight="1" s="189">
      <c r="B214" s="290" t="n"/>
      <c r="C214" s="290" t="n"/>
      <c r="D214" s="291" t="n"/>
      <c r="E214" s="290" t="n"/>
      <c r="F214" s="290" t="n"/>
    </row>
    <row r="215" ht="13" customHeight="1" s="189">
      <c r="B215" s="290" t="n"/>
      <c r="C215" s="290" t="n"/>
      <c r="D215" s="291" t="n"/>
      <c r="E215" s="290" t="n"/>
      <c r="F215" s="290" t="n"/>
    </row>
    <row r="216" ht="13" customHeight="1" s="189">
      <c r="B216" s="290" t="n"/>
      <c r="C216" s="290" t="n"/>
      <c r="D216" s="291" t="n"/>
      <c r="E216" s="290" t="n"/>
      <c r="F216" s="290" t="n"/>
    </row>
    <row r="217" ht="13" customHeight="1" s="189">
      <c r="B217" s="290" t="n"/>
      <c r="C217" s="290" t="n"/>
      <c r="D217" s="291" t="n"/>
      <c r="E217" s="290" t="n"/>
      <c r="F217" s="290" t="n"/>
    </row>
    <row r="218" ht="13" customHeight="1" s="189">
      <c r="B218" s="290" t="n"/>
      <c r="C218" s="290" t="n"/>
      <c r="D218" s="291" t="n"/>
      <c r="E218" s="290" t="n"/>
      <c r="F218" s="290" t="n"/>
    </row>
    <row r="219" ht="13" customHeight="1" s="189">
      <c r="B219" s="290" t="n"/>
      <c r="C219" s="290" t="n"/>
      <c r="D219" s="291" t="n"/>
      <c r="E219" s="290" t="n"/>
      <c r="F219" s="290" t="n"/>
    </row>
    <row r="220" ht="13" customHeight="1" s="189">
      <c r="B220" s="290" t="n"/>
      <c r="C220" s="290" t="n"/>
      <c r="D220" s="291" t="n"/>
      <c r="E220" s="290" t="n"/>
      <c r="F220" s="290" t="n"/>
    </row>
    <row r="221" ht="13" customHeight="1" s="189">
      <c r="B221" s="290" t="n"/>
      <c r="C221" s="290" t="n"/>
      <c r="D221" s="291" t="n"/>
      <c r="E221" s="290" t="n"/>
      <c r="F221" s="290" t="n"/>
    </row>
    <row r="222" ht="13" customHeight="1" s="189">
      <c r="B222" s="290" t="n"/>
      <c r="C222" s="290" t="n"/>
      <c r="D222" s="291" t="n"/>
      <c r="E222" s="290" t="n"/>
      <c r="F222" s="290" t="n"/>
    </row>
    <row r="223" ht="13" customHeight="1" s="189">
      <c r="B223" s="290" t="n"/>
      <c r="C223" s="290" t="n"/>
      <c r="D223" s="291" t="n"/>
      <c r="E223" s="290" t="n"/>
      <c r="F223" s="290" t="n"/>
    </row>
    <row r="224" ht="13" customHeight="1" s="189">
      <c r="B224" s="290" t="n"/>
      <c r="C224" s="290" t="n"/>
      <c r="D224" s="291" t="n"/>
      <c r="E224" s="290" t="n"/>
      <c r="F224" s="290" t="n"/>
    </row>
    <row r="225" ht="13" customHeight="1" s="189">
      <c r="B225" s="290" t="n"/>
      <c r="C225" s="290" t="n"/>
      <c r="D225" s="291" t="n"/>
      <c r="E225" s="290" t="n"/>
      <c r="F225" s="290" t="n"/>
    </row>
    <row r="226" ht="13" customHeight="1" s="189">
      <c r="B226" s="290" t="n"/>
      <c r="C226" s="290" t="n"/>
      <c r="D226" s="291" t="n"/>
      <c r="E226" s="290" t="n"/>
      <c r="F226" s="290" t="n"/>
    </row>
    <row r="227" ht="13" customHeight="1" s="189">
      <c r="B227" s="290" t="n"/>
      <c r="C227" s="290" t="n"/>
      <c r="D227" s="291" t="n"/>
      <c r="E227" s="290" t="n"/>
      <c r="F227" s="290" t="n"/>
    </row>
    <row r="228" ht="13" customHeight="1" s="189">
      <c r="B228" s="290" t="n"/>
      <c r="C228" s="290" t="n"/>
      <c r="D228" s="291" t="n"/>
      <c r="E228" s="290" t="n"/>
      <c r="F228" s="290" t="n"/>
    </row>
    <row r="229" ht="13" customHeight="1" s="189">
      <c r="B229" s="290" t="n"/>
      <c r="C229" s="290" t="n"/>
      <c r="D229" s="291" t="n"/>
      <c r="E229" s="290" t="n"/>
      <c r="F229" s="290" t="n"/>
    </row>
    <row r="230" ht="13" customHeight="1" s="189">
      <c r="B230" s="290" t="n"/>
      <c r="C230" s="290" t="n"/>
      <c r="D230" s="291" t="n"/>
      <c r="E230" s="290" t="n"/>
      <c r="F230" s="290" t="n"/>
    </row>
    <row r="231" ht="13" customHeight="1" s="189">
      <c r="B231" s="290" t="n"/>
      <c r="C231" s="290" t="n"/>
      <c r="D231" s="291" t="n"/>
      <c r="E231" s="290" t="n"/>
      <c r="F231" s="290" t="n"/>
    </row>
    <row r="232" ht="13" customHeight="1" s="189">
      <c r="B232" s="290" t="n"/>
      <c r="C232" s="290" t="n"/>
      <c r="D232" s="291" t="n"/>
      <c r="E232" s="290" t="n"/>
      <c r="F232" s="290" t="n"/>
    </row>
    <row r="233" ht="13" customHeight="1" s="189">
      <c r="B233" s="290" t="n"/>
      <c r="C233" s="290" t="n"/>
      <c r="D233" s="291" t="n"/>
      <c r="E233" s="290" t="n"/>
      <c r="F233" s="290" t="n"/>
    </row>
    <row r="234" ht="13" customHeight="1" s="189">
      <c r="B234" s="290" t="n"/>
      <c r="C234" s="290" t="n"/>
      <c r="D234" s="291" t="n"/>
      <c r="E234" s="290" t="n"/>
      <c r="F234" s="290" t="n"/>
    </row>
    <row r="235" ht="13" customHeight="1" s="189">
      <c r="B235" s="290" t="n"/>
      <c r="C235" s="290" t="n"/>
      <c r="D235" s="291" t="n"/>
      <c r="E235" s="290" t="n"/>
      <c r="F235" s="290" t="n"/>
    </row>
    <row r="236" ht="13" customHeight="1" s="189">
      <c r="B236" s="290" t="n"/>
      <c r="C236" s="290" t="n"/>
      <c r="D236" s="291" t="n"/>
      <c r="E236" s="290" t="n"/>
      <c r="F236" s="290" t="n"/>
    </row>
    <row r="237" ht="13" customHeight="1" s="189">
      <c r="B237" s="290" t="n"/>
      <c r="C237" s="290" t="n"/>
      <c r="D237" s="291" t="n"/>
      <c r="E237" s="290" t="n"/>
      <c r="F237" s="290" t="n"/>
    </row>
    <row r="238" ht="13" customHeight="1" s="189">
      <c r="B238" s="290" t="n"/>
      <c r="C238" s="290" t="n"/>
      <c r="D238" s="291" t="n"/>
      <c r="E238" s="290" t="n"/>
      <c r="F238" s="290" t="n"/>
    </row>
    <row r="239" ht="13" customHeight="1" s="189">
      <c r="B239" s="290" t="n"/>
      <c r="C239" s="290" t="n"/>
      <c r="D239" s="291" t="n"/>
      <c r="E239" s="290" t="n"/>
      <c r="F239" s="290" t="n"/>
    </row>
    <row r="240" ht="13" customHeight="1" s="189">
      <c r="B240" s="290" t="n"/>
      <c r="C240" s="290" t="n"/>
      <c r="D240" s="291" t="n"/>
      <c r="E240" s="290" t="n"/>
      <c r="F240" s="290" t="n"/>
    </row>
    <row r="241" ht="13" customHeight="1" s="189">
      <c r="B241" s="290" t="n"/>
      <c r="C241" s="290" t="n"/>
      <c r="D241" s="291" t="n"/>
      <c r="E241" s="290" t="n"/>
      <c r="F241" s="290" t="n"/>
    </row>
    <row r="242" ht="13" customHeight="1" s="189">
      <c r="B242" s="290" t="n"/>
      <c r="C242" s="290" t="n"/>
      <c r="D242" s="291" t="n"/>
      <c r="E242" s="290" t="n"/>
      <c r="F242" s="290" t="n"/>
    </row>
    <row r="243" ht="13" customHeight="1" s="189">
      <c r="B243" s="290" t="n"/>
      <c r="C243" s="290" t="n"/>
      <c r="D243" s="291" t="n"/>
      <c r="E243" s="290" t="n"/>
      <c r="F243" s="290" t="n"/>
    </row>
    <row r="244" ht="13" customHeight="1" s="189">
      <c r="B244" s="290" t="n"/>
      <c r="C244" s="290" t="n"/>
      <c r="D244" s="291" t="n"/>
      <c r="E244" s="290" t="n"/>
      <c r="F244" s="290" t="n"/>
    </row>
    <row r="245" ht="13" customHeight="1" s="189">
      <c r="B245" s="290" t="n"/>
      <c r="C245" s="290" t="n"/>
      <c r="D245" s="291" t="n"/>
      <c r="E245" s="290" t="n"/>
      <c r="F245" s="290" t="n"/>
    </row>
    <row r="246" ht="13" customHeight="1" s="189">
      <c r="B246" s="290" t="n"/>
      <c r="C246" s="290" t="n"/>
      <c r="D246" s="291" t="n"/>
      <c r="E246" s="290" t="n"/>
      <c r="F246" s="290" t="n"/>
    </row>
    <row r="247" ht="13" customHeight="1" s="189">
      <c r="B247" s="290" t="n"/>
      <c r="C247" s="290" t="n"/>
      <c r="D247" s="291" t="n"/>
      <c r="E247" s="290" t="n"/>
      <c r="F247" s="290" t="n"/>
    </row>
    <row r="248" ht="13" customHeight="1" s="189">
      <c r="B248" s="290" t="n"/>
      <c r="C248" s="290" t="n"/>
      <c r="D248" s="291" t="n"/>
      <c r="E248" s="290" t="n"/>
      <c r="F248" s="290" t="n"/>
    </row>
    <row r="249" ht="13" customHeight="1" s="189">
      <c r="B249" s="290" t="n"/>
      <c r="C249" s="290" t="n"/>
      <c r="D249" s="291" t="n"/>
      <c r="E249" s="290" t="n"/>
      <c r="F249" s="290" t="n"/>
    </row>
    <row r="250" ht="13" customHeight="1" s="189">
      <c r="B250" s="290" t="n"/>
      <c r="C250" s="290" t="n"/>
      <c r="D250" s="291" t="n"/>
      <c r="E250" s="290" t="n"/>
      <c r="F250" s="290" t="n"/>
    </row>
    <row r="251" ht="13" customHeight="1" s="189">
      <c r="B251" s="290" t="n"/>
      <c r="C251" s="290" t="n"/>
      <c r="D251" s="291" t="n"/>
      <c r="E251" s="290" t="n"/>
      <c r="F251" s="290" t="n"/>
    </row>
    <row r="252" ht="13" customHeight="1" s="189">
      <c r="B252" s="290" t="n"/>
      <c r="C252" s="290" t="n"/>
      <c r="D252" s="291" t="n"/>
      <c r="E252" s="290" t="n"/>
      <c r="F252" s="290" t="n"/>
    </row>
    <row r="253" ht="13" customHeight="1" s="189">
      <c r="B253" s="290" t="n"/>
      <c r="C253" s="290" t="n"/>
      <c r="D253" s="291" t="n"/>
      <c r="E253" s="290" t="n"/>
      <c r="F253" s="290" t="n"/>
    </row>
    <row r="254" ht="13" customHeight="1" s="189">
      <c r="B254" s="290" t="n"/>
      <c r="C254" s="290" t="n"/>
      <c r="D254" s="291" t="n"/>
      <c r="E254" s="290" t="n"/>
      <c r="F254" s="290" t="n"/>
    </row>
    <row r="255" ht="13" customHeight="1" s="189">
      <c r="B255" s="290" t="n"/>
      <c r="C255" s="290" t="n"/>
      <c r="D255" s="291" t="n"/>
      <c r="E255" s="290" t="n"/>
      <c r="F255" s="290" t="n"/>
    </row>
    <row r="256" ht="13" customHeight="1" s="189">
      <c r="B256" s="290" t="n"/>
      <c r="C256" s="290" t="n"/>
      <c r="D256" s="291" t="n"/>
      <c r="E256" s="290" t="n"/>
      <c r="F256" s="290" t="n"/>
    </row>
    <row r="257" ht="13" customHeight="1" s="189">
      <c r="B257" s="290" t="n"/>
      <c r="C257" s="290" t="n"/>
      <c r="D257" s="291" t="n"/>
      <c r="E257" s="290" t="n"/>
      <c r="F257" s="290" t="n"/>
    </row>
    <row r="258" ht="13" customHeight="1" s="189">
      <c r="B258" s="290" t="n"/>
      <c r="C258" s="290" t="n"/>
      <c r="D258" s="291" t="n"/>
      <c r="E258" s="290" t="n"/>
      <c r="F258" s="290" t="n"/>
    </row>
    <row r="259" ht="13" customHeight="1" s="189">
      <c r="B259" s="290" t="n"/>
      <c r="C259" s="290" t="n"/>
      <c r="D259" s="291" t="n"/>
      <c r="E259" s="290" t="n"/>
      <c r="F259" s="290" t="n"/>
    </row>
    <row r="260" ht="13" customHeight="1" s="189">
      <c r="B260" s="290" t="n"/>
      <c r="C260" s="290" t="n"/>
      <c r="D260" s="291" t="n"/>
      <c r="E260" s="290" t="n"/>
      <c r="F260" s="290" t="n"/>
    </row>
    <row r="261" ht="13" customHeight="1" s="189">
      <c r="B261" s="290" t="n"/>
      <c r="C261" s="290" t="n"/>
      <c r="D261" s="291" t="n"/>
      <c r="E261" s="290" t="n"/>
      <c r="F261" s="290" t="n"/>
    </row>
    <row r="262" ht="13" customHeight="1" s="189">
      <c r="B262" s="290" t="n"/>
      <c r="C262" s="290" t="n"/>
      <c r="D262" s="291" t="n"/>
      <c r="E262" s="290" t="n"/>
      <c r="F262" s="290" t="n"/>
    </row>
    <row r="263" ht="13" customHeight="1" s="189">
      <c r="B263" s="290" t="n"/>
      <c r="C263" s="290" t="n"/>
      <c r="D263" s="291" t="n"/>
      <c r="E263" s="290" t="n"/>
      <c r="F263" s="290" t="n"/>
    </row>
    <row r="264" ht="13" customHeight="1" s="189">
      <c r="B264" s="290" t="n"/>
      <c r="C264" s="290" t="n"/>
      <c r="D264" s="291" t="n"/>
      <c r="E264" s="290" t="n"/>
      <c r="F264" s="290" t="n"/>
    </row>
    <row r="265" ht="13" customHeight="1" s="189">
      <c r="B265" s="290" t="n"/>
      <c r="C265" s="290" t="n"/>
      <c r="D265" s="291" t="n"/>
      <c r="E265" s="290" t="n"/>
      <c r="F265" s="290" t="n"/>
    </row>
    <row r="266" ht="13" customHeight="1" s="189">
      <c r="B266" s="290" t="n"/>
      <c r="C266" s="290" t="n"/>
      <c r="D266" s="291" t="n"/>
      <c r="E266" s="290" t="n"/>
      <c r="F266" s="290" t="n"/>
    </row>
    <row r="267" ht="13" customHeight="1" s="189">
      <c r="B267" s="290" t="n"/>
      <c r="C267" s="290" t="n"/>
      <c r="D267" s="291" t="n"/>
      <c r="E267" s="290" t="n"/>
      <c r="F267" s="290" t="n"/>
    </row>
    <row r="268" ht="13" customHeight="1" s="189">
      <c r="B268" s="290" t="n"/>
      <c r="C268" s="290" t="n"/>
      <c r="D268" s="291" t="n"/>
      <c r="E268" s="290" t="n"/>
      <c r="F268" s="290" t="n"/>
    </row>
    <row r="269" ht="13" customHeight="1" s="189">
      <c r="B269" s="290" t="n"/>
      <c r="C269" s="290" t="n"/>
      <c r="D269" s="291" t="n"/>
      <c r="E269" s="290" t="n"/>
      <c r="F269" s="290" t="n"/>
    </row>
    <row r="270" ht="13" customHeight="1" s="189">
      <c r="B270" s="290" t="n"/>
      <c r="C270" s="290" t="n"/>
      <c r="D270" s="291" t="n"/>
      <c r="E270" s="290" t="n"/>
      <c r="F270" s="290" t="n"/>
    </row>
    <row r="271" ht="13" customHeight="1" s="189">
      <c r="B271" s="290" t="n"/>
      <c r="C271" s="290" t="n"/>
      <c r="D271" s="291" t="n"/>
      <c r="E271" s="290" t="n"/>
      <c r="F271" s="290" t="n"/>
    </row>
    <row r="272" ht="13" customHeight="1" s="189">
      <c r="B272" s="290" t="n"/>
      <c r="C272" s="290" t="n"/>
      <c r="D272" s="291" t="n"/>
      <c r="E272" s="290" t="n"/>
      <c r="F272" s="290" t="n"/>
    </row>
    <row r="273" ht="13" customHeight="1" s="189">
      <c r="B273" s="290" t="n"/>
      <c r="C273" s="290" t="n"/>
      <c r="D273" s="291" t="n"/>
      <c r="E273" s="290" t="n"/>
      <c r="F273" s="290" t="n"/>
    </row>
    <row r="274" ht="13" customHeight="1" s="189">
      <c r="B274" s="290" t="n"/>
      <c r="C274" s="290" t="n"/>
      <c r="D274" s="291" t="n"/>
      <c r="E274" s="290" t="n"/>
      <c r="F274" s="290" t="n"/>
    </row>
    <row r="275" ht="13" customHeight="1" s="189">
      <c r="B275" s="290" t="n"/>
      <c r="C275" s="290" t="n"/>
      <c r="D275" s="291" t="n"/>
      <c r="E275" s="290" t="n"/>
      <c r="F275" s="290" t="n"/>
    </row>
    <row r="276" ht="13" customHeight="1" s="189">
      <c r="B276" s="290" t="n"/>
      <c r="C276" s="290" t="n"/>
      <c r="D276" s="291" t="n"/>
      <c r="E276" s="290" t="n"/>
      <c r="F276" s="290" t="n"/>
    </row>
    <row r="277" ht="13" customHeight="1" s="189">
      <c r="B277" s="290" t="n"/>
      <c r="C277" s="290" t="n"/>
      <c r="D277" s="291" t="n"/>
      <c r="E277" s="290" t="n"/>
      <c r="F277" s="290" t="n"/>
    </row>
    <row r="278" ht="13" customHeight="1" s="189">
      <c r="B278" s="290" t="n"/>
      <c r="C278" s="290" t="n"/>
      <c r="D278" s="291" t="n"/>
      <c r="E278" s="290" t="n"/>
      <c r="F278" s="290" t="n"/>
    </row>
    <row r="279" ht="13" customHeight="1" s="189">
      <c r="B279" s="290" t="n"/>
      <c r="C279" s="290" t="n"/>
      <c r="D279" s="291" t="n"/>
      <c r="E279" s="290" t="n"/>
      <c r="F279" s="290" t="n"/>
    </row>
    <row r="280" ht="13" customHeight="1" s="189">
      <c r="B280" s="290" t="n"/>
      <c r="C280" s="290" t="n"/>
      <c r="D280" s="291" t="n"/>
      <c r="E280" s="290" t="n"/>
      <c r="F280" s="290" t="n"/>
    </row>
    <row r="281" ht="13" customHeight="1" s="189">
      <c r="B281" s="290" t="n"/>
      <c r="C281" s="290" t="n"/>
      <c r="D281" s="291" t="n"/>
      <c r="E281" s="290" t="n"/>
      <c r="F281" s="290" t="n"/>
    </row>
    <row r="282" ht="13" customHeight="1" s="189">
      <c r="B282" s="290" t="n"/>
      <c r="C282" s="290" t="n"/>
      <c r="D282" s="291" t="n"/>
      <c r="E282" s="290" t="n"/>
      <c r="F282" s="290" t="n"/>
    </row>
    <row r="283" ht="13" customHeight="1" s="189">
      <c r="B283" s="290" t="n"/>
      <c r="C283" s="290" t="n"/>
      <c r="D283" s="291" t="n"/>
      <c r="E283" s="290" t="n"/>
      <c r="F283" s="290" t="n"/>
    </row>
    <row r="284" ht="13" customHeight="1" s="189">
      <c r="B284" s="290" t="n"/>
      <c r="C284" s="290" t="n"/>
      <c r="D284" s="291" t="n"/>
      <c r="E284" s="290" t="n"/>
      <c r="F284" s="290" t="n"/>
    </row>
    <row r="285" ht="13" customHeight="1" s="189">
      <c r="B285" s="290" t="n"/>
      <c r="C285" s="290" t="n"/>
      <c r="D285" s="291" t="n"/>
      <c r="E285" s="290" t="n"/>
      <c r="F285" s="290" t="n"/>
    </row>
    <row r="286" ht="13" customHeight="1" s="189">
      <c r="B286" s="290" t="n"/>
      <c r="C286" s="290" t="n"/>
      <c r="D286" s="291" t="n"/>
      <c r="E286" s="290" t="n"/>
      <c r="F286" s="290" t="n"/>
    </row>
    <row r="287" ht="13" customHeight="1" s="189">
      <c r="B287" s="290" t="n"/>
      <c r="C287" s="290" t="n"/>
      <c r="D287" s="291" t="n"/>
      <c r="E287" s="290" t="n"/>
      <c r="F287" s="290" t="n"/>
    </row>
    <row r="288" ht="13" customHeight="1" s="189">
      <c r="B288" s="290" t="n"/>
      <c r="C288" s="290" t="n"/>
      <c r="D288" s="291" t="n"/>
      <c r="E288" s="290" t="n"/>
      <c r="F288" s="290" t="n"/>
    </row>
    <row r="289" ht="13" customHeight="1" s="189">
      <c r="B289" s="290" t="n"/>
      <c r="C289" s="290" t="n"/>
      <c r="D289" s="291" t="n"/>
      <c r="E289" s="290" t="n"/>
      <c r="F289" s="290" t="n"/>
    </row>
    <row r="290" ht="13" customHeight="1" s="189">
      <c r="B290" s="290" t="n"/>
      <c r="C290" s="290" t="n"/>
      <c r="D290" s="291" t="n"/>
      <c r="E290" s="290" t="n"/>
      <c r="F290" s="290" t="n"/>
    </row>
    <row r="291" ht="13" customHeight="1" s="189">
      <c r="B291" s="290" t="n"/>
      <c r="C291" s="290" t="n"/>
      <c r="D291" s="291" t="n"/>
      <c r="E291" s="290" t="n"/>
      <c r="F291" s="290" t="n"/>
    </row>
    <row r="292" ht="13" customHeight="1" s="189">
      <c r="B292" s="290" t="n"/>
      <c r="C292" s="290" t="n"/>
      <c r="D292" s="291" t="n"/>
      <c r="E292" s="290" t="n"/>
      <c r="F292" s="290" t="n"/>
    </row>
    <row r="293" ht="13" customHeight="1" s="189">
      <c r="B293" s="290" t="n"/>
      <c r="C293" s="290" t="n"/>
      <c r="D293" s="291" t="n"/>
      <c r="E293" s="290" t="n"/>
      <c r="F293" s="290" t="n"/>
    </row>
    <row r="294" ht="13" customHeight="1" s="189">
      <c r="B294" s="290" t="n"/>
      <c r="C294" s="290" t="n"/>
      <c r="D294" s="291" t="n"/>
      <c r="E294" s="290" t="n"/>
      <c r="F294" s="290" t="n"/>
    </row>
    <row r="295" ht="13" customHeight="1" s="189">
      <c r="B295" s="290" t="n"/>
      <c r="C295" s="290" t="n"/>
      <c r="D295" s="291" t="n"/>
      <c r="E295" s="290" t="n"/>
      <c r="F295" s="290" t="n"/>
    </row>
    <row r="296" ht="13" customHeight="1" s="189">
      <c r="B296" s="290" t="n"/>
      <c r="C296" s="290" t="n"/>
      <c r="D296" s="291" t="n"/>
      <c r="E296" s="290" t="n"/>
      <c r="F296" s="290" t="n"/>
    </row>
    <row r="297" ht="13" customHeight="1" s="189">
      <c r="B297" s="290" t="n"/>
      <c r="C297" s="290" t="n"/>
      <c r="D297" s="291" t="n"/>
      <c r="E297" s="290" t="n"/>
      <c r="F297" s="290" t="n"/>
    </row>
    <row r="298" ht="13" customHeight="1" s="189">
      <c r="B298" s="290" t="n"/>
      <c r="C298" s="290" t="n"/>
      <c r="D298" s="291" t="n"/>
      <c r="E298" s="290" t="n"/>
      <c r="F298" s="290" t="n"/>
    </row>
    <row r="299" ht="13" customHeight="1" s="189">
      <c r="B299" s="290" t="n"/>
      <c r="C299" s="290" t="n"/>
      <c r="D299" s="291" t="n"/>
      <c r="E299" s="290" t="n"/>
      <c r="F299" s="290" t="n"/>
    </row>
    <row r="300" ht="13" customHeight="1" s="189">
      <c r="B300" s="290" t="n"/>
      <c r="C300" s="290" t="n"/>
      <c r="D300" s="291" t="n"/>
      <c r="E300" s="290" t="n"/>
      <c r="F300" s="290" t="n"/>
    </row>
    <row r="301" ht="13" customHeight="1" s="189">
      <c r="B301" s="290" t="n"/>
      <c r="C301" s="290" t="n"/>
      <c r="D301" s="291" t="n"/>
      <c r="E301" s="290" t="n"/>
      <c r="F301" s="290" t="n"/>
    </row>
    <row r="302" ht="13" customHeight="1" s="189">
      <c r="B302" s="290" t="n"/>
      <c r="C302" s="290" t="n"/>
      <c r="D302" s="291" t="n"/>
      <c r="E302" s="290" t="n"/>
      <c r="F302" s="290" t="n"/>
    </row>
    <row r="303" ht="13" customHeight="1" s="189">
      <c r="B303" s="290" t="n"/>
      <c r="C303" s="290" t="n"/>
      <c r="D303" s="291" t="n"/>
      <c r="E303" s="290" t="n"/>
      <c r="F303" s="290" t="n"/>
    </row>
    <row r="304" ht="13" customHeight="1" s="189">
      <c r="B304" s="290" t="n"/>
      <c r="C304" s="290" t="n"/>
      <c r="D304" s="291" t="n"/>
      <c r="E304" s="290" t="n"/>
      <c r="F304" s="290" t="n"/>
    </row>
    <row r="305" ht="13" customHeight="1" s="189">
      <c r="B305" s="290" t="n"/>
      <c r="C305" s="290" t="n"/>
      <c r="D305" s="291" t="n"/>
      <c r="E305" s="290" t="n"/>
      <c r="F305" s="290" t="n"/>
    </row>
    <row r="306" ht="13" customHeight="1" s="189">
      <c r="B306" s="290" t="n"/>
      <c r="C306" s="290" t="n"/>
      <c r="D306" s="291" t="n"/>
      <c r="E306" s="290" t="n"/>
      <c r="F306" s="290" t="n"/>
    </row>
    <row r="307" ht="13" customHeight="1" s="189">
      <c r="B307" s="290" t="n"/>
      <c r="C307" s="290" t="n"/>
      <c r="D307" s="291" t="n"/>
      <c r="E307" s="290" t="n"/>
      <c r="F307" s="290" t="n"/>
    </row>
    <row r="308" ht="13" customHeight="1" s="189">
      <c r="B308" s="290" t="n"/>
      <c r="C308" s="290" t="n"/>
      <c r="D308" s="291" t="n"/>
      <c r="E308" s="290" t="n"/>
      <c r="F308" s="290" t="n"/>
    </row>
    <row r="309" ht="13" customHeight="1" s="189">
      <c r="B309" s="290" t="n"/>
      <c r="C309" s="290" t="n"/>
      <c r="D309" s="291" t="n"/>
      <c r="E309" s="290" t="n"/>
      <c r="F309" s="290" t="n"/>
    </row>
    <row r="310" ht="13" customHeight="1" s="189">
      <c r="B310" s="290" t="n"/>
      <c r="C310" s="290" t="n"/>
      <c r="D310" s="291" t="n"/>
      <c r="E310" s="290" t="n"/>
      <c r="F310" s="290" t="n"/>
    </row>
    <row r="311" ht="13" customHeight="1" s="189">
      <c r="B311" s="290" t="n"/>
      <c r="C311" s="290" t="n"/>
      <c r="D311" s="291" t="n"/>
      <c r="E311" s="290" t="n"/>
      <c r="F311" s="290" t="n"/>
    </row>
    <row r="312" ht="13" customHeight="1" s="189">
      <c r="B312" s="290" t="n"/>
      <c r="C312" s="290" t="n"/>
      <c r="D312" s="291" t="n"/>
      <c r="E312" s="290" t="n"/>
      <c r="F312" s="290" t="n"/>
    </row>
    <row r="313" ht="13" customHeight="1" s="189">
      <c r="B313" s="290" t="n"/>
      <c r="C313" s="290" t="n"/>
      <c r="D313" s="291" t="n"/>
      <c r="E313" s="290" t="n"/>
      <c r="F313" s="290" t="n"/>
    </row>
    <row r="314" ht="13" customHeight="1" s="189">
      <c r="B314" s="290" t="n"/>
      <c r="C314" s="290" t="n"/>
      <c r="D314" s="291" t="n"/>
      <c r="E314" s="290" t="n"/>
      <c r="F314" s="290" t="n"/>
    </row>
    <row r="315" ht="13" customHeight="1" s="189">
      <c r="B315" s="290" t="n"/>
      <c r="C315" s="290" t="n"/>
      <c r="D315" s="291" t="n"/>
      <c r="E315" s="290" t="n"/>
      <c r="F315" s="290" t="n"/>
    </row>
    <row r="316" ht="13" customHeight="1" s="189">
      <c r="B316" s="290" t="n"/>
      <c r="C316" s="290" t="n"/>
      <c r="D316" s="291" t="n"/>
      <c r="E316" s="290" t="n"/>
      <c r="F316" s="290" t="n"/>
    </row>
    <row r="317" ht="13" customHeight="1" s="189">
      <c r="B317" s="290" t="n"/>
      <c r="C317" s="290" t="n"/>
      <c r="D317" s="291" t="n"/>
      <c r="E317" s="290" t="n"/>
      <c r="F317" s="290" t="n"/>
    </row>
    <row r="318" ht="13" customHeight="1" s="189">
      <c r="B318" s="290" t="n"/>
      <c r="C318" s="290" t="n"/>
      <c r="D318" s="291" t="n"/>
      <c r="E318" s="290" t="n"/>
      <c r="F318" s="290" t="n"/>
    </row>
    <row r="319" ht="13" customHeight="1" s="189">
      <c r="B319" s="290" t="n"/>
      <c r="C319" s="290" t="n"/>
      <c r="D319" s="291" t="n"/>
      <c r="E319" s="290" t="n"/>
      <c r="F319" s="290" t="n"/>
    </row>
    <row r="320" ht="13" customHeight="1" s="189">
      <c r="B320" s="290" t="n"/>
      <c r="C320" s="290" t="n"/>
      <c r="D320" s="291" t="n"/>
      <c r="E320" s="290" t="n"/>
      <c r="F320" s="290" t="n"/>
    </row>
    <row r="321" ht="13" customHeight="1" s="189">
      <c r="B321" s="290" t="n"/>
      <c r="C321" s="290" t="n"/>
      <c r="D321" s="291" t="n"/>
      <c r="E321" s="290" t="n"/>
      <c r="F321" s="290" t="n"/>
    </row>
    <row r="322" ht="13" customHeight="1" s="189">
      <c r="B322" s="290" t="n"/>
      <c r="C322" s="290" t="n"/>
      <c r="D322" s="291" t="n"/>
      <c r="E322" s="290" t="n"/>
      <c r="F322" s="290" t="n"/>
    </row>
    <row r="323" ht="13" customHeight="1" s="189">
      <c r="B323" s="290" t="n"/>
      <c r="C323" s="290" t="n"/>
      <c r="D323" s="291" t="n"/>
      <c r="E323" s="290" t="n"/>
      <c r="F323" s="290" t="n"/>
    </row>
    <row r="324" ht="13" customHeight="1" s="189">
      <c r="B324" s="290" t="n"/>
      <c r="C324" s="290" t="n"/>
      <c r="D324" s="291" t="n"/>
      <c r="E324" s="290" t="n"/>
      <c r="F324" s="290" t="n"/>
    </row>
    <row r="325" ht="13" customHeight="1" s="189">
      <c r="B325" s="290" t="n"/>
      <c r="C325" s="290" t="n"/>
      <c r="D325" s="291" t="n"/>
      <c r="E325" s="290" t="n"/>
      <c r="F325" s="290" t="n"/>
    </row>
    <row r="326" ht="13" customHeight="1" s="189">
      <c r="B326" s="290" t="n"/>
      <c r="C326" s="290" t="n"/>
      <c r="D326" s="291" t="n"/>
      <c r="E326" s="290" t="n"/>
      <c r="F326" s="290" t="n"/>
    </row>
    <row r="327" ht="13" customHeight="1" s="189">
      <c r="B327" s="290" t="n"/>
      <c r="C327" s="290" t="n"/>
      <c r="D327" s="291" t="n"/>
      <c r="E327" s="290" t="n"/>
      <c r="F327" s="290" t="n"/>
    </row>
    <row r="328" ht="13" customHeight="1" s="189">
      <c r="B328" s="290" t="n"/>
      <c r="C328" s="290" t="n"/>
      <c r="D328" s="291" t="n"/>
      <c r="E328" s="290" t="n"/>
      <c r="F328" s="290" t="n"/>
    </row>
    <row r="329" ht="13" customHeight="1" s="189">
      <c r="B329" s="290" t="n"/>
      <c r="C329" s="290" t="n"/>
      <c r="D329" s="291" t="n"/>
      <c r="E329" s="290" t="n"/>
      <c r="F329" s="290" t="n"/>
    </row>
    <row r="330" ht="13" customHeight="1" s="189">
      <c r="B330" s="290" t="n"/>
      <c r="C330" s="290" t="n"/>
      <c r="D330" s="291" t="n"/>
      <c r="E330" s="290" t="n"/>
      <c r="F330" s="290" t="n"/>
    </row>
    <row r="331" ht="13" customHeight="1" s="189">
      <c r="B331" s="290" t="n"/>
      <c r="C331" s="290" t="n"/>
      <c r="D331" s="291" t="n"/>
      <c r="E331" s="290" t="n"/>
      <c r="F331" s="290" t="n"/>
    </row>
    <row r="332" ht="13" customHeight="1" s="189">
      <c r="B332" s="290" t="n"/>
      <c r="C332" s="290" t="n"/>
      <c r="D332" s="291" t="n"/>
      <c r="E332" s="290" t="n"/>
      <c r="F332" s="290" t="n"/>
    </row>
    <row r="333" ht="13" customHeight="1" s="189">
      <c r="B333" s="290" t="n"/>
      <c r="C333" s="290" t="n"/>
      <c r="D333" s="291" t="n"/>
      <c r="E333" s="290" t="n"/>
      <c r="F333" s="290" t="n"/>
    </row>
    <row r="334" ht="13" customHeight="1" s="189">
      <c r="B334" s="290" t="n"/>
      <c r="C334" s="290" t="n"/>
      <c r="D334" s="291" t="n"/>
      <c r="E334" s="290" t="n"/>
      <c r="F334" s="290" t="n"/>
    </row>
    <row r="335" ht="13" customHeight="1" s="189">
      <c r="B335" s="290" t="n"/>
      <c r="C335" s="290" t="n"/>
      <c r="D335" s="291" t="n"/>
      <c r="E335" s="290" t="n"/>
      <c r="F335" s="290" t="n"/>
    </row>
    <row r="336" ht="13" customHeight="1" s="189">
      <c r="B336" s="290" t="n"/>
      <c r="C336" s="290" t="n"/>
      <c r="D336" s="291" t="n"/>
      <c r="E336" s="290" t="n"/>
      <c r="F336" s="290" t="n"/>
    </row>
    <row r="337" ht="13" customHeight="1" s="189">
      <c r="B337" s="290" t="n"/>
      <c r="C337" s="290" t="n"/>
      <c r="D337" s="291" t="n"/>
      <c r="E337" s="290" t="n"/>
      <c r="F337" s="290" t="n"/>
    </row>
    <row r="338" ht="13" customHeight="1" s="189">
      <c r="B338" s="290" t="n"/>
      <c r="C338" s="290" t="n"/>
      <c r="D338" s="291" t="n"/>
      <c r="E338" s="290" t="n"/>
      <c r="F338" s="290" t="n"/>
    </row>
    <row r="339" ht="13" customHeight="1" s="189">
      <c r="B339" s="290" t="n"/>
      <c r="C339" s="290" t="n"/>
      <c r="D339" s="291" t="n"/>
      <c r="E339" s="290" t="n"/>
      <c r="F339" s="290" t="n"/>
    </row>
    <row r="340" ht="13" customHeight="1" s="189">
      <c r="B340" s="290" t="n"/>
      <c r="C340" s="290" t="n"/>
      <c r="D340" s="291" t="n"/>
      <c r="E340" s="290" t="n"/>
      <c r="F340" s="290" t="n"/>
    </row>
    <row r="341" ht="13" customHeight="1" s="189">
      <c r="B341" s="290" t="n"/>
      <c r="C341" s="290" t="n"/>
      <c r="D341" s="291" t="n"/>
      <c r="E341" s="290" t="n"/>
      <c r="F341" s="290" t="n"/>
    </row>
    <row r="342" ht="13" customHeight="1" s="189">
      <c r="B342" s="290" t="n"/>
      <c r="C342" s="290" t="n"/>
      <c r="D342" s="291" t="n"/>
      <c r="E342" s="290" t="n"/>
      <c r="F342" s="290" t="n"/>
    </row>
    <row r="343" ht="13" customHeight="1" s="189">
      <c r="B343" s="290" t="n"/>
      <c r="C343" s="290" t="n"/>
      <c r="D343" s="291" t="n"/>
      <c r="E343" s="290" t="n"/>
      <c r="F343" s="290" t="n"/>
    </row>
    <row r="344" ht="13" customHeight="1" s="189">
      <c r="B344" s="290" t="n"/>
      <c r="C344" s="290" t="n"/>
      <c r="D344" s="291" t="n"/>
      <c r="E344" s="290" t="n"/>
      <c r="F344" s="290" t="n"/>
    </row>
    <row r="345" ht="13" customHeight="1" s="189">
      <c r="B345" s="290" t="n"/>
      <c r="C345" s="290" t="n"/>
      <c r="D345" s="291" t="n"/>
      <c r="E345" s="290" t="n"/>
      <c r="F345" s="290" t="n"/>
    </row>
    <row r="346" ht="13" customHeight="1" s="189">
      <c r="B346" s="290" t="n"/>
      <c r="C346" s="290" t="n"/>
      <c r="D346" s="291" t="n"/>
      <c r="E346" s="290" t="n"/>
      <c r="F346" s="290" t="n"/>
    </row>
    <row r="347" ht="13" customHeight="1" s="189">
      <c r="B347" s="290" t="n"/>
      <c r="C347" s="290" t="n"/>
      <c r="D347" s="291" t="n"/>
      <c r="E347" s="290" t="n"/>
      <c r="F347" s="290" t="n"/>
    </row>
    <row r="348" ht="13" customHeight="1" s="189">
      <c r="B348" s="290" t="n"/>
      <c r="C348" s="290" t="n"/>
      <c r="D348" s="291" t="n"/>
      <c r="E348" s="290" t="n"/>
      <c r="F348" s="290" t="n"/>
    </row>
    <row r="349" ht="13" customHeight="1" s="189">
      <c r="B349" s="290" t="n"/>
      <c r="C349" s="290" t="n"/>
      <c r="D349" s="291" t="n"/>
      <c r="E349" s="290" t="n"/>
      <c r="F349" s="290" t="n"/>
    </row>
    <row r="350" ht="13" customHeight="1" s="189">
      <c r="B350" s="290" t="n"/>
      <c r="C350" s="290" t="n"/>
      <c r="D350" s="291" t="n"/>
      <c r="E350" s="290" t="n"/>
      <c r="F350" s="290" t="n"/>
    </row>
    <row r="351" ht="13" customHeight="1" s="189">
      <c r="B351" s="290" t="n"/>
      <c r="C351" s="290" t="n"/>
      <c r="D351" s="291" t="n"/>
      <c r="E351" s="290" t="n"/>
      <c r="F351" s="290" t="n"/>
    </row>
    <row r="352" ht="13" customHeight="1" s="189">
      <c r="B352" s="290" t="n"/>
      <c r="C352" s="290" t="n"/>
      <c r="D352" s="291" t="n"/>
      <c r="E352" s="290" t="n"/>
      <c r="F352" s="290" t="n"/>
    </row>
    <row r="353" ht="13" customHeight="1" s="189">
      <c r="B353" s="290" t="n"/>
      <c r="C353" s="290" t="n"/>
      <c r="D353" s="291" t="n"/>
      <c r="E353" s="290" t="n"/>
      <c r="F353" s="290" t="n"/>
    </row>
    <row r="354" ht="13" customHeight="1" s="189">
      <c r="B354" s="290" t="n"/>
      <c r="C354" s="290" t="n"/>
      <c r="D354" s="291" t="n"/>
      <c r="E354" s="290" t="n"/>
      <c r="F354" s="290" t="n"/>
    </row>
    <row r="355" ht="13" customHeight="1" s="189">
      <c r="B355" s="290" t="n"/>
      <c r="C355" s="290" t="n"/>
      <c r="D355" s="291" t="n"/>
      <c r="E355" s="290" t="n"/>
      <c r="F355" s="290" t="n"/>
    </row>
    <row r="356" ht="13" customHeight="1" s="189">
      <c r="B356" s="290" t="n"/>
      <c r="C356" s="290" t="n"/>
      <c r="D356" s="291" t="n"/>
      <c r="E356" s="290" t="n"/>
      <c r="F356" s="290" t="n"/>
    </row>
    <row r="357" ht="13" customHeight="1" s="189">
      <c r="B357" s="290" t="n"/>
      <c r="C357" s="290" t="n"/>
      <c r="D357" s="291" t="n"/>
      <c r="E357" s="290" t="n"/>
      <c r="F357" s="290" t="n"/>
    </row>
    <row r="358" ht="13" customHeight="1" s="189">
      <c r="B358" s="290" t="n"/>
      <c r="C358" s="290" t="n"/>
      <c r="D358" s="291" t="n"/>
      <c r="E358" s="290" t="n"/>
      <c r="F358" s="290" t="n"/>
    </row>
    <row r="359" ht="13" customHeight="1" s="189">
      <c r="B359" s="290" t="n"/>
      <c r="C359" s="290" t="n"/>
      <c r="D359" s="291" t="n"/>
      <c r="E359" s="290" t="n"/>
      <c r="F359" s="290" t="n"/>
    </row>
    <row r="360" ht="13" customHeight="1" s="189">
      <c r="B360" s="290" t="n"/>
      <c r="C360" s="290" t="n"/>
      <c r="D360" s="291" t="n"/>
      <c r="E360" s="290" t="n"/>
      <c r="F360" s="290" t="n"/>
    </row>
    <row r="361" ht="13" customHeight="1" s="189">
      <c r="B361" s="290" t="n"/>
      <c r="C361" s="290" t="n"/>
      <c r="D361" s="291" t="n"/>
      <c r="E361" s="290" t="n"/>
      <c r="F361" s="290" t="n"/>
    </row>
    <row r="362" ht="13" customHeight="1" s="189">
      <c r="B362" s="290" t="n"/>
      <c r="C362" s="290" t="n"/>
      <c r="D362" s="291" t="n"/>
      <c r="E362" s="290" t="n"/>
      <c r="F362" s="290" t="n"/>
    </row>
    <row r="363" ht="13" customHeight="1" s="189">
      <c r="B363" s="290" t="n"/>
      <c r="C363" s="290" t="n"/>
      <c r="D363" s="291" t="n"/>
      <c r="E363" s="290" t="n"/>
      <c r="F363" s="290" t="n"/>
    </row>
    <row r="364" ht="13" customHeight="1" s="189">
      <c r="B364" s="290" t="n"/>
      <c r="C364" s="290" t="n"/>
      <c r="D364" s="291" t="n"/>
      <c r="E364" s="290" t="n"/>
      <c r="F364" s="290" t="n"/>
    </row>
    <row r="365" ht="13" customHeight="1" s="189">
      <c r="B365" s="290" t="n"/>
      <c r="C365" s="290" t="n"/>
      <c r="D365" s="291" t="n"/>
      <c r="E365" s="290" t="n"/>
      <c r="F365" s="290" t="n"/>
    </row>
    <row r="366" ht="13" customHeight="1" s="189">
      <c r="B366" s="290" t="n"/>
      <c r="C366" s="290" t="n"/>
      <c r="D366" s="291" t="n"/>
      <c r="E366" s="290" t="n"/>
      <c r="F366" s="290" t="n"/>
    </row>
    <row r="367" ht="13" customHeight="1" s="189">
      <c r="B367" s="290" t="n"/>
      <c r="C367" s="290" t="n"/>
      <c r="D367" s="291" t="n"/>
      <c r="E367" s="290" t="n"/>
      <c r="F367" s="290" t="n"/>
    </row>
    <row r="368" ht="13" customHeight="1" s="189">
      <c r="B368" s="290" t="n"/>
      <c r="C368" s="290" t="n"/>
      <c r="D368" s="291" t="n"/>
      <c r="E368" s="290" t="n"/>
      <c r="F368" s="290" t="n"/>
    </row>
    <row r="369" ht="13" customHeight="1" s="189">
      <c r="B369" s="290" t="n"/>
      <c r="C369" s="290" t="n"/>
      <c r="D369" s="291" t="n"/>
      <c r="E369" s="290" t="n"/>
      <c r="F369" s="290" t="n"/>
    </row>
    <row r="370" ht="13" customHeight="1" s="189">
      <c r="B370" s="290" t="n"/>
      <c r="C370" s="290" t="n"/>
      <c r="D370" s="291" t="n"/>
      <c r="E370" s="290" t="n"/>
      <c r="F370" s="290" t="n"/>
    </row>
    <row r="371" ht="13" customHeight="1" s="189">
      <c r="B371" s="290" t="n"/>
      <c r="C371" s="290" t="n"/>
      <c r="D371" s="291" t="n"/>
      <c r="E371" s="290" t="n"/>
      <c r="F371" s="290" t="n"/>
    </row>
    <row r="372" ht="13" customHeight="1" s="189">
      <c r="B372" s="290" t="n"/>
      <c r="C372" s="290" t="n"/>
      <c r="D372" s="291" t="n"/>
      <c r="E372" s="290" t="n"/>
      <c r="F372" s="290" t="n"/>
    </row>
    <row r="373" ht="13" customHeight="1" s="189">
      <c r="B373" s="290" t="n"/>
      <c r="C373" s="290" t="n"/>
      <c r="D373" s="291" t="n"/>
      <c r="E373" s="290" t="n"/>
      <c r="F373" s="290" t="n"/>
    </row>
    <row r="374" ht="13" customHeight="1" s="189">
      <c r="B374" s="290" t="n"/>
      <c r="C374" s="290" t="n"/>
      <c r="D374" s="291" t="n"/>
      <c r="E374" s="290" t="n"/>
      <c r="F374" s="290" t="n"/>
    </row>
    <row r="375" ht="13" customHeight="1" s="189">
      <c r="B375" s="290" t="n"/>
      <c r="C375" s="290" t="n"/>
      <c r="D375" s="291" t="n"/>
      <c r="E375" s="290" t="n"/>
      <c r="F375" s="290" t="n"/>
    </row>
    <row r="376" ht="13" customHeight="1" s="189">
      <c r="B376" s="290" t="n"/>
      <c r="C376" s="290" t="n"/>
      <c r="D376" s="291" t="n"/>
      <c r="E376" s="290" t="n"/>
      <c r="F376" s="290" t="n"/>
    </row>
    <row r="377" ht="13" customHeight="1" s="189">
      <c r="B377" s="290" t="n"/>
      <c r="C377" s="290" t="n"/>
      <c r="D377" s="291" t="n"/>
      <c r="E377" s="290" t="n"/>
      <c r="F377" s="290" t="n"/>
    </row>
    <row r="378" ht="13" customHeight="1" s="189">
      <c r="B378" s="290" t="n"/>
      <c r="C378" s="290" t="n"/>
      <c r="D378" s="291" t="n"/>
      <c r="E378" s="290" t="n"/>
      <c r="F378" s="290" t="n"/>
    </row>
    <row r="379" ht="13" customHeight="1" s="189">
      <c r="B379" s="290" t="n"/>
      <c r="C379" s="290" t="n"/>
      <c r="D379" s="291" t="n"/>
      <c r="E379" s="290" t="n"/>
      <c r="F379" s="290" t="n"/>
    </row>
    <row r="380" ht="13" customHeight="1" s="189">
      <c r="B380" s="290" t="n"/>
      <c r="C380" s="290" t="n"/>
      <c r="D380" s="291" t="n"/>
      <c r="E380" s="290" t="n"/>
      <c r="F380" s="290" t="n"/>
    </row>
    <row r="381" ht="13" customHeight="1" s="189">
      <c r="B381" s="290" t="n"/>
      <c r="C381" s="290" t="n"/>
      <c r="D381" s="291" t="n"/>
      <c r="E381" s="290" t="n"/>
      <c r="F381" s="290" t="n"/>
    </row>
    <row r="382" ht="13" customHeight="1" s="189">
      <c r="B382" s="290" t="n"/>
      <c r="C382" s="290" t="n"/>
      <c r="D382" s="291" t="n"/>
      <c r="E382" s="290" t="n"/>
      <c r="F382" s="290" t="n"/>
    </row>
    <row r="383" ht="13" customHeight="1" s="189">
      <c r="B383" s="290" t="n"/>
      <c r="C383" s="290" t="n"/>
      <c r="D383" s="291" t="n"/>
      <c r="E383" s="290" t="n"/>
      <c r="F383" s="290" t="n"/>
    </row>
    <row r="384" ht="13" customHeight="1" s="189">
      <c r="B384" s="290" t="n"/>
      <c r="C384" s="290" t="n"/>
      <c r="D384" s="291" t="n"/>
      <c r="E384" s="290" t="n"/>
      <c r="F384" s="290" t="n"/>
    </row>
    <row r="385" ht="13" customHeight="1" s="189">
      <c r="B385" s="290" t="n"/>
      <c r="C385" s="290" t="n"/>
      <c r="D385" s="291" t="n"/>
      <c r="E385" s="290" t="n"/>
      <c r="F385" s="290" t="n"/>
    </row>
    <row r="386" ht="13" customHeight="1" s="189">
      <c r="B386" s="290" t="n"/>
      <c r="C386" s="290" t="n"/>
      <c r="D386" s="291" t="n"/>
      <c r="E386" s="290" t="n"/>
      <c r="F386" s="290" t="n"/>
    </row>
    <row r="387" ht="13" customHeight="1" s="189">
      <c r="B387" s="290" t="n"/>
      <c r="C387" s="290" t="n"/>
      <c r="D387" s="291" t="n"/>
      <c r="E387" s="290" t="n"/>
      <c r="F387" s="290" t="n"/>
    </row>
    <row r="388" ht="13" customHeight="1" s="189">
      <c r="B388" s="290" t="n"/>
      <c r="C388" s="290" t="n"/>
      <c r="D388" s="291" t="n"/>
      <c r="E388" s="290" t="n"/>
      <c r="F388" s="290" t="n"/>
    </row>
    <row r="389" ht="13" customHeight="1" s="189">
      <c r="B389" s="290" t="n"/>
      <c r="C389" s="290" t="n"/>
      <c r="D389" s="291" t="n"/>
      <c r="E389" s="290" t="n"/>
      <c r="F389" s="290" t="n"/>
    </row>
    <row r="390" ht="13" customHeight="1" s="189">
      <c r="B390" s="290" t="n"/>
      <c r="C390" s="290" t="n"/>
      <c r="D390" s="291" t="n"/>
      <c r="E390" s="290" t="n"/>
      <c r="F390" s="290" t="n"/>
    </row>
    <row r="391" ht="13" customHeight="1" s="189">
      <c r="B391" s="290" t="n"/>
      <c r="C391" s="290" t="n"/>
      <c r="D391" s="291" t="n"/>
      <c r="E391" s="290" t="n"/>
      <c r="F391" s="290" t="n"/>
    </row>
    <row r="392" ht="13" customHeight="1" s="189">
      <c r="B392" s="290" t="n"/>
      <c r="C392" s="290" t="n"/>
      <c r="D392" s="291" t="n"/>
      <c r="E392" s="290" t="n"/>
      <c r="F392" s="290" t="n"/>
    </row>
    <row r="393" ht="13" customHeight="1" s="189">
      <c r="B393" s="290" t="n"/>
      <c r="C393" s="290" t="n"/>
      <c r="D393" s="291" t="n"/>
      <c r="E393" s="290" t="n"/>
      <c r="F393" s="290" t="n"/>
    </row>
    <row r="394" ht="13" customHeight="1" s="189">
      <c r="B394" s="290" t="n"/>
      <c r="C394" s="290" t="n"/>
      <c r="D394" s="291" t="n"/>
      <c r="E394" s="290" t="n"/>
      <c r="F394" s="290" t="n"/>
    </row>
    <row r="395" ht="13" customHeight="1" s="189">
      <c r="B395" s="290" t="n"/>
      <c r="C395" s="290" t="n"/>
      <c r="D395" s="291" t="n"/>
      <c r="E395" s="290" t="n"/>
      <c r="F395" s="290" t="n"/>
    </row>
    <row r="396" ht="13" customHeight="1" s="189">
      <c r="B396" s="290" t="n"/>
      <c r="C396" s="290" t="n"/>
      <c r="D396" s="291" t="n"/>
      <c r="E396" s="290" t="n"/>
      <c r="F396" s="290" t="n"/>
    </row>
    <row r="397" ht="13" customHeight="1" s="189">
      <c r="B397" s="290" t="n"/>
      <c r="C397" s="290" t="n"/>
      <c r="D397" s="291" t="n"/>
      <c r="E397" s="290" t="n"/>
      <c r="F397" s="290" t="n"/>
    </row>
    <row r="398" ht="13" customHeight="1" s="189">
      <c r="B398" s="290" t="n"/>
      <c r="C398" s="290" t="n"/>
      <c r="D398" s="291" t="n"/>
      <c r="E398" s="290" t="n"/>
      <c r="F398" s="290" t="n"/>
    </row>
    <row r="399" ht="13" customHeight="1" s="189">
      <c r="B399" s="290" t="n"/>
      <c r="C399" s="290" t="n"/>
      <c r="D399" s="291" t="n"/>
      <c r="E399" s="290" t="n"/>
      <c r="F399" s="290" t="n"/>
    </row>
    <row r="400" ht="13" customHeight="1" s="189">
      <c r="B400" s="290" t="n"/>
      <c r="C400" s="290" t="n"/>
      <c r="D400" s="291" t="n"/>
      <c r="E400" s="290" t="n"/>
      <c r="F400" s="290" t="n"/>
    </row>
    <row r="401" ht="13" customHeight="1" s="189">
      <c r="B401" s="290" t="n"/>
      <c r="C401" s="290" t="n"/>
      <c r="D401" s="291" t="n"/>
      <c r="E401" s="290" t="n"/>
      <c r="F401" s="290" t="n"/>
    </row>
    <row r="402" ht="13" customHeight="1" s="189">
      <c r="B402" s="290" t="n"/>
      <c r="C402" s="290" t="n"/>
      <c r="D402" s="291" t="n"/>
      <c r="E402" s="290" t="n"/>
      <c r="F402" s="290" t="n"/>
    </row>
    <row r="403" ht="13" customHeight="1" s="189">
      <c r="B403" s="290" t="n"/>
      <c r="C403" s="290" t="n"/>
      <c r="D403" s="291" t="n"/>
      <c r="E403" s="290" t="n"/>
      <c r="F403" s="290" t="n"/>
    </row>
    <row r="404" ht="13" customHeight="1" s="189">
      <c r="B404" s="290" t="n"/>
      <c r="C404" s="290" t="n"/>
      <c r="D404" s="291" t="n"/>
      <c r="E404" s="290" t="n"/>
      <c r="F404" s="290" t="n"/>
    </row>
    <row r="405" ht="13" customHeight="1" s="189">
      <c r="B405" s="290" t="n"/>
      <c r="C405" s="290" t="n"/>
      <c r="D405" s="291" t="n"/>
      <c r="E405" s="290" t="n"/>
      <c r="F405" s="290" t="n"/>
    </row>
    <row r="406" ht="13" customHeight="1" s="189">
      <c r="B406" s="290" t="n"/>
      <c r="C406" s="290" t="n"/>
      <c r="D406" s="291" t="n"/>
      <c r="E406" s="290" t="n"/>
      <c r="F406" s="290" t="n"/>
    </row>
    <row r="407" ht="13" customHeight="1" s="189">
      <c r="B407" s="290" t="n"/>
      <c r="C407" s="290" t="n"/>
      <c r="D407" s="291" t="n"/>
      <c r="E407" s="290" t="n"/>
      <c r="F407" s="290" t="n"/>
    </row>
    <row r="408" ht="13" customHeight="1" s="189">
      <c r="B408" s="290" t="n"/>
      <c r="C408" s="290" t="n"/>
      <c r="D408" s="291" t="n"/>
      <c r="E408" s="290" t="n"/>
      <c r="F408" s="290" t="n"/>
    </row>
    <row r="409" ht="13" customHeight="1" s="189">
      <c r="B409" s="290" t="n"/>
      <c r="C409" s="290" t="n"/>
      <c r="D409" s="291" t="n"/>
      <c r="E409" s="290" t="n"/>
      <c r="F409" s="290" t="n"/>
    </row>
    <row r="410" ht="13" customHeight="1" s="189">
      <c r="B410" s="290" t="n"/>
      <c r="C410" s="290" t="n"/>
      <c r="D410" s="291" t="n"/>
      <c r="E410" s="290" t="n"/>
      <c r="F410" s="290" t="n"/>
    </row>
    <row r="411" ht="13" customHeight="1" s="189">
      <c r="B411" s="290" t="n"/>
      <c r="C411" s="290" t="n"/>
      <c r="D411" s="291" t="n"/>
      <c r="E411" s="290" t="n"/>
      <c r="F411" s="290" t="n"/>
    </row>
    <row r="412" ht="13" customHeight="1" s="189">
      <c r="B412" s="290" t="n"/>
      <c r="C412" s="290" t="n"/>
      <c r="D412" s="291" t="n"/>
      <c r="E412" s="290" t="n"/>
      <c r="F412" s="290" t="n"/>
    </row>
    <row r="413" ht="13" customHeight="1" s="189">
      <c r="B413" s="290" t="n"/>
      <c r="C413" s="290" t="n"/>
      <c r="D413" s="291" t="n"/>
      <c r="E413" s="290" t="n"/>
      <c r="F413" s="290" t="n"/>
    </row>
    <row r="414" ht="13" customHeight="1" s="189">
      <c r="B414" s="290" t="n"/>
      <c r="C414" s="290" t="n"/>
      <c r="D414" s="291" t="n"/>
      <c r="E414" s="290" t="n"/>
      <c r="F414" s="290" t="n"/>
    </row>
    <row r="415" ht="13" customHeight="1" s="189">
      <c r="B415" s="290" t="n"/>
      <c r="C415" s="290" t="n"/>
      <c r="D415" s="291" t="n"/>
      <c r="E415" s="290" t="n"/>
      <c r="F415" s="290" t="n"/>
    </row>
    <row r="416" ht="13" customHeight="1" s="189">
      <c r="B416" s="290" t="n"/>
      <c r="C416" s="290" t="n"/>
      <c r="D416" s="291" t="n"/>
      <c r="E416" s="290" t="n"/>
      <c r="F416" s="290" t="n"/>
    </row>
    <row r="417" ht="13" customHeight="1" s="189">
      <c r="B417" s="290" t="n"/>
      <c r="C417" s="290" t="n"/>
      <c r="D417" s="291" t="n"/>
      <c r="E417" s="290" t="n"/>
      <c r="F417" s="290" t="n"/>
    </row>
    <row r="418" ht="13" customHeight="1" s="189">
      <c r="B418" s="290" t="n"/>
      <c r="C418" s="290" t="n"/>
      <c r="D418" s="291" t="n"/>
      <c r="E418" s="290" t="n"/>
      <c r="F418" s="290" t="n"/>
    </row>
    <row r="419" ht="13" customHeight="1" s="189">
      <c r="B419" s="290" t="n"/>
      <c r="C419" s="290" t="n"/>
      <c r="D419" s="291" t="n"/>
      <c r="E419" s="290" t="n"/>
      <c r="F419" s="290" t="n"/>
    </row>
    <row r="420" ht="13" customHeight="1" s="189">
      <c r="B420" s="290" t="n"/>
      <c r="C420" s="290" t="n"/>
      <c r="D420" s="291" t="n"/>
      <c r="E420" s="290" t="n"/>
      <c r="F420" s="290" t="n"/>
    </row>
    <row r="421" ht="13" customHeight="1" s="189">
      <c r="B421" s="290" t="n"/>
      <c r="C421" s="290" t="n"/>
      <c r="D421" s="291" t="n"/>
      <c r="E421" s="290" t="n"/>
      <c r="F421" s="290" t="n"/>
    </row>
    <row r="422" ht="13" customHeight="1" s="189">
      <c r="B422" s="290" t="n"/>
      <c r="C422" s="290" t="n"/>
      <c r="D422" s="291" t="n"/>
      <c r="E422" s="290" t="n"/>
      <c r="F422" s="290" t="n"/>
    </row>
    <row r="423" ht="13" customHeight="1" s="189">
      <c r="B423" s="290" t="n"/>
      <c r="C423" s="290" t="n"/>
      <c r="D423" s="291" t="n"/>
      <c r="E423" s="290" t="n"/>
      <c r="F423" s="290" t="n"/>
    </row>
    <row r="424" ht="13" customHeight="1" s="189">
      <c r="B424" s="290" t="n"/>
      <c r="C424" s="290" t="n"/>
      <c r="D424" s="291" t="n"/>
      <c r="E424" s="290" t="n"/>
      <c r="F424" s="290" t="n"/>
    </row>
    <row r="425" ht="13" customHeight="1" s="189">
      <c r="B425" s="290" t="n"/>
      <c r="C425" s="290" t="n"/>
      <c r="D425" s="291" t="n"/>
      <c r="E425" s="290" t="n"/>
      <c r="F425" s="290" t="n"/>
    </row>
    <row r="426" ht="13" customHeight="1" s="189">
      <c r="B426" s="290" t="n"/>
      <c r="C426" s="290" t="n"/>
      <c r="D426" s="291" t="n"/>
      <c r="E426" s="290" t="n"/>
      <c r="F426" s="290" t="n"/>
    </row>
    <row r="427" ht="13" customHeight="1" s="189">
      <c r="B427" s="290" t="n"/>
      <c r="C427" s="290" t="n"/>
      <c r="D427" s="291" t="n"/>
      <c r="E427" s="290" t="n"/>
      <c r="F427" s="290" t="n"/>
    </row>
    <row r="428" ht="13" customHeight="1" s="189">
      <c r="B428" s="290" t="n"/>
      <c r="C428" s="290" t="n"/>
      <c r="D428" s="291" t="n"/>
      <c r="E428" s="290" t="n"/>
      <c r="F428" s="290" t="n"/>
    </row>
    <row r="429" ht="13" customHeight="1" s="189">
      <c r="B429" s="290" t="n"/>
      <c r="C429" s="290" t="n"/>
      <c r="D429" s="291" t="n"/>
      <c r="E429" s="290" t="n"/>
      <c r="F429" s="290" t="n"/>
    </row>
    <row r="430" ht="13" customHeight="1" s="189">
      <c r="B430" s="290" t="n"/>
      <c r="C430" s="290" t="n"/>
      <c r="D430" s="291" t="n"/>
      <c r="E430" s="290" t="n"/>
      <c r="F430" s="290" t="n"/>
    </row>
    <row r="431" ht="13" customHeight="1" s="189">
      <c r="B431" s="290" t="n"/>
      <c r="C431" s="290" t="n"/>
      <c r="D431" s="291" t="n"/>
      <c r="E431" s="290" t="n"/>
      <c r="F431" s="290" t="n"/>
    </row>
    <row r="432" ht="13" customHeight="1" s="189">
      <c r="B432" s="290" t="n"/>
      <c r="C432" s="290" t="n"/>
      <c r="D432" s="291" t="n"/>
      <c r="E432" s="290" t="n"/>
      <c r="F432" s="290" t="n"/>
    </row>
    <row r="433" ht="13" customHeight="1" s="189">
      <c r="B433" s="290" t="n"/>
      <c r="C433" s="290" t="n"/>
      <c r="D433" s="291" t="n"/>
      <c r="E433" s="290" t="n"/>
      <c r="F433" s="290" t="n"/>
    </row>
    <row r="434" ht="13" customHeight="1" s="189">
      <c r="B434" s="290" t="n"/>
      <c r="C434" s="290" t="n"/>
      <c r="D434" s="291" t="n"/>
      <c r="E434" s="290" t="n"/>
      <c r="F434" s="290" t="n"/>
    </row>
    <row r="435" ht="13" customHeight="1" s="189">
      <c r="B435" s="290" t="n"/>
      <c r="C435" s="290" t="n"/>
      <c r="D435" s="291" t="n"/>
      <c r="E435" s="290" t="n"/>
      <c r="F435" s="290" t="n"/>
    </row>
    <row r="436" ht="13" customHeight="1" s="189">
      <c r="B436" s="290" t="n"/>
      <c r="C436" s="290" t="n"/>
      <c r="D436" s="291" t="n"/>
      <c r="E436" s="290" t="n"/>
      <c r="F436" s="290" t="n"/>
    </row>
    <row r="437" ht="13" customHeight="1" s="189">
      <c r="B437" s="290" t="n"/>
      <c r="C437" s="290" t="n"/>
      <c r="D437" s="291" t="n"/>
      <c r="E437" s="290" t="n"/>
      <c r="F437" s="290" t="n"/>
    </row>
    <row r="438" ht="13" customHeight="1" s="189">
      <c r="B438" s="290" t="n"/>
      <c r="C438" s="290" t="n"/>
      <c r="D438" s="291" t="n"/>
      <c r="E438" s="290" t="n"/>
      <c r="F438" s="290" t="n"/>
    </row>
    <row r="439" ht="13" customHeight="1" s="189">
      <c r="B439" s="290" t="n"/>
      <c r="C439" s="290" t="n"/>
      <c r="D439" s="291" t="n"/>
      <c r="E439" s="290" t="n"/>
      <c r="F439" s="290" t="n"/>
    </row>
    <row r="440" ht="13" customHeight="1" s="189">
      <c r="B440" s="290" t="n"/>
      <c r="C440" s="290" t="n"/>
      <c r="D440" s="291" t="n"/>
      <c r="E440" s="290" t="n"/>
      <c r="F440" s="290" t="n"/>
    </row>
    <row r="441" ht="13" customHeight="1" s="189">
      <c r="B441" s="290" t="n"/>
      <c r="C441" s="290" t="n"/>
      <c r="D441" s="291" t="n"/>
      <c r="E441" s="290" t="n"/>
      <c r="F441" s="290" t="n"/>
    </row>
    <row r="442" ht="13" customHeight="1" s="189">
      <c r="B442" s="290" t="n"/>
      <c r="C442" s="290" t="n"/>
      <c r="D442" s="291" t="n"/>
      <c r="E442" s="290" t="n"/>
      <c r="F442" s="290" t="n"/>
    </row>
    <row r="443" ht="13" customHeight="1" s="189">
      <c r="B443" s="290" t="n"/>
      <c r="C443" s="290" t="n"/>
      <c r="D443" s="291" t="n"/>
      <c r="E443" s="290" t="n"/>
      <c r="F443" s="290" t="n"/>
    </row>
    <row r="444" ht="13" customHeight="1" s="189">
      <c r="B444" s="290" t="n"/>
      <c r="C444" s="290" t="n"/>
      <c r="D444" s="291" t="n"/>
      <c r="E444" s="290" t="n"/>
      <c r="F444" s="290" t="n"/>
    </row>
    <row r="445" ht="13" customHeight="1" s="189">
      <c r="B445" s="290" t="n"/>
      <c r="C445" s="290" t="n"/>
      <c r="D445" s="291" t="n"/>
      <c r="E445" s="290" t="n"/>
      <c r="F445" s="290" t="n"/>
    </row>
    <row r="446" ht="13" customHeight="1" s="189">
      <c r="B446" s="290" t="n"/>
      <c r="C446" s="290" t="n"/>
      <c r="D446" s="291" t="n"/>
      <c r="E446" s="290" t="n"/>
      <c r="F446" s="290" t="n"/>
    </row>
    <row r="447" ht="13" customHeight="1" s="189">
      <c r="B447" s="290" t="n"/>
      <c r="C447" s="290" t="n"/>
      <c r="D447" s="291" t="n"/>
      <c r="E447" s="290" t="n"/>
      <c r="F447" s="290" t="n"/>
    </row>
    <row r="448" ht="13" customHeight="1" s="189">
      <c r="B448" s="290" t="n"/>
      <c r="C448" s="290" t="n"/>
      <c r="D448" s="291" t="n"/>
      <c r="E448" s="290" t="n"/>
      <c r="F448" s="290" t="n"/>
    </row>
    <row r="449" ht="13" customHeight="1" s="189">
      <c r="B449" s="290" t="n"/>
      <c r="C449" s="290" t="n"/>
      <c r="D449" s="291" t="n"/>
      <c r="E449" s="290" t="n"/>
      <c r="F449" s="290" t="n"/>
    </row>
    <row r="450" ht="13" customHeight="1" s="189">
      <c r="B450" s="290" t="n"/>
      <c r="C450" s="290" t="n"/>
      <c r="D450" s="291" t="n"/>
      <c r="E450" s="290" t="n"/>
      <c r="F450" s="290" t="n"/>
    </row>
    <row r="451" ht="13" customHeight="1" s="189">
      <c r="B451" s="290" t="n"/>
      <c r="C451" s="290" t="n"/>
      <c r="D451" s="291" t="n"/>
      <c r="E451" s="290" t="n"/>
      <c r="F451" s="290" t="n"/>
    </row>
    <row r="452" ht="13" customHeight="1" s="189">
      <c r="B452" s="290" t="n"/>
      <c r="C452" s="290" t="n"/>
      <c r="D452" s="291" t="n"/>
      <c r="E452" s="290" t="n"/>
      <c r="F452" s="290" t="n"/>
    </row>
    <row r="453" ht="13" customHeight="1" s="189">
      <c r="B453" s="290" t="n"/>
      <c r="C453" s="290" t="n"/>
      <c r="D453" s="291" t="n"/>
      <c r="E453" s="290" t="n"/>
      <c r="F453" s="290" t="n"/>
    </row>
    <row r="454" ht="13" customHeight="1" s="189">
      <c r="B454" s="290" t="n"/>
      <c r="C454" s="290" t="n"/>
      <c r="D454" s="291" t="n"/>
      <c r="E454" s="290" t="n"/>
      <c r="F454" s="290" t="n"/>
    </row>
    <row r="455" ht="13" customHeight="1" s="189">
      <c r="B455" s="290" t="n"/>
      <c r="C455" s="290" t="n"/>
      <c r="D455" s="291" t="n"/>
      <c r="E455" s="290" t="n"/>
      <c r="F455" s="290" t="n"/>
    </row>
    <row r="456" ht="13" customHeight="1" s="189">
      <c r="B456" s="290" t="n"/>
      <c r="C456" s="290" t="n"/>
      <c r="D456" s="291" t="n"/>
      <c r="E456" s="290" t="n"/>
      <c r="F456" s="290" t="n"/>
    </row>
    <row r="457" ht="13" customHeight="1" s="189">
      <c r="B457" s="290" t="n"/>
      <c r="C457" s="290" t="n"/>
      <c r="D457" s="291" t="n"/>
      <c r="E457" s="290" t="n"/>
      <c r="F457" s="290" t="n"/>
    </row>
    <row r="458" ht="13" customHeight="1" s="189">
      <c r="B458" s="290" t="n"/>
      <c r="C458" s="290" t="n"/>
      <c r="D458" s="291" t="n"/>
      <c r="E458" s="290" t="n"/>
      <c r="F458" s="290" t="n"/>
    </row>
    <row r="459" ht="13" customHeight="1" s="189">
      <c r="B459" s="290" t="n"/>
      <c r="C459" s="290" t="n"/>
      <c r="D459" s="291" t="n"/>
      <c r="E459" s="290" t="n"/>
      <c r="F459" s="290" t="n"/>
    </row>
    <row r="460" ht="13" customHeight="1" s="189">
      <c r="B460" s="290" t="n"/>
      <c r="C460" s="290" t="n"/>
      <c r="D460" s="291" t="n"/>
      <c r="E460" s="290" t="n"/>
      <c r="F460" s="290" t="n"/>
    </row>
    <row r="461" ht="13" customHeight="1" s="189">
      <c r="B461" s="290" t="n"/>
      <c r="C461" s="290" t="n"/>
      <c r="D461" s="291" t="n"/>
      <c r="E461" s="290" t="n"/>
      <c r="F461" s="290" t="n"/>
    </row>
    <row r="462" ht="13" customHeight="1" s="189">
      <c r="B462" s="290" t="n"/>
      <c r="C462" s="290" t="n"/>
      <c r="D462" s="291" t="n"/>
      <c r="E462" s="290" t="n"/>
      <c r="F462" s="290" t="n"/>
    </row>
    <row r="463" ht="13" customHeight="1" s="189">
      <c r="B463" s="290" t="n"/>
      <c r="C463" s="290" t="n"/>
      <c r="D463" s="291" t="n"/>
      <c r="E463" s="290" t="n"/>
      <c r="F463" s="290" t="n"/>
    </row>
    <row r="464" ht="13" customHeight="1" s="189">
      <c r="B464" s="290" t="n"/>
      <c r="C464" s="290" t="n"/>
      <c r="D464" s="291" t="n"/>
      <c r="E464" s="290" t="n"/>
      <c r="F464" s="290" t="n"/>
    </row>
    <row r="465" ht="13" customHeight="1" s="189">
      <c r="B465" s="290" t="n"/>
      <c r="C465" s="290" t="n"/>
      <c r="D465" s="291" t="n"/>
      <c r="E465" s="290" t="n"/>
      <c r="F465" s="290" t="n"/>
    </row>
    <row r="466" ht="13" customHeight="1" s="189">
      <c r="B466" s="290" t="n"/>
      <c r="C466" s="290" t="n"/>
      <c r="D466" s="291" t="n"/>
      <c r="E466" s="290" t="n"/>
      <c r="F466" s="290" t="n"/>
    </row>
    <row r="467" ht="13" customHeight="1" s="189">
      <c r="B467" s="290" t="n"/>
      <c r="C467" s="290" t="n"/>
      <c r="D467" s="291" t="n"/>
      <c r="E467" s="290" t="n"/>
      <c r="F467" s="290" t="n"/>
    </row>
    <row r="468" ht="13" customHeight="1" s="189">
      <c r="B468" s="290" t="n"/>
      <c r="C468" s="290" t="n"/>
      <c r="D468" s="291" t="n"/>
      <c r="E468" s="290" t="n"/>
      <c r="F468" s="290" t="n"/>
    </row>
    <row r="469" ht="13" customHeight="1" s="189">
      <c r="B469" s="290" t="n"/>
      <c r="C469" s="290" t="n"/>
      <c r="D469" s="291" t="n"/>
      <c r="E469" s="290" t="n"/>
      <c r="F469" s="290" t="n"/>
    </row>
    <row r="470" ht="13" customHeight="1" s="189">
      <c r="B470" s="290" t="n"/>
      <c r="C470" s="290" t="n"/>
      <c r="D470" s="291" t="n"/>
      <c r="E470" s="290" t="n"/>
      <c r="F470" s="290" t="n"/>
    </row>
    <row r="471" ht="13" customHeight="1" s="189">
      <c r="B471" s="290" t="n"/>
      <c r="C471" s="290" t="n"/>
      <c r="D471" s="291" t="n"/>
      <c r="E471" s="290" t="n"/>
      <c r="F471" s="290" t="n"/>
    </row>
    <row r="472" ht="13" customHeight="1" s="189">
      <c r="B472" s="290" t="n"/>
      <c r="C472" s="290" t="n"/>
      <c r="D472" s="291" t="n"/>
      <c r="E472" s="290" t="n"/>
      <c r="F472" s="290" t="n"/>
    </row>
    <row r="473" ht="13" customHeight="1" s="189">
      <c r="B473" s="290" t="n"/>
      <c r="C473" s="290" t="n"/>
      <c r="D473" s="291" t="n"/>
      <c r="E473" s="290" t="n"/>
      <c r="F473" s="290" t="n"/>
    </row>
    <row r="474" ht="13" customHeight="1" s="189">
      <c r="B474" s="290" t="n"/>
      <c r="C474" s="290" t="n"/>
      <c r="D474" s="291" t="n"/>
      <c r="E474" s="290" t="n"/>
      <c r="F474" s="290" t="n"/>
    </row>
    <row r="475" ht="13" customHeight="1" s="189">
      <c r="B475" s="290" t="n"/>
      <c r="C475" s="290" t="n"/>
      <c r="D475" s="291" t="n"/>
      <c r="E475" s="290" t="n"/>
      <c r="F475" s="290" t="n"/>
    </row>
    <row r="476" ht="13" customHeight="1" s="189">
      <c r="B476" s="290" t="n"/>
      <c r="C476" s="290" t="n"/>
      <c r="D476" s="291" t="n"/>
      <c r="E476" s="290" t="n"/>
      <c r="F476" s="290" t="n"/>
    </row>
    <row r="477" ht="13" customHeight="1" s="189">
      <c r="B477" s="290" t="n"/>
      <c r="C477" s="290" t="n"/>
      <c r="D477" s="291" t="n"/>
      <c r="E477" s="290" t="n"/>
      <c r="F477" s="290" t="n"/>
    </row>
    <row r="478" ht="13" customHeight="1" s="189">
      <c r="B478" s="290" t="n"/>
      <c r="C478" s="290" t="n"/>
      <c r="D478" s="291" t="n"/>
      <c r="E478" s="290" t="n"/>
      <c r="F478" s="290" t="n"/>
    </row>
    <row r="479" ht="13" customHeight="1" s="189">
      <c r="B479" s="290" t="n"/>
      <c r="C479" s="290" t="n"/>
      <c r="D479" s="291" t="n"/>
      <c r="E479" s="290" t="n"/>
      <c r="F479" s="290" t="n"/>
    </row>
    <row r="480" ht="13" customHeight="1" s="189">
      <c r="B480" s="290" t="n"/>
      <c r="C480" s="290" t="n"/>
      <c r="D480" s="291" t="n"/>
      <c r="E480" s="290" t="n"/>
      <c r="F480" s="290" t="n"/>
    </row>
    <row r="481" ht="13" customHeight="1" s="189">
      <c r="B481" s="290" t="n"/>
      <c r="C481" s="290" t="n"/>
      <c r="D481" s="291" t="n"/>
      <c r="E481" s="290" t="n"/>
      <c r="F481" s="290" t="n"/>
    </row>
    <row r="482" ht="13" customHeight="1" s="189">
      <c r="B482" s="290" t="n"/>
      <c r="C482" s="290" t="n"/>
      <c r="D482" s="291" t="n"/>
      <c r="E482" s="290" t="n"/>
      <c r="F482" s="290" t="n"/>
    </row>
    <row r="483" ht="13" customHeight="1" s="189">
      <c r="B483" s="290" t="n"/>
      <c r="C483" s="290" t="n"/>
      <c r="D483" s="291" t="n"/>
      <c r="E483" s="290" t="n"/>
      <c r="F483" s="290" t="n"/>
    </row>
    <row r="484" ht="13" customHeight="1" s="189">
      <c r="B484" s="290" t="n"/>
      <c r="C484" s="290" t="n"/>
      <c r="D484" s="291" t="n"/>
      <c r="E484" s="290" t="n"/>
      <c r="F484" s="290" t="n"/>
    </row>
    <row r="485" ht="13" customHeight="1" s="189">
      <c r="B485" s="290" t="n"/>
      <c r="C485" s="290" t="n"/>
      <c r="D485" s="291" t="n"/>
      <c r="E485" s="290" t="n"/>
      <c r="F485" s="290" t="n"/>
    </row>
    <row r="486" ht="13" customHeight="1" s="189">
      <c r="B486" s="290" t="n"/>
      <c r="C486" s="290" t="n"/>
      <c r="D486" s="291" t="n"/>
      <c r="E486" s="290" t="n"/>
      <c r="F486" s="290" t="n"/>
    </row>
    <row r="487" ht="13" customHeight="1" s="189">
      <c r="B487" s="290" t="n"/>
      <c r="C487" s="290" t="n"/>
      <c r="D487" s="291" t="n"/>
      <c r="E487" s="290" t="n"/>
      <c r="F487" s="290" t="n"/>
    </row>
    <row r="488" ht="13" customHeight="1" s="189">
      <c r="B488" s="290" t="n"/>
      <c r="C488" s="290" t="n"/>
      <c r="D488" s="291" t="n"/>
      <c r="E488" s="290" t="n"/>
      <c r="F488" s="290" t="n"/>
    </row>
    <row r="489" ht="13" customHeight="1" s="189">
      <c r="B489" s="290" t="n"/>
      <c r="C489" s="290" t="n"/>
      <c r="D489" s="291" t="n"/>
      <c r="E489" s="290" t="n"/>
      <c r="F489" s="290" t="n"/>
    </row>
    <row r="490" ht="13" customHeight="1" s="189">
      <c r="B490" s="290" t="n"/>
      <c r="C490" s="290" t="n"/>
      <c r="D490" s="291" t="n"/>
      <c r="E490" s="290" t="n"/>
      <c r="F490" s="290" t="n"/>
    </row>
    <row r="491" ht="13" customHeight="1" s="189">
      <c r="B491" s="290" t="n"/>
      <c r="C491" s="290" t="n"/>
      <c r="D491" s="291" t="n"/>
      <c r="E491" s="290" t="n"/>
      <c r="F491" s="290" t="n"/>
    </row>
    <row r="492" ht="13" customHeight="1" s="189">
      <c r="B492" s="290" t="n"/>
      <c r="C492" s="290" t="n"/>
      <c r="D492" s="291" t="n"/>
      <c r="E492" s="290" t="n"/>
      <c r="F492" s="290" t="n"/>
    </row>
    <row r="493" ht="13" customHeight="1" s="189">
      <c r="B493" s="290" t="n"/>
      <c r="C493" s="290" t="n"/>
      <c r="D493" s="291" t="n"/>
      <c r="E493" s="290" t="n"/>
      <c r="F493" s="290" t="n"/>
    </row>
    <row r="494" ht="13" customHeight="1" s="189">
      <c r="B494" s="290" t="n"/>
      <c r="C494" s="290" t="n"/>
      <c r="D494" s="291" t="n"/>
      <c r="E494" s="290" t="n"/>
      <c r="F494" s="290" t="n"/>
    </row>
    <row r="495" ht="13" customHeight="1" s="189">
      <c r="B495" s="290" t="n"/>
      <c r="C495" s="290" t="n"/>
      <c r="D495" s="291" t="n"/>
      <c r="E495" s="290" t="n"/>
      <c r="F495" s="290" t="n"/>
    </row>
    <row r="496" ht="13" customHeight="1" s="189">
      <c r="B496" s="290" t="n"/>
      <c r="C496" s="290" t="n"/>
      <c r="D496" s="291" t="n"/>
      <c r="E496" s="290" t="n"/>
      <c r="F496" s="290" t="n"/>
    </row>
    <row r="497" ht="13" customHeight="1" s="189">
      <c r="B497" s="290" t="n"/>
      <c r="C497" s="290" t="n"/>
      <c r="D497" s="291" t="n"/>
      <c r="E497" s="290" t="n"/>
      <c r="F497" s="290" t="n"/>
    </row>
    <row r="498" ht="13" customHeight="1" s="189">
      <c r="B498" s="290" t="n"/>
      <c r="C498" s="290" t="n"/>
      <c r="D498" s="291" t="n"/>
      <c r="E498" s="290" t="n"/>
      <c r="F498" s="290" t="n"/>
    </row>
    <row r="499" ht="13" customHeight="1" s="189">
      <c r="B499" s="290" t="n"/>
      <c r="C499" s="290" t="n"/>
      <c r="D499" s="291" t="n"/>
      <c r="E499" s="290" t="n"/>
      <c r="F499" s="290" t="n"/>
    </row>
    <row r="500" ht="13" customHeight="1" s="189">
      <c r="B500" s="290" t="n"/>
      <c r="C500" s="290" t="n"/>
      <c r="D500" s="291" t="n"/>
      <c r="E500" s="290" t="n"/>
      <c r="F500" s="290" t="n"/>
    </row>
    <row r="501" ht="13" customHeight="1" s="189">
      <c r="B501" s="290" t="n"/>
      <c r="C501" s="290" t="n"/>
      <c r="D501" s="291" t="n"/>
      <c r="E501" s="290" t="n"/>
      <c r="F501" s="290" t="n"/>
    </row>
    <row r="502" ht="13" customHeight="1" s="189">
      <c r="B502" s="290" t="n"/>
      <c r="C502" s="290" t="n"/>
      <c r="D502" s="291" t="n"/>
      <c r="E502" s="290" t="n"/>
      <c r="F502" s="290" t="n"/>
    </row>
    <row r="503" ht="13" customHeight="1" s="189">
      <c r="B503" s="290" t="n"/>
      <c r="C503" s="290" t="n"/>
      <c r="D503" s="291" t="n"/>
      <c r="E503" s="290" t="n"/>
      <c r="F503" s="290" t="n"/>
    </row>
    <row r="504" ht="13" customHeight="1" s="189">
      <c r="B504" s="290" t="n"/>
      <c r="C504" s="290" t="n"/>
      <c r="D504" s="291" t="n"/>
      <c r="E504" s="290" t="n"/>
      <c r="F504" s="290" t="n"/>
    </row>
    <row r="505" ht="13" customHeight="1" s="189">
      <c r="B505" s="290" t="n"/>
      <c r="C505" s="290" t="n"/>
      <c r="D505" s="291" t="n"/>
      <c r="E505" s="290" t="n"/>
      <c r="F505" s="290" t="n"/>
    </row>
    <row r="506" ht="13" customHeight="1" s="189">
      <c r="B506" s="290" t="n"/>
      <c r="C506" s="290" t="n"/>
      <c r="D506" s="291" t="n"/>
      <c r="E506" s="290" t="n"/>
      <c r="F506" s="290" t="n"/>
    </row>
    <row r="507" ht="13" customHeight="1" s="189">
      <c r="B507" s="290" t="n"/>
      <c r="C507" s="290" t="n"/>
      <c r="D507" s="291" t="n"/>
      <c r="E507" s="290" t="n"/>
      <c r="F507" s="290" t="n"/>
    </row>
    <row r="508" ht="13" customHeight="1" s="189">
      <c r="B508" s="290" t="n"/>
      <c r="C508" s="290" t="n"/>
      <c r="D508" s="291" t="n"/>
      <c r="E508" s="290" t="n"/>
      <c r="F508" s="290" t="n"/>
    </row>
    <row r="509" ht="13" customHeight="1" s="189">
      <c r="B509" s="290" t="n"/>
      <c r="C509" s="290" t="n"/>
      <c r="D509" s="291" t="n"/>
      <c r="E509" s="290" t="n"/>
      <c r="F509" s="290" t="n"/>
    </row>
    <row r="510" ht="13" customHeight="1" s="189">
      <c r="B510" s="290" t="n"/>
      <c r="C510" s="290" t="n"/>
      <c r="D510" s="291" t="n"/>
      <c r="E510" s="290" t="n"/>
      <c r="F510" s="290" t="n"/>
    </row>
    <row r="511" ht="13" customHeight="1" s="189">
      <c r="B511" s="290" t="n"/>
      <c r="C511" s="290" t="n"/>
      <c r="D511" s="291" t="n"/>
      <c r="E511" s="290" t="n"/>
      <c r="F511" s="290" t="n"/>
    </row>
    <row r="512" ht="13" customHeight="1" s="189">
      <c r="B512" s="290" t="n"/>
      <c r="C512" s="290" t="n"/>
      <c r="D512" s="291" t="n"/>
      <c r="E512" s="290" t="n"/>
      <c r="F512" s="290" t="n"/>
    </row>
    <row r="513" ht="13" customHeight="1" s="189">
      <c r="B513" s="290" t="n"/>
      <c r="C513" s="290" t="n"/>
      <c r="D513" s="291" t="n"/>
      <c r="E513" s="290" t="n"/>
      <c r="F513" s="290" t="n"/>
    </row>
    <row r="514" ht="13" customHeight="1" s="189">
      <c r="B514" s="290" t="n"/>
      <c r="C514" s="290" t="n"/>
      <c r="D514" s="291" t="n"/>
      <c r="E514" s="290" t="n"/>
      <c r="F514" s="290" t="n"/>
    </row>
    <row r="515" ht="13" customHeight="1" s="189">
      <c r="B515" s="290" t="n"/>
      <c r="C515" s="290" t="n"/>
      <c r="D515" s="291" t="n"/>
      <c r="E515" s="290" t="n"/>
      <c r="F515" s="290" t="n"/>
    </row>
    <row r="516" ht="13" customHeight="1" s="189">
      <c r="B516" s="290" t="n"/>
      <c r="C516" s="290" t="n"/>
      <c r="D516" s="291" t="n"/>
      <c r="E516" s="290" t="n"/>
      <c r="F516" s="290" t="n"/>
    </row>
    <row r="517" ht="13" customHeight="1" s="189">
      <c r="B517" s="290" t="n"/>
      <c r="C517" s="290" t="n"/>
      <c r="D517" s="291" t="n"/>
      <c r="E517" s="290" t="n"/>
      <c r="F517" s="290" t="n"/>
    </row>
    <row r="518" ht="13" customHeight="1" s="189">
      <c r="B518" s="290" t="n"/>
      <c r="C518" s="290" t="n"/>
      <c r="D518" s="291" t="n"/>
      <c r="E518" s="290" t="n"/>
      <c r="F518" s="290" t="n"/>
    </row>
    <row r="519" ht="13" customHeight="1" s="189">
      <c r="B519" s="290" t="n"/>
      <c r="C519" s="290" t="n"/>
      <c r="D519" s="291" t="n"/>
      <c r="E519" s="290" t="n"/>
      <c r="F519" s="290" t="n"/>
    </row>
    <row r="520" ht="13" customHeight="1" s="189">
      <c r="B520" s="290" t="n"/>
      <c r="C520" s="290" t="n"/>
      <c r="D520" s="291" t="n"/>
      <c r="E520" s="290" t="n"/>
      <c r="F520" s="290" t="n"/>
    </row>
    <row r="521" ht="13" customHeight="1" s="189">
      <c r="B521" s="290" t="n"/>
      <c r="C521" s="290" t="n"/>
      <c r="D521" s="291" t="n"/>
      <c r="E521" s="290" t="n"/>
      <c r="F521" s="290" t="n"/>
    </row>
    <row r="522" ht="13" customHeight="1" s="189">
      <c r="B522" s="290" t="n"/>
      <c r="C522" s="290" t="n"/>
      <c r="D522" s="291" t="n"/>
      <c r="E522" s="290" t="n"/>
      <c r="F522" s="290" t="n"/>
    </row>
    <row r="523" ht="13" customHeight="1" s="189">
      <c r="B523" s="290" t="n"/>
      <c r="C523" s="290" t="n"/>
      <c r="D523" s="291" t="n"/>
      <c r="E523" s="290" t="n"/>
      <c r="F523" s="290" t="n"/>
    </row>
    <row r="524" ht="13" customHeight="1" s="189">
      <c r="B524" s="290" t="n"/>
      <c r="C524" s="290" t="n"/>
      <c r="D524" s="291" t="n"/>
      <c r="E524" s="290" t="n"/>
      <c r="F524" s="290" t="n"/>
    </row>
    <row r="525" ht="13" customHeight="1" s="189">
      <c r="B525" s="290" t="n"/>
      <c r="C525" s="290" t="n"/>
      <c r="D525" s="291" t="n"/>
      <c r="E525" s="290" t="n"/>
      <c r="F525" s="290" t="n"/>
    </row>
    <row r="526" ht="13" customHeight="1" s="189">
      <c r="B526" s="290" t="n"/>
      <c r="C526" s="290" t="n"/>
      <c r="D526" s="291" t="n"/>
      <c r="E526" s="290" t="n"/>
      <c r="F526" s="290" t="n"/>
    </row>
    <row r="527" ht="13" customHeight="1" s="189">
      <c r="B527" s="290" t="n"/>
      <c r="C527" s="290" t="n"/>
      <c r="D527" s="291" t="n"/>
      <c r="E527" s="290" t="n"/>
      <c r="F527" s="290" t="n"/>
    </row>
    <row r="528" ht="13" customHeight="1" s="189">
      <c r="B528" s="290" t="n"/>
      <c r="C528" s="290" t="n"/>
      <c r="D528" s="291" t="n"/>
      <c r="E528" s="290" t="n"/>
      <c r="F528" s="290" t="n"/>
    </row>
    <row r="529" ht="13" customHeight="1" s="189">
      <c r="B529" s="290" t="n"/>
      <c r="C529" s="290" t="n"/>
      <c r="D529" s="291" t="n"/>
      <c r="E529" s="290" t="n"/>
      <c r="F529" s="290" t="n"/>
    </row>
    <row r="530" ht="13" customHeight="1" s="189">
      <c r="B530" s="290" t="n"/>
      <c r="C530" s="290" t="n"/>
      <c r="D530" s="291" t="n"/>
      <c r="E530" s="290" t="n"/>
      <c r="F530" s="290" t="n"/>
    </row>
    <row r="531" ht="13" customHeight="1" s="189">
      <c r="B531" s="290" t="n"/>
      <c r="C531" s="290" t="n"/>
      <c r="D531" s="291" t="n"/>
      <c r="E531" s="290" t="n"/>
      <c r="F531" s="290" t="n"/>
    </row>
    <row r="532" ht="13" customHeight="1" s="189">
      <c r="B532" s="290" t="n"/>
      <c r="C532" s="290" t="n"/>
      <c r="D532" s="291" t="n"/>
      <c r="E532" s="290" t="n"/>
      <c r="F532" s="290" t="n"/>
    </row>
    <row r="533" ht="13" customHeight="1" s="189">
      <c r="B533" s="290" t="n"/>
      <c r="C533" s="290" t="n"/>
      <c r="D533" s="291" t="n"/>
      <c r="E533" s="290" t="n"/>
      <c r="F533" s="290" t="n"/>
    </row>
    <row r="534" ht="13" customHeight="1" s="189">
      <c r="B534" s="290" t="n"/>
      <c r="C534" s="290" t="n"/>
      <c r="D534" s="291" t="n"/>
      <c r="E534" s="290" t="n"/>
      <c r="F534" s="290" t="n"/>
    </row>
    <row r="535" ht="13" customHeight="1" s="189">
      <c r="B535" s="290" t="n"/>
      <c r="C535" s="290" t="n"/>
      <c r="D535" s="291" t="n"/>
      <c r="E535" s="290" t="n"/>
      <c r="F535" s="290" t="n"/>
    </row>
    <row r="536" ht="13" customHeight="1" s="189">
      <c r="B536" s="290" t="n"/>
      <c r="C536" s="290" t="n"/>
      <c r="D536" s="291" t="n"/>
      <c r="E536" s="290" t="n"/>
      <c r="F536" s="290" t="n"/>
    </row>
    <row r="537" ht="13" customHeight="1" s="189">
      <c r="B537" s="290" t="n"/>
      <c r="C537" s="290" t="n"/>
      <c r="D537" s="291" t="n"/>
      <c r="E537" s="290" t="n"/>
      <c r="F537" s="290" t="n"/>
    </row>
    <row r="538" ht="13" customHeight="1" s="189">
      <c r="B538" s="290" t="n"/>
      <c r="C538" s="290" t="n"/>
      <c r="D538" s="291" t="n"/>
      <c r="E538" s="290" t="n"/>
      <c r="F538" s="290" t="n"/>
    </row>
    <row r="539" ht="13" customHeight="1" s="189">
      <c r="B539" s="290" t="n"/>
      <c r="C539" s="290" t="n"/>
      <c r="D539" s="291" t="n"/>
      <c r="E539" s="290" t="n"/>
      <c r="F539" s="290" t="n"/>
    </row>
    <row r="540" ht="13" customHeight="1" s="189">
      <c r="B540" s="290" t="n"/>
      <c r="C540" s="290" t="n"/>
      <c r="D540" s="291" t="n"/>
      <c r="E540" s="290" t="n"/>
      <c r="F540" s="290" t="n"/>
    </row>
    <row r="541" ht="13" customHeight="1" s="189">
      <c r="B541" s="290" t="n"/>
      <c r="C541" s="290" t="n"/>
      <c r="D541" s="291" t="n"/>
      <c r="E541" s="290" t="n"/>
      <c r="F541" s="290" t="n"/>
    </row>
    <row r="542" ht="13" customHeight="1" s="189">
      <c r="B542" s="290" t="n"/>
      <c r="C542" s="290" t="n"/>
      <c r="D542" s="291" t="n"/>
      <c r="E542" s="290" t="n"/>
      <c r="F542" s="290" t="n"/>
    </row>
    <row r="543" ht="13" customHeight="1" s="189">
      <c r="B543" s="290" t="n"/>
      <c r="C543" s="290" t="n"/>
      <c r="D543" s="291" t="n"/>
      <c r="E543" s="290" t="n"/>
      <c r="F543" s="290" t="n"/>
    </row>
    <row r="544" ht="13" customHeight="1" s="189">
      <c r="B544" s="290" t="n"/>
      <c r="C544" s="290" t="n"/>
      <c r="D544" s="291" t="n"/>
      <c r="E544" s="290" t="n"/>
      <c r="F544" s="290" t="n"/>
    </row>
    <row r="545" ht="13" customHeight="1" s="189">
      <c r="B545" s="290" t="n"/>
      <c r="C545" s="290" t="n"/>
      <c r="D545" s="291" t="n"/>
      <c r="E545" s="290" t="n"/>
      <c r="F545" s="290" t="n"/>
    </row>
    <row r="546" ht="13" customHeight="1" s="189">
      <c r="B546" s="290" t="n"/>
      <c r="C546" s="290" t="n"/>
      <c r="D546" s="291" t="n"/>
      <c r="E546" s="290" t="n"/>
      <c r="F546" s="290" t="n"/>
    </row>
    <row r="547" ht="13" customHeight="1" s="189">
      <c r="B547" s="290" t="n"/>
      <c r="C547" s="290" t="n"/>
      <c r="D547" s="291" t="n"/>
      <c r="E547" s="290" t="n"/>
      <c r="F547" s="290" t="n"/>
    </row>
    <row r="548" ht="13" customHeight="1" s="189">
      <c r="B548" s="290" t="n"/>
      <c r="C548" s="290" t="n"/>
      <c r="D548" s="291" t="n"/>
      <c r="E548" s="290" t="n"/>
      <c r="F548" s="290" t="n"/>
    </row>
    <row r="549" ht="13" customHeight="1" s="189">
      <c r="B549" s="290" t="n"/>
      <c r="C549" s="290" t="n"/>
      <c r="D549" s="291" t="n"/>
      <c r="E549" s="290" t="n"/>
      <c r="F549" s="290" t="n"/>
    </row>
    <row r="550" ht="13" customHeight="1" s="189">
      <c r="B550" s="290" t="n"/>
      <c r="C550" s="290" t="n"/>
      <c r="D550" s="291" t="n"/>
      <c r="E550" s="290" t="n"/>
      <c r="F550" s="290" t="n"/>
    </row>
    <row r="551" ht="13" customHeight="1" s="189">
      <c r="B551" s="290" t="n"/>
      <c r="C551" s="290" t="n"/>
      <c r="D551" s="291" t="n"/>
      <c r="E551" s="290" t="n"/>
      <c r="F551" s="290" t="n"/>
    </row>
    <row r="552" ht="13" customHeight="1" s="189">
      <c r="B552" s="290" t="n"/>
      <c r="C552" s="290" t="n"/>
      <c r="D552" s="291" t="n"/>
      <c r="E552" s="290" t="n"/>
      <c r="F552" s="290" t="n"/>
    </row>
    <row r="553" ht="13" customHeight="1" s="189">
      <c r="B553" s="290" t="n"/>
      <c r="C553" s="290" t="n"/>
      <c r="D553" s="291" t="n"/>
      <c r="E553" s="290" t="n"/>
      <c r="F553" s="290" t="n"/>
    </row>
    <row r="554" ht="13" customHeight="1" s="189">
      <c r="B554" s="290" t="n"/>
      <c r="C554" s="290" t="n"/>
      <c r="D554" s="291" t="n"/>
      <c r="E554" s="290" t="n"/>
      <c r="F554" s="290" t="n"/>
    </row>
    <row r="555" ht="13" customHeight="1" s="189">
      <c r="B555" s="290" t="n"/>
      <c r="C555" s="290" t="n"/>
      <c r="D555" s="291" t="n"/>
      <c r="E555" s="290" t="n"/>
      <c r="F555" s="290" t="n"/>
    </row>
    <row r="556" ht="13" customHeight="1" s="189">
      <c r="B556" s="290" t="n"/>
      <c r="C556" s="290" t="n"/>
      <c r="D556" s="291" t="n"/>
      <c r="E556" s="290" t="n"/>
      <c r="F556" s="290" t="n"/>
    </row>
    <row r="557" ht="13" customHeight="1" s="189">
      <c r="B557" s="290" t="n"/>
      <c r="C557" s="290" t="n"/>
      <c r="D557" s="291" t="n"/>
      <c r="E557" s="290" t="n"/>
      <c r="F557" s="290" t="n"/>
    </row>
    <row r="558" ht="13" customHeight="1" s="189">
      <c r="B558" s="290" t="n"/>
      <c r="C558" s="290" t="n"/>
      <c r="D558" s="291" t="n"/>
      <c r="E558" s="290" t="n"/>
      <c r="F558" s="290" t="n"/>
    </row>
    <row r="559" ht="13" customHeight="1" s="189">
      <c r="B559" s="290" t="n"/>
      <c r="C559" s="290" t="n"/>
      <c r="D559" s="291" t="n"/>
      <c r="E559" s="290" t="n"/>
      <c r="F559" s="290" t="n"/>
    </row>
    <row r="560" ht="13" customHeight="1" s="189">
      <c r="B560" s="290" t="n"/>
      <c r="C560" s="290" t="n"/>
      <c r="D560" s="291" t="n"/>
      <c r="E560" s="290" t="n"/>
      <c r="F560" s="290" t="n"/>
    </row>
    <row r="561" ht="13" customHeight="1" s="189">
      <c r="B561" s="290" t="n"/>
      <c r="C561" s="290" t="n"/>
      <c r="D561" s="291" t="n"/>
      <c r="E561" s="290" t="n"/>
      <c r="F561" s="290" t="n"/>
    </row>
    <row r="562" ht="13" customHeight="1" s="189">
      <c r="B562" s="290" t="n"/>
      <c r="C562" s="290" t="n"/>
      <c r="D562" s="291" t="n"/>
      <c r="E562" s="290" t="n"/>
      <c r="F562" s="290" t="n"/>
    </row>
    <row r="563" ht="13" customHeight="1" s="189">
      <c r="B563" s="290" t="n"/>
      <c r="C563" s="290" t="n"/>
      <c r="D563" s="291" t="n"/>
      <c r="E563" s="290" t="n"/>
      <c r="F563" s="290" t="n"/>
    </row>
    <row r="564" ht="13" customHeight="1" s="189">
      <c r="B564" s="290" t="n"/>
      <c r="C564" s="290" t="n"/>
      <c r="D564" s="291" t="n"/>
      <c r="E564" s="290" t="n"/>
      <c r="F564" s="290" t="n"/>
    </row>
    <row r="565" ht="13" customHeight="1" s="189">
      <c r="B565" s="290" t="n"/>
      <c r="C565" s="290" t="n"/>
      <c r="D565" s="291" t="n"/>
      <c r="E565" s="290" t="n"/>
      <c r="F565" s="290" t="n"/>
    </row>
    <row r="566" ht="13" customHeight="1" s="189">
      <c r="B566" s="290" t="n"/>
      <c r="C566" s="290" t="n"/>
      <c r="D566" s="291" t="n"/>
      <c r="E566" s="290" t="n"/>
      <c r="F566" s="290" t="n"/>
    </row>
    <row r="567" ht="13" customHeight="1" s="189">
      <c r="B567" s="290" t="n"/>
      <c r="C567" s="290" t="n"/>
      <c r="D567" s="291" t="n"/>
      <c r="E567" s="290" t="n"/>
      <c r="F567" s="290" t="n"/>
    </row>
    <row r="568" ht="13" customHeight="1" s="189">
      <c r="B568" s="290" t="n"/>
      <c r="C568" s="290" t="n"/>
      <c r="D568" s="291" t="n"/>
      <c r="E568" s="290" t="n"/>
      <c r="F568" s="290" t="n"/>
    </row>
    <row r="569" ht="13" customHeight="1" s="189">
      <c r="B569" s="290" t="n"/>
      <c r="C569" s="290" t="n"/>
      <c r="D569" s="291" t="n"/>
      <c r="E569" s="290" t="n"/>
      <c r="F569" s="290" t="n"/>
    </row>
    <row r="570" ht="13" customHeight="1" s="189">
      <c r="B570" s="290" t="n"/>
      <c r="C570" s="290" t="n"/>
      <c r="D570" s="291" t="n"/>
      <c r="E570" s="290" t="n"/>
      <c r="F570" s="290" t="n"/>
    </row>
    <row r="571" ht="13" customHeight="1" s="189">
      <c r="B571" s="290" t="n"/>
      <c r="C571" s="290" t="n"/>
      <c r="D571" s="291" t="n"/>
      <c r="E571" s="290" t="n"/>
      <c r="F571" s="290" t="n"/>
    </row>
    <row r="572" ht="13" customHeight="1" s="189">
      <c r="B572" s="290" t="n"/>
      <c r="C572" s="290" t="n"/>
      <c r="D572" s="291" t="n"/>
      <c r="E572" s="290" t="n"/>
      <c r="F572" s="290" t="n"/>
    </row>
    <row r="573" ht="13" customHeight="1" s="189">
      <c r="B573" s="290" t="n"/>
      <c r="C573" s="290" t="n"/>
      <c r="D573" s="291" t="n"/>
      <c r="E573" s="290" t="n"/>
      <c r="F573" s="290" t="n"/>
    </row>
    <row r="574" ht="13" customHeight="1" s="189">
      <c r="B574" s="290" t="n"/>
      <c r="C574" s="290" t="n"/>
      <c r="D574" s="291" t="n"/>
      <c r="E574" s="290" t="n"/>
      <c r="F574" s="290" t="n"/>
    </row>
    <row r="575" ht="13" customHeight="1" s="189">
      <c r="B575" s="290" t="n"/>
      <c r="C575" s="290" t="n"/>
      <c r="D575" s="291" t="n"/>
      <c r="E575" s="290" t="n"/>
      <c r="F575" s="290" t="n"/>
    </row>
    <row r="576" ht="13" customHeight="1" s="189">
      <c r="B576" s="290" t="n"/>
      <c r="C576" s="290" t="n"/>
      <c r="D576" s="291" t="n"/>
      <c r="E576" s="290" t="n"/>
      <c r="F576" s="290" t="n"/>
    </row>
    <row r="577" ht="13" customHeight="1" s="189">
      <c r="B577" s="290" t="n"/>
      <c r="C577" s="290" t="n"/>
      <c r="D577" s="291" t="n"/>
      <c r="E577" s="290" t="n"/>
      <c r="F577" s="290" t="n"/>
    </row>
    <row r="578" ht="13" customHeight="1" s="189">
      <c r="B578" s="290" t="n"/>
      <c r="C578" s="290" t="n"/>
      <c r="D578" s="291" t="n"/>
      <c r="E578" s="290" t="n"/>
      <c r="F578" s="290" t="n"/>
    </row>
    <row r="579" ht="13" customHeight="1" s="189">
      <c r="B579" s="290" t="n"/>
      <c r="C579" s="290" t="n"/>
      <c r="D579" s="291" t="n"/>
      <c r="E579" s="290" t="n"/>
      <c r="F579" s="290" t="n"/>
    </row>
    <row r="580" ht="13" customHeight="1" s="189">
      <c r="B580" s="290" t="n"/>
      <c r="C580" s="290" t="n"/>
      <c r="D580" s="291" t="n"/>
      <c r="E580" s="290" t="n"/>
      <c r="F580" s="290" t="n"/>
    </row>
    <row r="581" ht="13" customHeight="1" s="189">
      <c r="B581" s="290" t="n"/>
      <c r="C581" s="290" t="n"/>
      <c r="D581" s="291" t="n"/>
      <c r="E581" s="290" t="n"/>
      <c r="F581" s="290" t="n"/>
    </row>
    <row r="582" ht="13" customHeight="1" s="189">
      <c r="B582" s="290" t="n"/>
      <c r="C582" s="290" t="n"/>
      <c r="D582" s="291" t="n"/>
      <c r="E582" s="290" t="n"/>
      <c r="F582" s="290" t="n"/>
    </row>
    <row r="583" ht="13" customHeight="1" s="189">
      <c r="B583" s="290" t="n"/>
      <c r="C583" s="290" t="n"/>
      <c r="D583" s="291" t="n"/>
      <c r="E583" s="290" t="n"/>
      <c r="F583" s="290" t="n"/>
    </row>
    <row r="584" ht="13" customHeight="1" s="189">
      <c r="B584" s="290" t="n"/>
      <c r="C584" s="290" t="n"/>
      <c r="D584" s="291" t="n"/>
      <c r="E584" s="290" t="n"/>
      <c r="F584" s="290" t="n"/>
    </row>
    <row r="585" ht="13" customHeight="1" s="189">
      <c r="B585" s="290" t="n"/>
      <c r="C585" s="290" t="n"/>
      <c r="D585" s="291" t="n"/>
      <c r="E585" s="290" t="n"/>
      <c r="F585" s="290" t="n"/>
    </row>
    <row r="586" ht="13" customHeight="1" s="189">
      <c r="B586" s="290" t="n"/>
      <c r="C586" s="290" t="n"/>
      <c r="D586" s="291" t="n"/>
      <c r="E586" s="290" t="n"/>
      <c r="F586" s="290" t="n"/>
    </row>
    <row r="587" ht="13" customHeight="1" s="189">
      <c r="B587" s="290" t="n"/>
      <c r="C587" s="290" t="n"/>
      <c r="D587" s="291" t="n"/>
      <c r="E587" s="290" t="n"/>
      <c r="F587" s="290" t="n"/>
    </row>
    <row r="588" ht="13" customHeight="1" s="189">
      <c r="B588" s="290" t="n"/>
      <c r="C588" s="290" t="n"/>
      <c r="D588" s="291" t="n"/>
      <c r="E588" s="290" t="n"/>
      <c r="F588" s="290" t="n"/>
    </row>
    <row r="589" ht="13" customHeight="1" s="189">
      <c r="B589" s="290" t="n"/>
      <c r="C589" s="290" t="n"/>
      <c r="D589" s="291" t="n"/>
      <c r="E589" s="290" t="n"/>
      <c r="F589" s="290" t="n"/>
    </row>
    <row r="590" ht="13" customHeight="1" s="189">
      <c r="B590" s="290" t="n"/>
      <c r="C590" s="290" t="n"/>
      <c r="D590" s="291" t="n"/>
      <c r="E590" s="290" t="n"/>
      <c r="F590" s="290" t="n"/>
    </row>
    <row r="591" ht="13" customHeight="1" s="189">
      <c r="B591" s="290" t="n"/>
      <c r="C591" s="290" t="n"/>
      <c r="D591" s="291" t="n"/>
      <c r="E591" s="290" t="n"/>
      <c r="F591" s="290" t="n"/>
    </row>
    <row r="592" ht="13" customHeight="1" s="189">
      <c r="B592" s="290" t="n"/>
      <c r="C592" s="290" t="n"/>
      <c r="D592" s="291" t="n"/>
      <c r="E592" s="290" t="n"/>
      <c r="F592" s="290" t="n"/>
    </row>
    <row r="593" ht="13" customHeight="1" s="189">
      <c r="B593" s="290" t="n"/>
      <c r="C593" s="290" t="n"/>
      <c r="D593" s="291" t="n"/>
      <c r="E593" s="290" t="n"/>
      <c r="F593" s="290" t="n"/>
    </row>
    <row r="594" ht="13" customHeight="1" s="189">
      <c r="B594" s="290" t="n"/>
      <c r="C594" s="290" t="n"/>
      <c r="D594" s="291" t="n"/>
      <c r="E594" s="290" t="n"/>
      <c r="F594" s="290" t="n"/>
    </row>
    <row r="595" ht="13" customHeight="1" s="189">
      <c r="B595" s="290" t="n"/>
      <c r="C595" s="290" t="n"/>
      <c r="D595" s="291" t="n"/>
      <c r="E595" s="290" t="n"/>
      <c r="F595" s="290" t="n"/>
    </row>
    <row r="596" ht="13" customHeight="1" s="189">
      <c r="B596" s="290" t="n"/>
      <c r="C596" s="290" t="n"/>
      <c r="D596" s="291" t="n"/>
      <c r="E596" s="290" t="n"/>
      <c r="F596" s="290" t="n"/>
    </row>
    <row r="597" ht="13" customHeight="1" s="189">
      <c r="B597" s="290" t="n"/>
      <c r="C597" s="290" t="n"/>
      <c r="D597" s="291" t="n"/>
      <c r="E597" s="290" t="n"/>
      <c r="F597" s="290" t="n"/>
    </row>
    <row r="598" ht="13" customHeight="1" s="189">
      <c r="B598" s="290" t="n"/>
      <c r="C598" s="290" t="n"/>
      <c r="D598" s="291" t="n"/>
      <c r="E598" s="290" t="n"/>
      <c r="F598" s="290" t="n"/>
    </row>
    <row r="599" ht="13" customHeight="1" s="189">
      <c r="B599" s="290" t="n"/>
      <c r="C599" s="290" t="n"/>
      <c r="D599" s="291" t="n"/>
      <c r="E599" s="290" t="n"/>
      <c r="F599" s="290" t="n"/>
    </row>
    <row r="600" ht="13" customHeight="1" s="189">
      <c r="B600" s="290" t="n"/>
      <c r="C600" s="290" t="n"/>
      <c r="D600" s="291" t="n"/>
      <c r="E600" s="290" t="n"/>
      <c r="F600" s="290" t="n"/>
    </row>
    <row r="601" ht="13" customHeight="1" s="189">
      <c r="B601" s="290" t="n"/>
      <c r="C601" s="290" t="n"/>
      <c r="D601" s="291" t="n"/>
      <c r="E601" s="290" t="n"/>
      <c r="F601" s="290" t="n"/>
    </row>
    <row r="602" ht="13" customHeight="1" s="189">
      <c r="B602" s="290" t="n"/>
      <c r="C602" s="290" t="n"/>
      <c r="D602" s="291" t="n"/>
      <c r="E602" s="290" t="n"/>
      <c r="F602" s="290" t="n"/>
    </row>
    <row r="603" ht="13" customHeight="1" s="189">
      <c r="B603" s="290" t="n"/>
      <c r="C603" s="290" t="n"/>
      <c r="D603" s="291" t="n"/>
      <c r="E603" s="290" t="n"/>
      <c r="F603" s="290" t="n"/>
    </row>
    <row r="604" ht="13" customHeight="1" s="189">
      <c r="B604" s="290" t="n"/>
      <c r="C604" s="290" t="n"/>
      <c r="D604" s="291" t="n"/>
      <c r="E604" s="290" t="n"/>
      <c r="F604" s="290" t="n"/>
    </row>
    <row r="605" ht="13" customHeight="1" s="189">
      <c r="B605" s="290" t="n"/>
      <c r="C605" s="290" t="n"/>
      <c r="D605" s="291" t="n"/>
      <c r="E605" s="290" t="n"/>
      <c r="F605" s="290" t="n"/>
    </row>
    <row r="606" ht="13" customHeight="1" s="189">
      <c r="B606" s="290" t="n"/>
      <c r="C606" s="290" t="n"/>
      <c r="D606" s="291" t="n"/>
      <c r="E606" s="290" t="n"/>
      <c r="F606" s="290" t="n"/>
    </row>
    <row r="607" ht="13" customHeight="1" s="189">
      <c r="B607" s="290" t="n"/>
      <c r="C607" s="290" t="n"/>
      <c r="D607" s="291" t="n"/>
      <c r="E607" s="290" t="n"/>
      <c r="F607" s="290" t="n"/>
    </row>
    <row r="608" ht="13" customHeight="1" s="189">
      <c r="B608" s="290" t="n"/>
      <c r="C608" s="290" t="n"/>
      <c r="D608" s="291" t="n"/>
      <c r="E608" s="290" t="n"/>
      <c r="F608" s="290" t="n"/>
    </row>
    <row r="609" ht="13" customHeight="1" s="189">
      <c r="B609" s="290" t="n"/>
      <c r="C609" s="290" t="n"/>
      <c r="D609" s="291" t="n"/>
      <c r="E609" s="290" t="n"/>
      <c r="F609" s="290" t="n"/>
    </row>
    <row r="610" ht="13" customHeight="1" s="189">
      <c r="B610" s="290" t="n"/>
      <c r="C610" s="290" t="n"/>
      <c r="D610" s="291" t="n"/>
      <c r="E610" s="290" t="n"/>
      <c r="F610" s="290" t="n"/>
    </row>
    <row r="611" ht="13" customHeight="1" s="189">
      <c r="B611" s="290" t="n"/>
      <c r="C611" s="290" t="n"/>
      <c r="D611" s="291" t="n"/>
      <c r="E611" s="290" t="n"/>
      <c r="F611" s="290" t="n"/>
    </row>
    <row r="612" ht="13" customHeight="1" s="189">
      <c r="B612" s="290" t="n"/>
      <c r="C612" s="290" t="n"/>
      <c r="D612" s="291" t="n"/>
      <c r="E612" s="290" t="n"/>
      <c r="F612" s="290" t="n"/>
    </row>
    <row r="613" ht="13" customHeight="1" s="189">
      <c r="B613" s="290" t="n"/>
      <c r="C613" s="290" t="n"/>
      <c r="D613" s="291" t="n"/>
      <c r="E613" s="290" t="n"/>
      <c r="F613" s="290" t="n"/>
    </row>
    <row r="614" ht="13" customHeight="1" s="189">
      <c r="B614" s="290" t="n"/>
      <c r="C614" s="290" t="n"/>
      <c r="D614" s="291" t="n"/>
      <c r="E614" s="290" t="n"/>
      <c r="F614" s="290" t="n"/>
    </row>
    <row r="615" ht="13" customHeight="1" s="189">
      <c r="B615" s="290" t="n"/>
      <c r="C615" s="290" t="n"/>
      <c r="D615" s="291" t="n"/>
      <c r="E615" s="290" t="n"/>
      <c r="F615" s="290" t="n"/>
    </row>
    <row r="616" ht="13" customHeight="1" s="189">
      <c r="B616" s="290" t="n"/>
      <c r="C616" s="290" t="n"/>
      <c r="D616" s="291" t="n"/>
      <c r="E616" s="290" t="n"/>
      <c r="F616" s="290" t="n"/>
    </row>
    <row r="617" ht="13" customHeight="1" s="189">
      <c r="B617" s="290" t="n"/>
      <c r="C617" s="290" t="n"/>
      <c r="D617" s="291" t="n"/>
      <c r="E617" s="290" t="n"/>
      <c r="F617" s="290" t="n"/>
    </row>
    <row r="618" ht="13" customHeight="1" s="189">
      <c r="B618" s="290" t="n"/>
      <c r="C618" s="290" t="n"/>
      <c r="D618" s="291" t="n"/>
      <c r="E618" s="290" t="n"/>
      <c r="F618" s="290" t="n"/>
    </row>
    <row r="619" ht="13" customHeight="1" s="189">
      <c r="B619" s="290" t="n"/>
      <c r="C619" s="290" t="n"/>
      <c r="D619" s="291" t="n"/>
      <c r="E619" s="290" t="n"/>
      <c r="F619" s="290" t="n"/>
    </row>
    <row r="620" ht="13" customHeight="1" s="189">
      <c r="B620" s="290" t="n"/>
      <c r="C620" s="290" t="n"/>
      <c r="D620" s="291" t="n"/>
      <c r="E620" s="290" t="n"/>
      <c r="F620" s="290" t="n"/>
    </row>
    <row r="621" ht="13" customHeight="1" s="189">
      <c r="B621" s="290" t="n"/>
      <c r="C621" s="290" t="n"/>
      <c r="D621" s="291" t="n"/>
      <c r="E621" s="290" t="n"/>
      <c r="F621" s="290" t="n"/>
    </row>
    <row r="622" ht="13" customHeight="1" s="189">
      <c r="B622" s="290" t="n"/>
      <c r="C622" s="290" t="n"/>
      <c r="D622" s="291" t="n"/>
      <c r="E622" s="290" t="n"/>
      <c r="F622" s="290" t="n"/>
    </row>
    <row r="623" ht="13" customHeight="1" s="189">
      <c r="B623" s="290" t="n"/>
      <c r="C623" s="290" t="n"/>
      <c r="D623" s="291" t="n"/>
      <c r="E623" s="290" t="n"/>
      <c r="F623" s="290" t="n"/>
    </row>
    <row r="624" ht="13" customHeight="1" s="189">
      <c r="B624" s="290" t="n"/>
      <c r="C624" s="290" t="n"/>
      <c r="D624" s="291" t="n"/>
      <c r="E624" s="290" t="n"/>
      <c r="F624" s="290" t="n"/>
    </row>
    <row r="625" ht="13" customHeight="1" s="189">
      <c r="B625" s="290" t="n"/>
      <c r="C625" s="290" t="n"/>
      <c r="D625" s="291" t="n"/>
      <c r="E625" s="290" t="n"/>
      <c r="F625" s="290" t="n"/>
    </row>
    <row r="626" ht="13" customHeight="1" s="189">
      <c r="B626" s="290" t="n"/>
      <c r="C626" s="290" t="n"/>
      <c r="D626" s="291" t="n"/>
      <c r="E626" s="290" t="n"/>
      <c r="F626" s="290" t="n"/>
    </row>
    <row r="627" ht="13" customHeight="1" s="189">
      <c r="B627" s="290" t="n"/>
      <c r="C627" s="290" t="n"/>
      <c r="D627" s="291" t="n"/>
      <c r="E627" s="290" t="n"/>
      <c r="F627" s="290" t="n"/>
    </row>
    <row r="628" ht="13" customHeight="1" s="189">
      <c r="B628" s="290" t="n"/>
      <c r="C628" s="290" t="n"/>
      <c r="D628" s="291" t="n"/>
      <c r="E628" s="290" t="n"/>
      <c r="F628" s="290" t="n"/>
    </row>
    <row r="629" ht="13" customHeight="1" s="189">
      <c r="B629" s="290" t="n"/>
      <c r="C629" s="290" t="n"/>
      <c r="D629" s="291" t="n"/>
      <c r="E629" s="290" t="n"/>
      <c r="F629" s="290" t="n"/>
    </row>
    <row r="630" ht="13" customHeight="1" s="189">
      <c r="B630" s="290" t="n"/>
      <c r="C630" s="290" t="n"/>
      <c r="D630" s="291" t="n"/>
      <c r="E630" s="290" t="n"/>
      <c r="F630" s="290" t="n"/>
    </row>
    <row r="631" ht="13" customHeight="1" s="189">
      <c r="B631" s="290" t="n"/>
      <c r="C631" s="290" t="n"/>
      <c r="D631" s="291" t="n"/>
      <c r="E631" s="290" t="n"/>
      <c r="F631" s="290" t="n"/>
    </row>
    <row r="632" ht="13" customHeight="1" s="189">
      <c r="B632" s="290" t="n"/>
      <c r="C632" s="290" t="n"/>
      <c r="D632" s="291" t="n"/>
      <c r="E632" s="290" t="n"/>
      <c r="F632" s="290" t="n"/>
    </row>
    <row r="633" ht="13" customHeight="1" s="189">
      <c r="B633" s="290" t="n"/>
      <c r="C633" s="290" t="n"/>
      <c r="D633" s="291" t="n"/>
      <c r="E633" s="290" t="n"/>
      <c r="F633" s="290" t="n"/>
    </row>
    <row r="634" ht="13" customHeight="1" s="189">
      <c r="B634" s="290" t="n"/>
      <c r="C634" s="290" t="n"/>
      <c r="D634" s="291" t="n"/>
      <c r="E634" s="290" t="n"/>
      <c r="F634" s="290" t="n"/>
    </row>
    <row r="635" ht="13" customHeight="1" s="189">
      <c r="B635" s="290" t="n"/>
      <c r="C635" s="290" t="n"/>
      <c r="D635" s="291" t="n"/>
      <c r="E635" s="290" t="n"/>
      <c r="F635" s="290" t="n"/>
    </row>
    <row r="636" ht="13" customHeight="1" s="189">
      <c r="B636" s="290" t="n"/>
      <c r="C636" s="290" t="n"/>
      <c r="D636" s="291" t="n"/>
      <c r="E636" s="290" t="n"/>
      <c r="F636" s="290" t="n"/>
    </row>
    <row r="637" ht="13" customHeight="1" s="189">
      <c r="B637" s="290" t="n"/>
      <c r="C637" s="290" t="n"/>
      <c r="D637" s="291" t="n"/>
      <c r="E637" s="290" t="n"/>
      <c r="F637" s="290" t="n"/>
    </row>
    <row r="638" ht="13" customHeight="1" s="189">
      <c r="B638" s="290" t="n"/>
      <c r="C638" s="290" t="n"/>
      <c r="D638" s="291" t="n"/>
      <c r="E638" s="290" t="n"/>
      <c r="F638" s="290" t="n"/>
    </row>
    <row r="639" ht="13" customHeight="1" s="189">
      <c r="B639" s="290" t="n"/>
      <c r="C639" s="290" t="n"/>
      <c r="D639" s="291" t="n"/>
      <c r="E639" s="290" t="n"/>
      <c r="F639" s="290" t="n"/>
    </row>
    <row r="640" ht="13" customHeight="1" s="189">
      <c r="B640" s="290" t="n"/>
      <c r="C640" s="290" t="n"/>
      <c r="D640" s="291" t="n"/>
      <c r="E640" s="290" t="n"/>
      <c r="F640" s="290" t="n"/>
    </row>
    <row r="641" ht="13" customHeight="1" s="189">
      <c r="B641" s="290" t="n"/>
      <c r="C641" s="290" t="n"/>
      <c r="D641" s="291" t="n"/>
      <c r="E641" s="290" t="n"/>
      <c r="F641" s="290" t="n"/>
    </row>
    <row r="642" ht="13" customHeight="1" s="189">
      <c r="B642" s="290" t="n"/>
      <c r="C642" s="290" t="n"/>
      <c r="D642" s="291" t="n"/>
      <c r="E642" s="290" t="n"/>
      <c r="F642" s="290" t="n"/>
    </row>
    <row r="643" ht="13" customHeight="1" s="189">
      <c r="B643" s="290" t="n"/>
      <c r="C643" s="290" t="n"/>
      <c r="D643" s="291" t="n"/>
      <c r="E643" s="290" t="n"/>
      <c r="F643" s="290" t="n"/>
    </row>
    <row r="644" ht="13" customHeight="1" s="189">
      <c r="B644" s="290" t="n"/>
      <c r="C644" s="290" t="n"/>
      <c r="D644" s="291" t="n"/>
      <c r="E644" s="290" t="n"/>
      <c r="F644" s="290" t="n"/>
    </row>
    <row r="645" ht="13" customHeight="1" s="189">
      <c r="B645" s="290" t="n"/>
      <c r="C645" s="290" t="n"/>
      <c r="D645" s="291" t="n"/>
      <c r="E645" s="290" t="n"/>
      <c r="F645" s="290" t="n"/>
    </row>
    <row r="646" ht="13" customHeight="1" s="189">
      <c r="B646" s="290" t="n"/>
      <c r="C646" s="290" t="n"/>
      <c r="D646" s="291" t="n"/>
      <c r="E646" s="290" t="n"/>
      <c r="F646" s="290" t="n"/>
    </row>
    <row r="647" ht="13" customHeight="1" s="189">
      <c r="B647" s="290" t="n"/>
      <c r="C647" s="290" t="n"/>
      <c r="D647" s="291" t="n"/>
      <c r="E647" s="290" t="n"/>
      <c r="F647" s="290" t="n"/>
    </row>
    <row r="648" ht="13" customHeight="1" s="189">
      <c r="B648" s="290" t="n"/>
      <c r="C648" s="290" t="n"/>
      <c r="D648" s="291" t="n"/>
      <c r="E648" s="290" t="n"/>
      <c r="F648" s="290" t="n"/>
    </row>
    <row r="649" ht="13" customHeight="1" s="189">
      <c r="B649" s="290" t="n"/>
      <c r="C649" s="290" t="n"/>
      <c r="D649" s="291" t="n"/>
      <c r="E649" s="290" t="n"/>
      <c r="F649" s="290" t="n"/>
    </row>
    <row r="650" ht="13" customHeight="1" s="189">
      <c r="B650" s="290" t="n"/>
      <c r="C650" s="290" t="n"/>
      <c r="D650" s="291" t="n"/>
      <c r="E650" s="290" t="n"/>
      <c r="F650" s="290" t="n"/>
    </row>
    <row r="651" ht="13" customHeight="1" s="189">
      <c r="B651" s="290" t="n"/>
      <c r="C651" s="290" t="n"/>
      <c r="D651" s="291" t="n"/>
      <c r="E651" s="290" t="n"/>
      <c r="F651" s="290" t="n"/>
    </row>
    <row r="652" ht="13" customHeight="1" s="189">
      <c r="B652" s="290" t="n"/>
      <c r="C652" s="290" t="n"/>
      <c r="D652" s="291" t="n"/>
      <c r="E652" s="290" t="n"/>
      <c r="F652" s="290" t="n"/>
    </row>
    <row r="653" ht="13" customHeight="1" s="189">
      <c r="B653" s="290" t="n"/>
      <c r="C653" s="290" t="n"/>
      <c r="D653" s="291" t="n"/>
      <c r="E653" s="290" t="n"/>
      <c r="F653" s="290" t="n"/>
    </row>
    <row r="654" ht="13" customHeight="1" s="189">
      <c r="B654" s="290" t="n"/>
      <c r="C654" s="290" t="n"/>
      <c r="D654" s="291" t="n"/>
      <c r="E654" s="290" t="n"/>
      <c r="F654" s="290" t="n"/>
    </row>
    <row r="655" ht="13" customHeight="1" s="189">
      <c r="B655" s="290" t="n"/>
      <c r="C655" s="290" t="n"/>
      <c r="D655" s="291" t="n"/>
      <c r="E655" s="290" t="n"/>
      <c r="F655" s="290" t="n"/>
    </row>
    <row r="656" ht="13" customHeight="1" s="189">
      <c r="B656" s="290" t="n"/>
      <c r="C656" s="290" t="n"/>
      <c r="D656" s="291" t="n"/>
      <c r="E656" s="290" t="n"/>
      <c r="F656" s="290" t="n"/>
    </row>
    <row r="657" ht="13" customHeight="1" s="189">
      <c r="B657" s="290" t="n"/>
      <c r="C657" s="290" t="n"/>
      <c r="D657" s="291" t="n"/>
      <c r="E657" s="290" t="n"/>
      <c r="F657" s="290" t="n"/>
    </row>
    <row r="658" ht="13" customHeight="1" s="189">
      <c r="B658" s="290" t="n"/>
      <c r="C658" s="290" t="n"/>
      <c r="D658" s="291" t="n"/>
      <c r="E658" s="290" t="n"/>
      <c r="F658" s="290" t="n"/>
    </row>
    <row r="659" ht="13" customHeight="1" s="189">
      <c r="B659" s="290" t="n"/>
      <c r="C659" s="290" t="n"/>
      <c r="D659" s="291" t="n"/>
      <c r="E659" s="290" t="n"/>
      <c r="F659" s="290" t="n"/>
    </row>
    <row r="660" ht="13" customHeight="1" s="189">
      <c r="B660" s="290" t="n"/>
      <c r="C660" s="290" t="n"/>
      <c r="D660" s="291" t="n"/>
      <c r="E660" s="290" t="n"/>
      <c r="F660" s="290" t="n"/>
    </row>
    <row r="661" ht="13" customHeight="1" s="189">
      <c r="B661" s="290" t="n"/>
      <c r="C661" s="290" t="n"/>
      <c r="D661" s="291" t="n"/>
      <c r="E661" s="290" t="n"/>
      <c r="F661" s="290" t="n"/>
    </row>
    <row r="662" ht="13" customHeight="1" s="189">
      <c r="B662" s="290" t="n"/>
      <c r="C662" s="290" t="n"/>
      <c r="D662" s="291" t="n"/>
      <c r="E662" s="290" t="n"/>
      <c r="F662" s="290" t="n"/>
    </row>
    <row r="663" ht="13" customHeight="1" s="189">
      <c r="B663" s="290" t="n"/>
      <c r="C663" s="290" t="n"/>
      <c r="D663" s="291" t="n"/>
      <c r="E663" s="290" t="n"/>
      <c r="F663" s="290" t="n"/>
    </row>
    <row r="664" ht="13" customHeight="1" s="189">
      <c r="B664" s="290" t="n"/>
      <c r="C664" s="290" t="n"/>
      <c r="D664" s="291" t="n"/>
      <c r="E664" s="290" t="n"/>
      <c r="F664" s="290" t="n"/>
    </row>
    <row r="665" ht="13" customHeight="1" s="189">
      <c r="B665" s="290" t="n"/>
      <c r="C665" s="290" t="n"/>
      <c r="D665" s="291" t="n"/>
      <c r="E665" s="290" t="n"/>
      <c r="F665" s="290" t="n"/>
    </row>
    <row r="666" ht="13" customHeight="1" s="189">
      <c r="B666" s="290" t="n"/>
      <c r="C666" s="290" t="n"/>
      <c r="D666" s="291" t="n"/>
      <c r="E666" s="290" t="n"/>
      <c r="F666" s="290" t="n"/>
    </row>
    <row r="667" ht="13" customHeight="1" s="189">
      <c r="B667" s="290" t="n"/>
      <c r="C667" s="290" t="n"/>
      <c r="D667" s="291" t="n"/>
      <c r="E667" s="290" t="n"/>
      <c r="F667" s="290" t="n"/>
    </row>
    <row r="668" ht="13" customHeight="1" s="189">
      <c r="B668" s="290" t="n"/>
      <c r="C668" s="290" t="n"/>
      <c r="D668" s="291" t="n"/>
      <c r="E668" s="290" t="n"/>
      <c r="F668" s="290" t="n"/>
    </row>
    <row r="669" ht="13" customHeight="1" s="189">
      <c r="B669" s="290" t="n"/>
      <c r="C669" s="290" t="n"/>
      <c r="D669" s="291" t="n"/>
      <c r="E669" s="290" t="n"/>
      <c r="F669" s="290" t="n"/>
    </row>
    <row r="670" ht="13" customHeight="1" s="189">
      <c r="B670" s="290" t="n"/>
      <c r="C670" s="290" t="n"/>
      <c r="D670" s="291" t="n"/>
      <c r="E670" s="290" t="n"/>
      <c r="F670" s="290" t="n"/>
    </row>
    <row r="671" ht="13" customHeight="1" s="189">
      <c r="B671" s="290" t="n"/>
      <c r="C671" s="290" t="n"/>
      <c r="D671" s="291" t="n"/>
      <c r="E671" s="290" t="n"/>
      <c r="F671" s="290" t="n"/>
    </row>
    <row r="672" ht="13" customHeight="1" s="189">
      <c r="B672" s="290" t="n"/>
      <c r="C672" s="290" t="n"/>
      <c r="D672" s="291" t="n"/>
      <c r="E672" s="290" t="n"/>
      <c r="F672" s="290" t="n"/>
    </row>
    <row r="673" ht="13" customHeight="1" s="189">
      <c r="B673" s="290" t="n"/>
      <c r="C673" s="290" t="n"/>
      <c r="D673" s="291" t="n"/>
      <c r="E673" s="290" t="n"/>
      <c r="F673" s="290" t="n"/>
    </row>
    <row r="674" ht="13" customHeight="1" s="189">
      <c r="B674" s="290" t="n"/>
      <c r="C674" s="290" t="n"/>
      <c r="D674" s="291" t="n"/>
      <c r="E674" s="290" t="n"/>
      <c r="F674" s="290" t="n"/>
    </row>
    <row r="675" ht="13" customHeight="1" s="189">
      <c r="B675" s="290" t="n"/>
      <c r="C675" s="290" t="n"/>
      <c r="D675" s="291" t="n"/>
      <c r="E675" s="290" t="n"/>
      <c r="F675" s="290" t="n"/>
    </row>
    <row r="676" ht="13" customHeight="1" s="189">
      <c r="B676" s="290" t="n"/>
      <c r="C676" s="290" t="n"/>
      <c r="D676" s="291" t="n"/>
      <c r="E676" s="290" t="n"/>
      <c r="F676" s="290" t="n"/>
    </row>
    <row r="677" ht="13" customHeight="1" s="189">
      <c r="B677" s="290" t="n"/>
      <c r="C677" s="290" t="n"/>
      <c r="D677" s="291" t="n"/>
      <c r="E677" s="290" t="n"/>
      <c r="F677" s="290" t="n"/>
    </row>
    <row r="678" ht="13" customHeight="1" s="189">
      <c r="B678" s="290" t="n"/>
      <c r="C678" s="290" t="n"/>
      <c r="D678" s="291" t="n"/>
      <c r="E678" s="290" t="n"/>
      <c r="F678" s="290" t="n"/>
    </row>
    <row r="679" ht="13" customHeight="1" s="189">
      <c r="B679" s="290" t="n"/>
      <c r="C679" s="290" t="n"/>
      <c r="D679" s="291" t="n"/>
      <c r="E679" s="290" t="n"/>
      <c r="F679" s="290" t="n"/>
    </row>
    <row r="680" ht="13" customHeight="1" s="189">
      <c r="B680" s="290" t="n"/>
      <c r="C680" s="290" t="n"/>
      <c r="D680" s="291" t="n"/>
      <c r="E680" s="290" t="n"/>
      <c r="F680" s="290" t="n"/>
    </row>
    <row r="681" ht="13" customHeight="1" s="189">
      <c r="B681" s="290" t="n"/>
      <c r="C681" s="290" t="n"/>
      <c r="D681" s="291" t="n"/>
      <c r="E681" s="290" t="n"/>
      <c r="F681" s="290" t="n"/>
    </row>
    <row r="682" ht="13" customHeight="1" s="189">
      <c r="B682" s="290" t="n"/>
      <c r="C682" s="290" t="n"/>
      <c r="D682" s="291" t="n"/>
      <c r="E682" s="290" t="n"/>
      <c r="F682" s="290" t="n"/>
    </row>
    <row r="683" ht="13" customHeight="1" s="189">
      <c r="B683" s="290" t="n"/>
      <c r="C683" s="290" t="n"/>
      <c r="D683" s="291" t="n"/>
      <c r="E683" s="290" t="n"/>
      <c r="F683" s="290" t="n"/>
    </row>
    <row r="684" ht="13" customHeight="1" s="189">
      <c r="B684" s="290" t="n"/>
      <c r="C684" s="290" t="n"/>
      <c r="D684" s="291" t="n"/>
      <c r="E684" s="290" t="n"/>
      <c r="F684" s="290" t="n"/>
    </row>
    <row r="685" ht="13" customHeight="1" s="189">
      <c r="B685" s="290" t="n"/>
      <c r="C685" s="290" t="n"/>
      <c r="D685" s="291" t="n"/>
      <c r="E685" s="290" t="n"/>
      <c r="F685" s="290" t="n"/>
    </row>
    <row r="686" ht="13" customHeight="1" s="189">
      <c r="B686" s="290" t="n"/>
      <c r="C686" s="290" t="n"/>
      <c r="D686" s="291" t="n"/>
      <c r="E686" s="290" t="n"/>
      <c r="F686" s="290" t="n"/>
    </row>
    <row r="687" ht="13" customHeight="1" s="189">
      <c r="B687" s="290" t="n"/>
      <c r="C687" s="290" t="n"/>
      <c r="D687" s="291" t="n"/>
      <c r="E687" s="290" t="n"/>
      <c r="F687" s="290" t="n"/>
    </row>
    <row r="688" ht="13" customHeight="1" s="189">
      <c r="B688" s="290" t="n"/>
      <c r="C688" s="290" t="n"/>
      <c r="D688" s="291" t="n"/>
      <c r="E688" s="290" t="n"/>
      <c r="F688" s="290" t="n"/>
    </row>
    <row r="689" ht="13" customHeight="1" s="189">
      <c r="B689" s="290" t="n"/>
      <c r="C689" s="290" t="n"/>
      <c r="D689" s="291" t="n"/>
      <c r="E689" s="290" t="n"/>
      <c r="F689" s="290" t="n"/>
    </row>
    <row r="690" ht="13" customHeight="1" s="189">
      <c r="B690" s="290" t="n"/>
      <c r="C690" s="290" t="n"/>
      <c r="D690" s="291" t="n"/>
      <c r="E690" s="290" t="n"/>
      <c r="F690" s="290" t="n"/>
    </row>
    <row r="691" ht="13" customHeight="1" s="189">
      <c r="B691" s="290" t="n"/>
      <c r="C691" s="290" t="n"/>
      <c r="D691" s="291" t="n"/>
      <c r="E691" s="290" t="n"/>
      <c r="F691" s="290" t="n"/>
    </row>
    <row r="692" ht="13" customHeight="1" s="189">
      <c r="B692" s="290" t="n"/>
      <c r="C692" s="290" t="n"/>
      <c r="D692" s="291" t="n"/>
      <c r="E692" s="290" t="n"/>
      <c r="F692" s="290" t="n"/>
    </row>
    <row r="693" ht="13" customHeight="1" s="189">
      <c r="B693" s="290" t="n"/>
      <c r="C693" s="290" t="n"/>
      <c r="D693" s="291" t="n"/>
      <c r="E693" s="290" t="n"/>
      <c r="F693" s="290" t="n"/>
    </row>
    <row r="694" ht="13" customHeight="1" s="189">
      <c r="B694" s="290" t="n"/>
      <c r="C694" s="290" t="n"/>
      <c r="D694" s="291" t="n"/>
      <c r="E694" s="290" t="n"/>
      <c r="F694" s="290" t="n"/>
    </row>
    <row r="695" ht="13" customHeight="1" s="189">
      <c r="B695" s="290" t="n"/>
      <c r="C695" s="290" t="n"/>
      <c r="D695" s="291" t="n"/>
      <c r="E695" s="290" t="n"/>
      <c r="F695" s="290" t="n"/>
    </row>
    <row r="696" ht="13" customHeight="1" s="189">
      <c r="B696" s="290" t="n"/>
      <c r="C696" s="290" t="n"/>
      <c r="D696" s="291" t="n"/>
      <c r="E696" s="290" t="n"/>
      <c r="F696" s="290" t="n"/>
    </row>
    <row r="697" ht="13" customHeight="1" s="189">
      <c r="B697" s="290" t="n"/>
      <c r="C697" s="290" t="n"/>
      <c r="D697" s="291" t="n"/>
      <c r="E697" s="290" t="n"/>
      <c r="F697" s="290" t="n"/>
    </row>
    <row r="698" ht="13" customHeight="1" s="189">
      <c r="B698" s="290" t="n"/>
      <c r="C698" s="290" t="n"/>
      <c r="D698" s="291" t="n"/>
      <c r="E698" s="290" t="n"/>
      <c r="F698" s="290" t="n"/>
    </row>
    <row r="699" ht="13" customHeight="1" s="189">
      <c r="B699" s="290" t="n"/>
      <c r="C699" s="290" t="n"/>
      <c r="D699" s="291" t="n"/>
      <c r="E699" s="290" t="n"/>
      <c r="F699" s="290" t="n"/>
    </row>
    <row r="700" ht="13" customHeight="1" s="189">
      <c r="B700" s="290" t="n"/>
      <c r="C700" s="290" t="n"/>
      <c r="D700" s="291" t="n"/>
      <c r="E700" s="290" t="n"/>
      <c r="F700" s="290" t="n"/>
    </row>
    <row r="701" ht="13" customHeight="1" s="189">
      <c r="B701" s="290" t="n"/>
      <c r="C701" s="290" t="n"/>
      <c r="D701" s="291" t="n"/>
      <c r="E701" s="290" t="n"/>
      <c r="F701" s="290" t="n"/>
    </row>
    <row r="702" ht="13" customHeight="1" s="189">
      <c r="B702" s="290" t="n"/>
      <c r="C702" s="290" t="n"/>
      <c r="D702" s="291" t="n"/>
      <c r="E702" s="290" t="n"/>
      <c r="F702" s="290" t="n"/>
    </row>
    <row r="703" ht="13" customHeight="1" s="189">
      <c r="B703" s="290" t="n"/>
      <c r="C703" s="290" t="n"/>
      <c r="D703" s="291" t="n"/>
      <c r="E703" s="290" t="n"/>
      <c r="F703" s="290" t="n"/>
    </row>
    <row r="704" ht="13" customHeight="1" s="189">
      <c r="B704" s="290" t="n"/>
      <c r="C704" s="290" t="n"/>
      <c r="D704" s="291" t="n"/>
      <c r="E704" s="290" t="n"/>
      <c r="F704" s="290" t="n"/>
    </row>
    <row r="705" ht="13" customHeight="1" s="189">
      <c r="B705" s="290" t="n"/>
      <c r="C705" s="290" t="n"/>
      <c r="D705" s="291" t="n"/>
      <c r="E705" s="290" t="n"/>
      <c r="F705" s="290" t="n"/>
    </row>
    <row r="706" ht="13" customHeight="1" s="189">
      <c r="B706" s="290" t="n"/>
      <c r="C706" s="290" t="n"/>
      <c r="D706" s="291" t="n"/>
      <c r="E706" s="290" t="n"/>
      <c r="F706" s="290" t="n"/>
    </row>
    <row r="707" ht="13" customHeight="1" s="189">
      <c r="B707" s="290" t="n"/>
      <c r="C707" s="290" t="n"/>
      <c r="D707" s="291" t="n"/>
      <c r="E707" s="290" t="n"/>
      <c r="F707" s="290" t="n"/>
    </row>
    <row r="708" ht="13" customHeight="1" s="189">
      <c r="B708" s="290" t="n"/>
      <c r="C708" s="290" t="n"/>
      <c r="D708" s="291" t="n"/>
      <c r="E708" s="290" t="n"/>
      <c r="F708" s="290" t="n"/>
    </row>
    <row r="709" ht="13" customHeight="1" s="189">
      <c r="B709" s="290" t="n"/>
      <c r="C709" s="290" t="n"/>
      <c r="D709" s="291" t="n"/>
      <c r="E709" s="290" t="n"/>
      <c r="F709" s="290" t="n"/>
    </row>
    <row r="710" ht="13" customHeight="1" s="189">
      <c r="B710" s="290" t="n"/>
      <c r="C710" s="290" t="n"/>
      <c r="D710" s="291" t="n"/>
      <c r="E710" s="290" t="n"/>
      <c r="F710" s="290" t="n"/>
    </row>
    <row r="711" ht="13" customHeight="1" s="189">
      <c r="B711" s="290" t="n"/>
      <c r="C711" s="290" t="n"/>
      <c r="D711" s="291" t="n"/>
      <c r="E711" s="290" t="n"/>
      <c r="F711" s="290" t="n"/>
    </row>
    <row r="712" ht="13" customHeight="1" s="189">
      <c r="B712" s="290" t="n"/>
      <c r="C712" s="290" t="n"/>
      <c r="D712" s="291" t="n"/>
      <c r="E712" s="290" t="n"/>
      <c r="F712" s="290" t="n"/>
    </row>
    <row r="713" ht="13" customHeight="1" s="189">
      <c r="B713" s="290" t="n"/>
      <c r="C713" s="290" t="n"/>
      <c r="D713" s="291" t="n"/>
      <c r="E713" s="290" t="n"/>
      <c r="F713" s="290" t="n"/>
    </row>
    <row r="714" ht="13" customHeight="1" s="189">
      <c r="B714" s="290" t="n"/>
      <c r="C714" s="290" t="n"/>
      <c r="D714" s="291" t="n"/>
      <c r="E714" s="290" t="n"/>
      <c r="F714" s="290" t="n"/>
    </row>
    <row r="715" ht="13" customHeight="1" s="189">
      <c r="B715" s="290" t="n"/>
      <c r="C715" s="290" t="n"/>
      <c r="D715" s="291" t="n"/>
      <c r="E715" s="290" t="n"/>
      <c r="F715" s="290" t="n"/>
    </row>
    <row r="716" ht="13" customHeight="1" s="189">
      <c r="B716" s="290" t="n"/>
      <c r="C716" s="290" t="n"/>
      <c r="D716" s="291" t="n"/>
      <c r="E716" s="290" t="n"/>
      <c r="F716" s="290" t="n"/>
    </row>
    <row r="717" ht="13" customHeight="1" s="189">
      <c r="B717" s="290" t="n"/>
      <c r="C717" s="290" t="n"/>
      <c r="D717" s="291" t="n"/>
      <c r="E717" s="290" t="n"/>
      <c r="F717" s="290" t="n"/>
    </row>
    <row r="718" ht="13" customHeight="1" s="189">
      <c r="B718" s="290" t="n"/>
      <c r="C718" s="290" t="n"/>
      <c r="D718" s="291" t="n"/>
      <c r="E718" s="290" t="n"/>
      <c r="F718" s="290" t="n"/>
    </row>
    <row r="719" ht="13" customHeight="1" s="189">
      <c r="B719" s="290" t="n"/>
      <c r="C719" s="290" t="n"/>
      <c r="D719" s="291" t="n"/>
      <c r="E719" s="290" t="n"/>
      <c r="F719" s="290" t="n"/>
    </row>
    <row r="720" ht="13" customHeight="1" s="189">
      <c r="B720" s="290" t="n"/>
      <c r="C720" s="290" t="n"/>
      <c r="D720" s="291" t="n"/>
      <c r="E720" s="290" t="n"/>
      <c r="F720" s="290" t="n"/>
    </row>
    <row r="721" ht="13" customHeight="1" s="189">
      <c r="B721" s="290" t="n"/>
      <c r="C721" s="290" t="n"/>
      <c r="D721" s="291" t="n"/>
      <c r="E721" s="290" t="n"/>
      <c r="F721" s="290" t="n"/>
    </row>
    <row r="722" ht="13" customHeight="1" s="189">
      <c r="B722" s="290" t="n"/>
      <c r="C722" s="290" t="n"/>
      <c r="D722" s="291" t="n"/>
      <c r="E722" s="290" t="n"/>
      <c r="F722" s="290" t="n"/>
    </row>
    <row r="723" ht="13" customHeight="1" s="189">
      <c r="B723" s="290" t="n"/>
      <c r="C723" s="290" t="n"/>
      <c r="D723" s="291" t="n"/>
      <c r="E723" s="290" t="n"/>
      <c r="F723" s="290" t="n"/>
    </row>
    <row r="724" ht="13" customHeight="1" s="189">
      <c r="B724" s="290" t="n"/>
      <c r="C724" s="290" t="n"/>
      <c r="D724" s="291" t="n"/>
      <c r="E724" s="290" t="n"/>
      <c r="F724" s="290" t="n"/>
    </row>
    <row r="725" ht="13" customHeight="1" s="189">
      <c r="B725" s="290" t="n"/>
      <c r="C725" s="290" t="n"/>
      <c r="D725" s="291" t="n"/>
      <c r="E725" s="290" t="n"/>
      <c r="F725" s="290" t="n"/>
    </row>
    <row r="726" ht="13" customHeight="1" s="189">
      <c r="B726" s="290" t="n"/>
      <c r="C726" s="290" t="n"/>
      <c r="D726" s="291" t="n"/>
      <c r="E726" s="290" t="n"/>
      <c r="F726" s="290" t="n"/>
    </row>
    <row r="727" ht="13" customHeight="1" s="189">
      <c r="B727" s="290" t="n"/>
      <c r="C727" s="290" t="n"/>
      <c r="D727" s="291" t="n"/>
      <c r="E727" s="290" t="n"/>
      <c r="F727" s="290" t="n"/>
    </row>
    <row r="728" ht="13" customHeight="1" s="189">
      <c r="B728" s="290" t="n"/>
      <c r="C728" s="290" t="n"/>
      <c r="D728" s="291" t="n"/>
      <c r="E728" s="290" t="n"/>
      <c r="F728" s="290" t="n"/>
    </row>
    <row r="729" ht="13" customHeight="1" s="189">
      <c r="B729" s="290" t="n"/>
      <c r="C729" s="290" t="n"/>
      <c r="D729" s="291" t="n"/>
      <c r="E729" s="290" t="n"/>
      <c r="F729" s="290" t="n"/>
    </row>
    <row r="730" ht="13" customHeight="1" s="189">
      <c r="B730" s="290" t="n"/>
      <c r="C730" s="290" t="n"/>
      <c r="D730" s="291" t="n"/>
      <c r="E730" s="290" t="n"/>
      <c r="F730" s="290" t="n"/>
    </row>
    <row r="731" ht="13" customHeight="1" s="189">
      <c r="B731" s="290" t="n"/>
      <c r="C731" s="290" t="n"/>
      <c r="D731" s="291" t="n"/>
      <c r="E731" s="290" t="n"/>
      <c r="F731" s="290" t="n"/>
    </row>
    <row r="732" ht="13" customHeight="1" s="189">
      <c r="B732" s="290" t="n"/>
      <c r="C732" s="290" t="n"/>
      <c r="D732" s="291" t="n"/>
      <c r="E732" s="290" t="n"/>
      <c r="F732" s="290" t="n"/>
    </row>
    <row r="733" ht="13" customHeight="1" s="189">
      <c r="B733" s="290" t="n"/>
      <c r="C733" s="290" t="n"/>
      <c r="D733" s="291" t="n"/>
      <c r="E733" s="290" t="n"/>
      <c r="F733" s="290" t="n"/>
    </row>
    <row r="734" ht="13" customHeight="1" s="189">
      <c r="B734" s="290" t="n"/>
      <c r="C734" s="290" t="n"/>
      <c r="D734" s="291" t="n"/>
      <c r="E734" s="290" t="n"/>
      <c r="F734" s="290" t="n"/>
    </row>
    <row r="735" ht="13" customHeight="1" s="189">
      <c r="B735" s="290" t="n"/>
      <c r="C735" s="290" t="n"/>
      <c r="D735" s="291" t="n"/>
      <c r="E735" s="290" t="n"/>
      <c r="F735" s="290" t="n"/>
    </row>
    <row r="736" ht="13" customHeight="1" s="189">
      <c r="B736" s="290" t="n"/>
      <c r="C736" s="290" t="n"/>
      <c r="D736" s="291" t="n"/>
      <c r="E736" s="290" t="n"/>
      <c r="F736" s="290" t="n"/>
    </row>
    <row r="737" ht="13" customHeight="1" s="189">
      <c r="B737" s="290" t="n"/>
      <c r="C737" s="290" t="n"/>
      <c r="D737" s="291" t="n"/>
      <c r="E737" s="290" t="n"/>
      <c r="F737" s="290" t="n"/>
    </row>
    <row r="738" ht="13" customHeight="1" s="189">
      <c r="B738" s="290" t="n"/>
      <c r="C738" s="290" t="n"/>
      <c r="D738" s="291" t="n"/>
      <c r="E738" s="290" t="n"/>
      <c r="F738" s="290" t="n"/>
    </row>
    <row r="739" ht="13" customHeight="1" s="189">
      <c r="B739" s="290" t="n"/>
      <c r="C739" s="290" t="n"/>
      <c r="D739" s="291" t="n"/>
      <c r="E739" s="290" t="n"/>
      <c r="F739" s="290" t="n"/>
    </row>
    <row r="740" ht="13" customHeight="1" s="189">
      <c r="B740" s="290" t="n"/>
      <c r="C740" s="290" t="n"/>
      <c r="D740" s="291" t="n"/>
      <c r="E740" s="290" t="n"/>
      <c r="F740" s="290" t="n"/>
    </row>
    <row r="741" ht="13" customHeight="1" s="189">
      <c r="B741" s="290" t="n"/>
      <c r="C741" s="290" t="n"/>
      <c r="D741" s="291" t="n"/>
      <c r="E741" s="290" t="n"/>
      <c r="F741" s="290" t="n"/>
    </row>
    <row r="742" ht="13" customHeight="1" s="189">
      <c r="B742" s="290" t="n"/>
      <c r="C742" s="290" t="n"/>
      <c r="D742" s="291" t="n"/>
      <c r="E742" s="290" t="n"/>
      <c r="F742" s="290" t="n"/>
    </row>
    <row r="743" ht="13" customHeight="1" s="189">
      <c r="B743" s="290" t="n"/>
      <c r="C743" s="290" t="n"/>
      <c r="D743" s="291" t="n"/>
      <c r="E743" s="290" t="n"/>
      <c r="F743" s="290" t="n"/>
    </row>
    <row r="744" ht="13" customHeight="1" s="189">
      <c r="B744" s="290" t="n"/>
      <c r="C744" s="290" t="n"/>
      <c r="D744" s="291" t="n"/>
      <c r="E744" s="290" t="n"/>
      <c r="F744" s="290" t="n"/>
    </row>
    <row r="745" ht="13" customHeight="1" s="189">
      <c r="B745" s="290" t="n"/>
      <c r="C745" s="290" t="n"/>
      <c r="D745" s="291" t="n"/>
      <c r="E745" s="290" t="n"/>
      <c r="F745" s="290" t="n"/>
    </row>
    <row r="746" ht="13" customHeight="1" s="189">
      <c r="B746" s="290" t="n"/>
      <c r="C746" s="290" t="n"/>
      <c r="D746" s="291" t="n"/>
      <c r="E746" s="290" t="n"/>
      <c r="F746" s="290" t="n"/>
    </row>
    <row r="747" ht="13" customHeight="1" s="189">
      <c r="B747" s="290" t="n"/>
      <c r="C747" s="290" t="n"/>
      <c r="D747" s="291" t="n"/>
      <c r="E747" s="290" t="n"/>
      <c r="F747" s="290" t="n"/>
    </row>
    <row r="748" ht="13" customHeight="1" s="189">
      <c r="B748" s="290" t="n"/>
      <c r="C748" s="290" t="n"/>
      <c r="D748" s="291" t="n"/>
      <c r="E748" s="290" t="n"/>
      <c r="F748" s="290" t="n"/>
    </row>
    <row r="749" ht="13" customHeight="1" s="189">
      <c r="B749" s="290" t="n"/>
      <c r="C749" s="290" t="n"/>
      <c r="D749" s="291" t="n"/>
      <c r="E749" s="290" t="n"/>
      <c r="F749" s="290" t="n"/>
    </row>
    <row r="750" ht="13" customHeight="1" s="189">
      <c r="B750" s="290" t="n"/>
      <c r="C750" s="290" t="n"/>
      <c r="D750" s="291" t="n"/>
      <c r="E750" s="290" t="n"/>
      <c r="F750" s="290" t="n"/>
    </row>
    <row r="751" ht="13" customHeight="1" s="189">
      <c r="B751" s="290" t="n"/>
      <c r="C751" s="290" t="n"/>
      <c r="D751" s="291" t="n"/>
      <c r="E751" s="290" t="n"/>
      <c r="F751" s="290" t="n"/>
    </row>
    <row r="752" ht="13" customHeight="1" s="189">
      <c r="B752" s="290" t="n"/>
      <c r="C752" s="290" t="n"/>
      <c r="D752" s="291" t="n"/>
      <c r="E752" s="290" t="n"/>
      <c r="F752" s="290" t="n"/>
    </row>
    <row r="753" ht="13" customHeight="1" s="189">
      <c r="B753" s="290" t="n"/>
      <c r="C753" s="290" t="n"/>
      <c r="D753" s="291" t="n"/>
      <c r="E753" s="290" t="n"/>
      <c r="F753" s="290" t="n"/>
    </row>
    <row r="754" ht="13" customHeight="1" s="189">
      <c r="B754" s="290" t="n"/>
      <c r="C754" s="290" t="n"/>
      <c r="D754" s="291" t="n"/>
      <c r="E754" s="290" t="n"/>
      <c r="F754" s="290" t="n"/>
    </row>
    <row r="755" ht="13" customHeight="1" s="189">
      <c r="B755" s="290" t="n"/>
      <c r="C755" s="290" t="n"/>
      <c r="D755" s="291" t="n"/>
      <c r="E755" s="290" t="n"/>
      <c r="F755" s="290" t="n"/>
    </row>
    <row r="756" ht="13" customHeight="1" s="189">
      <c r="B756" s="290" t="n"/>
      <c r="C756" s="290" t="n"/>
      <c r="D756" s="291" t="n"/>
      <c r="E756" s="290" t="n"/>
      <c r="F756" s="290" t="n"/>
    </row>
    <row r="757" ht="13" customHeight="1" s="189">
      <c r="B757" s="290" t="n"/>
      <c r="C757" s="290" t="n"/>
      <c r="D757" s="291" t="n"/>
      <c r="E757" s="290" t="n"/>
      <c r="F757" s="290" t="n"/>
    </row>
    <row r="758" ht="13" customHeight="1" s="189">
      <c r="B758" s="290" t="n"/>
      <c r="C758" s="290" t="n"/>
      <c r="D758" s="291" t="n"/>
      <c r="E758" s="290" t="n"/>
      <c r="F758" s="290" t="n"/>
    </row>
    <row r="759" ht="13" customHeight="1" s="189">
      <c r="B759" s="290" t="n"/>
      <c r="C759" s="290" t="n"/>
      <c r="D759" s="291" t="n"/>
      <c r="E759" s="290" t="n"/>
      <c r="F759" s="290" t="n"/>
    </row>
    <row r="760" ht="13" customHeight="1" s="189">
      <c r="B760" s="290" t="n"/>
      <c r="C760" s="290" t="n"/>
      <c r="D760" s="291" t="n"/>
      <c r="E760" s="290" t="n"/>
      <c r="F760" s="290" t="n"/>
    </row>
    <row r="761" ht="13" customHeight="1" s="189">
      <c r="B761" s="290" t="n"/>
      <c r="C761" s="290" t="n"/>
      <c r="D761" s="291" t="n"/>
      <c r="E761" s="290" t="n"/>
      <c r="F761" s="290" t="n"/>
    </row>
    <row r="762" ht="13" customHeight="1" s="189">
      <c r="B762" s="290" t="n"/>
      <c r="C762" s="290" t="n"/>
      <c r="D762" s="291" t="n"/>
      <c r="E762" s="290" t="n"/>
      <c r="F762" s="290" t="n"/>
    </row>
    <row r="763" ht="13" customHeight="1" s="189">
      <c r="B763" s="290" t="n"/>
      <c r="C763" s="290" t="n"/>
      <c r="D763" s="291" t="n"/>
      <c r="E763" s="290" t="n"/>
      <c r="F763" s="290" t="n"/>
    </row>
    <row r="764" ht="13" customHeight="1" s="189">
      <c r="B764" s="290" t="n"/>
      <c r="C764" s="290" t="n"/>
      <c r="D764" s="291" t="n"/>
      <c r="E764" s="290" t="n"/>
      <c r="F764" s="290" t="n"/>
    </row>
    <row r="765" ht="13" customHeight="1" s="189">
      <c r="B765" s="290" t="n"/>
      <c r="C765" s="290" t="n"/>
      <c r="D765" s="291" t="n"/>
      <c r="E765" s="290" t="n"/>
      <c r="F765" s="290" t="n"/>
    </row>
    <row r="766" ht="13" customHeight="1" s="189">
      <c r="B766" s="290" t="n"/>
      <c r="C766" s="290" t="n"/>
      <c r="D766" s="291" t="n"/>
      <c r="E766" s="290" t="n"/>
      <c r="F766" s="290" t="n"/>
    </row>
    <row r="767" ht="13" customHeight="1" s="189">
      <c r="B767" s="290" t="n"/>
      <c r="C767" s="290" t="n"/>
      <c r="D767" s="291" t="n"/>
      <c r="E767" s="290" t="n"/>
      <c r="F767" s="290" t="n"/>
    </row>
    <row r="768" ht="13" customHeight="1" s="189">
      <c r="B768" s="290" t="n"/>
      <c r="C768" s="290" t="n"/>
      <c r="D768" s="291" t="n"/>
      <c r="E768" s="290" t="n"/>
      <c r="F768" s="290" t="n"/>
    </row>
    <row r="769" ht="13" customHeight="1" s="189">
      <c r="B769" s="290" t="n"/>
      <c r="C769" s="290" t="n"/>
      <c r="D769" s="291" t="n"/>
      <c r="E769" s="290" t="n"/>
      <c r="F769" s="290" t="n"/>
    </row>
    <row r="770" ht="13" customHeight="1" s="189">
      <c r="B770" s="290" t="n"/>
      <c r="C770" s="290" t="n"/>
      <c r="D770" s="291" t="n"/>
      <c r="E770" s="290" t="n"/>
      <c r="F770" s="290" t="n"/>
    </row>
    <row r="771" ht="13" customHeight="1" s="189">
      <c r="B771" s="290" t="n"/>
      <c r="C771" s="290" t="n"/>
      <c r="D771" s="291" t="n"/>
      <c r="E771" s="290" t="n"/>
      <c r="F771" s="290" t="n"/>
    </row>
    <row r="772" ht="13" customHeight="1" s="189">
      <c r="B772" s="290" t="n"/>
      <c r="C772" s="290" t="n"/>
      <c r="D772" s="291" t="n"/>
      <c r="E772" s="290" t="n"/>
      <c r="F772" s="290" t="n"/>
    </row>
    <row r="773" ht="13" customHeight="1" s="189">
      <c r="B773" s="290" t="n"/>
      <c r="C773" s="290" t="n"/>
      <c r="D773" s="291" t="n"/>
      <c r="E773" s="290" t="n"/>
      <c r="F773" s="290" t="n"/>
    </row>
    <row r="774" ht="13" customHeight="1" s="189">
      <c r="B774" s="290" t="n"/>
      <c r="C774" s="290" t="n"/>
      <c r="D774" s="291" t="n"/>
      <c r="E774" s="290" t="n"/>
      <c r="F774" s="290" t="n"/>
    </row>
    <row r="775" ht="13" customHeight="1" s="189">
      <c r="B775" s="290" t="n"/>
      <c r="C775" s="290" t="n"/>
      <c r="D775" s="291" t="n"/>
      <c r="E775" s="290" t="n"/>
      <c r="F775" s="290" t="n"/>
    </row>
    <row r="776" ht="13" customHeight="1" s="189">
      <c r="B776" s="290" t="n"/>
      <c r="C776" s="290" t="n"/>
      <c r="D776" s="291" t="n"/>
      <c r="E776" s="290" t="n"/>
      <c r="F776" s="290" t="n"/>
    </row>
    <row r="777" ht="13" customHeight="1" s="189">
      <c r="B777" s="290" t="n"/>
      <c r="C777" s="290" t="n"/>
      <c r="D777" s="291" t="n"/>
      <c r="E777" s="290" t="n"/>
      <c r="F777" s="290" t="n"/>
    </row>
    <row r="778" ht="13" customHeight="1" s="189">
      <c r="B778" s="290" t="n"/>
      <c r="C778" s="290" t="n"/>
      <c r="D778" s="291" t="n"/>
      <c r="E778" s="290" t="n"/>
      <c r="F778" s="290" t="n"/>
    </row>
    <row r="779" ht="13" customHeight="1" s="189">
      <c r="B779" s="290" t="n"/>
      <c r="C779" s="290" t="n"/>
      <c r="D779" s="291" t="n"/>
      <c r="E779" s="290" t="n"/>
      <c r="F779" s="290" t="n"/>
    </row>
    <row r="780" ht="13" customHeight="1" s="189">
      <c r="B780" s="290" t="n"/>
      <c r="C780" s="290" t="n"/>
      <c r="D780" s="291" t="n"/>
      <c r="E780" s="290" t="n"/>
      <c r="F780" s="290" t="n"/>
    </row>
    <row r="781" ht="13" customHeight="1" s="189">
      <c r="B781" s="290" t="n"/>
      <c r="C781" s="290" t="n"/>
      <c r="D781" s="291" t="n"/>
      <c r="E781" s="290" t="n"/>
      <c r="F781" s="290" t="n"/>
    </row>
    <row r="782" ht="13" customHeight="1" s="189">
      <c r="B782" s="290" t="n"/>
      <c r="C782" s="290" t="n"/>
      <c r="D782" s="291" t="n"/>
      <c r="E782" s="290" t="n"/>
      <c r="F782" s="290" t="n"/>
    </row>
    <row r="783" ht="13" customHeight="1" s="189">
      <c r="B783" s="290" t="n"/>
      <c r="C783" s="290" t="n"/>
      <c r="D783" s="291" t="n"/>
      <c r="E783" s="290" t="n"/>
      <c r="F783" s="290" t="n"/>
    </row>
    <row r="784" ht="13" customHeight="1" s="189">
      <c r="B784" s="290" t="n"/>
      <c r="C784" s="290" t="n"/>
      <c r="D784" s="291" t="n"/>
      <c r="E784" s="290" t="n"/>
      <c r="F784" s="290" t="n"/>
    </row>
    <row r="785" ht="13" customHeight="1" s="189">
      <c r="B785" s="290" t="n"/>
      <c r="C785" s="290" t="n"/>
      <c r="D785" s="291" t="n"/>
      <c r="E785" s="290" t="n"/>
      <c r="F785" s="290" t="n"/>
    </row>
    <row r="786" ht="13" customHeight="1" s="189">
      <c r="B786" s="290" t="n"/>
      <c r="C786" s="290" t="n"/>
      <c r="D786" s="291" t="n"/>
      <c r="E786" s="290" t="n"/>
      <c r="F786" s="290" t="n"/>
    </row>
    <row r="787" ht="13" customHeight="1" s="189">
      <c r="B787" s="290" t="n"/>
      <c r="C787" s="290" t="n"/>
      <c r="D787" s="291" t="n"/>
      <c r="E787" s="290" t="n"/>
      <c r="F787" s="290" t="n"/>
    </row>
    <row r="788" ht="13" customHeight="1" s="189">
      <c r="B788" s="290" t="n"/>
      <c r="C788" s="290" t="n"/>
      <c r="D788" s="291" t="n"/>
      <c r="E788" s="290" t="n"/>
      <c r="F788" s="290" t="n"/>
    </row>
    <row r="789" ht="13" customHeight="1" s="189">
      <c r="B789" s="290" t="n"/>
      <c r="C789" s="290" t="n"/>
      <c r="D789" s="291" t="n"/>
      <c r="E789" s="290" t="n"/>
      <c r="F789" s="290" t="n"/>
    </row>
    <row r="790" ht="13" customHeight="1" s="189">
      <c r="B790" s="290" t="n"/>
      <c r="C790" s="290" t="n"/>
      <c r="D790" s="291" t="n"/>
      <c r="E790" s="290" t="n"/>
      <c r="F790" s="290" t="n"/>
    </row>
    <row r="791" ht="13" customHeight="1" s="189">
      <c r="B791" s="290" t="n"/>
      <c r="C791" s="290" t="n"/>
      <c r="D791" s="291" t="n"/>
      <c r="E791" s="290" t="n"/>
      <c r="F791" s="290" t="n"/>
    </row>
    <row r="792" ht="13" customHeight="1" s="189">
      <c r="B792" s="290" t="n"/>
      <c r="C792" s="290" t="n"/>
      <c r="D792" s="291" t="n"/>
      <c r="E792" s="290" t="n"/>
      <c r="F792" s="290" t="n"/>
    </row>
    <row r="793" ht="13" customHeight="1" s="189">
      <c r="B793" s="290" t="n"/>
      <c r="C793" s="290" t="n"/>
      <c r="D793" s="291" t="n"/>
      <c r="E793" s="290" t="n"/>
      <c r="F793" s="290" t="n"/>
    </row>
    <row r="794" ht="13" customHeight="1" s="189">
      <c r="B794" s="290" t="n"/>
      <c r="C794" s="290" t="n"/>
      <c r="D794" s="291" t="n"/>
      <c r="E794" s="290" t="n"/>
      <c r="F794" s="290" t="n"/>
    </row>
    <row r="795" ht="13" customHeight="1" s="189">
      <c r="B795" s="290" t="n"/>
      <c r="C795" s="290" t="n"/>
      <c r="D795" s="291" t="n"/>
      <c r="E795" s="290" t="n"/>
      <c r="F795" s="290" t="n"/>
    </row>
    <row r="796" ht="13" customHeight="1" s="189">
      <c r="B796" s="290" t="n"/>
      <c r="C796" s="290" t="n"/>
      <c r="D796" s="291" t="n"/>
      <c r="E796" s="290" t="n"/>
      <c r="F796" s="290" t="n"/>
    </row>
    <row r="797" ht="13" customHeight="1" s="189">
      <c r="B797" s="290" t="n"/>
      <c r="C797" s="290" t="n"/>
      <c r="D797" s="291" t="n"/>
      <c r="E797" s="290" t="n"/>
      <c r="F797" s="290" t="n"/>
    </row>
    <row r="798" ht="13" customHeight="1" s="189">
      <c r="B798" s="290" t="n"/>
      <c r="C798" s="290" t="n"/>
      <c r="D798" s="291" t="n"/>
      <c r="E798" s="290" t="n"/>
      <c r="F798" s="290" t="n"/>
    </row>
    <row r="799" ht="13" customHeight="1" s="189">
      <c r="B799" s="290" t="n"/>
      <c r="C799" s="290" t="n"/>
      <c r="D799" s="291" t="n"/>
      <c r="E799" s="290" t="n"/>
      <c r="F799" s="290" t="n"/>
    </row>
    <row r="800" ht="13" customHeight="1" s="189">
      <c r="B800" s="290" t="n"/>
      <c r="C800" s="290" t="n"/>
      <c r="D800" s="291" t="n"/>
      <c r="E800" s="290" t="n"/>
      <c r="F800" s="290" t="n"/>
    </row>
    <row r="801" ht="13" customHeight="1" s="189">
      <c r="B801" s="290" t="n"/>
      <c r="C801" s="290" t="n"/>
      <c r="D801" s="291" t="n"/>
      <c r="E801" s="290" t="n"/>
      <c r="F801" s="290" t="n"/>
    </row>
    <row r="802" ht="13" customHeight="1" s="189">
      <c r="B802" s="290" t="n"/>
      <c r="C802" s="290" t="n"/>
      <c r="D802" s="291" t="n"/>
      <c r="E802" s="290" t="n"/>
      <c r="F802" s="290" t="n"/>
    </row>
    <row r="803" ht="13" customHeight="1" s="189">
      <c r="B803" s="290" t="n"/>
      <c r="C803" s="290" t="n"/>
      <c r="D803" s="291" t="n"/>
      <c r="E803" s="290" t="n"/>
      <c r="F803" s="290" t="n"/>
    </row>
    <row r="804" ht="13" customHeight="1" s="189">
      <c r="B804" s="290" t="n"/>
      <c r="C804" s="290" t="n"/>
      <c r="D804" s="291" t="n"/>
      <c r="E804" s="290" t="n"/>
      <c r="F804" s="290" t="n"/>
    </row>
    <row r="805" ht="13" customHeight="1" s="189">
      <c r="B805" s="290" t="n"/>
      <c r="C805" s="290" t="n"/>
      <c r="D805" s="291" t="n"/>
      <c r="E805" s="290" t="n"/>
      <c r="F805" s="290" t="n"/>
    </row>
    <row r="806" ht="13" customHeight="1" s="189">
      <c r="B806" s="290" t="n"/>
      <c r="C806" s="290" t="n"/>
      <c r="D806" s="291" t="n"/>
      <c r="E806" s="290" t="n"/>
      <c r="F806" s="290" t="n"/>
    </row>
    <row r="807" ht="13" customHeight="1" s="189">
      <c r="B807" s="290" t="n"/>
      <c r="C807" s="290" t="n"/>
      <c r="D807" s="291" t="n"/>
      <c r="E807" s="290" t="n"/>
      <c r="F807" s="290" t="n"/>
    </row>
    <row r="808" ht="13" customHeight="1" s="189">
      <c r="B808" s="290" t="n"/>
      <c r="C808" s="290" t="n"/>
      <c r="D808" s="291" t="n"/>
      <c r="E808" s="290" t="n"/>
      <c r="F808" s="290" t="n"/>
    </row>
    <row r="809" ht="13" customHeight="1" s="189">
      <c r="B809" s="290" t="n"/>
      <c r="C809" s="290" t="n"/>
      <c r="D809" s="291" t="n"/>
      <c r="E809" s="290" t="n"/>
      <c r="F809" s="290" t="n"/>
    </row>
    <row r="810" ht="13" customHeight="1" s="189">
      <c r="B810" s="290" t="n"/>
      <c r="C810" s="290" t="n"/>
      <c r="D810" s="291" t="n"/>
      <c r="E810" s="290" t="n"/>
      <c r="F810" s="290" t="n"/>
    </row>
    <row r="811" ht="13" customHeight="1" s="189">
      <c r="B811" s="290" t="n"/>
      <c r="C811" s="290" t="n"/>
      <c r="D811" s="291" t="n"/>
      <c r="E811" s="290" t="n"/>
      <c r="F811" s="290" t="n"/>
    </row>
    <row r="812" ht="13" customHeight="1" s="189">
      <c r="B812" s="290" t="n"/>
      <c r="C812" s="290" t="n"/>
      <c r="D812" s="291" t="n"/>
      <c r="E812" s="290" t="n"/>
      <c r="F812" s="290" t="n"/>
    </row>
    <row r="813" ht="13" customHeight="1" s="189">
      <c r="B813" s="290" t="n"/>
      <c r="C813" s="290" t="n"/>
      <c r="D813" s="291" t="n"/>
      <c r="E813" s="290" t="n"/>
      <c r="F813" s="290" t="n"/>
    </row>
    <row r="814" ht="13" customHeight="1" s="189">
      <c r="B814" s="290" t="n"/>
      <c r="C814" s="290" t="n"/>
      <c r="D814" s="291" t="n"/>
      <c r="E814" s="290" t="n"/>
      <c r="F814" s="290" t="n"/>
    </row>
    <row r="815" ht="13" customHeight="1" s="189">
      <c r="B815" s="290" t="n"/>
      <c r="C815" s="290" t="n"/>
      <c r="D815" s="291" t="n"/>
      <c r="E815" s="290" t="n"/>
      <c r="F815" s="290" t="n"/>
    </row>
    <row r="816" ht="13" customHeight="1" s="189">
      <c r="B816" s="290" t="n"/>
      <c r="C816" s="290" t="n"/>
      <c r="D816" s="291" t="n"/>
      <c r="E816" s="290" t="n"/>
      <c r="F816" s="290" t="n"/>
    </row>
    <row r="817" ht="13" customHeight="1" s="189">
      <c r="B817" s="290" t="n"/>
      <c r="C817" s="290" t="n"/>
      <c r="D817" s="291" t="n"/>
      <c r="E817" s="290" t="n"/>
      <c r="F817" s="290" t="n"/>
    </row>
    <row r="818" ht="13" customHeight="1" s="189">
      <c r="B818" s="290" t="n"/>
      <c r="C818" s="290" t="n"/>
      <c r="D818" s="291" t="n"/>
      <c r="E818" s="290" t="n"/>
      <c r="F818" s="290" t="n"/>
    </row>
    <row r="819" ht="13" customHeight="1" s="189">
      <c r="B819" s="290" t="n"/>
      <c r="C819" s="290" t="n"/>
      <c r="D819" s="291" t="n"/>
      <c r="E819" s="290" t="n"/>
      <c r="F819" s="290" t="n"/>
    </row>
    <row r="820" ht="13" customHeight="1" s="189">
      <c r="B820" s="290" t="n"/>
      <c r="C820" s="290" t="n"/>
      <c r="D820" s="291" t="n"/>
      <c r="E820" s="290" t="n"/>
      <c r="F820" s="290" t="n"/>
    </row>
    <row r="821" ht="13" customHeight="1" s="189">
      <c r="B821" s="290" t="n"/>
      <c r="C821" s="290" t="n"/>
      <c r="D821" s="291" t="n"/>
      <c r="E821" s="290" t="n"/>
      <c r="F821" s="290" t="n"/>
    </row>
    <row r="822" ht="13" customHeight="1" s="189">
      <c r="B822" s="290" t="n"/>
      <c r="C822" s="290" t="n"/>
      <c r="D822" s="291" t="n"/>
      <c r="E822" s="290" t="n"/>
      <c r="F822" s="290" t="n"/>
    </row>
    <row r="823" ht="13" customHeight="1" s="189">
      <c r="B823" s="290" t="n"/>
      <c r="C823" s="290" t="n"/>
      <c r="D823" s="291" t="n"/>
      <c r="E823" s="290" t="n"/>
      <c r="F823" s="290" t="n"/>
    </row>
    <row r="824" ht="13" customHeight="1" s="189">
      <c r="B824" s="290" t="n"/>
      <c r="C824" s="290" t="n"/>
      <c r="D824" s="291" t="n"/>
      <c r="E824" s="290" t="n"/>
      <c r="F824" s="290" t="n"/>
    </row>
    <row r="825" ht="13" customHeight="1" s="189">
      <c r="B825" s="290" t="n"/>
      <c r="C825" s="290" t="n"/>
      <c r="D825" s="291" t="n"/>
      <c r="E825" s="290" t="n"/>
      <c r="F825" s="290" t="n"/>
    </row>
    <row r="826" ht="13" customHeight="1" s="189">
      <c r="B826" s="290" t="n"/>
      <c r="C826" s="290" t="n"/>
      <c r="D826" s="291" t="n"/>
      <c r="E826" s="290" t="n"/>
      <c r="F826" s="290" t="n"/>
    </row>
    <row r="827" ht="13" customHeight="1" s="189">
      <c r="B827" s="290" t="n"/>
      <c r="C827" s="290" t="n"/>
      <c r="D827" s="291" t="n"/>
      <c r="E827" s="290" t="n"/>
      <c r="F827" s="290" t="n"/>
    </row>
    <row r="828" ht="13" customHeight="1" s="189">
      <c r="B828" s="290" t="n"/>
      <c r="C828" s="290" t="n"/>
      <c r="D828" s="291" t="n"/>
      <c r="E828" s="290" t="n"/>
      <c r="F828" s="290" t="n"/>
    </row>
    <row r="829" ht="13" customHeight="1" s="189">
      <c r="B829" s="290" t="n"/>
      <c r="C829" s="290" t="n"/>
      <c r="D829" s="291" t="n"/>
      <c r="E829" s="290" t="n"/>
      <c r="F829" s="290" t="n"/>
    </row>
    <row r="830" ht="13" customHeight="1" s="189">
      <c r="B830" s="290" t="n"/>
      <c r="C830" s="290" t="n"/>
      <c r="D830" s="291" t="n"/>
      <c r="E830" s="290" t="n"/>
      <c r="F830" s="290" t="n"/>
    </row>
    <row r="831" ht="13" customHeight="1" s="189">
      <c r="B831" s="290" t="n"/>
      <c r="C831" s="290" t="n"/>
      <c r="D831" s="291" t="n"/>
      <c r="E831" s="290" t="n"/>
      <c r="F831" s="290" t="n"/>
    </row>
    <row r="832" ht="13" customHeight="1" s="189">
      <c r="B832" s="290" t="n"/>
      <c r="C832" s="290" t="n"/>
      <c r="D832" s="291" t="n"/>
      <c r="E832" s="290" t="n"/>
      <c r="F832" s="290" t="n"/>
    </row>
    <row r="833" ht="13" customHeight="1" s="189">
      <c r="B833" s="290" t="n"/>
      <c r="C833" s="290" t="n"/>
      <c r="D833" s="291" t="n"/>
      <c r="E833" s="290" t="n"/>
      <c r="F833" s="290" t="n"/>
    </row>
    <row r="834" ht="13" customHeight="1" s="189">
      <c r="B834" s="290" t="n"/>
      <c r="C834" s="290" t="n"/>
      <c r="D834" s="291" t="n"/>
      <c r="E834" s="290" t="n"/>
      <c r="F834" s="290" t="n"/>
    </row>
    <row r="835" ht="13" customHeight="1" s="189">
      <c r="B835" s="290" t="n"/>
      <c r="C835" s="290" t="n"/>
      <c r="D835" s="291" t="n"/>
      <c r="E835" s="290" t="n"/>
      <c r="F835" s="290" t="n"/>
    </row>
    <row r="836" ht="13" customHeight="1" s="189">
      <c r="B836" s="290" t="n"/>
      <c r="C836" s="290" t="n"/>
      <c r="D836" s="291" t="n"/>
      <c r="E836" s="290" t="n"/>
      <c r="F836" s="290" t="n"/>
    </row>
    <row r="837" ht="13" customHeight="1" s="189">
      <c r="B837" s="290" t="n"/>
      <c r="C837" s="290" t="n"/>
      <c r="D837" s="291" t="n"/>
      <c r="E837" s="290" t="n"/>
      <c r="F837" s="290" t="n"/>
    </row>
    <row r="838" ht="13" customHeight="1" s="189">
      <c r="B838" s="290" t="n"/>
      <c r="C838" s="290" t="n"/>
      <c r="D838" s="291" t="n"/>
      <c r="E838" s="290" t="n"/>
      <c r="F838" s="290" t="n"/>
    </row>
    <row r="839" ht="13" customHeight="1" s="189">
      <c r="B839" s="290" t="n"/>
      <c r="C839" s="290" t="n"/>
      <c r="D839" s="291" t="n"/>
      <c r="E839" s="290" t="n"/>
      <c r="F839" s="290" t="n"/>
    </row>
    <row r="840" ht="13" customHeight="1" s="189">
      <c r="B840" s="290" t="n"/>
      <c r="C840" s="290" t="n"/>
      <c r="D840" s="291" t="n"/>
      <c r="E840" s="290" t="n"/>
      <c r="F840" s="290" t="n"/>
    </row>
    <row r="841" ht="13" customHeight="1" s="189">
      <c r="B841" s="290" t="n"/>
      <c r="C841" s="290" t="n"/>
      <c r="D841" s="291" t="n"/>
      <c r="E841" s="290" t="n"/>
      <c r="F841" s="290" t="n"/>
    </row>
    <row r="842" ht="13" customHeight="1" s="189">
      <c r="B842" s="290" t="n"/>
      <c r="C842" s="290" t="n"/>
      <c r="D842" s="291" t="n"/>
      <c r="E842" s="290" t="n"/>
      <c r="F842" s="290" t="n"/>
    </row>
    <row r="843" ht="13" customHeight="1" s="189">
      <c r="B843" s="290" t="n"/>
      <c r="C843" s="290" t="n"/>
      <c r="D843" s="291" t="n"/>
      <c r="E843" s="290" t="n"/>
      <c r="F843" s="290" t="n"/>
    </row>
    <row r="844" ht="13" customHeight="1" s="189">
      <c r="B844" s="290" t="n"/>
      <c r="C844" s="290" t="n"/>
      <c r="D844" s="291" t="n"/>
      <c r="E844" s="290" t="n"/>
      <c r="F844" s="290" t="n"/>
    </row>
    <row r="845" ht="13" customHeight="1" s="189">
      <c r="B845" s="290" t="n"/>
      <c r="C845" s="290" t="n"/>
      <c r="D845" s="291" t="n"/>
      <c r="E845" s="290" t="n"/>
      <c r="F845" s="290" t="n"/>
    </row>
    <row r="846" ht="13" customHeight="1" s="189">
      <c r="B846" s="290" t="n"/>
      <c r="C846" s="290" t="n"/>
      <c r="D846" s="291" t="n"/>
      <c r="E846" s="290" t="n"/>
      <c r="F846" s="290" t="n"/>
    </row>
    <row r="847" ht="13" customHeight="1" s="189">
      <c r="B847" s="290" t="n"/>
      <c r="C847" s="290" t="n"/>
      <c r="D847" s="291" t="n"/>
      <c r="E847" s="290" t="n"/>
      <c r="F847" s="290" t="n"/>
    </row>
    <row r="848" ht="13" customHeight="1" s="189">
      <c r="B848" s="290" t="n"/>
      <c r="C848" s="290" t="n"/>
      <c r="D848" s="291" t="n"/>
      <c r="E848" s="290" t="n"/>
      <c r="F848" s="290" t="n"/>
    </row>
    <row r="849" ht="13" customHeight="1" s="189">
      <c r="B849" s="290" t="n"/>
      <c r="C849" s="290" t="n"/>
      <c r="D849" s="291" t="n"/>
      <c r="E849" s="290" t="n"/>
      <c r="F849" s="290" t="n"/>
    </row>
    <row r="850" ht="13" customHeight="1" s="189">
      <c r="B850" s="290" t="n"/>
      <c r="C850" s="290" t="n"/>
      <c r="D850" s="291" t="n"/>
      <c r="E850" s="290" t="n"/>
      <c r="F850" s="290" t="n"/>
    </row>
    <row r="851" ht="13" customHeight="1" s="189">
      <c r="B851" s="290" t="n"/>
      <c r="C851" s="290" t="n"/>
      <c r="D851" s="291" t="n"/>
      <c r="E851" s="290" t="n"/>
      <c r="F851" s="290" t="n"/>
    </row>
    <row r="852" ht="13" customHeight="1" s="189">
      <c r="B852" s="290" t="n"/>
      <c r="C852" s="290" t="n"/>
      <c r="D852" s="291" t="n"/>
      <c r="E852" s="290" t="n"/>
      <c r="F852" s="290" t="n"/>
    </row>
    <row r="853" ht="13" customHeight="1" s="189">
      <c r="B853" s="290" t="n"/>
      <c r="C853" s="290" t="n"/>
      <c r="D853" s="291" t="n"/>
      <c r="E853" s="290" t="n"/>
      <c r="F853" s="290" t="n"/>
    </row>
    <row r="854" ht="13" customHeight="1" s="189">
      <c r="B854" s="290" t="n"/>
      <c r="C854" s="290" t="n"/>
      <c r="D854" s="291" t="n"/>
      <c r="E854" s="290" t="n"/>
      <c r="F854" s="290" t="n"/>
    </row>
    <row r="855" ht="13" customHeight="1" s="189">
      <c r="B855" s="290" t="n"/>
      <c r="C855" s="290" t="n"/>
      <c r="D855" s="291" t="n"/>
      <c r="E855" s="290" t="n"/>
      <c r="F855" s="290" t="n"/>
    </row>
    <row r="856" ht="13" customHeight="1" s="189">
      <c r="B856" s="290" t="n"/>
      <c r="C856" s="290" t="n"/>
      <c r="D856" s="291" t="n"/>
      <c r="E856" s="290" t="n"/>
      <c r="F856" s="290" t="n"/>
    </row>
    <row r="857" ht="13" customHeight="1" s="189">
      <c r="B857" s="290" t="n"/>
      <c r="C857" s="290" t="n"/>
      <c r="D857" s="291" t="n"/>
      <c r="E857" s="290" t="n"/>
      <c r="F857" s="290" t="n"/>
    </row>
    <row r="858" ht="13" customHeight="1" s="189">
      <c r="B858" s="290" t="n"/>
      <c r="C858" s="290" t="n"/>
      <c r="D858" s="291" t="n"/>
      <c r="E858" s="290" t="n"/>
      <c r="F858" s="290" t="n"/>
    </row>
    <row r="859" ht="13" customHeight="1" s="189">
      <c r="B859" s="290" t="n"/>
      <c r="C859" s="290" t="n"/>
      <c r="D859" s="291" t="n"/>
      <c r="E859" s="290" t="n"/>
      <c r="F859" s="290" t="n"/>
    </row>
    <row r="860" ht="13" customHeight="1" s="189">
      <c r="B860" s="290" t="n"/>
      <c r="C860" s="290" t="n"/>
      <c r="D860" s="291" t="n"/>
      <c r="E860" s="290" t="n"/>
      <c r="F860" s="290" t="n"/>
    </row>
    <row r="861" ht="13" customHeight="1" s="189">
      <c r="B861" s="290" t="n"/>
      <c r="C861" s="290" t="n"/>
      <c r="D861" s="291" t="n"/>
      <c r="E861" s="290" t="n"/>
      <c r="F861" s="290" t="n"/>
    </row>
    <row r="862" ht="13" customHeight="1" s="189">
      <c r="B862" s="290" t="n"/>
      <c r="C862" s="290" t="n"/>
      <c r="D862" s="291" t="n"/>
      <c r="E862" s="290" t="n"/>
      <c r="F862" s="290" t="n"/>
    </row>
    <row r="863" ht="13" customHeight="1" s="189">
      <c r="B863" s="290" t="n"/>
      <c r="C863" s="290" t="n"/>
      <c r="D863" s="291" t="n"/>
      <c r="E863" s="290" t="n"/>
      <c r="F863" s="290" t="n"/>
    </row>
    <row r="864" ht="13" customHeight="1" s="189">
      <c r="B864" s="290" t="n"/>
      <c r="C864" s="290" t="n"/>
      <c r="D864" s="291" t="n"/>
      <c r="E864" s="290" t="n"/>
      <c r="F864" s="290" t="n"/>
    </row>
    <row r="865" ht="13" customHeight="1" s="189">
      <c r="B865" s="290" t="n"/>
      <c r="C865" s="290" t="n"/>
      <c r="D865" s="291" t="n"/>
      <c r="E865" s="290" t="n"/>
      <c r="F865" s="290" t="n"/>
    </row>
    <row r="866" ht="13" customHeight="1" s="189">
      <c r="B866" s="290" t="n"/>
      <c r="C866" s="290" t="n"/>
      <c r="D866" s="291" t="n"/>
      <c r="E866" s="290" t="n"/>
      <c r="F866" s="290" t="n"/>
    </row>
    <row r="867" ht="13" customHeight="1" s="189">
      <c r="B867" s="290" t="n"/>
      <c r="C867" s="290" t="n"/>
      <c r="D867" s="291" t="n"/>
      <c r="E867" s="290" t="n"/>
      <c r="F867" s="290" t="n"/>
    </row>
    <row r="868" ht="13" customHeight="1" s="189">
      <c r="B868" s="290" t="n"/>
      <c r="C868" s="290" t="n"/>
      <c r="D868" s="291" t="n"/>
      <c r="E868" s="290" t="n"/>
      <c r="F868" s="290" t="n"/>
    </row>
    <row r="869" ht="13" customHeight="1" s="189">
      <c r="B869" s="290" t="n"/>
      <c r="C869" s="290" t="n"/>
      <c r="D869" s="291" t="n"/>
      <c r="E869" s="290" t="n"/>
      <c r="F869" s="290" t="n"/>
    </row>
    <row r="870" ht="13" customHeight="1" s="189">
      <c r="B870" s="290" t="n"/>
      <c r="C870" s="290" t="n"/>
      <c r="D870" s="291" t="n"/>
      <c r="E870" s="290" t="n"/>
      <c r="F870" s="290" t="n"/>
    </row>
    <row r="871" ht="13" customHeight="1" s="189">
      <c r="B871" s="290" t="n"/>
      <c r="C871" s="290" t="n"/>
      <c r="D871" s="291" t="n"/>
      <c r="E871" s="290" t="n"/>
      <c r="F871" s="290" t="n"/>
    </row>
    <row r="872" ht="13" customHeight="1" s="189">
      <c r="B872" s="290" t="n"/>
      <c r="C872" s="290" t="n"/>
      <c r="D872" s="291" t="n"/>
      <c r="E872" s="290" t="n"/>
      <c r="F872" s="290" t="n"/>
    </row>
    <row r="873" ht="13" customHeight="1" s="189">
      <c r="B873" s="290" t="n"/>
      <c r="C873" s="290" t="n"/>
      <c r="D873" s="291" t="n"/>
      <c r="E873" s="290" t="n"/>
      <c r="F873" s="290" t="n"/>
    </row>
    <row r="874" ht="13" customHeight="1" s="189">
      <c r="B874" s="290" t="n"/>
      <c r="C874" s="290" t="n"/>
      <c r="D874" s="291" t="n"/>
      <c r="E874" s="290" t="n"/>
      <c r="F874" s="290" t="n"/>
    </row>
    <row r="875" ht="13" customHeight="1" s="189">
      <c r="B875" s="290" t="n"/>
      <c r="C875" s="290" t="n"/>
      <c r="D875" s="291" t="n"/>
      <c r="E875" s="290" t="n"/>
      <c r="F875" s="290" t="n"/>
    </row>
    <row r="876" ht="13" customHeight="1" s="189">
      <c r="B876" s="290" t="n"/>
      <c r="C876" s="290" t="n"/>
      <c r="D876" s="291" t="n"/>
      <c r="E876" s="290" t="n"/>
      <c r="F876" s="290" t="n"/>
    </row>
    <row r="877" ht="13" customHeight="1" s="189">
      <c r="B877" s="290" t="n"/>
      <c r="C877" s="290" t="n"/>
      <c r="D877" s="291" t="n"/>
      <c r="E877" s="290" t="n"/>
      <c r="F877" s="290" t="n"/>
    </row>
    <row r="878" ht="13" customHeight="1" s="189">
      <c r="B878" s="290" t="n"/>
      <c r="C878" s="290" t="n"/>
      <c r="D878" s="291" t="n"/>
      <c r="E878" s="290" t="n"/>
      <c r="F878" s="290" t="n"/>
    </row>
    <row r="879" ht="13" customHeight="1" s="189">
      <c r="B879" s="290" t="n"/>
      <c r="C879" s="290" t="n"/>
      <c r="D879" s="291" t="n"/>
      <c r="E879" s="290" t="n"/>
      <c r="F879" s="290" t="n"/>
    </row>
    <row r="880" ht="13" customHeight="1" s="189">
      <c r="B880" s="290" t="n"/>
      <c r="C880" s="290" t="n"/>
      <c r="D880" s="291" t="n"/>
      <c r="E880" s="290" t="n"/>
      <c r="F880" s="290" t="n"/>
    </row>
    <row r="881" ht="13" customHeight="1" s="189">
      <c r="B881" s="290" t="n"/>
      <c r="C881" s="290" t="n"/>
      <c r="D881" s="291" t="n"/>
      <c r="E881" s="290" t="n"/>
      <c r="F881" s="290" t="n"/>
    </row>
    <row r="882" ht="13" customHeight="1" s="189">
      <c r="B882" s="290" t="n"/>
      <c r="C882" s="290" t="n"/>
      <c r="D882" s="291" t="n"/>
      <c r="E882" s="290" t="n"/>
      <c r="F882" s="290" t="n"/>
    </row>
    <row r="883" ht="13" customHeight="1" s="189">
      <c r="B883" s="290" t="n"/>
      <c r="C883" s="290" t="n"/>
      <c r="D883" s="291" t="n"/>
      <c r="E883" s="290" t="n"/>
      <c r="F883" s="290" t="n"/>
    </row>
    <row r="884" ht="13" customHeight="1" s="189">
      <c r="B884" s="290" t="n"/>
      <c r="C884" s="290" t="n"/>
      <c r="D884" s="291" t="n"/>
      <c r="E884" s="290" t="n"/>
      <c r="F884" s="290" t="n"/>
    </row>
    <row r="885" ht="13" customHeight="1" s="189">
      <c r="B885" s="290" t="n"/>
      <c r="C885" s="290" t="n"/>
      <c r="D885" s="291" t="n"/>
      <c r="E885" s="290" t="n"/>
      <c r="F885" s="290" t="n"/>
    </row>
    <row r="886" ht="13" customHeight="1" s="189">
      <c r="B886" s="290" t="n"/>
      <c r="C886" s="290" t="n"/>
      <c r="D886" s="291" t="n"/>
      <c r="E886" s="290" t="n"/>
      <c r="F886" s="290" t="n"/>
    </row>
    <row r="887" ht="13" customHeight="1" s="189">
      <c r="B887" s="290" t="n"/>
      <c r="C887" s="290" t="n"/>
      <c r="D887" s="291" t="n"/>
      <c r="E887" s="290" t="n"/>
      <c r="F887" s="290" t="n"/>
    </row>
    <row r="888" ht="13" customHeight="1" s="189">
      <c r="B888" s="290" t="n"/>
      <c r="C888" s="290" t="n"/>
      <c r="D888" s="291" t="n"/>
      <c r="E888" s="290" t="n"/>
      <c r="F888" s="290" t="n"/>
    </row>
    <row r="889" ht="13" customHeight="1" s="189">
      <c r="B889" s="290" t="n"/>
      <c r="C889" s="290" t="n"/>
      <c r="D889" s="291" t="n"/>
      <c r="E889" s="290" t="n"/>
      <c r="F889" s="290" t="n"/>
    </row>
    <row r="890" ht="13" customHeight="1" s="189">
      <c r="B890" s="290" t="n"/>
      <c r="C890" s="290" t="n"/>
      <c r="D890" s="291" t="n"/>
      <c r="E890" s="290" t="n"/>
      <c r="F890" s="290" t="n"/>
    </row>
    <row r="891" ht="13" customHeight="1" s="189">
      <c r="B891" s="290" t="n"/>
      <c r="C891" s="290" t="n"/>
      <c r="D891" s="291" t="n"/>
      <c r="E891" s="290" t="n"/>
      <c r="F891" s="290" t="n"/>
    </row>
    <row r="892" ht="13" customHeight="1" s="189">
      <c r="B892" s="290" t="n"/>
      <c r="C892" s="290" t="n"/>
      <c r="D892" s="291" t="n"/>
      <c r="E892" s="290" t="n"/>
      <c r="F892" s="290" t="n"/>
    </row>
    <row r="893" ht="13" customHeight="1" s="189">
      <c r="B893" s="290" t="n"/>
      <c r="C893" s="290" t="n"/>
      <c r="D893" s="291" t="n"/>
      <c r="E893" s="290" t="n"/>
      <c r="F893" s="290" t="n"/>
    </row>
    <row r="894" ht="13" customHeight="1" s="189">
      <c r="B894" s="290" t="n"/>
      <c r="C894" s="290" t="n"/>
      <c r="D894" s="291" t="n"/>
      <c r="E894" s="290" t="n"/>
      <c r="F894" s="290" t="n"/>
    </row>
    <row r="895" ht="13" customHeight="1" s="189">
      <c r="B895" s="290" t="n"/>
      <c r="C895" s="290" t="n"/>
      <c r="D895" s="291" t="n"/>
      <c r="E895" s="290" t="n"/>
      <c r="F895" s="290" t="n"/>
    </row>
    <row r="896" ht="13" customHeight="1" s="189">
      <c r="B896" s="290" t="n"/>
      <c r="C896" s="290" t="n"/>
      <c r="D896" s="291" t="n"/>
      <c r="E896" s="290" t="n"/>
      <c r="F896" s="290" t="n"/>
    </row>
    <row r="897" ht="13" customHeight="1" s="189">
      <c r="B897" s="290" t="n"/>
      <c r="C897" s="290" t="n"/>
      <c r="D897" s="291" t="n"/>
      <c r="E897" s="290" t="n"/>
      <c r="F897" s="290" t="n"/>
    </row>
    <row r="898" ht="13" customHeight="1" s="189">
      <c r="B898" s="290" t="n"/>
      <c r="C898" s="290" t="n"/>
      <c r="D898" s="291" t="n"/>
      <c r="E898" s="290" t="n"/>
      <c r="F898" s="290" t="n"/>
    </row>
    <row r="899" ht="13" customHeight="1" s="189">
      <c r="B899" s="290" t="n"/>
      <c r="C899" s="290" t="n"/>
      <c r="D899" s="291" t="n"/>
      <c r="E899" s="290" t="n"/>
      <c r="F899" s="290" t="n"/>
    </row>
    <row r="900" ht="13" customHeight="1" s="189">
      <c r="B900" s="290" t="n"/>
      <c r="C900" s="290" t="n"/>
      <c r="D900" s="291" t="n"/>
      <c r="E900" s="290" t="n"/>
      <c r="F900" s="290" t="n"/>
    </row>
    <row r="901" ht="13" customHeight="1" s="189">
      <c r="B901" s="290" t="n"/>
      <c r="C901" s="290" t="n"/>
      <c r="D901" s="291" t="n"/>
      <c r="E901" s="290" t="n"/>
      <c r="F901" s="290" t="n"/>
    </row>
    <row r="902" ht="13" customHeight="1" s="189">
      <c r="B902" s="290" t="n"/>
      <c r="C902" s="290" t="n"/>
      <c r="D902" s="291" t="n"/>
      <c r="E902" s="290" t="n"/>
      <c r="F902" s="290" t="n"/>
    </row>
    <row r="903" ht="13" customHeight="1" s="189">
      <c r="B903" s="290" t="n"/>
      <c r="C903" s="290" t="n"/>
      <c r="D903" s="291" t="n"/>
      <c r="E903" s="290" t="n"/>
      <c r="F903" s="290" t="n"/>
    </row>
    <row r="904" ht="13" customHeight="1" s="189">
      <c r="B904" s="290" t="n"/>
      <c r="C904" s="290" t="n"/>
      <c r="D904" s="291" t="n"/>
      <c r="E904" s="290" t="n"/>
      <c r="F904" s="290" t="n"/>
    </row>
    <row r="905" ht="13" customHeight="1" s="189">
      <c r="B905" s="290" t="n"/>
      <c r="C905" s="290" t="n"/>
      <c r="D905" s="291" t="n"/>
      <c r="E905" s="290" t="n"/>
      <c r="F905" s="290" t="n"/>
    </row>
    <row r="906" ht="13" customHeight="1" s="189">
      <c r="B906" s="290" t="n"/>
      <c r="C906" s="290" t="n"/>
      <c r="D906" s="291" t="n"/>
      <c r="E906" s="290" t="n"/>
      <c r="F906" s="290" t="n"/>
    </row>
    <row r="907" ht="13" customHeight="1" s="189">
      <c r="B907" s="290" t="n"/>
      <c r="C907" s="290" t="n"/>
      <c r="D907" s="291" t="n"/>
      <c r="E907" s="290" t="n"/>
      <c r="F907" s="290" t="n"/>
    </row>
    <row r="908" ht="13" customHeight="1" s="189">
      <c r="B908" s="290" t="n"/>
      <c r="C908" s="290" t="n"/>
      <c r="D908" s="291" t="n"/>
      <c r="E908" s="290" t="n"/>
      <c r="F908" s="290" t="n"/>
    </row>
    <row r="909" ht="13" customHeight="1" s="189">
      <c r="B909" s="290" t="n"/>
      <c r="C909" s="290" t="n"/>
      <c r="D909" s="291" t="n"/>
      <c r="E909" s="290" t="n"/>
      <c r="F909" s="290" t="n"/>
    </row>
    <row r="910" ht="13" customHeight="1" s="189">
      <c r="B910" s="290" t="n"/>
      <c r="C910" s="290" t="n"/>
      <c r="D910" s="291" t="n"/>
      <c r="E910" s="290" t="n"/>
      <c r="F910" s="290" t="n"/>
    </row>
    <row r="911" ht="13" customHeight="1" s="189">
      <c r="B911" s="290" t="n"/>
      <c r="C911" s="290" t="n"/>
      <c r="D911" s="291" t="n"/>
      <c r="E911" s="290" t="n"/>
      <c r="F911" s="290" t="n"/>
    </row>
    <row r="912" ht="13" customHeight="1" s="189">
      <c r="B912" s="290" t="n"/>
      <c r="C912" s="290" t="n"/>
      <c r="D912" s="291" t="n"/>
      <c r="E912" s="290" t="n"/>
      <c r="F912" s="290" t="n"/>
    </row>
    <row r="913" ht="13" customHeight="1" s="189">
      <c r="B913" s="290" t="n"/>
      <c r="C913" s="290" t="n"/>
      <c r="D913" s="291" t="n"/>
      <c r="E913" s="290" t="n"/>
      <c r="F913" s="290" t="n"/>
    </row>
    <row r="914" ht="13" customHeight="1" s="189">
      <c r="B914" s="290" t="n"/>
      <c r="C914" s="290" t="n"/>
      <c r="D914" s="291" t="n"/>
      <c r="E914" s="290" t="n"/>
      <c r="F914" s="290" t="n"/>
    </row>
    <row r="915" ht="13" customHeight="1" s="189">
      <c r="B915" s="290" t="n"/>
      <c r="C915" s="290" t="n"/>
      <c r="D915" s="291" t="n"/>
      <c r="E915" s="290" t="n"/>
      <c r="F915" s="290" t="n"/>
    </row>
    <row r="916" ht="13" customHeight="1" s="189">
      <c r="B916" s="290" t="n"/>
      <c r="C916" s="290" t="n"/>
      <c r="D916" s="291" t="n"/>
      <c r="E916" s="290" t="n"/>
      <c r="F916" s="290" t="n"/>
    </row>
    <row r="917" ht="13" customHeight="1" s="189">
      <c r="B917" s="290" t="n"/>
      <c r="C917" s="290" t="n"/>
      <c r="D917" s="291" t="n"/>
      <c r="E917" s="290" t="n"/>
      <c r="F917" s="290" t="n"/>
    </row>
    <row r="918" ht="13" customHeight="1" s="189">
      <c r="B918" s="290" t="n"/>
      <c r="C918" s="290" t="n"/>
      <c r="D918" s="291" t="n"/>
      <c r="E918" s="290" t="n"/>
      <c r="F918" s="290" t="n"/>
    </row>
    <row r="919" ht="13" customHeight="1" s="189">
      <c r="B919" s="290" t="n"/>
      <c r="C919" s="290" t="n"/>
      <c r="D919" s="291" t="n"/>
      <c r="E919" s="290" t="n"/>
      <c r="F919" s="290" t="n"/>
    </row>
    <row r="920" ht="13" customHeight="1" s="189">
      <c r="B920" s="290" t="n"/>
      <c r="C920" s="290" t="n"/>
      <c r="D920" s="291" t="n"/>
      <c r="E920" s="290" t="n"/>
      <c r="F920" s="290" t="n"/>
    </row>
    <row r="921" ht="13" customHeight="1" s="189">
      <c r="B921" s="290" t="n"/>
      <c r="C921" s="290" t="n"/>
      <c r="D921" s="291" t="n"/>
      <c r="E921" s="290" t="n"/>
      <c r="F921" s="290" t="n"/>
    </row>
    <row r="922" ht="13" customHeight="1" s="189">
      <c r="B922" s="290" t="n"/>
      <c r="C922" s="290" t="n"/>
      <c r="D922" s="291" t="n"/>
      <c r="E922" s="290" t="n"/>
      <c r="F922" s="290" t="n"/>
    </row>
    <row r="923" ht="13" customHeight="1" s="189">
      <c r="B923" s="290" t="n"/>
      <c r="C923" s="290" t="n"/>
      <c r="D923" s="291" t="n"/>
      <c r="E923" s="290" t="n"/>
      <c r="F923" s="290" t="n"/>
    </row>
    <row r="924" ht="13" customHeight="1" s="189">
      <c r="B924" s="290" t="n"/>
      <c r="C924" s="290" t="n"/>
      <c r="D924" s="291" t="n"/>
      <c r="E924" s="290" t="n"/>
      <c r="F924" s="290" t="n"/>
    </row>
    <row r="925" ht="13" customHeight="1" s="189">
      <c r="B925" s="290" t="n"/>
      <c r="C925" s="290" t="n"/>
      <c r="D925" s="291" t="n"/>
      <c r="E925" s="290" t="n"/>
      <c r="F925" s="290" t="n"/>
    </row>
    <row r="926" ht="13" customHeight="1" s="189">
      <c r="B926" s="290" t="n"/>
      <c r="C926" s="290" t="n"/>
      <c r="D926" s="291" t="n"/>
      <c r="E926" s="290" t="n"/>
      <c r="F926" s="290" t="n"/>
    </row>
    <row r="927" ht="13" customHeight="1" s="189">
      <c r="B927" s="290" t="n"/>
      <c r="C927" s="290" t="n"/>
      <c r="D927" s="291" t="n"/>
      <c r="E927" s="290" t="n"/>
      <c r="F927" s="290" t="n"/>
    </row>
    <row r="928" ht="13" customHeight="1" s="189">
      <c r="B928" s="290" t="n"/>
      <c r="C928" s="290" t="n"/>
      <c r="D928" s="291" t="n"/>
      <c r="E928" s="290" t="n"/>
      <c r="F928" s="290" t="n"/>
    </row>
    <row r="929" ht="13" customHeight="1" s="189">
      <c r="B929" s="290" t="n"/>
      <c r="C929" s="290" t="n"/>
      <c r="D929" s="291" t="n"/>
      <c r="E929" s="290" t="n"/>
      <c r="F929" s="290" t="n"/>
    </row>
    <row r="930" ht="13" customHeight="1" s="189">
      <c r="B930" s="290" t="n"/>
      <c r="C930" s="290" t="n"/>
      <c r="D930" s="291" t="n"/>
      <c r="E930" s="290" t="n"/>
      <c r="F930" s="290" t="n"/>
    </row>
    <row r="931" ht="13" customHeight="1" s="189">
      <c r="B931" s="290" t="n"/>
      <c r="C931" s="290" t="n"/>
      <c r="D931" s="291" t="n"/>
      <c r="E931" s="290" t="n"/>
      <c r="F931" s="290" t="n"/>
    </row>
    <row r="932" ht="13" customHeight="1" s="189">
      <c r="B932" s="290" t="n"/>
      <c r="C932" s="290" t="n"/>
      <c r="D932" s="291" t="n"/>
      <c r="E932" s="290" t="n"/>
      <c r="F932" s="290" t="n"/>
    </row>
    <row r="933" ht="13" customHeight="1" s="189">
      <c r="B933" s="290" t="n"/>
      <c r="C933" s="290" t="n"/>
      <c r="D933" s="291" t="n"/>
      <c r="E933" s="290" t="n"/>
      <c r="F933" s="290" t="n"/>
    </row>
    <row r="934" ht="13" customHeight="1" s="189">
      <c r="B934" s="290" t="n"/>
      <c r="C934" s="290" t="n"/>
      <c r="D934" s="291" t="n"/>
      <c r="E934" s="290" t="n"/>
      <c r="F934" s="290" t="n"/>
    </row>
    <row r="935" ht="13" customHeight="1" s="189">
      <c r="B935" s="290" t="n"/>
      <c r="C935" s="290" t="n"/>
      <c r="D935" s="291" t="n"/>
      <c r="E935" s="290" t="n"/>
      <c r="F935" s="290" t="n"/>
    </row>
    <row r="936" ht="13" customHeight="1" s="189">
      <c r="B936" s="290" t="n"/>
      <c r="C936" s="290" t="n"/>
      <c r="D936" s="291" t="n"/>
      <c r="E936" s="290" t="n"/>
      <c r="F936" s="290" t="n"/>
    </row>
    <row r="937" ht="13" customHeight="1" s="189">
      <c r="B937" s="290" t="n"/>
      <c r="C937" s="290" t="n"/>
      <c r="D937" s="291" t="n"/>
      <c r="E937" s="290" t="n"/>
      <c r="F937" s="290" t="n"/>
    </row>
    <row r="938" ht="13" customHeight="1" s="189">
      <c r="B938" s="290" t="n"/>
      <c r="C938" s="290" t="n"/>
      <c r="D938" s="291" t="n"/>
      <c r="E938" s="290" t="n"/>
      <c r="F938" s="290" t="n"/>
    </row>
    <row r="939" ht="13" customHeight="1" s="189">
      <c r="B939" s="290" t="n"/>
      <c r="C939" s="290" t="n"/>
      <c r="D939" s="291" t="n"/>
      <c r="E939" s="290" t="n"/>
      <c r="F939" s="290" t="n"/>
    </row>
    <row r="940" ht="13" customHeight="1" s="189">
      <c r="B940" s="290" t="n"/>
      <c r="C940" s="290" t="n"/>
      <c r="D940" s="291" t="n"/>
      <c r="E940" s="290" t="n"/>
      <c r="F940" s="290" t="n"/>
    </row>
    <row r="941" ht="13" customHeight="1" s="189">
      <c r="B941" s="290" t="n"/>
      <c r="C941" s="290" t="n"/>
      <c r="D941" s="291" t="n"/>
      <c r="E941" s="290" t="n"/>
      <c r="F941" s="290" t="n"/>
    </row>
    <row r="942" ht="13" customHeight="1" s="189">
      <c r="B942" s="290" t="n"/>
      <c r="C942" s="290" t="n"/>
      <c r="D942" s="291" t="n"/>
      <c r="E942" s="290" t="n"/>
      <c r="F942" s="290" t="n"/>
    </row>
    <row r="943" ht="13" customHeight="1" s="189">
      <c r="B943" s="290" t="n"/>
      <c r="C943" s="290" t="n"/>
      <c r="D943" s="291" t="n"/>
      <c r="E943" s="290" t="n"/>
      <c r="F943" s="290" t="n"/>
    </row>
    <row r="944" ht="13" customHeight="1" s="189">
      <c r="B944" s="290" t="n"/>
      <c r="C944" s="290" t="n"/>
      <c r="D944" s="291" t="n"/>
      <c r="E944" s="290" t="n"/>
      <c r="F944" s="290" t="n"/>
    </row>
    <row r="945" ht="13" customHeight="1" s="189">
      <c r="B945" s="290" t="n"/>
      <c r="C945" s="290" t="n"/>
      <c r="D945" s="291" t="n"/>
      <c r="E945" s="290" t="n"/>
      <c r="F945" s="290" t="n"/>
    </row>
    <row r="946" ht="13" customHeight="1" s="189">
      <c r="B946" s="290" t="n"/>
      <c r="C946" s="290" t="n"/>
      <c r="D946" s="291" t="n"/>
      <c r="E946" s="290" t="n"/>
      <c r="F946" s="290" t="n"/>
    </row>
    <row r="947" ht="13" customHeight="1" s="189">
      <c r="B947" s="290" t="n"/>
      <c r="C947" s="290" t="n"/>
      <c r="D947" s="291" t="n"/>
      <c r="E947" s="290" t="n"/>
      <c r="F947" s="290" t="n"/>
    </row>
    <row r="948" ht="13" customHeight="1" s="189">
      <c r="B948" s="290" t="n"/>
      <c r="C948" s="290" t="n"/>
      <c r="D948" s="291" t="n"/>
      <c r="E948" s="290" t="n"/>
      <c r="F948" s="290" t="n"/>
    </row>
    <row r="949" ht="13" customHeight="1" s="189">
      <c r="B949" s="290" t="n"/>
      <c r="C949" s="290" t="n"/>
      <c r="D949" s="291" t="n"/>
      <c r="E949" s="290" t="n"/>
      <c r="F949" s="290" t="n"/>
    </row>
    <row r="950" ht="13" customHeight="1" s="189">
      <c r="B950" s="290" t="n"/>
      <c r="C950" s="290" t="n"/>
      <c r="D950" s="291" t="n"/>
      <c r="E950" s="290" t="n"/>
      <c r="F950" s="290" t="n"/>
    </row>
    <row r="951" ht="13" customHeight="1" s="189">
      <c r="B951" s="290" t="n"/>
      <c r="C951" s="290" t="n"/>
      <c r="D951" s="291" t="n"/>
      <c r="E951" s="290" t="n"/>
      <c r="F951" s="290" t="n"/>
    </row>
    <row r="952" ht="13" customHeight="1" s="189">
      <c r="B952" s="290" t="n"/>
      <c r="C952" s="290" t="n"/>
      <c r="D952" s="291" t="n"/>
      <c r="E952" s="290" t="n"/>
      <c r="F952" s="290" t="n"/>
    </row>
    <row r="953" ht="13" customHeight="1" s="189">
      <c r="B953" s="290" t="n"/>
      <c r="C953" s="290" t="n"/>
      <c r="D953" s="291" t="n"/>
      <c r="E953" s="290" t="n"/>
      <c r="F953" s="290" t="n"/>
    </row>
    <row r="954" ht="13" customHeight="1" s="189">
      <c r="B954" s="290" t="n"/>
      <c r="C954" s="290" t="n"/>
      <c r="D954" s="291" t="n"/>
      <c r="E954" s="290" t="n"/>
      <c r="F954" s="290" t="n"/>
    </row>
    <row r="955" ht="13" customHeight="1" s="189">
      <c r="B955" s="290" t="n"/>
      <c r="C955" s="290" t="n"/>
      <c r="D955" s="291" t="n"/>
      <c r="E955" s="290" t="n"/>
      <c r="F955" s="290" t="n"/>
    </row>
    <row r="956" ht="13" customHeight="1" s="189">
      <c r="B956" s="290" t="n"/>
      <c r="C956" s="290" t="n"/>
      <c r="D956" s="291" t="n"/>
      <c r="E956" s="290" t="n"/>
      <c r="F956" s="290" t="n"/>
    </row>
    <row r="957" ht="13" customHeight="1" s="189">
      <c r="B957" s="290" t="n"/>
      <c r="C957" s="290" t="n"/>
      <c r="D957" s="291" t="n"/>
      <c r="E957" s="290" t="n"/>
      <c r="F957" s="290" t="n"/>
    </row>
    <row r="958" ht="13" customHeight="1" s="189">
      <c r="B958" s="290" t="n"/>
      <c r="C958" s="290" t="n"/>
      <c r="D958" s="291" t="n"/>
      <c r="E958" s="290" t="n"/>
      <c r="F958" s="290" t="n"/>
    </row>
    <row r="959" ht="13" customHeight="1" s="189">
      <c r="B959" s="290" t="n"/>
      <c r="C959" s="290" t="n"/>
      <c r="D959" s="291" t="n"/>
      <c r="E959" s="290" t="n"/>
      <c r="F959" s="290" t="n"/>
    </row>
    <row r="960" ht="13" customHeight="1" s="189">
      <c r="B960" s="290" t="n"/>
      <c r="C960" s="290" t="n"/>
      <c r="D960" s="291" t="n"/>
      <c r="E960" s="290" t="n"/>
      <c r="F960" s="290" t="n"/>
    </row>
    <row r="961" ht="13" customHeight="1" s="189">
      <c r="B961" s="290" t="n"/>
      <c r="C961" s="290" t="n"/>
      <c r="D961" s="291" t="n"/>
      <c r="E961" s="290" t="n"/>
      <c r="F961" s="290" t="n"/>
    </row>
    <row r="962" ht="13" customHeight="1" s="189">
      <c r="B962" s="290" t="n"/>
      <c r="C962" s="290" t="n"/>
      <c r="D962" s="291" t="n"/>
      <c r="E962" s="290" t="n"/>
      <c r="F962" s="290" t="n"/>
    </row>
    <row r="963" ht="13" customHeight="1" s="189">
      <c r="B963" s="290" t="n"/>
      <c r="C963" s="290" t="n"/>
      <c r="D963" s="291" t="n"/>
      <c r="E963" s="290" t="n"/>
      <c r="F963" s="290" t="n"/>
    </row>
    <row r="964" ht="13" customHeight="1" s="189">
      <c r="B964" s="290" t="n"/>
      <c r="C964" s="290" t="n"/>
      <c r="D964" s="291" t="n"/>
      <c r="E964" s="290" t="n"/>
      <c r="F964" s="290" t="n"/>
    </row>
    <row r="965" ht="13" customHeight="1" s="189">
      <c r="B965" s="290" t="n"/>
      <c r="C965" s="290" t="n"/>
      <c r="D965" s="291" t="n"/>
      <c r="E965" s="290" t="n"/>
      <c r="F965" s="290" t="n"/>
    </row>
    <row r="966" ht="13" customHeight="1" s="189">
      <c r="B966" s="290" t="n"/>
      <c r="C966" s="290" t="n"/>
      <c r="D966" s="291" t="n"/>
      <c r="E966" s="290" t="n"/>
      <c r="F966" s="290" t="n"/>
    </row>
    <row r="967" ht="13" customHeight="1" s="189">
      <c r="B967" s="290" t="n"/>
      <c r="C967" s="290" t="n"/>
      <c r="D967" s="291" t="n"/>
      <c r="E967" s="290" t="n"/>
      <c r="F967" s="290" t="n"/>
    </row>
    <row r="968" ht="13" customHeight="1" s="189">
      <c r="B968" s="290" t="n"/>
      <c r="C968" s="290" t="n"/>
      <c r="D968" s="291" t="n"/>
      <c r="E968" s="290" t="n"/>
      <c r="F968" s="290" t="n"/>
    </row>
    <row r="969" ht="13" customHeight="1" s="189">
      <c r="B969" s="290" t="n"/>
      <c r="C969" s="290" t="n"/>
      <c r="D969" s="291" t="n"/>
      <c r="E969" s="290" t="n"/>
      <c r="F969" s="290" t="n"/>
    </row>
    <row r="970" ht="13" customHeight="1" s="189">
      <c r="B970" s="290" t="n"/>
      <c r="C970" s="290" t="n"/>
      <c r="D970" s="291" t="n"/>
      <c r="E970" s="290" t="n"/>
      <c r="F970" s="290" t="n"/>
    </row>
    <row r="971" ht="13" customHeight="1" s="189">
      <c r="B971" s="290" t="n"/>
      <c r="C971" s="290" t="n"/>
      <c r="D971" s="291" t="n"/>
      <c r="E971" s="290" t="n"/>
      <c r="F971" s="290" t="n"/>
    </row>
    <row r="972" ht="13" customHeight="1" s="189">
      <c r="B972" s="290" t="n"/>
      <c r="C972" s="290" t="n"/>
      <c r="D972" s="291" t="n"/>
      <c r="E972" s="290" t="n"/>
      <c r="F972" s="290" t="n"/>
    </row>
    <row r="973" ht="13" customHeight="1" s="189">
      <c r="B973" s="290" t="n"/>
      <c r="C973" s="290" t="n"/>
      <c r="D973" s="291" t="n"/>
      <c r="E973" s="290" t="n"/>
      <c r="F973" s="290" t="n"/>
    </row>
    <row r="974" ht="13" customHeight="1" s="189">
      <c r="B974" s="290" t="n"/>
      <c r="C974" s="290" t="n"/>
      <c r="D974" s="291" t="n"/>
      <c r="E974" s="290" t="n"/>
      <c r="F974" s="290" t="n"/>
    </row>
    <row r="975" ht="13" customHeight="1" s="189">
      <c r="B975" s="290" t="n"/>
      <c r="C975" s="290" t="n"/>
      <c r="D975" s="291" t="n"/>
      <c r="E975" s="290" t="n"/>
      <c r="F975" s="290" t="n"/>
    </row>
    <row r="976" ht="13" customHeight="1" s="189">
      <c r="B976" s="290" t="n"/>
      <c r="C976" s="290" t="n"/>
      <c r="D976" s="291" t="n"/>
      <c r="E976" s="290" t="n"/>
      <c r="F976" s="290" t="n"/>
    </row>
    <row r="977" ht="13" customHeight="1" s="189">
      <c r="B977" s="290" t="n"/>
      <c r="C977" s="290" t="n"/>
      <c r="D977" s="291" t="n"/>
      <c r="E977" s="290" t="n"/>
      <c r="F977" s="290" t="n"/>
    </row>
    <row r="978" ht="13" customHeight="1" s="189">
      <c r="B978" s="290" t="n"/>
      <c r="C978" s="290" t="n"/>
      <c r="D978" s="291" t="n"/>
      <c r="E978" s="290" t="n"/>
      <c r="F978" s="290" t="n"/>
    </row>
    <row r="979" ht="13" customHeight="1" s="189">
      <c r="B979" s="290" t="n"/>
      <c r="C979" s="290" t="n"/>
      <c r="D979" s="291" t="n"/>
      <c r="E979" s="290" t="n"/>
      <c r="F979" s="290" t="n"/>
    </row>
    <row r="980" ht="13" customHeight="1" s="189">
      <c r="B980" s="290" t="n"/>
      <c r="C980" s="290" t="n"/>
      <c r="D980" s="291" t="n"/>
      <c r="E980" s="290" t="n"/>
      <c r="F980" s="290" t="n"/>
    </row>
    <row r="981" ht="13" customHeight="1" s="189">
      <c r="B981" s="290" t="n"/>
      <c r="C981" s="290" t="n"/>
      <c r="D981" s="291" t="n"/>
      <c r="E981" s="290" t="n"/>
      <c r="F981" s="290" t="n"/>
    </row>
    <row r="982" ht="13" customHeight="1" s="189">
      <c r="B982" s="290" t="n"/>
      <c r="C982" s="290" t="n"/>
      <c r="D982" s="291" t="n"/>
      <c r="E982" s="290" t="n"/>
      <c r="F982" s="290" t="n"/>
    </row>
    <row r="983" ht="13" customHeight="1" s="189">
      <c r="B983" s="290" t="n"/>
      <c r="C983" s="290" t="n"/>
      <c r="D983" s="291" t="n"/>
      <c r="E983" s="290" t="n"/>
      <c r="F983" s="290" t="n"/>
    </row>
    <row r="984" ht="13" customHeight="1" s="189">
      <c r="B984" s="290" t="n"/>
      <c r="C984" s="290" t="n"/>
      <c r="D984" s="291" t="n"/>
      <c r="E984" s="290" t="n"/>
      <c r="F984" s="290" t="n"/>
    </row>
    <row r="985" ht="13" customHeight="1" s="189">
      <c r="B985" s="290" t="n"/>
      <c r="C985" s="290" t="n"/>
      <c r="D985" s="291" t="n"/>
      <c r="E985" s="290" t="n"/>
      <c r="F985" s="290" t="n"/>
    </row>
    <row r="986" ht="13" customHeight="1" s="189">
      <c r="B986" s="290" t="n"/>
      <c r="C986" s="290" t="n"/>
      <c r="D986" s="291" t="n"/>
      <c r="E986" s="290" t="n"/>
      <c r="F986" s="290" t="n"/>
    </row>
    <row r="987" ht="13" customHeight="1" s="189">
      <c r="B987" s="290" t="n"/>
      <c r="C987" s="290" t="n"/>
      <c r="D987" s="291" t="n"/>
      <c r="E987" s="290" t="n"/>
      <c r="F987" s="290" t="n"/>
    </row>
    <row r="988" ht="13" customHeight="1" s="189">
      <c r="B988" s="290" t="n"/>
      <c r="C988" s="290" t="n"/>
      <c r="D988" s="291" t="n"/>
      <c r="E988" s="290" t="n"/>
      <c r="F988" s="290" t="n"/>
    </row>
    <row r="989" ht="13" customHeight="1" s="189">
      <c r="B989" s="290" t="n"/>
      <c r="C989" s="290" t="n"/>
      <c r="D989" s="291" t="n"/>
      <c r="E989" s="290" t="n"/>
      <c r="F989" s="290" t="n"/>
    </row>
    <row r="990" ht="13" customHeight="1" s="189">
      <c r="B990" s="290" t="n"/>
      <c r="C990" s="290" t="n"/>
      <c r="D990" s="291" t="n"/>
      <c r="E990" s="290" t="n"/>
      <c r="F990" s="290" t="n"/>
    </row>
    <row r="991" ht="13" customHeight="1" s="189">
      <c r="B991" s="290" t="n"/>
      <c r="C991" s="290" t="n"/>
      <c r="D991" s="291" t="n"/>
      <c r="E991" s="290" t="n"/>
      <c r="F991" s="290" t="n"/>
    </row>
    <row r="992" ht="13" customHeight="1" s="189">
      <c r="B992" s="290" t="n"/>
      <c r="C992" s="290" t="n"/>
      <c r="D992" s="291" t="n"/>
      <c r="E992" s="290" t="n"/>
      <c r="F992" s="290" t="n"/>
    </row>
    <row r="993" ht="13" customHeight="1" s="189">
      <c r="B993" s="290" t="n"/>
      <c r="C993" s="290" t="n"/>
      <c r="D993" s="291" t="n"/>
      <c r="E993" s="290" t="n"/>
      <c r="F993" s="290" t="n"/>
    </row>
    <row r="994" ht="13" customHeight="1" s="189">
      <c r="B994" s="290" t="n"/>
      <c r="C994" s="290" t="n"/>
      <c r="D994" s="291" t="n"/>
      <c r="E994" s="290" t="n"/>
      <c r="F994" s="290" t="n"/>
    </row>
    <row r="995" ht="13" customHeight="1" s="189">
      <c r="B995" s="290" t="n"/>
      <c r="C995" s="290" t="n"/>
      <c r="D995" s="291" t="n"/>
      <c r="E995" s="290" t="n"/>
      <c r="F995" s="290" t="n"/>
    </row>
    <row r="996" ht="13" customHeight="1" s="189">
      <c r="B996" s="290" t="n"/>
      <c r="C996" s="290" t="n"/>
      <c r="D996" s="291" t="n"/>
      <c r="E996" s="290" t="n"/>
      <c r="F996" s="290" t="n"/>
    </row>
    <row r="997" ht="13" customHeight="1" s="189">
      <c r="B997" s="290" t="n"/>
      <c r="C997" s="290" t="n"/>
      <c r="D997" s="291" t="n"/>
      <c r="E997" s="290" t="n"/>
      <c r="F997" s="290" t="n"/>
    </row>
    <row r="998" ht="13" customHeight="1" s="189">
      <c r="B998" s="290" t="n"/>
      <c r="C998" s="290" t="n"/>
      <c r="D998" s="291" t="n"/>
      <c r="E998" s="290" t="n"/>
      <c r="F998" s="290" t="n"/>
    </row>
    <row r="999" ht="13" customHeight="1" s="189">
      <c r="B999" s="290" t="n"/>
      <c r="C999" s="290" t="n"/>
      <c r="D999" s="291" t="n"/>
      <c r="E999" s="290" t="n"/>
      <c r="F999" s="290" t="n"/>
    </row>
    <row r="1000" ht="13" customHeight="1" s="189">
      <c r="B1000" s="290" t="n"/>
      <c r="C1000" s="290" t="n"/>
      <c r="D1000" s="291" t="n"/>
      <c r="E1000" s="290" t="n"/>
      <c r="F1000" s="290" t="n"/>
    </row>
    <row r="1001" ht="13" customHeight="1" s="189">
      <c r="B1001" s="290" t="n"/>
      <c r="C1001" s="290" t="n"/>
      <c r="D1001" s="291" t="n"/>
      <c r="E1001" s="290" t="n"/>
      <c r="F1001" s="290" t="n"/>
    </row>
    <row r="1002" ht="13" customHeight="1" s="189">
      <c r="B1002" s="203" t="n"/>
      <c r="C1002" s="203" t="n"/>
      <c r="D1002" s="289" t="n"/>
      <c r="E1002" s="203" t="n"/>
      <c r="F1002" s="203" t="n"/>
    </row>
    <row r="1003" ht="13" customHeight="1" s="189">
      <c r="B1003" s="203" t="n"/>
      <c r="C1003" s="203" t="n"/>
      <c r="D1003" s="289" t="n"/>
      <c r="E1003" s="203" t="n"/>
      <c r="F1003" s="203" t="n"/>
    </row>
    <row r="1004" ht="13" customHeight="1" s="189">
      <c r="B1004" s="203" t="n"/>
      <c r="C1004" s="203" t="n"/>
      <c r="D1004" s="289" t="n"/>
      <c r="E1004" s="203" t="n"/>
      <c r="F1004" s="203" t="n"/>
    </row>
    <row r="1005" ht="13" customHeight="1" s="189">
      <c r="B1005" s="203" t="n"/>
      <c r="C1005" s="203" t="n"/>
      <c r="D1005" s="289" t="n"/>
      <c r="E1005" s="203" t="n"/>
      <c r="F1005" s="203" t="n"/>
    </row>
    <row r="1006" ht="13" customHeight="1" s="189">
      <c r="B1006" s="203" t="n"/>
      <c r="C1006" s="203" t="n"/>
      <c r="D1006" s="289" t="n"/>
      <c r="E1006" s="203" t="n"/>
      <c r="F1006" s="203" t="n"/>
    </row>
    <row r="1007" ht="13" customHeight="1" s="189">
      <c r="B1007" s="203" t="n"/>
      <c r="C1007" s="203" t="n"/>
      <c r="D1007" s="289" t="n"/>
      <c r="E1007" s="203" t="n"/>
      <c r="F1007" s="203" t="n"/>
    </row>
    <row r="1008" ht="13" customHeight="1" s="189">
      <c r="B1008" s="203" t="n"/>
      <c r="C1008" s="203" t="n"/>
      <c r="D1008" s="289" t="n"/>
      <c r="E1008" s="203" t="n"/>
      <c r="F1008" s="203" t="n"/>
    </row>
    <row r="1009" ht="13" customHeight="1" s="189">
      <c r="B1009" s="203" t="n"/>
      <c r="C1009" s="203" t="n"/>
      <c r="D1009" s="289" t="n"/>
      <c r="E1009" s="203" t="n"/>
      <c r="F1009" s="203" t="n"/>
    </row>
    <row r="1010" ht="13" customHeight="1" s="189">
      <c r="B1010" s="203" t="n"/>
      <c r="C1010" s="203" t="n"/>
      <c r="D1010" s="289" t="n"/>
      <c r="E1010" s="203" t="n"/>
      <c r="F1010" s="203" t="n"/>
    </row>
    <row r="1011" ht="13" customHeight="1" s="189">
      <c r="B1011" s="203" t="n"/>
      <c r="C1011" s="203" t="n"/>
      <c r="D1011" s="289" t="n"/>
      <c r="E1011" s="203" t="n"/>
      <c r="F1011" s="203" t="n"/>
    </row>
    <row r="1012" ht="13" customHeight="1" s="189">
      <c r="B1012" s="203" t="n"/>
      <c r="C1012" s="203" t="n"/>
      <c r="D1012" s="289" t="n"/>
      <c r="E1012" s="203" t="n"/>
      <c r="F1012" s="203" t="n"/>
    </row>
    <row r="1013" ht="13" customHeight="1" s="189">
      <c r="B1013" s="203" t="n"/>
      <c r="C1013" s="203" t="n"/>
      <c r="D1013" s="289" t="n"/>
      <c r="E1013" s="203" t="n"/>
      <c r="F1013" s="203" t="n"/>
    </row>
    <row r="1014" ht="13" customHeight="1" s="189">
      <c r="B1014" s="203" t="n"/>
      <c r="C1014" s="203" t="n"/>
      <c r="D1014" s="289" t="n"/>
      <c r="E1014" s="203" t="n"/>
      <c r="F1014" s="203" t="n"/>
    </row>
    <row r="1015" ht="13" customHeight="1" s="189">
      <c r="B1015" s="203" t="n"/>
      <c r="C1015" s="203" t="n"/>
      <c r="D1015" s="289" t="n"/>
      <c r="E1015" s="203" t="n"/>
      <c r="F1015" s="203" t="n"/>
    </row>
    <row r="1016" ht="13" customHeight="1" s="189">
      <c r="B1016" s="203" t="n"/>
      <c r="C1016" s="203" t="n"/>
      <c r="D1016" s="289" t="n"/>
      <c r="E1016" s="203" t="n"/>
      <c r="F1016" s="203" t="n"/>
    </row>
    <row r="1017" ht="13" customHeight="1" s="189">
      <c r="B1017" s="203" t="n"/>
      <c r="C1017" s="203" t="n"/>
      <c r="D1017" s="289" t="n"/>
      <c r="E1017" s="203" t="n"/>
      <c r="F1017" s="203" t="n"/>
    </row>
    <row r="1018" ht="13" customHeight="1" s="189">
      <c r="B1018" s="203" t="n"/>
      <c r="C1018" s="203" t="n"/>
      <c r="D1018" s="289" t="n"/>
      <c r="E1018" s="203" t="n"/>
      <c r="F1018" s="203" t="n"/>
    </row>
    <row r="1019" ht="13" customHeight="1" s="189">
      <c r="B1019" s="203" t="n"/>
      <c r="C1019" s="203" t="n"/>
      <c r="D1019" s="289" t="n"/>
      <c r="E1019" s="203" t="n"/>
      <c r="F1019" s="203" t="n"/>
    </row>
    <row r="1020" ht="13" customHeight="1" s="189">
      <c r="B1020" s="203" t="n"/>
      <c r="C1020" s="203" t="n"/>
      <c r="D1020" s="289" t="n"/>
      <c r="E1020" s="203" t="n"/>
      <c r="F1020" s="203" t="n"/>
    </row>
    <row r="1021" ht="13" customHeight="1" s="189">
      <c r="B1021" s="203" t="n"/>
      <c r="C1021" s="203" t="n"/>
      <c r="D1021" s="289" t="n"/>
      <c r="E1021" s="203" t="n"/>
      <c r="F1021" s="203" t="n"/>
    </row>
    <row r="1022" ht="13" customHeight="1" s="189">
      <c r="B1022" s="203" t="n"/>
      <c r="C1022" s="203" t="n"/>
      <c r="D1022" s="289" t="n"/>
      <c r="E1022" s="203" t="n"/>
      <c r="F1022" s="203" t="n"/>
    </row>
    <row r="1023" ht="13" customHeight="1" s="189">
      <c r="B1023" s="203" t="n"/>
      <c r="C1023" s="203" t="n"/>
      <c r="D1023" s="289" t="n"/>
      <c r="E1023" s="203" t="n"/>
      <c r="F1023" s="203" t="n"/>
    </row>
    <row r="1024" ht="13" customHeight="1" s="189">
      <c r="B1024" s="203" t="n"/>
      <c r="C1024" s="203" t="n"/>
      <c r="D1024" s="289" t="n"/>
      <c r="E1024" s="203" t="n"/>
      <c r="F1024" s="203" t="n"/>
    </row>
    <row r="1025" ht="13" customHeight="1" s="189">
      <c r="B1025" s="203" t="n"/>
      <c r="C1025" s="203" t="n"/>
      <c r="D1025" s="289" t="n"/>
      <c r="E1025" s="203" t="n"/>
      <c r="F1025" s="203" t="n"/>
    </row>
    <row r="1026" ht="13" customHeight="1" s="189">
      <c r="B1026" s="203" t="n"/>
      <c r="C1026" s="203" t="n"/>
      <c r="D1026" s="289" t="n"/>
      <c r="E1026" s="203" t="n"/>
      <c r="F1026" s="203" t="n"/>
    </row>
    <row r="1027" ht="13" customHeight="1" s="189">
      <c r="B1027" s="203" t="n"/>
      <c r="C1027" s="203" t="n"/>
      <c r="D1027" s="289" t="n"/>
      <c r="E1027" s="203" t="n"/>
      <c r="F1027" s="203" t="n"/>
    </row>
    <row r="1028" ht="13" customHeight="1" s="189">
      <c r="B1028" s="203" t="n"/>
      <c r="C1028" s="203" t="n"/>
      <c r="D1028" s="289" t="n"/>
      <c r="E1028" s="203" t="n"/>
      <c r="F1028" s="203" t="n"/>
    </row>
    <row r="1029" ht="13" customHeight="1" s="189">
      <c r="B1029" s="203" t="n"/>
      <c r="C1029" s="203" t="n"/>
      <c r="D1029" s="289" t="n"/>
      <c r="E1029" s="203" t="n"/>
      <c r="F1029" s="203" t="n"/>
    </row>
    <row r="1030" ht="13" customHeight="1" s="189">
      <c r="B1030" s="203" t="n"/>
      <c r="C1030" s="203" t="n"/>
      <c r="D1030" s="289" t="n"/>
      <c r="E1030" s="203" t="n"/>
      <c r="F1030" s="203" t="n"/>
    </row>
    <row r="1031" ht="13" customHeight="1" s="189">
      <c r="B1031" s="203" t="n"/>
      <c r="C1031" s="203" t="n"/>
      <c r="D1031" s="289" t="n"/>
      <c r="E1031" s="203" t="n"/>
      <c r="F1031" s="203" t="n"/>
    </row>
    <row r="1032" ht="13" customHeight="1" s="189">
      <c r="B1032" s="203" t="n"/>
      <c r="C1032" s="203" t="n"/>
      <c r="D1032" s="289" t="n"/>
      <c r="E1032" s="203" t="n"/>
      <c r="F1032" s="203" t="n"/>
    </row>
    <row r="1033" ht="13" customHeight="1" s="189">
      <c r="B1033" s="203" t="n"/>
      <c r="C1033" s="203" t="n"/>
      <c r="D1033" s="289" t="n"/>
      <c r="E1033" s="203" t="n"/>
      <c r="F1033" s="203" t="n"/>
    </row>
    <row r="1034" ht="13" customHeight="1" s="189">
      <c r="B1034" s="203" t="n"/>
      <c r="C1034" s="203" t="n"/>
      <c r="D1034" s="289" t="n"/>
      <c r="E1034" s="203" t="n"/>
      <c r="F1034" s="203" t="n"/>
    </row>
    <row r="1035" ht="13" customHeight="1" s="189">
      <c r="B1035" s="203" t="n"/>
      <c r="C1035" s="203" t="n"/>
      <c r="D1035" s="289" t="n"/>
      <c r="E1035" s="203" t="n"/>
      <c r="F1035" s="203" t="n"/>
    </row>
    <row r="1036" ht="13" customHeight="1" s="189">
      <c r="B1036" s="203" t="n"/>
      <c r="C1036" s="203" t="n"/>
      <c r="D1036" s="289" t="n"/>
      <c r="E1036" s="203" t="n"/>
      <c r="F1036" s="203" t="n"/>
    </row>
    <row r="1037" ht="13" customHeight="1" s="189">
      <c r="B1037" s="203" t="n"/>
      <c r="C1037" s="203" t="n"/>
      <c r="D1037" s="289" t="n"/>
      <c r="E1037" s="203" t="n"/>
      <c r="F1037" s="203" t="n"/>
    </row>
    <row r="1038" ht="13" customHeight="1" s="189">
      <c r="B1038" s="203" t="n"/>
      <c r="C1038" s="203" t="n"/>
      <c r="D1038" s="289" t="n"/>
      <c r="E1038" s="203" t="n"/>
      <c r="F1038" s="203" t="n"/>
    </row>
    <row r="1039" ht="13" customHeight="1" s="189">
      <c r="B1039" s="203" t="n"/>
      <c r="C1039" s="203" t="n"/>
      <c r="D1039" s="289" t="n"/>
      <c r="E1039" s="203" t="n"/>
      <c r="F1039" s="203" t="n"/>
    </row>
    <row r="1040" ht="13" customHeight="1" s="189">
      <c r="B1040" s="203" t="n"/>
      <c r="C1040" s="203" t="n"/>
      <c r="D1040" s="289" t="n"/>
      <c r="E1040" s="203" t="n"/>
      <c r="F1040" s="203" t="n"/>
    </row>
    <row r="1041" ht="13" customHeight="1" s="189">
      <c r="B1041" s="203" t="n"/>
      <c r="C1041" s="203" t="n"/>
      <c r="D1041" s="289" t="n"/>
      <c r="E1041" s="203" t="n"/>
      <c r="F1041" s="203" t="n"/>
    </row>
    <row r="1042" ht="13" customHeight="1" s="189">
      <c r="B1042" s="203" t="n"/>
      <c r="C1042" s="203" t="n"/>
      <c r="D1042" s="289" t="n"/>
      <c r="E1042" s="203" t="n"/>
      <c r="F1042" s="203" t="n"/>
    </row>
    <row r="1043" ht="13" customHeight="1" s="189">
      <c r="B1043" s="203" t="n"/>
      <c r="C1043" s="203" t="n"/>
      <c r="D1043" s="289" t="n"/>
      <c r="E1043" s="203" t="n"/>
      <c r="F1043" s="203" t="n"/>
    </row>
    <row r="1044" ht="13" customHeight="1" s="189">
      <c r="B1044" s="203" t="n"/>
      <c r="C1044" s="203" t="n"/>
      <c r="D1044" s="289" t="n"/>
      <c r="E1044" s="203" t="n"/>
      <c r="F1044" s="203" t="n"/>
    </row>
    <row r="1045" ht="13" customHeight="1" s="189">
      <c r="B1045" s="203" t="n"/>
      <c r="C1045" s="203" t="n"/>
      <c r="D1045" s="289" t="n"/>
      <c r="E1045" s="203" t="n"/>
      <c r="F1045" s="203" t="n"/>
    </row>
    <row r="1046" ht="13" customHeight="1" s="189">
      <c r="B1046" s="203" t="n"/>
      <c r="C1046" s="203" t="n"/>
      <c r="D1046" s="289" t="n"/>
      <c r="E1046" s="203" t="n"/>
      <c r="F1046" s="203" t="n"/>
    </row>
    <row r="1047" ht="13" customHeight="1" s="189">
      <c r="B1047" s="203" t="n"/>
      <c r="C1047" s="203" t="n"/>
      <c r="D1047" s="289" t="n"/>
      <c r="E1047" s="203" t="n"/>
      <c r="F1047" s="203" t="n"/>
    </row>
    <row r="1048" ht="13" customHeight="1" s="189">
      <c r="B1048" s="203" t="n"/>
      <c r="C1048" s="203" t="n"/>
      <c r="D1048" s="289" t="n"/>
      <c r="E1048" s="203" t="n"/>
      <c r="F1048" s="203" t="n"/>
    </row>
    <row r="1049" ht="13" customHeight="1" s="189">
      <c r="B1049" s="203" t="n"/>
      <c r="C1049" s="203" t="n"/>
      <c r="D1049" s="289" t="n"/>
      <c r="E1049" s="203" t="n"/>
      <c r="F1049" s="203" t="n"/>
    </row>
    <row r="1050" ht="13" customHeight="1" s="189">
      <c r="B1050" s="203" t="n"/>
      <c r="C1050" s="203" t="n"/>
      <c r="D1050" s="289" t="n"/>
      <c r="E1050" s="203" t="n"/>
      <c r="F1050" s="203" t="n"/>
    </row>
    <row r="1051" ht="13" customHeight="1" s="189">
      <c r="B1051" s="203" t="n"/>
      <c r="C1051" s="203" t="n"/>
      <c r="D1051" s="289" t="n"/>
      <c r="E1051" s="203" t="n"/>
      <c r="F1051" s="203" t="n"/>
    </row>
    <row r="1052" ht="13" customHeight="1" s="189">
      <c r="B1052" s="203" t="n"/>
      <c r="C1052" s="203" t="n"/>
      <c r="D1052" s="289" t="n"/>
      <c r="E1052" s="203" t="n"/>
      <c r="F1052" s="203" t="n"/>
    </row>
    <row r="1053" ht="13" customHeight="1" s="189">
      <c r="B1053" s="203" t="n"/>
      <c r="C1053" s="203" t="n"/>
      <c r="D1053" s="289" t="n"/>
      <c r="E1053" s="203" t="n"/>
      <c r="F1053" s="203" t="n"/>
    </row>
    <row r="1054" ht="13" customHeight="1" s="189">
      <c r="B1054" s="203" t="n"/>
      <c r="C1054" s="203" t="n"/>
      <c r="D1054" s="289" t="n"/>
      <c r="E1054" s="203" t="n"/>
      <c r="F1054" s="203" t="n"/>
    </row>
    <row r="1055" ht="13" customHeight="1" s="189">
      <c r="B1055" s="203" t="n"/>
      <c r="C1055" s="203" t="n"/>
      <c r="D1055" s="289" t="n"/>
      <c r="E1055" s="203" t="n"/>
      <c r="F1055" s="203" t="n"/>
    </row>
    <row r="1056" ht="13" customHeight="1" s="189">
      <c r="B1056" s="203" t="n"/>
      <c r="C1056" s="203" t="n"/>
      <c r="D1056" s="289" t="n"/>
      <c r="E1056" s="203" t="n"/>
      <c r="F1056" s="203" t="n"/>
    </row>
    <row r="1057" ht="13" customHeight="1" s="189">
      <c r="B1057" s="203" t="n"/>
      <c r="C1057" s="203" t="n"/>
      <c r="D1057" s="289" t="n"/>
      <c r="E1057" s="203" t="n"/>
      <c r="F1057" s="203" t="n"/>
    </row>
    <row r="1058" ht="13" customHeight="1" s="189">
      <c r="B1058" s="203" t="n"/>
      <c r="C1058" s="203" t="n"/>
      <c r="D1058" s="289" t="n"/>
      <c r="E1058" s="203" t="n"/>
      <c r="F1058" s="203" t="n"/>
    </row>
    <row r="1059" ht="13" customHeight="1" s="189">
      <c r="B1059" s="203" t="n"/>
      <c r="C1059" s="203" t="n"/>
      <c r="D1059" s="289" t="n"/>
      <c r="E1059" s="203" t="n"/>
      <c r="F1059" s="203" t="n"/>
    </row>
    <row r="1060" ht="13" customHeight="1" s="189">
      <c r="B1060" s="203" t="n"/>
      <c r="C1060" s="203" t="n"/>
      <c r="D1060" s="289" t="n"/>
      <c r="E1060" s="203" t="n"/>
      <c r="F1060" s="203" t="n"/>
    </row>
    <row r="1061" ht="13" customHeight="1" s="189">
      <c r="B1061" s="203" t="n"/>
      <c r="C1061" s="203" t="n"/>
      <c r="D1061" s="289" t="n"/>
      <c r="E1061" s="203" t="n"/>
      <c r="F1061" s="203" t="n"/>
    </row>
    <row r="1062" ht="13" customHeight="1" s="189">
      <c r="B1062" s="203" t="n"/>
      <c r="C1062" s="203" t="n"/>
      <c r="D1062" s="289" t="n"/>
      <c r="E1062" s="203" t="n"/>
      <c r="F1062" s="203" t="n"/>
    </row>
    <row r="1063" ht="13" customHeight="1" s="189">
      <c r="B1063" s="203" t="n"/>
      <c r="C1063" s="203" t="n"/>
      <c r="D1063" s="289" t="n"/>
      <c r="E1063" s="203" t="n"/>
      <c r="F1063" s="203" t="n"/>
    </row>
    <row r="1064" ht="13" customHeight="1" s="189">
      <c r="B1064" s="203" t="n"/>
      <c r="C1064" s="203" t="n"/>
      <c r="D1064" s="289" t="n"/>
      <c r="E1064" s="203" t="n"/>
      <c r="F1064" s="203" t="n"/>
    </row>
    <row r="1065" ht="13" customHeight="1" s="189">
      <c r="B1065" s="203" t="n"/>
      <c r="C1065" s="203" t="n"/>
      <c r="D1065" s="289" t="n"/>
      <c r="E1065" s="203" t="n"/>
      <c r="F1065" s="203" t="n"/>
    </row>
    <row r="1066" ht="13" customHeight="1" s="189">
      <c r="B1066" s="203" t="n"/>
      <c r="C1066" s="203" t="n"/>
      <c r="D1066" s="289" t="n"/>
      <c r="E1066" s="203" t="n"/>
      <c r="F1066" s="203" t="n"/>
    </row>
    <row r="1067" ht="13" customHeight="1" s="189">
      <c r="B1067" s="203" t="n"/>
      <c r="C1067" s="203" t="n"/>
      <c r="D1067" s="289" t="n"/>
      <c r="E1067" s="203" t="n"/>
      <c r="F1067" s="203" t="n"/>
    </row>
    <row r="1068" ht="13" customHeight="1" s="189">
      <c r="B1068" s="203" t="n"/>
      <c r="C1068" s="203" t="n"/>
      <c r="D1068" s="289" t="n"/>
      <c r="E1068" s="203" t="n"/>
      <c r="F1068" s="203" t="n"/>
    </row>
    <row r="1069" ht="13" customHeight="1" s="189">
      <c r="B1069" s="203" t="n"/>
      <c r="C1069" s="203" t="n"/>
      <c r="D1069" s="289" t="n"/>
      <c r="E1069" s="203" t="n"/>
      <c r="F1069" s="203" t="n"/>
    </row>
    <row r="1070" ht="13" customHeight="1" s="189">
      <c r="B1070" s="203" t="n"/>
      <c r="C1070" s="203" t="n"/>
      <c r="D1070" s="289" t="n"/>
      <c r="E1070" s="203" t="n"/>
      <c r="F1070" s="203" t="n"/>
    </row>
    <row r="1071" ht="13" customHeight="1" s="189">
      <c r="B1071" s="203" t="n"/>
      <c r="C1071" s="203" t="n"/>
      <c r="D1071" s="289" t="n"/>
      <c r="E1071" s="203" t="n"/>
      <c r="F1071" s="203" t="n"/>
    </row>
    <row r="1072" ht="13" customHeight="1" s="189">
      <c r="B1072" s="203" t="n"/>
      <c r="C1072" s="203" t="n"/>
      <c r="D1072" s="289" t="n"/>
      <c r="E1072" s="203" t="n"/>
      <c r="F1072" s="203" t="n"/>
    </row>
    <row r="1073" ht="13" customHeight="1" s="189"/>
    <row r="1074" ht="13" customHeight="1" s="189"/>
    <row r="1075" ht="13" customHeight="1" s="189"/>
    <row r="1076" ht="13" customHeight="1" s="189"/>
    <row r="1077" ht="13" customHeight="1" s="189"/>
    <row r="1078" ht="13" customHeight="1" s="189"/>
    <row r="1079" ht="13" customHeight="1" s="189"/>
    <row r="1080" ht="13" customHeight="1" s="189"/>
    <row r="1081" ht="13" customHeight="1" s="189"/>
    <row r="1082" ht="13" customHeight="1" s="189"/>
    <row r="1083" ht="13" customHeight="1" s="189"/>
    <row r="1084" ht="13" customHeight="1" s="189"/>
    <row r="1085" ht="13" customHeight="1" s="189"/>
    <row r="1086" ht="13" customHeight="1" s="189"/>
    <row r="1087" ht="13" customHeight="1" s="189"/>
    <row r="1088" ht="13" customHeight="1" s="189"/>
    <row r="1089" ht="13" customHeight="1" s="189"/>
    <row r="1090" ht="13" customHeight="1" s="189"/>
    <row r="1091" ht="13" customHeight="1" s="189"/>
    <row r="1092" ht="13" customHeight="1" s="189"/>
    <row r="1093" ht="13" customHeight="1" s="189"/>
    <row r="1094" ht="13" customHeight="1" s="189"/>
    <row r="1095" ht="13" customHeight="1" s="189"/>
    <row r="1096" ht="13" customHeight="1" s="189"/>
    <row r="1097" ht="13" customHeight="1" s="189"/>
    <row r="1098" ht="13" customHeight="1" s="189"/>
    <row r="1099" ht="13" customHeight="1" s="189"/>
    <row r="1100" ht="13" customHeight="1" s="189"/>
    <row r="1101" ht="13" customHeight="1" s="189"/>
    <row r="1102" ht="13" customHeight="1" s="189"/>
    <row r="1103" ht="13" customHeight="1" s="189"/>
    <row r="1104" ht="13" customHeight="1" s="189"/>
    <row r="1105" ht="13" customHeight="1" s="189"/>
    <row r="1106" ht="13" customHeight="1" s="189"/>
    <row r="1107" ht="13" customHeight="1" s="189"/>
    <row r="1108" ht="13" customHeight="1" s="189"/>
    <row r="1109" ht="13" customHeight="1" s="189"/>
    <row r="1110" ht="13" customHeight="1" s="189"/>
    <row r="1111" ht="13" customHeight="1" s="189"/>
    <row r="1112" ht="13" customHeight="1" s="189"/>
    <row r="1113" ht="13" customHeight="1" s="189"/>
    <row r="1114" ht="13" customHeight="1" s="189"/>
    <row r="1115" ht="13" customHeight="1" s="189"/>
    <row r="1116" ht="13" customHeight="1" s="189"/>
    <row r="1117" ht="13" customHeight="1" s="189"/>
    <row r="1118" ht="13" customHeight="1" s="189"/>
    <row r="1119" ht="13" customHeight="1" s="189"/>
    <row r="1120" ht="13" customHeight="1" s="189"/>
    <row r="1121" ht="13" customHeight="1" s="189"/>
    <row r="1122" ht="13" customHeight="1" s="189"/>
    <row r="1123" ht="13" customHeight="1" s="189"/>
    <row r="1124" ht="13" customHeight="1" s="189"/>
    <row r="1125" ht="13" customHeight="1" s="189"/>
    <row r="1126" ht="13" customHeight="1" s="189"/>
    <row r="1127" ht="13" customHeight="1" s="189"/>
    <row r="1128" ht="13" customHeight="1" s="189"/>
    <row r="1129" ht="13" customHeight="1" s="189"/>
    <row r="1130" ht="13" customHeight="1" s="189"/>
    <row r="1131" ht="13" customHeight="1" s="189"/>
    <row r="1132" ht="13" customHeight="1" s="189"/>
    <row r="1133" ht="13" customHeight="1" s="189"/>
    <row r="1134" ht="13" customHeight="1" s="189"/>
    <row r="1135" ht="13" customHeight="1" s="189"/>
    <row r="1136" ht="13" customHeight="1" s="189"/>
    <row r="1137" ht="13" customHeight="1" s="189"/>
    <row r="1138" ht="13" customHeight="1" s="189"/>
    <row r="1139" ht="13" customHeight="1" s="189"/>
    <row r="1140" ht="13" customHeight="1" s="189"/>
    <row r="1141" ht="13" customHeight="1" s="189"/>
    <row r="1142" ht="13" customHeight="1" s="189"/>
    <row r="1143" ht="13" customHeight="1" s="189"/>
    <row r="1144" ht="13" customHeight="1" s="189"/>
    <row r="1145" ht="13" customHeight="1" s="189"/>
    <row r="1146" ht="13" customHeight="1" s="189"/>
    <row r="1147" ht="13" customHeight="1" s="189"/>
    <row r="1148" ht="13" customHeight="1" s="189"/>
    <row r="1149" ht="13" customHeight="1" s="189"/>
    <row r="1150" ht="13" customHeight="1" s="189"/>
    <row r="1151" ht="13" customHeight="1" s="189"/>
    <row r="1152" ht="13" customHeight="1" s="189"/>
    <row r="1153" ht="13" customHeight="1" s="189"/>
    <row r="1154" ht="13" customHeight="1" s="189"/>
    <row r="1155" ht="13" customHeight="1" s="189"/>
    <row r="1156" ht="13" customHeight="1" s="189"/>
    <row r="1157" ht="13" customHeight="1" s="189"/>
    <row r="1158" ht="13" customHeight="1" s="189"/>
    <row r="1159" ht="13" customHeight="1" s="189"/>
    <row r="1160" ht="13" customHeight="1" s="189"/>
    <row r="1161" ht="13" customHeight="1" s="189"/>
    <row r="1162" ht="13" customHeight="1" s="189"/>
    <row r="1163" ht="13" customHeight="1" s="189"/>
    <row r="1164" ht="13" customHeight="1" s="189"/>
    <row r="1165" ht="13" customHeight="1" s="189"/>
    <row r="1166" ht="13" customHeight="1" s="189"/>
    <row r="1167" ht="13" customHeight="1" s="189"/>
    <row r="1168" ht="13" customHeight="1" s="189"/>
    <row r="1169" ht="13" customHeight="1" s="189"/>
    <row r="1170" ht="13" customHeight="1" s="189"/>
    <row r="1171" ht="13" customHeight="1" s="189"/>
    <row r="1172" ht="13" customHeight="1" s="189"/>
    <row r="1173" ht="13" customHeight="1" s="189"/>
    <row r="1174" ht="13" customHeight="1" s="189"/>
    <row r="1175" ht="13" customHeight="1" s="189"/>
    <row r="1176" ht="13" customHeight="1" s="189"/>
    <row r="1177" ht="13" customHeight="1" s="189"/>
    <row r="1178" ht="13" customHeight="1" s="189"/>
    <row r="1179" ht="13" customHeight="1" s="189"/>
    <row r="1180" ht="13" customHeight="1" s="189"/>
    <row r="1181" ht="13" customHeight="1" s="189"/>
    <row r="1182" ht="13" customHeight="1" s="189"/>
    <row r="1183" ht="13" customHeight="1" s="189"/>
    <row r="1184" ht="13" customHeight="1" s="189"/>
    <row r="1185" ht="13" customHeight="1" s="189"/>
    <row r="1186" ht="13" customHeight="1" s="189"/>
    <row r="1187" ht="13" customHeight="1" s="189"/>
    <row r="1188" ht="13" customHeight="1" s="189"/>
    <row r="1189" ht="13" customHeight="1" s="189"/>
    <row r="1190" ht="13" customHeight="1" s="189"/>
    <row r="1191" ht="13" customHeight="1" s="189"/>
    <row r="1192" ht="13" customHeight="1" s="189"/>
    <row r="1193" ht="13" customHeight="1" s="189"/>
    <row r="1194" ht="13" customHeight="1" s="189"/>
    <row r="1195" ht="13" customHeight="1" s="189"/>
    <row r="1196" ht="13" customHeight="1" s="189"/>
    <row r="1197" ht="13" customHeight="1" s="189"/>
    <row r="1198" ht="13" customHeight="1" s="189"/>
    <row r="1199" ht="13" customHeight="1" s="189"/>
    <row r="1200" ht="13" customHeight="1" s="189"/>
    <row r="1201" ht="13" customHeight="1" s="189"/>
    <row r="1202" ht="13" customHeight="1" s="189"/>
    <row r="1203" ht="13" customHeight="1" s="189"/>
    <row r="1204" ht="13" customHeight="1" s="189"/>
    <row r="1205" ht="13" customHeight="1" s="189"/>
    <row r="1206" ht="13" customHeight="1" s="189"/>
    <row r="1207" ht="13" customHeight="1" s="189"/>
    <row r="1208" ht="13" customHeight="1" s="189"/>
    <row r="1209" ht="13" customHeight="1" s="189"/>
    <row r="1210" ht="13" customHeight="1" s="189"/>
    <row r="1211" ht="13" customHeight="1" s="189"/>
    <row r="1212" ht="13" customHeight="1" s="189"/>
    <row r="1213" ht="13" customHeight="1" s="189"/>
    <row r="1214" ht="13" customHeight="1" s="189"/>
    <row r="1215" ht="13" customHeight="1" s="189"/>
    <row r="1216" ht="13" customHeight="1" s="189"/>
    <row r="1217" ht="13" customHeight="1" s="189"/>
    <row r="1218" ht="13" customHeight="1" s="189"/>
    <row r="1219" ht="13" customHeight="1" s="189"/>
    <row r="1220" ht="13" customHeight="1" s="189"/>
    <row r="1221" ht="13" customHeight="1" s="189"/>
    <row r="1222" ht="13" customHeight="1" s="189"/>
    <row r="1223" ht="13" customHeight="1" s="189"/>
    <row r="1224" ht="13" customHeight="1" s="189"/>
    <row r="1225" ht="13" customHeight="1" s="189"/>
    <row r="1226" ht="13" customHeight="1" s="189"/>
    <row r="1227" ht="13" customHeight="1" s="189"/>
    <row r="1228" ht="13" customHeight="1" s="189"/>
    <row r="1229" ht="13" customHeight="1" s="189"/>
    <row r="1230" ht="13" customHeight="1" s="189"/>
    <row r="1231" ht="13" customHeight="1" s="189"/>
    <row r="1232" ht="13" customHeight="1" s="189"/>
    <row r="1233" ht="13" customHeight="1" s="189"/>
    <row r="1234" ht="13" customHeight="1" s="189"/>
    <row r="1235" ht="13" customHeight="1" s="189"/>
    <row r="1236" ht="13" customHeight="1" s="189"/>
    <row r="1237" ht="13" customHeight="1" s="189"/>
    <row r="1238" ht="13" customHeight="1" s="189"/>
    <row r="1239" ht="13" customHeight="1" s="189"/>
    <row r="1240" ht="13" customHeight="1" s="189"/>
    <row r="1241" ht="13" customHeight="1" s="189"/>
    <row r="1242" ht="13" customHeight="1" s="189"/>
    <row r="1243" ht="13" customHeight="1" s="189"/>
    <row r="1244" ht="13" customHeight="1" s="189"/>
    <row r="1245" ht="13" customHeight="1" s="189"/>
    <row r="1246" ht="13" customHeight="1" s="189"/>
    <row r="1247" ht="13" customHeight="1" s="189"/>
    <row r="1248" ht="13" customHeight="1" s="189"/>
    <row r="1249" ht="13" customHeight="1" s="189"/>
    <row r="1250" ht="13" customHeight="1" s="189"/>
    <row r="1251" ht="13" customHeight="1" s="189"/>
    <row r="1252" ht="13" customHeight="1" s="189"/>
    <row r="1253" ht="13" customHeight="1" s="189"/>
    <row r="1254" ht="13" customHeight="1" s="189"/>
    <row r="1255" ht="13" customHeight="1" s="189"/>
    <row r="1256" ht="13" customHeight="1" s="189"/>
    <row r="1257" ht="13" customHeight="1" s="189"/>
    <row r="1258" ht="13" customHeight="1" s="189"/>
    <row r="1259" ht="13" customHeight="1" s="189"/>
    <row r="1260" ht="13" customHeight="1" s="189"/>
    <row r="1261" ht="13" customHeight="1" s="189"/>
    <row r="1262" ht="13" customHeight="1" s="189"/>
    <row r="1263" ht="13" customHeight="1" s="189"/>
    <row r="1264" ht="13" customHeight="1" s="189"/>
    <row r="1265" ht="13" customHeight="1" s="189"/>
    <row r="1266" ht="13" customHeight="1" s="189"/>
    <row r="1267" ht="13" customHeight="1" s="189"/>
    <row r="1268" ht="13" customHeight="1" s="189"/>
    <row r="1269" ht="13" customHeight="1" s="189"/>
    <row r="1270" ht="13" customHeight="1" s="189"/>
    <row r="1271" ht="13" customHeight="1" s="189"/>
    <row r="1272" ht="13" customHeight="1" s="189"/>
    <row r="1273" ht="13" customHeight="1" s="189"/>
    <row r="1274" ht="13" customHeight="1" s="189"/>
    <row r="1275" ht="13" customHeight="1" s="189"/>
    <row r="1276" ht="13" customHeight="1" s="189"/>
    <row r="1277" ht="13" customHeight="1" s="189"/>
    <row r="1278" ht="13" customHeight="1" s="189"/>
    <row r="1279" ht="13" customHeight="1" s="189"/>
    <row r="1280" ht="13" customHeight="1" s="189"/>
    <row r="1281" ht="13" customHeight="1" s="189"/>
    <row r="1282" ht="13" customHeight="1" s="189"/>
  </sheetData>
  <mergeCells count="31">
    <mergeCell ref="B4:F4"/>
    <mergeCell ref="G2:H2"/>
    <mergeCell ref="A59:K59"/>
    <mergeCell ref="B3:F3"/>
    <mergeCell ref="B30:K30"/>
    <mergeCell ref="B6:K6"/>
    <mergeCell ref="B24:K24"/>
    <mergeCell ref="I3:K3"/>
    <mergeCell ref="A1:K1"/>
    <mergeCell ref="B36:K36"/>
    <mergeCell ref="B2:F2"/>
    <mergeCell ref="A65:K65"/>
    <mergeCell ref="A41:K41"/>
    <mergeCell ref="I4:K4"/>
    <mergeCell ref="B54:K54"/>
    <mergeCell ref="G3:H3"/>
    <mergeCell ref="B66:K66"/>
    <mergeCell ref="B18:K18"/>
    <mergeCell ref="B12:K12"/>
    <mergeCell ref="A47:K47"/>
    <mergeCell ref="B48:K48"/>
    <mergeCell ref="A5:K5"/>
    <mergeCell ref="A23:K23"/>
    <mergeCell ref="A17:K17"/>
    <mergeCell ref="B42:K42"/>
    <mergeCell ref="B60:K60"/>
    <mergeCell ref="G4:H4"/>
    <mergeCell ref="A53:K53"/>
    <mergeCell ref="A35:K35"/>
    <mergeCell ref="I2:K2"/>
    <mergeCell ref="A29:K29"/>
  </mergeCells>
  <printOptions horizontalCentered="0" verticalCentered="0" headings="0" gridLines="1" gridLinesSet="1"/>
  <pageMargins left="0.75" right="0.75" top="1" bottom="1" header="0.511811023622047" footer="0.511811023622047"/>
  <pageSetup orientation="landscape" paperSize="1" scale="100" fitToHeight="1" fitToWidth="1" pageOrder="downThenOver" blackAndWhite="0" draft="0" horizontalDpi="300" verticalDpi="300" copies="1"/>
  <rowBreaks count="1" manualBreakCount="1">
    <brk id="35" min="0" max="16383" man="1"/>
  </rowBreaks>
</worksheet>
</file>

<file path=xl/worksheets/sheet25.xml><?xml version="1.0" encoding="utf-8"?>
<worksheet xmlns="http://schemas.openxmlformats.org/spreadsheetml/2006/main">
  <sheetPr filterMode="0">
    <outlinePr summaryBelow="1" summaryRight="1"/>
    <pageSetUpPr fitToPage="0"/>
  </sheetPr>
  <dimension ref="A1:N1039"/>
  <sheetViews>
    <sheetView showFormulas="0" showGridLines="1" showRowColHeaders="1" showZeros="1" rightToLeft="0" tabSelected="0" showOutlineSymbols="1" defaultGridColor="1" view="normal" topLeftCell="A13" colorId="64" zoomScale="100" zoomScaleNormal="100" zoomScalePageLayoutView="100" workbookViewId="0">
      <selection pane="topLeft" activeCell="N39" activeCellId="0" sqref="N39"/>
    </sheetView>
  </sheetViews>
  <sheetFormatPr baseColWidth="8" defaultColWidth="9.0546875" defaultRowHeight="12.5" zeroHeight="0" outlineLevelRow="0"/>
  <cols>
    <col width="20.72" customWidth="1" style="188" min="1" max="1"/>
    <col width="7.72" customWidth="1" style="188" min="2" max="3"/>
    <col width="7.72" customWidth="1" style="293" min="4" max="4"/>
    <col width="7.72" customWidth="1" style="188" min="5" max="14"/>
  </cols>
  <sheetData>
    <row r="1" ht="15.5" customHeight="1" s="189">
      <c r="A1" s="243" t="inlineStr">
        <is>
          <t>Timesheet Totals</t>
        </is>
      </c>
      <c r="B1" s="213" t="n"/>
      <c r="C1" s="213" t="n"/>
      <c r="D1" s="213" t="n"/>
      <c r="E1" s="213" t="n"/>
      <c r="F1" s="213" t="n"/>
      <c r="G1" s="213" t="n"/>
      <c r="H1" s="213" t="n"/>
      <c r="I1" s="213" t="n"/>
      <c r="J1" s="213" t="n"/>
      <c r="K1" s="213" t="n"/>
      <c r="L1" s="213" t="n"/>
      <c r="M1" s="213" t="n"/>
      <c r="N1" s="214" t="n"/>
    </row>
    <row r="2" ht="13" customHeight="1" s="189">
      <c r="A2" s="266" t="inlineStr">
        <is>
          <t>Project</t>
        </is>
      </c>
      <c r="B2" s="208">
        <f>Data!B1</f>
        <v/>
      </c>
      <c r="C2" s="213" t="n"/>
      <c r="D2" s="213" t="n"/>
      <c r="E2" s="213" t="n"/>
      <c r="F2" s="214" t="n"/>
      <c r="G2" s="266" t="inlineStr">
        <is>
          <t>Project #</t>
        </is>
      </c>
      <c r="H2" s="214" t="n"/>
      <c r="I2" s="208">
        <f>Data!B2</f>
        <v/>
      </c>
      <c r="J2" s="213" t="n"/>
      <c r="K2" s="213" t="n"/>
      <c r="L2" s="213" t="n"/>
      <c r="M2" s="213" t="n"/>
      <c r="N2" s="214" t="n"/>
    </row>
    <row r="3" ht="13" customHeight="1" s="189">
      <c r="A3" s="266" t="inlineStr">
        <is>
          <t>Project manager</t>
        </is>
      </c>
      <c r="B3" s="208">
        <f>Data!B3</f>
        <v/>
      </c>
      <c r="C3" s="213" t="n"/>
      <c r="D3" s="213" t="n"/>
      <c r="E3" s="213" t="n"/>
      <c r="F3" s="214" t="n"/>
      <c r="G3" s="266" t="inlineStr">
        <is>
          <t>Sponsor</t>
        </is>
      </c>
      <c r="H3" s="214" t="n"/>
      <c r="I3" s="208">
        <f>Data!B4</f>
        <v/>
      </c>
      <c r="J3" s="213" t="n"/>
      <c r="K3" s="213" t="n"/>
      <c r="L3" s="213" t="n"/>
      <c r="M3" s="213" t="n"/>
      <c r="N3" s="214" t="n"/>
    </row>
    <row r="4" ht="13" customHeight="1" s="189">
      <c r="A4" s="266" t="inlineStr">
        <is>
          <t>Project artifacts</t>
        </is>
      </c>
      <c r="B4" s="208">
        <f>Data!B5</f>
        <v/>
      </c>
      <c r="C4" s="213" t="n"/>
      <c r="D4" s="213" t="n"/>
      <c r="E4" s="213" t="n"/>
      <c r="F4" s="214" t="n"/>
      <c r="G4" s="266" t="inlineStr">
        <is>
          <t>Updated</t>
        </is>
      </c>
      <c r="H4" s="214" t="n"/>
      <c r="I4" s="208">
        <f>Data!B6</f>
        <v/>
      </c>
      <c r="J4" s="213" t="n"/>
      <c r="K4" s="213" t="n"/>
      <c r="L4" s="213" t="n"/>
      <c r="M4" s="213" t="n"/>
      <c r="N4" s="214" t="n"/>
    </row>
    <row r="5" ht="12.5" customHeight="1" s="189">
      <c r="A5" s="308" t="n"/>
      <c r="B5" s="213" t="n"/>
      <c r="C5" s="213" t="n"/>
      <c r="D5" s="213" t="n"/>
      <c r="E5" s="213" t="n"/>
      <c r="F5" s="213" t="n"/>
      <c r="G5" s="213" t="n"/>
      <c r="H5" s="213" t="n"/>
      <c r="I5" s="213" t="n"/>
      <c r="J5" s="213" t="n"/>
      <c r="K5" s="213" t="n"/>
      <c r="L5" s="213" t="n"/>
      <c r="M5" s="213" t="n"/>
      <c r="N5" s="213" t="n"/>
    </row>
    <row r="6" ht="12.5" customHeight="1" s="189">
      <c r="A6" s="266" t="n"/>
      <c r="B6" s="281" t="inlineStr">
        <is>
          <t>Effort Hours Spent</t>
        </is>
      </c>
      <c r="C6" s="213" t="n"/>
      <c r="D6" s="213" t="n"/>
      <c r="E6" s="213" t="n"/>
      <c r="F6" s="213" t="n"/>
      <c r="G6" s="213" t="n"/>
      <c r="H6" s="213" t="n"/>
      <c r="I6" s="213" t="n"/>
      <c r="J6" s="213" t="n"/>
      <c r="K6" s="213" t="n"/>
      <c r="L6" s="213" t="n"/>
      <c r="M6" s="213" t="n"/>
      <c r="N6" s="214" t="n"/>
    </row>
    <row r="7" ht="12.5" customHeight="1" s="189">
      <c r="A7" s="220" t="inlineStr">
        <is>
          <t>Name</t>
        </is>
      </c>
      <c r="B7" s="220" t="inlineStr">
        <is>
          <t>Jan</t>
        </is>
      </c>
      <c r="C7" s="220" t="inlineStr">
        <is>
          <t>Feb</t>
        </is>
      </c>
      <c r="D7" s="220" t="inlineStr">
        <is>
          <t>Mar</t>
        </is>
      </c>
      <c r="E7" s="220" t="inlineStr">
        <is>
          <t>Apr</t>
        </is>
      </c>
      <c r="F7" s="220" t="inlineStr">
        <is>
          <t>May</t>
        </is>
      </c>
      <c r="G7" s="220" t="inlineStr">
        <is>
          <t>June</t>
        </is>
      </c>
      <c r="H7" s="220" t="inlineStr">
        <is>
          <t>July</t>
        </is>
      </c>
      <c r="I7" s="220" t="inlineStr">
        <is>
          <t>Aug</t>
        </is>
      </c>
      <c r="J7" s="220" t="inlineStr">
        <is>
          <t>Sept</t>
        </is>
      </c>
      <c r="K7" s="220" t="inlineStr">
        <is>
          <t>Oct</t>
        </is>
      </c>
      <c r="L7" s="220" t="inlineStr">
        <is>
          <t>Nov</t>
        </is>
      </c>
      <c r="M7" s="313" t="inlineStr">
        <is>
          <t>Dec</t>
        </is>
      </c>
      <c r="N7" s="220" t="inlineStr">
        <is>
          <t>Total</t>
        </is>
      </c>
    </row>
    <row r="8" ht="13" customHeight="1" s="189">
      <c r="A8" s="266" t="n"/>
      <c r="B8" s="272" t="n"/>
      <c r="C8" s="272" t="n"/>
      <c r="D8" s="272" t="n"/>
      <c r="E8" s="272" t="n"/>
      <c r="F8" s="222" t="n"/>
      <c r="G8" s="272" t="n"/>
      <c r="H8" s="272" t="n"/>
      <c r="I8" s="272" t="n"/>
      <c r="J8" s="272" t="n"/>
      <c r="K8" s="272" t="n"/>
      <c r="L8" s="272" t="n"/>
      <c r="M8" s="272" t="n"/>
      <c r="N8" s="314">
        <f>SUM(B8:M8)</f>
        <v/>
      </c>
    </row>
    <row r="9" ht="13" customHeight="1" s="189">
      <c r="A9" s="266" t="n"/>
      <c r="B9" s="272" t="n"/>
      <c r="C9" s="272" t="n"/>
      <c r="D9" s="272" t="n"/>
      <c r="E9" s="272" t="n"/>
      <c r="F9" s="222" t="n"/>
      <c r="G9" s="272" t="n"/>
      <c r="H9" s="272" t="n"/>
      <c r="I9" s="272" t="n"/>
      <c r="J9" s="272" t="n"/>
      <c r="K9" s="272" t="n"/>
      <c r="L9" s="272" t="n"/>
      <c r="M9" s="272" t="n"/>
      <c r="N9" s="314">
        <f>SUM(B9:M9)</f>
        <v/>
      </c>
    </row>
    <row r="10" ht="13" customHeight="1" s="189">
      <c r="A10" s="266" t="n"/>
      <c r="B10" s="272" t="n"/>
      <c r="C10" s="272" t="n"/>
      <c r="D10" s="272" t="n"/>
      <c r="E10" s="272" t="n"/>
      <c r="F10" s="222" t="n"/>
      <c r="G10" s="272" t="n"/>
      <c r="H10" s="272" t="n"/>
      <c r="I10" s="272" t="n"/>
      <c r="J10" s="272" t="n"/>
      <c r="K10" s="272" t="n"/>
      <c r="L10" s="272" t="n"/>
      <c r="M10" s="272" t="n"/>
      <c r="N10" s="314">
        <f>SUM(B10:M10)</f>
        <v/>
      </c>
    </row>
    <row r="11" ht="13" customHeight="1" s="189">
      <c r="A11" s="266" t="n"/>
      <c r="B11" s="272" t="n"/>
      <c r="C11" s="272" t="n"/>
      <c r="D11" s="272" t="n"/>
      <c r="E11" s="272" t="n"/>
      <c r="F11" s="222" t="n"/>
      <c r="G11" s="272" t="n"/>
      <c r="H11" s="272" t="n"/>
      <c r="I11" s="272" t="n"/>
      <c r="J11" s="272" t="n"/>
      <c r="K11" s="272" t="n"/>
      <c r="L11" s="272" t="n"/>
      <c r="M11" s="272" t="n"/>
      <c r="N11" s="314">
        <f>SUM(B11:M11)</f>
        <v/>
      </c>
    </row>
    <row r="12" ht="13" customHeight="1" s="189">
      <c r="A12" s="266" t="n"/>
      <c r="B12" s="272" t="n"/>
      <c r="C12" s="272" t="n"/>
      <c r="D12" s="272" t="n"/>
      <c r="E12" s="272" t="n"/>
      <c r="F12" s="222" t="n"/>
      <c r="G12" s="272" t="n"/>
      <c r="H12" s="272" t="n"/>
      <c r="I12" s="272" t="n"/>
      <c r="J12" s="272" t="n"/>
      <c r="K12" s="272" t="n"/>
      <c r="L12" s="272" t="n"/>
      <c r="M12" s="272" t="n"/>
      <c r="N12" s="314">
        <f>SUM(B12:M12)</f>
        <v/>
      </c>
    </row>
    <row r="13" ht="13" customHeight="1" s="189">
      <c r="A13" s="266" t="n"/>
      <c r="B13" s="272" t="n"/>
      <c r="C13" s="272" t="n"/>
      <c r="D13" s="272" t="n"/>
      <c r="E13" s="272" t="n"/>
      <c r="F13" s="222" t="n"/>
      <c r="G13" s="272" t="n"/>
      <c r="H13" s="272" t="n"/>
      <c r="I13" s="272" t="n"/>
      <c r="J13" s="272" t="n"/>
      <c r="K13" s="272" t="n"/>
      <c r="L13" s="272" t="n"/>
      <c r="M13" s="272" t="n"/>
      <c r="N13" s="314">
        <f>SUM(B13:M13)</f>
        <v/>
      </c>
    </row>
    <row r="14" ht="13" customHeight="1" s="189">
      <c r="A14" s="266" t="n"/>
      <c r="B14" s="272" t="n"/>
      <c r="C14" s="272" t="n"/>
      <c r="D14" s="272" t="n"/>
      <c r="E14" s="272" t="n"/>
      <c r="F14" s="222" t="n"/>
      <c r="G14" s="272" t="n"/>
      <c r="H14" s="272" t="n"/>
      <c r="I14" s="272" t="n"/>
      <c r="J14" s="272" t="n"/>
      <c r="K14" s="272" t="n"/>
      <c r="L14" s="272" t="n"/>
      <c r="M14" s="272" t="n"/>
      <c r="N14" s="314">
        <f>SUM(B14:M14)</f>
        <v/>
      </c>
    </row>
    <row r="15" ht="13" customHeight="1" s="189">
      <c r="A15" s="266" t="n"/>
      <c r="B15" s="272" t="n"/>
      <c r="C15" s="272" t="n"/>
      <c r="D15" s="272" t="n"/>
      <c r="E15" s="272" t="n"/>
      <c r="F15" s="222" t="n"/>
      <c r="G15" s="272" t="n"/>
      <c r="H15" s="272" t="n"/>
      <c r="I15" s="272" t="n"/>
      <c r="J15" s="272" t="n"/>
      <c r="K15" s="272" t="n"/>
      <c r="L15" s="272" t="n"/>
      <c r="M15" s="272" t="n"/>
      <c r="N15" s="314">
        <f>SUM(B15:M15)</f>
        <v/>
      </c>
    </row>
    <row r="16" ht="13" customHeight="1" s="189">
      <c r="A16" s="266" t="n"/>
      <c r="B16" s="272" t="n"/>
      <c r="C16" s="272" t="n"/>
      <c r="D16" s="272" t="n"/>
      <c r="E16" s="272" t="n"/>
      <c r="F16" s="222" t="n"/>
      <c r="G16" s="272" t="n"/>
      <c r="H16" s="272" t="n"/>
      <c r="I16" s="272" t="n"/>
      <c r="J16" s="272" t="n"/>
      <c r="K16" s="272" t="n"/>
      <c r="L16" s="272" t="n"/>
      <c r="M16" s="272" t="n"/>
      <c r="N16" s="314">
        <f>SUM(B16:M16)</f>
        <v/>
      </c>
    </row>
    <row r="17" ht="13" customHeight="1" s="189">
      <c r="A17" s="266" t="n"/>
      <c r="B17" s="272" t="n"/>
      <c r="C17" s="272" t="n"/>
      <c r="D17" s="272" t="n"/>
      <c r="E17" s="272" t="n"/>
      <c r="F17" s="222" t="n"/>
      <c r="G17" s="272" t="n"/>
      <c r="H17" s="272" t="n"/>
      <c r="I17" s="272" t="n"/>
      <c r="J17" s="272" t="n"/>
      <c r="K17" s="272" t="n"/>
      <c r="L17" s="272" t="n"/>
      <c r="M17" s="272" t="n"/>
      <c r="N17" s="314">
        <f>SUM(B17:M17)</f>
        <v/>
      </c>
    </row>
    <row r="18" ht="13" customHeight="1" s="189">
      <c r="A18" s="266" t="n"/>
      <c r="B18" s="272" t="n"/>
      <c r="C18" s="272" t="n"/>
      <c r="D18" s="272" t="n"/>
      <c r="E18" s="272" t="n"/>
      <c r="F18" s="222" t="n"/>
      <c r="G18" s="272" t="n"/>
      <c r="H18" s="272" t="n"/>
      <c r="I18" s="272" t="n"/>
      <c r="J18" s="272" t="n"/>
      <c r="K18" s="272" t="n"/>
      <c r="L18" s="272" t="n"/>
      <c r="M18" s="272" t="n"/>
      <c r="N18" s="314">
        <f>SUM(B18:M18)</f>
        <v/>
      </c>
    </row>
    <row r="19" ht="13" customHeight="1" s="189">
      <c r="A19" s="266" t="n"/>
      <c r="B19" s="272" t="n"/>
      <c r="C19" s="272" t="n"/>
      <c r="D19" s="272" t="n"/>
      <c r="E19" s="272" t="n"/>
      <c r="F19" s="222" t="n"/>
      <c r="G19" s="272" t="n"/>
      <c r="H19" s="272" t="n"/>
      <c r="I19" s="272" t="n"/>
      <c r="J19" s="272" t="n"/>
      <c r="K19" s="272" t="n"/>
      <c r="L19" s="272" t="n"/>
      <c r="M19" s="272" t="n"/>
      <c r="N19" s="314">
        <f>SUM(B19:M19)</f>
        <v/>
      </c>
    </row>
    <row r="20" ht="13" customHeight="1" s="189">
      <c r="A20" s="266" t="n"/>
      <c r="B20" s="272" t="n"/>
      <c r="C20" s="272" t="n"/>
      <c r="D20" s="272" t="n"/>
      <c r="E20" s="272" t="n"/>
      <c r="F20" s="222" t="n"/>
      <c r="G20" s="272" t="n"/>
      <c r="H20" s="272" t="n"/>
      <c r="I20" s="272" t="n"/>
      <c r="J20" s="272" t="n"/>
      <c r="K20" s="272" t="n"/>
      <c r="L20" s="272" t="n"/>
      <c r="M20" s="272" t="n"/>
      <c r="N20" s="314">
        <f>SUM(B20:M20)</f>
        <v/>
      </c>
    </row>
    <row r="21" ht="13" customHeight="1" s="189">
      <c r="A21" s="266" t="n"/>
      <c r="B21" s="272" t="n"/>
      <c r="C21" s="272" t="n"/>
      <c r="D21" s="272" t="n"/>
      <c r="E21" s="272" t="n"/>
      <c r="F21" s="222" t="n"/>
      <c r="G21" s="272" t="n"/>
      <c r="H21" s="272" t="n"/>
      <c r="I21" s="272" t="n"/>
      <c r="J21" s="272" t="n"/>
      <c r="K21" s="272" t="n"/>
      <c r="L21" s="272" t="n"/>
      <c r="M21" s="272" t="n"/>
      <c r="N21" s="314">
        <f>SUM(B21:M21)</f>
        <v/>
      </c>
    </row>
    <row r="22" ht="13" customHeight="1" s="189">
      <c r="A22" s="266" t="n"/>
      <c r="B22" s="272" t="n"/>
      <c r="C22" s="272" t="n"/>
      <c r="D22" s="272" t="n"/>
      <c r="E22" s="272" t="n"/>
      <c r="F22" s="222" t="n"/>
      <c r="G22" s="272" t="n"/>
      <c r="H22" s="272" t="n"/>
      <c r="I22" s="272" t="n"/>
      <c r="J22" s="272" t="n"/>
      <c r="K22" s="272" t="n"/>
      <c r="L22" s="272" t="n"/>
      <c r="M22" s="272" t="n"/>
      <c r="N22" s="314">
        <f>SUM(B22:M22)</f>
        <v/>
      </c>
    </row>
    <row r="23" ht="13" customHeight="1" s="189">
      <c r="A23" s="266" t="n"/>
      <c r="B23" s="272" t="n"/>
      <c r="C23" s="272" t="n"/>
      <c r="D23" s="272" t="n"/>
      <c r="E23" s="272" t="n"/>
      <c r="F23" s="222" t="n"/>
      <c r="G23" s="272" t="n"/>
      <c r="H23" s="272" t="n"/>
      <c r="I23" s="272" t="n"/>
      <c r="J23" s="272" t="n"/>
      <c r="K23" s="272" t="n"/>
      <c r="L23" s="272" t="n"/>
      <c r="M23" s="272" t="n"/>
      <c r="N23" s="314">
        <f>SUM(B23:M23)</f>
        <v/>
      </c>
    </row>
    <row r="24" ht="13" customHeight="1" s="189">
      <c r="A24" s="266" t="n"/>
      <c r="B24" s="272" t="n"/>
      <c r="C24" s="272" t="n"/>
      <c r="D24" s="272" t="n"/>
      <c r="E24" s="272" t="n"/>
      <c r="F24" s="222" t="n"/>
      <c r="G24" s="272" t="n"/>
      <c r="H24" s="272" t="n"/>
      <c r="I24" s="272" t="n"/>
      <c r="J24" s="272" t="n"/>
      <c r="K24" s="272" t="n"/>
      <c r="L24" s="272" t="n"/>
      <c r="M24" s="272" t="n"/>
      <c r="N24" s="314">
        <f>SUM(B24:M24)</f>
        <v/>
      </c>
    </row>
    <row r="25" ht="13" customHeight="1" s="189">
      <c r="A25" s="266" t="n"/>
      <c r="B25" s="272" t="n"/>
      <c r="C25" s="272" t="n"/>
      <c r="D25" s="272" t="n"/>
      <c r="E25" s="272" t="n"/>
      <c r="F25" s="222" t="n"/>
      <c r="G25" s="272" t="n"/>
      <c r="H25" s="272" t="n"/>
      <c r="I25" s="272" t="n"/>
      <c r="J25" s="272" t="n"/>
      <c r="K25" s="272" t="n"/>
      <c r="L25" s="272" t="n"/>
      <c r="M25" s="272" t="n"/>
      <c r="N25" s="314">
        <f>SUM(B25:M25)</f>
        <v/>
      </c>
    </row>
    <row r="26" ht="13" customHeight="1" s="189">
      <c r="A26" s="266" t="n"/>
      <c r="B26" s="272" t="n"/>
      <c r="C26" s="272" t="n"/>
      <c r="D26" s="272" t="n"/>
      <c r="E26" s="272" t="n"/>
      <c r="F26" s="222" t="n"/>
      <c r="G26" s="272" t="n"/>
      <c r="H26" s="272" t="n"/>
      <c r="I26" s="272" t="n"/>
      <c r="J26" s="272" t="n"/>
      <c r="K26" s="272" t="n"/>
      <c r="L26" s="272" t="n"/>
      <c r="M26" s="272" t="n"/>
      <c r="N26" s="314">
        <f>SUM(B26:M26)</f>
        <v/>
      </c>
    </row>
    <row r="27" ht="13" customHeight="1" s="189">
      <c r="A27" s="266" t="n"/>
      <c r="B27" s="272" t="n"/>
      <c r="C27" s="272" t="n"/>
      <c r="D27" s="272" t="n"/>
      <c r="E27" s="272" t="n"/>
      <c r="F27" s="222" t="n"/>
      <c r="G27" s="272" t="n"/>
      <c r="H27" s="272" t="n"/>
      <c r="I27" s="272" t="n"/>
      <c r="J27" s="272" t="n"/>
      <c r="K27" s="272" t="n"/>
      <c r="L27" s="272" t="n"/>
      <c r="M27" s="272" t="n"/>
      <c r="N27" s="314">
        <f>SUM(B27:M27)</f>
        <v/>
      </c>
    </row>
    <row r="28" ht="13" customHeight="1" s="189">
      <c r="A28" s="266" t="n"/>
      <c r="B28" s="272" t="n"/>
      <c r="C28" s="272" t="n"/>
      <c r="D28" s="272" t="n"/>
      <c r="E28" s="272" t="n"/>
      <c r="F28" s="222" t="n"/>
      <c r="G28" s="272" t="n"/>
      <c r="H28" s="272" t="n"/>
      <c r="I28" s="272" t="n"/>
      <c r="J28" s="272" t="n"/>
      <c r="K28" s="272" t="n"/>
      <c r="L28" s="272" t="n"/>
      <c r="M28" s="272" t="n"/>
      <c r="N28" s="314">
        <f>SUM(B28:M28)</f>
        <v/>
      </c>
    </row>
    <row r="29" ht="13" customHeight="1" s="189">
      <c r="A29" s="266" t="n"/>
      <c r="B29" s="272" t="n"/>
      <c r="C29" s="272" t="n"/>
      <c r="D29" s="272" t="n"/>
      <c r="E29" s="272" t="n"/>
      <c r="F29" s="222" t="n"/>
      <c r="G29" s="272" t="n"/>
      <c r="H29" s="272" t="n"/>
      <c r="I29" s="272" t="n"/>
      <c r="J29" s="272" t="n"/>
      <c r="K29" s="272" t="n"/>
      <c r="L29" s="272" t="n"/>
      <c r="M29" s="272" t="n"/>
      <c r="N29" s="314">
        <f>SUM(B29:M29)</f>
        <v/>
      </c>
    </row>
    <row r="30" ht="13" customHeight="1" s="189">
      <c r="A30" s="266" t="n"/>
      <c r="B30" s="272" t="n"/>
      <c r="C30" s="272" t="n"/>
      <c r="D30" s="272" t="n"/>
      <c r="E30" s="272" t="n"/>
      <c r="F30" s="222" t="n"/>
      <c r="G30" s="272" t="n"/>
      <c r="H30" s="272" t="n"/>
      <c r="I30" s="272" t="n"/>
      <c r="J30" s="272" t="n"/>
      <c r="K30" s="272" t="n"/>
      <c r="L30" s="272" t="n"/>
      <c r="M30" s="272" t="n"/>
      <c r="N30" s="314">
        <f>SUM(B30:M30)</f>
        <v/>
      </c>
    </row>
    <row r="31" ht="13" customHeight="1" s="189">
      <c r="A31" s="266" t="n"/>
      <c r="B31" s="272" t="n"/>
      <c r="C31" s="272" t="n"/>
      <c r="D31" s="272" t="n"/>
      <c r="E31" s="272" t="n"/>
      <c r="F31" s="222" t="n"/>
      <c r="G31" s="272" t="n"/>
      <c r="H31" s="272" t="n"/>
      <c r="I31" s="272" t="n"/>
      <c r="J31" s="272" t="n"/>
      <c r="K31" s="272" t="n"/>
      <c r="L31" s="272" t="n"/>
      <c r="M31" s="272" t="n"/>
      <c r="N31" s="314">
        <f>SUM(B31:M31)</f>
        <v/>
      </c>
    </row>
    <row r="32" ht="13" customHeight="1" s="189">
      <c r="A32" s="266" t="n"/>
      <c r="B32" s="272" t="n"/>
      <c r="C32" s="272" t="n"/>
      <c r="D32" s="272" t="n"/>
      <c r="E32" s="272" t="n"/>
      <c r="F32" s="222" t="n"/>
      <c r="G32" s="272" t="n"/>
      <c r="H32" s="272" t="n"/>
      <c r="I32" s="272" t="n"/>
      <c r="J32" s="272" t="n"/>
      <c r="K32" s="272" t="n"/>
      <c r="L32" s="272" t="n"/>
      <c r="M32" s="272" t="n"/>
      <c r="N32" s="314">
        <f>SUM(B32:M32)</f>
        <v/>
      </c>
    </row>
    <row r="33" ht="13" customHeight="1" s="189">
      <c r="A33" s="266" t="n"/>
      <c r="B33" s="272" t="n"/>
      <c r="C33" s="272" t="n"/>
      <c r="D33" s="272" t="n"/>
      <c r="E33" s="272" t="n"/>
      <c r="F33" s="222" t="n"/>
      <c r="G33" s="272" t="n"/>
      <c r="H33" s="272" t="n"/>
      <c r="I33" s="272" t="n"/>
      <c r="J33" s="272" t="n"/>
      <c r="K33" s="272" t="n"/>
      <c r="L33" s="272" t="n"/>
      <c r="M33" s="272" t="n"/>
      <c r="N33" s="314">
        <f>SUM(B33:M33)</f>
        <v/>
      </c>
    </row>
    <row r="34" ht="13" customHeight="1" s="189">
      <c r="A34" s="266" t="n"/>
      <c r="B34" s="272" t="n"/>
      <c r="C34" s="272" t="n"/>
      <c r="D34" s="272" t="n"/>
      <c r="E34" s="272" t="n"/>
      <c r="F34" s="222" t="n"/>
      <c r="G34" s="272" t="n"/>
      <c r="H34" s="272" t="n"/>
      <c r="I34" s="272" t="n"/>
      <c r="J34" s="272" t="n"/>
      <c r="K34" s="272" t="n"/>
      <c r="L34" s="272" t="n"/>
      <c r="M34" s="272" t="n"/>
      <c r="N34" s="314">
        <f>SUM(B34:M34)</f>
        <v/>
      </c>
    </row>
    <row r="35" ht="13" customHeight="1" s="189">
      <c r="A35" s="266" t="n"/>
      <c r="B35" s="272" t="n"/>
      <c r="C35" s="272" t="n"/>
      <c r="D35" s="272" t="n"/>
      <c r="E35" s="272" t="n"/>
      <c r="F35" s="222" t="n"/>
      <c r="G35" s="272" t="n"/>
      <c r="H35" s="272" t="n"/>
      <c r="I35" s="272" t="n"/>
      <c r="J35" s="272" t="n"/>
      <c r="K35" s="272" t="n"/>
      <c r="L35" s="272" t="n"/>
      <c r="M35" s="272" t="n"/>
      <c r="N35" s="314">
        <f>SUM(B35:M35)</f>
        <v/>
      </c>
    </row>
    <row r="36" ht="13" customHeight="1" s="189">
      <c r="A36" s="266" t="n"/>
      <c r="B36" s="272" t="n"/>
      <c r="C36" s="272" t="n"/>
      <c r="D36" s="272" t="n"/>
      <c r="E36" s="272" t="n"/>
      <c r="F36" s="222" t="n"/>
      <c r="G36" s="272" t="n"/>
      <c r="H36" s="272" t="n"/>
      <c r="I36" s="272" t="n"/>
      <c r="J36" s="272" t="n"/>
      <c r="K36" s="272" t="n"/>
      <c r="L36" s="272" t="n"/>
      <c r="M36" s="272" t="n"/>
      <c r="N36" s="314">
        <f>SUM(B36:M36)</f>
        <v/>
      </c>
    </row>
    <row r="37" ht="13" customHeight="1" s="189">
      <c r="A37" s="266" t="inlineStr">
        <is>
          <t>Total</t>
        </is>
      </c>
      <c r="B37" s="272">
        <f>SUM(B8:B36)</f>
        <v/>
      </c>
      <c r="C37" s="272">
        <f>SUM(C8:C36)</f>
        <v/>
      </c>
      <c r="D37" s="272">
        <f>SUM(D8:D36)</f>
        <v/>
      </c>
      <c r="E37" s="272">
        <f>SUM(E8:E36)</f>
        <v/>
      </c>
      <c r="F37" s="272">
        <f>SUM(F8:F36)</f>
        <v/>
      </c>
      <c r="G37" s="272">
        <f>SUM(G8:G36)</f>
        <v/>
      </c>
      <c r="H37" s="272">
        <f>SUM(H8:H36)</f>
        <v/>
      </c>
      <c r="I37" s="272">
        <f>SUM(I8:I36)</f>
        <v/>
      </c>
      <c r="J37" s="272">
        <f>SUM(J8:J36)</f>
        <v/>
      </c>
      <c r="K37" s="272">
        <f>SUM(K8:K36)</f>
        <v/>
      </c>
      <c r="L37" s="272">
        <f>SUM(L8:L36)</f>
        <v/>
      </c>
      <c r="M37" s="272">
        <f>SUM(M8:M36)</f>
        <v/>
      </c>
      <c r="N37" s="314">
        <f>SUM(B37:M37)</f>
        <v/>
      </c>
    </row>
    <row r="38" ht="13" customHeight="1" s="189">
      <c r="B38" s="290" t="n"/>
      <c r="C38" s="290" t="n"/>
      <c r="D38" s="291" t="n"/>
      <c r="E38" s="290" t="n"/>
      <c r="F38" s="290" t="n"/>
    </row>
    <row r="39" ht="13" customHeight="1" s="189">
      <c r="B39" s="290" t="n"/>
      <c r="C39" s="290" t="n"/>
      <c r="D39" s="291" t="n"/>
      <c r="E39" s="290" t="n"/>
      <c r="F39" s="290" t="n"/>
      <c r="N39" s="201" t="inlineStr">
        <is>
          <t>© Global Knowledge Training LLC</t>
        </is>
      </c>
    </row>
    <row r="40" ht="13" customHeight="1" s="189">
      <c r="B40" s="290" t="n"/>
      <c r="C40" s="290" t="n"/>
      <c r="D40" s="291" t="n"/>
      <c r="E40" s="290" t="n"/>
      <c r="F40" s="290" t="n"/>
    </row>
    <row r="41" ht="13" customHeight="1" s="189">
      <c r="B41" s="290" t="n"/>
      <c r="C41" s="290" t="n"/>
      <c r="D41" s="291" t="n"/>
      <c r="E41" s="290" t="n"/>
      <c r="F41" s="290" t="n"/>
    </row>
    <row r="42" ht="13" customHeight="1" s="189">
      <c r="B42" s="290" t="n"/>
      <c r="C42" s="290" t="n"/>
      <c r="D42" s="291" t="n"/>
      <c r="E42" s="290" t="n"/>
      <c r="F42" s="290" t="n"/>
    </row>
    <row r="43" ht="13" customHeight="1" s="189">
      <c r="B43" s="290" t="n"/>
      <c r="C43" s="290" t="n"/>
      <c r="D43" s="291" t="n"/>
      <c r="E43" s="290" t="n"/>
      <c r="F43" s="290" t="n"/>
    </row>
    <row r="44" ht="13" customHeight="1" s="189">
      <c r="B44" s="290" t="n"/>
      <c r="C44" s="290" t="n"/>
      <c r="D44" s="291" t="n"/>
      <c r="E44" s="290" t="n"/>
      <c r="F44" s="290" t="n"/>
    </row>
    <row r="45" ht="13" customHeight="1" s="189">
      <c r="B45" s="290" t="n"/>
      <c r="C45" s="290" t="n"/>
      <c r="D45" s="291" t="n"/>
      <c r="E45" s="290" t="n"/>
      <c r="F45" s="290" t="n"/>
    </row>
    <row r="46" ht="13" customHeight="1" s="189">
      <c r="B46" s="290" t="n"/>
      <c r="C46" s="290" t="n"/>
      <c r="D46" s="291" t="n"/>
      <c r="E46" s="290" t="n"/>
      <c r="F46" s="290" t="n"/>
    </row>
    <row r="47" ht="13" customHeight="1" s="189">
      <c r="B47" s="290" t="n"/>
      <c r="C47" s="290" t="n"/>
      <c r="D47" s="291" t="n"/>
      <c r="E47" s="290" t="n"/>
      <c r="F47" s="290" t="n"/>
    </row>
    <row r="48" ht="13" customHeight="1" s="189">
      <c r="B48" s="290" t="n"/>
      <c r="C48" s="290" t="n"/>
      <c r="D48" s="291" t="n"/>
      <c r="E48" s="290" t="n"/>
      <c r="F48" s="290" t="n"/>
    </row>
    <row r="49" ht="13" customHeight="1" s="189">
      <c r="B49" s="290" t="n"/>
      <c r="C49" s="290" t="n"/>
      <c r="D49" s="291" t="n"/>
      <c r="E49" s="290" t="n"/>
      <c r="F49" s="290" t="n"/>
    </row>
    <row r="50" ht="13" customHeight="1" s="189">
      <c r="B50" s="290" t="n"/>
      <c r="C50" s="290" t="n"/>
      <c r="D50" s="291" t="n"/>
      <c r="E50" s="290" t="n"/>
      <c r="F50" s="290" t="n"/>
    </row>
    <row r="51" ht="13" customHeight="1" s="189">
      <c r="B51" s="290" t="n"/>
      <c r="C51" s="290" t="n"/>
      <c r="D51" s="291" t="n"/>
      <c r="E51" s="290" t="n"/>
      <c r="F51" s="290" t="n"/>
    </row>
    <row r="52" ht="13" customHeight="1" s="189">
      <c r="B52" s="290" t="n"/>
      <c r="C52" s="290" t="n"/>
      <c r="D52" s="291" t="n"/>
      <c r="E52" s="290" t="n"/>
      <c r="F52" s="290" t="n"/>
    </row>
    <row r="53" ht="13" customHeight="1" s="189">
      <c r="B53" s="290" t="n"/>
      <c r="C53" s="290" t="n"/>
      <c r="D53" s="291" t="n"/>
      <c r="E53" s="290" t="n"/>
      <c r="F53" s="290" t="n"/>
    </row>
    <row r="54" ht="13" customHeight="1" s="189">
      <c r="B54" s="290" t="n"/>
      <c r="C54" s="290" t="n"/>
      <c r="D54" s="291" t="n"/>
      <c r="E54" s="290" t="n"/>
      <c r="F54" s="290" t="n"/>
    </row>
    <row r="55" ht="13" customHeight="1" s="189">
      <c r="B55" s="290" t="n"/>
      <c r="C55" s="290" t="n"/>
      <c r="D55" s="291" t="n"/>
      <c r="E55" s="290" t="n"/>
      <c r="F55" s="290" t="n"/>
    </row>
    <row r="56" ht="13" customHeight="1" s="189">
      <c r="B56" s="290" t="n"/>
      <c r="C56" s="290" t="n"/>
      <c r="D56" s="291" t="n"/>
      <c r="E56" s="290" t="n"/>
      <c r="F56" s="290" t="n"/>
    </row>
    <row r="57" ht="13" customHeight="1" s="189">
      <c r="B57" s="290" t="n"/>
      <c r="C57" s="290" t="n"/>
      <c r="D57" s="291" t="n"/>
      <c r="E57" s="290" t="n"/>
      <c r="F57" s="290" t="n"/>
    </row>
    <row r="58" ht="13" customHeight="1" s="189">
      <c r="B58" s="290" t="n"/>
      <c r="C58" s="290" t="n"/>
      <c r="D58" s="291" t="n"/>
      <c r="E58" s="290" t="n"/>
      <c r="F58" s="290" t="n"/>
    </row>
    <row r="59" ht="13" customHeight="1" s="189">
      <c r="B59" s="290" t="n"/>
      <c r="C59" s="290" t="n"/>
      <c r="D59" s="291" t="n"/>
      <c r="E59" s="290" t="n"/>
      <c r="F59" s="290" t="n"/>
    </row>
    <row r="60" ht="13" customHeight="1" s="189">
      <c r="B60" s="290" t="n"/>
      <c r="C60" s="290" t="n"/>
      <c r="D60" s="291" t="n"/>
      <c r="E60" s="290" t="n"/>
      <c r="F60" s="290" t="n"/>
    </row>
    <row r="61" ht="13" customHeight="1" s="189">
      <c r="B61" s="290" t="n"/>
      <c r="C61" s="290" t="n"/>
      <c r="D61" s="291" t="n"/>
      <c r="E61" s="290" t="n"/>
      <c r="F61" s="290" t="n"/>
    </row>
    <row r="62" ht="13" customHeight="1" s="189">
      <c r="B62" s="290" t="n"/>
      <c r="C62" s="290" t="n"/>
      <c r="D62" s="291" t="n"/>
      <c r="E62" s="290" t="n"/>
      <c r="F62" s="290" t="n"/>
    </row>
    <row r="63" ht="13" customHeight="1" s="189">
      <c r="B63" s="290" t="n"/>
      <c r="C63" s="290" t="n"/>
      <c r="D63" s="291" t="n"/>
      <c r="E63" s="290" t="n"/>
      <c r="F63" s="290" t="n"/>
    </row>
    <row r="64" ht="13" customHeight="1" s="189">
      <c r="B64" s="290" t="n"/>
      <c r="C64" s="290" t="n"/>
      <c r="D64" s="291" t="n"/>
      <c r="E64" s="290" t="n"/>
      <c r="F64" s="290" t="n"/>
    </row>
    <row r="65" ht="13" customHeight="1" s="189">
      <c r="B65" s="290" t="n"/>
      <c r="C65" s="290" t="n"/>
      <c r="D65" s="291" t="n"/>
      <c r="E65" s="290" t="n"/>
      <c r="F65" s="290" t="n"/>
    </row>
    <row r="66" ht="13" customHeight="1" s="189">
      <c r="B66" s="290" t="n"/>
      <c r="C66" s="290" t="n"/>
      <c r="D66" s="291" t="n"/>
      <c r="E66" s="290" t="n"/>
      <c r="F66" s="290" t="n"/>
    </row>
    <row r="67" ht="13" customHeight="1" s="189">
      <c r="B67" s="290" t="n"/>
      <c r="C67" s="290" t="n"/>
      <c r="D67" s="291" t="n"/>
      <c r="E67" s="290" t="n"/>
      <c r="F67" s="290" t="n"/>
    </row>
    <row r="68" ht="13" customHeight="1" s="189">
      <c r="B68" s="290" t="n"/>
      <c r="C68" s="290" t="n"/>
      <c r="D68" s="291" t="n"/>
      <c r="E68" s="290" t="n"/>
      <c r="F68" s="290" t="n"/>
    </row>
    <row r="69" ht="13" customHeight="1" s="189">
      <c r="B69" s="290" t="n"/>
      <c r="C69" s="290" t="n"/>
      <c r="D69" s="291" t="n"/>
      <c r="E69" s="290" t="n"/>
      <c r="F69" s="290" t="n"/>
    </row>
    <row r="70" ht="13" customHeight="1" s="189">
      <c r="B70" s="290" t="n"/>
      <c r="C70" s="290" t="n"/>
      <c r="D70" s="291" t="n"/>
      <c r="E70" s="290" t="n"/>
      <c r="F70" s="290" t="n"/>
    </row>
    <row r="71" ht="13" customHeight="1" s="189">
      <c r="B71" s="290" t="n"/>
      <c r="C71" s="290" t="n"/>
      <c r="D71" s="291" t="n"/>
      <c r="E71" s="290" t="n"/>
      <c r="F71" s="290" t="n"/>
    </row>
    <row r="72" ht="13" customHeight="1" s="189">
      <c r="B72" s="290" t="n"/>
      <c r="C72" s="290" t="n"/>
      <c r="D72" s="291" t="n"/>
      <c r="E72" s="290" t="n"/>
      <c r="F72" s="290" t="n"/>
    </row>
    <row r="73" ht="13" customHeight="1" s="189">
      <c r="B73" s="290" t="n"/>
      <c r="C73" s="290" t="n"/>
      <c r="D73" s="291" t="n"/>
      <c r="E73" s="290" t="n"/>
      <c r="F73" s="290" t="n"/>
    </row>
    <row r="74" ht="13" customHeight="1" s="189">
      <c r="B74" s="290" t="n"/>
      <c r="C74" s="290" t="n"/>
      <c r="D74" s="291" t="n"/>
      <c r="E74" s="290" t="n"/>
      <c r="F74" s="290" t="n"/>
    </row>
    <row r="75" ht="13" customHeight="1" s="189">
      <c r="B75" s="290" t="n"/>
      <c r="C75" s="290" t="n"/>
      <c r="D75" s="291" t="n"/>
      <c r="E75" s="290" t="n"/>
      <c r="F75" s="290" t="n"/>
    </row>
    <row r="76" ht="13" customHeight="1" s="189">
      <c r="B76" s="290" t="n"/>
      <c r="C76" s="290" t="n"/>
      <c r="D76" s="291" t="n"/>
      <c r="E76" s="290" t="n"/>
      <c r="F76" s="290" t="n"/>
    </row>
    <row r="77" ht="13" customHeight="1" s="189">
      <c r="B77" s="290" t="n"/>
      <c r="C77" s="290" t="n"/>
      <c r="D77" s="291" t="n"/>
      <c r="E77" s="290" t="n"/>
      <c r="F77" s="290" t="n"/>
    </row>
    <row r="78" ht="13" customHeight="1" s="189">
      <c r="B78" s="290" t="n"/>
      <c r="C78" s="290" t="n"/>
      <c r="D78" s="291" t="n"/>
      <c r="E78" s="290" t="n"/>
      <c r="F78" s="290" t="n"/>
    </row>
    <row r="79" ht="13" customHeight="1" s="189">
      <c r="B79" s="290" t="n"/>
      <c r="C79" s="290" t="n"/>
      <c r="D79" s="291" t="n"/>
      <c r="E79" s="290" t="n"/>
      <c r="F79" s="290" t="n"/>
    </row>
    <row r="80" ht="13" customHeight="1" s="189">
      <c r="B80" s="290" t="n"/>
      <c r="C80" s="290" t="n"/>
      <c r="D80" s="291" t="n"/>
      <c r="E80" s="290" t="n"/>
      <c r="F80" s="290" t="n"/>
    </row>
    <row r="81" ht="13" customHeight="1" s="189">
      <c r="B81" s="290" t="n"/>
      <c r="C81" s="290" t="n"/>
      <c r="D81" s="291" t="n"/>
      <c r="E81" s="290" t="n"/>
      <c r="F81" s="290" t="n"/>
    </row>
    <row r="82" ht="13" customHeight="1" s="189">
      <c r="B82" s="290" t="n"/>
      <c r="C82" s="290" t="n"/>
      <c r="D82" s="291" t="n"/>
      <c r="E82" s="290" t="n"/>
      <c r="F82" s="290" t="n"/>
    </row>
    <row r="83" ht="13" customHeight="1" s="189">
      <c r="B83" s="290" t="n"/>
      <c r="C83" s="290" t="n"/>
      <c r="D83" s="291" t="n"/>
      <c r="E83" s="290" t="n"/>
      <c r="F83" s="290" t="n"/>
    </row>
    <row r="84" ht="13" customHeight="1" s="189">
      <c r="B84" s="290" t="n"/>
      <c r="C84" s="290" t="n"/>
      <c r="D84" s="291" t="n"/>
      <c r="E84" s="290" t="n"/>
      <c r="F84" s="290" t="n"/>
    </row>
    <row r="85" ht="13" customHeight="1" s="189">
      <c r="B85" s="290" t="n"/>
      <c r="C85" s="290" t="n"/>
      <c r="D85" s="291" t="n"/>
      <c r="E85" s="290" t="n"/>
      <c r="F85" s="290" t="n"/>
    </row>
    <row r="86" ht="13" customHeight="1" s="189">
      <c r="B86" s="290" t="n"/>
      <c r="C86" s="290" t="n"/>
      <c r="D86" s="291" t="n"/>
      <c r="E86" s="290" t="n"/>
      <c r="F86" s="290" t="n"/>
    </row>
    <row r="87" ht="13" customHeight="1" s="189">
      <c r="B87" s="290" t="n"/>
      <c r="C87" s="290" t="n"/>
      <c r="D87" s="291" t="n"/>
      <c r="E87" s="290" t="n"/>
      <c r="F87" s="290" t="n"/>
    </row>
    <row r="88" ht="13" customHeight="1" s="189">
      <c r="B88" s="290" t="n"/>
      <c r="C88" s="290" t="n"/>
      <c r="D88" s="291" t="n"/>
      <c r="E88" s="290" t="n"/>
      <c r="F88" s="290" t="n"/>
    </row>
    <row r="89" ht="13" customHeight="1" s="189">
      <c r="B89" s="290" t="n"/>
      <c r="C89" s="290" t="n"/>
      <c r="D89" s="291" t="n"/>
      <c r="E89" s="290" t="n"/>
      <c r="F89" s="290" t="n"/>
    </row>
    <row r="90" ht="13" customHeight="1" s="189">
      <c r="B90" s="290" t="n"/>
      <c r="C90" s="290" t="n"/>
      <c r="D90" s="291" t="n"/>
      <c r="E90" s="290" t="n"/>
      <c r="F90" s="290" t="n"/>
    </row>
    <row r="91" ht="13" customHeight="1" s="189">
      <c r="B91" s="290" t="n"/>
      <c r="C91" s="290" t="n"/>
      <c r="D91" s="291" t="n"/>
      <c r="E91" s="290" t="n"/>
      <c r="F91" s="290" t="n"/>
    </row>
    <row r="92" ht="13" customHeight="1" s="189">
      <c r="B92" s="290" t="n"/>
      <c r="C92" s="290" t="n"/>
      <c r="D92" s="291" t="n"/>
      <c r="E92" s="290" t="n"/>
      <c r="F92" s="290" t="n"/>
    </row>
    <row r="93" ht="13" customHeight="1" s="189">
      <c r="B93" s="290" t="n"/>
      <c r="C93" s="290" t="n"/>
      <c r="D93" s="291" t="n"/>
      <c r="E93" s="290" t="n"/>
      <c r="F93" s="290" t="n"/>
    </row>
    <row r="94" ht="13" customHeight="1" s="189">
      <c r="B94" s="290" t="n"/>
      <c r="C94" s="290" t="n"/>
      <c r="D94" s="291" t="n"/>
      <c r="E94" s="290" t="n"/>
      <c r="F94" s="290" t="n"/>
    </row>
    <row r="95" ht="13" customHeight="1" s="189">
      <c r="B95" s="290" t="n"/>
      <c r="C95" s="290" t="n"/>
      <c r="D95" s="291" t="n"/>
      <c r="E95" s="290" t="n"/>
      <c r="F95" s="290" t="n"/>
    </row>
    <row r="96" ht="13" customHeight="1" s="189">
      <c r="B96" s="290" t="n"/>
      <c r="C96" s="290" t="n"/>
      <c r="D96" s="291" t="n"/>
      <c r="E96" s="290" t="n"/>
      <c r="F96" s="290" t="n"/>
    </row>
    <row r="97" ht="13" customHeight="1" s="189">
      <c r="B97" s="290" t="n"/>
      <c r="C97" s="290" t="n"/>
      <c r="D97" s="291" t="n"/>
      <c r="E97" s="290" t="n"/>
      <c r="F97" s="290" t="n"/>
    </row>
    <row r="98" ht="13" customHeight="1" s="189">
      <c r="B98" s="290" t="n"/>
      <c r="C98" s="290" t="n"/>
      <c r="D98" s="291" t="n"/>
      <c r="E98" s="290" t="n"/>
      <c r="F98" s="290" t="n"/>
    </row>
    <row r="99" ht="13" customHeight="1" s="189">
      <c r="B99" s="290" t="n"/>
      <c r="C99" s="290" t="n"/>
      <c r="D99" s="291" t="n"/>
      <c r="E99" s="290" t="n"/>
      <c r="F99" s="290" t="n"/>
    </row>
    <row r="100" ht="13" customHeight="1" s="189">
      <c r="B100" s="290" t="n"/>
      <c r="C100" s="290" t="n"/>
      <c r="D100" s="291" t="n"/>
      <c r="E100" s="290" t="n"/>
      <c r="F100" s="290" t="n"/>
    </row>
    <row r="101" ht="13" customHeight="1" s="189">
      <c r="B101" s="290" t="n"/>
      <c r="C101" s="290" t="n"/>
      <c r="D101" s="291" t="n"/>
      <c r="E101" s="290" t="n"/>
      <c r="F101" s="290" t="n"/>
    </row>
    <row r="102" ht="13" customHeight="1" s="189">
      <c r="B102" s="290" t="n"/>
      <c r="C102" s="290" t="n"/>
      <c r="D102" s="291" t="n"/>
      <c r="E102" s="290" t="n"/>
      <c r="F102" s="290" t="n"/>
    </row>
    <row r="103" ht="13" customHeight="1" s="189">
      <c r="B103" s="290" t="n"/>
      <c r="C103" s="290" t="n"/>
      <c r="D103" s="291" t="n"/>
      <c r="E103" s="290" t="n"/>
      <c r="F103" s="290" t="n"/>
    </row>
    <row r="104" ht="13" customHeight="1" s="189">
      <c r="B104" s="290" t="n"/>
      <c r="C104" s="290" t="n"/>
      <c r="D104" s="291" t="n"/>
      <c r="E104" s="290" t="n"/>
      <c r="F104" s="290" t="n"/>
    </row>
    <row r="105" ht="13" customHeight="1" s="189">
      <c r="B105" s="290" t="n"/>
      <c r="C105" s="290" t="n"/>
      <c r="D105" s="291" t="n"/>
      <c r="E105" s="290" t="n"/>
      <c r="F105" s="290" t="n"/>
    </row>
    <row r="106" ht="13" customHeight="1" s="189">
      <c r="B106" s="290" t="n"/>
      <c r="C106" s="290" t="n"/>
      <c r="D106" s="291" t="n"/>
      <c r="E106" s="290" t="n"/>
      <c r="F106" s="290" t="n"/>
    </row>
    <row r="107" ht="13" customHeight="1" s="189">
      <c r="B107" s="290" t="n"/>
      <c r="C107" s="290" t="n"/>
      <c r="D107" s="291" t="n"/>
      <c r="E107" s="290" t="n"/>
      <c r="F107" s="290" t="n"/>
    </row>
    <row r="108" ht="13" customHeight="1" s="189">
      <c r="B108" s="290" t="n"/>
      <c r="C108" s="290" t="n"/>
      <c r="D108" s="291" t="n"/>
      <c r="E108" s="290" t="n"/>
      <c r="F108" s="290" t="n"/>
    </row>
    <row r="109" ht="13" customHeight="1" s="189">
      <c r="B109" s="290" t="n"/>
      <c r="C109" s="290" t="n"/>
      <c r="D109" s="291" t="n"/>
      <c r="E109" s="290" t="n"/>
      <c r="F109" s="290" t="n"/>
    </row>
    <row r="110" ht="13" customHeight="1" s="189">
      <c r="B110" s="290" t="n"/>
      <c r="C110" s="290" t="n"/>
      <c r="D110" s="291" t="n"/>
      <c r="E110" s="290" t="n"/>
      <c r="F110" s="290" t="n"/>
    </row>
    <row r="111" ht="13" customHeight="1" s="189">
      <c r="B111" s="290" t="n"/>
      <c r="C111" s="290" t="n"/>
      <c r="D111" s="291" t="n"/>
      <c r="E111" s="290" t="n"/>
      <c r="F111" s="290" t="n"/>
    </row>
    <row r="112" ht="13" customHeight="1" s="189">
      <c r="B112" s="290" t="n"/>
      <c r="C112" s="290" t="n"/>
      <c r="D112" s="291" t="n"/>
      <c r="E112" s="290" t="n"/>
      <c r="F112" s="290" t="n"/>
    </row>
    <row r="113" ht="13" customHeight="1" s="189">
      <c r="B113" s="290" t="n"/>
      <c r="C113" s="290" t="n"/>
      <c r="D113" s="291" t="n"/>
      <c r="E113" s="290" t="n"/>
      <c r="F113" s="290" t="n"/>
    </row>
    <row r="114" ht="13" customHeight="1" s="189">
      <c r="B114" s="290" t="n"/>
      <c r="C114" s="290" t="n"/>
      <c r="D114" s="291" t="n"/>
      <c r="E114" s="290" t="n"/>
      <c r="F114" s="290" t="n"/>
    </row>
    <row r="115" ht="13" customHeight="1" s="189">
      <c r="B115" s="290" t="n"/>
      <c r="C115" s="290" t="n"/>
      <c r="D115" s="291" t="n"/>
      <c r="E115" s="290" t="n"/>
      <c r="F115" s="290" t="n"/>
    </row>
    <row r="116" ht="13" customHeight="1" s="189">
      <c r="B116" s="290" t="n"/>
      <c r="C116" s="290" t="n"/>
      <c r="D116" s="291" t="n"/>
      <c r="E116" s="290" t="n"/>
      <c r="F116" s="290" t="n"/>
    </row>
    <row r="117" ht="13" customHeight="1" s="189">
      <c r="B117" s="290" t="n"/>
      <c r="C117" s="290" t="n"/>
      <c r="D117" s="291" t="n"/>
      <c r="E117" s="290" t="n"/>
      <c r="F117" s="290" t="n"/>
    </row>
    <row r="118" ht="13" customHeight="1" s="189">
      <c r="B118" s="290" t="n"/>
      <c r="C118" s="290" t="n"/>
      <c r="D118" s="291" t="n"/>
      <c r="E118" s="290" t="n"/>
      <c r="F118" s="290" t="n"/>
    </row>
    <row r="119" ht="13" customHeight="1" s="189">
      <c r="B119" s="290" t="n"/>
      <c r="C119" s="290" t="n"/>
      <c r="D119" s="291" t="n"/>
      <c r="E119" s="290" t="n"/>
      <c r="F119" s="290" t="n"/>
    </row>
    <row r="120" ht="13" customHeight="1" s="189">
      <c r="B120" s="290" t="n"/>
      <c r="C120" s="290" t="n"/>
      <c r="D120" s="291" t="n"/>
      <c r="E120" s="290" t="n"/>
      <c r="F120" s="290" t="n"/>
    </row>
    <row r="121" ht="13" customHeight="1" s="189">
      <c r="B121" s="290" t="n"/>
      <c r="C121" s="290" t="n"/>
      <c r="D121" s="291" t="n"/>
      <c r="E121" s="290" t="n"/>
      <c r="F121" s="290" t="n"/>
    </row>
    <row r="122" ht="13" customHeight="1" s="189">
      <c r="B122" s="290" t="n"/>
      <c r="C122" s="290" t="n"/>
      <c r="D122" s="291" t="n"/>
      <c r="E122" s="290" t="n"/>
      <c r="F122" s="290" t="n"/>
    </row>
    <row r="123" ht="13" customHeight="1" s="189">
      <c r="B123" s="290" t="n"/>
      <c r="C123" s="290" t="n"/>
      <c r="D123" s="291" t="n"/>
      <c r="E123" s="290" t="n"/>
      <c r="F123" s="290" t="n"/>
    </row>
    <row r="124" ht="13" customHeight="1" s="189">
      <c r="B124" s="290" t="n"/>
      <c r="C124" s="290" t="n"/>
      <c r="D124" s="291" t="n"/>
      <c r="E124" s="290" t="n"/>
      <c r="F124" s="290" t="n"/>
    </row>
    <row r="125" ht="13" customHeight="1" s="189">
      <c r="B125" s="290" t="n"/>
      <c r="C125" s="290" t="n"/>
      <c r="D125" s="291" t="n"/>
      <c r="E125" s="290" t="n"/>
      <c r="F125" s="290" t="n"/>
    </row>
    <row r="126" ht="13" customHeight="1" s="189">
      <c r="B126" s="290" t="n"/>
      <c r="C126" s="290" t="n"/>
      <c r="D126" s="291" t="n"/>
      <c r="E126" s="290" t="n"/>
      <c r="F126" s="290" t="n"/>
    </row>
    <row r="127" ht="13" customHeight="1" s="189">
      <c r="B127" s="290" t="n"/>
      <c r="C127" s="290" t="n"/>
      <c r="D127" s="291" t="n"/>
      <c r="E127" s="290" t="n"/>
      <c r="F127" s="290" t="n"/>
    </row>
    <row r="128" ht="13" customHeight="1" s="189">
      <c r="B128" s="290" t="n"/>
      <c r="C128" s="290" t="n"/>
      <c r="D128" s="291" t="n"/>
      <c r="E128" s="290" t="n"/>
      <c r="F128" s="290" t="n"/>
    </row>
    <row r="129" ht="13" customHeight="1" s="189">
      <c r="B129" s="290" t="n"/>
      <c r="C129" s="290" t="n"/>
      <c r="D129" s="291" t="n"/>
      <c r="E129" s="290" t="n"/>
      <c r="F129" s="290" t="n"/>
    </row>
    <row r="130" ht="13" customHeight="1" s="189">
      <c r="B130" s="290" t="n"/>
      <c r="C130" s="290" t="n"/>
      <c r="D130" s="291" t="n"/>
      <c r="E130" s="290" t="n"/>
      <c r="F130" s="290" t="n"/>
    </row>
    <row r="131" ht="13" customHeight="1" s="189">
      <c r="B131" s="290" t="n"/>
      <c r="C131" s="290" t="n"/>
      <c r="D131" s="291" t="n"/>
      <c r="E131" s="290" t="n"/>
      <c r="F131" s="290" t="n"/>
    </row>
    <row r="132" ht="13" customHeight="1" s="189">
      <c r="B132" s="290" t="n"/>
      <c r="C132" s="290" t="n"/>
      <c r="D132" s="291" t="n"/>
      <c r="E132" s="290" t="n"/>
      <c r="F132" s="290" t="n"/>
    </row>
    <row r="133" ht="13" customHeight="1" s="189">
      <c r="B133" s="290" t="n"/>
      <c r="C133" s="290" t="n"/>
      <c r="D133" s="291" t="n"/>
      <c r="E133" s="290" t="n"/>
      <c r="F133" s="290" t="n"/>
    </row>
    <row r="134" ht="13" customHeight="1" s="189">
      <c r="B134" s="290" t="n"/>
      <c r="C134" s="290" t="n"/>
      <c r="D134" s="291" t="n"/>
      <c r="E134" s="290" t="n"/>
      <c r="F134" s="290" t="n"/>
    </row>
    <row r="135" ht="13" customHeight="1" s="189">
      <c r="B135" s="290" t="n"/>
      <c r="C135" s="290" t="n"/>
      <c r="D135" s="291" t="n"/>
      <c r="E135" s="290" t="n"/>
      <c r="F135" s="290" t="n"/>
    </row>
    <row r="136" ht="13" customHeight="1" s="189">
      <c r="B136" s="290" t="n"/>
      <c r="C136" s="290" t="n"/>
      <c r="D136" s="291" t="n"/>
      <c r="E136" s="290" t="n"/>
      <c r="F136" s="290" t="n"/>
    </row>
    <row r="137" ht="13" customHeight="1" s="189">
      <c r="B137" s="290" t="n"/>
      <c r="C137" s="290" t="n"/>
      <c r="D137" s="291" t="n"/>
      <c r="E137" s="290" t="n"/>
      <c r="F137" s="290" t="n"/>
    </row>
    <row r="138" ht="13" customHeight="1" s="189">
      <c r="B138" s="290" t="n"/>
      <c r="C138" s="290" t="n"/>
      <c r="D138" s="291" t="n"/>
      <c r="E138" s="290" t="n"/>
      <c r="F138" s="290" t="n"/>
    </row>
    <row r="139" ht="13" customHeight="1" s="189">
      <c r="B139" s="290" t="n"/>
      <c r="C139" s="290" t="n"/>
      <c r="D139" s="291" t="n"/>
      <c r="E139" s="290" t="n"/>
      <c r="F139" s="290" t="n"/>
    </row>
    <row r="140" ht="13" customHeight="1" s="189">
      <c r="B140" s="290" t="n"/>
      <c r="C140" s="290" t="n"/>
      <c r="D140" s="291" t="n"/>
      <c r="E140" s="290" t="n"/>
      <c r="F140" s="290" t="n"/>
    </row>
    <row r="141" ht="13" customHeight="1" s="189">
      <c r="B141" s="290" t="n"/>
      <c r="C141" s="290" t="n"/>
      <c r="D141" s="291" t="n"/>
      <c r="E141" s="290" t="n"/>
      <c r="F141" s="290" t="n"/>
    </row>
    <row r="142" ht="13" customHeight="1" s="189">
      <c r="B142" s="290" t="n"/>
      <c r="C142" s="290" t="n"/>
      <c r="D142" s="291" t="n"/>
      <c r="E142" s="290" t="n"/>
      <c r="F142" s="290" t="n"/>
    </row>
    <row r="143" ht="13" customHeight="1" s="189">
      <c r="B143" s="290" t="n"/>
      <c r="C143" s="290" t="n"/>
      <c r="D143" s="291" t="n"/>
      <c r="E143" s="290" t="n"/>
      <c r="F143" s="290" t="n"/>
    </row>
    <row r="144" ht="13" customHeight="1" s="189">
      <c r="B144" s="290" t="n"/>
      <c r="C144" s="290" t="n"/>
      <c r="D144" s="291" t="n"/>
      <c r="E144" s="290" t="n"/>
      <c r="F144" s="290" t="n"/>
    </row>
    <row r="145" ht="13" customHeight="1" s="189">
      <c r="B145" s="290" t="n"/>
      <c r="C145" s="290" t="n"/>
      <c r="D145" s="291" t="n"/>
      <c r="E145" s="290" t="n"/>
      <c r="F145" s="290" t="n"/>
    </row>
    <row r="146" ht="13" customHeight="1" s="189">
      <c r="B146" s="290" t="n"/>
      <c r="C146" s="290" t="n"/>
      <c r="D146" s="291" t="n"/>
      <c r="E146" s="290" t="n"/>
      <c r="F146" s="290" t="n"/>
    </row>
    <row r="147" ht="13" customHeight="1" s="189">
      <c r="B147" s="290" t="n"/>
      <c r="C147" s="290" t="n"/>
      <c r="D147" s="291" t="n"/>
      <c r="E147" s="290" t="n"/>
      <c r="F147" s="290" t="n"/>
    </row>
    <row r="148" ht="13" customHeight="1" s="189">
      <c r="B148" s="290" t="n"/>
      <c r="C148" s="290" t="n"/>
      <c r="D148" s="291" t="n"/>
      <c r="E148" s="290" t="n"/>
      <c r="F148" s="290" t="n"/>
    </row>
    <row r="149" ht="13" customHeight="1" s="189">
      <c r="B149" s="290" t="n"/>
      <c r="C149" s="290" t="n"/>
      <c r="D149" s="291" t="n"/>
      <c r="E149" s="290" t="n"/>
      <c r="F149" s="290" t="n"/>
    </row>
    <row r="150" ht="13" customHeight="1" s="189">
      <c r="B150" s="290" t="n"/>
      <c r="C150" s="290" t="n"/>
      <c r="D150" s="291" t="n"/>
      <c r="E150" s="290" t="n"/>
      <c r="F150" s="290" t="n"/>
    </row>
    <row r="151" ht="13" customHeight="1" s="189">
      <c r="B151" s="290" t="n"/>
      <c r="C151" s="290" t="n"/>
      <c r="D151" s="291" t="n"/>
      <c r="E151" s="290" t="n"/>
      <c r="F151" s="290" t="n"/>
    </row>
    <row r="152" ht="13" customHeight="1" s="189">
      <c r="B152" s="290" t="n"/>
      <c r="C152" s="290" t="n"/>
      <c r="D152" s="291" t="n"/>
      <c r="E152" s="290" t="n"/>
      <c r="F152" s="290" t="n"/>
    </row>
    <row r="153" ht="13" customHeight="1" s="189">
      <c r="B153" s="290" t="n"/>
      <c r="C153" s="290" t="n"/>
      <c r="D153" s="291" t="n"/>
      <c r="E153" s="290" t="n"/>
      <c r="F153" s="290" t="n"/>
    </row>
    <row r="154" ht="13" customHeight="1" s="189">
      <c r="B154" s="290" t="n"/>
      <c r="C154" s="290" t="n"/>
      <c r="D154" s="291" t="n"/>
      <c r="E154" s="290" t="n"/>
      <c r="F154" s="290" t="n"/>
    </row>
    <row r="155" ht="13" customHeight="1" s="189">
      <c r="B155" s="290" t="n"/>
      <c r="C155" s="290" t="n"/>
      <c r="D155" s="291" t="n"/>
      <c r="E155" s="290" t="n"/>
      <c r="F155" s="290" t="n"/>
    </row>
    <row r="156" ht="13" customHeight="1" s="189">
      <c r="B156" s="290" t="n"/>
      <c r="C156" s="290" t="n"/>
      <c r="D156" s="291" t="n"/>
      <c r="E156" s="290" t="n"/>
      <c r="F156" s="290" t="n"/>
    </row>
    <row r="157" ht="13" customHeight="1" s="189">
      <c r="B157" s="290" t="n"/>
      <c r="C157" s="290" t="n"/>
      <c r="D157" s="291" t="n"/>
      <c r="E157" s="290" t="n"/>
      <c r="F157" s="290" t="n"/>
    </row>
    <row r="158" ht="13" customHeight="1" s="189">
      <c r="B158" s="290" t="n"/>
      <c r="C158" s="290" t="n"/>
      <c r="D158" s="291" t="n"/>
      <c r="E158" s="290" t="n"/>
      <c r="F158" s="290" t="n"/>
    </row>
    <row r="159" ht="13" customHeight="1" s="189">
      <c r="B159" s="290" t="n"/>
      <c r="C159" s="290" t="n"/>
      <c r="D159" s="291" t="n"/>
      <c r="E159" s="290" t="n"/>
      <c r="F159" s="290" t="n"/>
    </row>
    <row r="160" ht="13" customHeight="1" s="189">
      <c r="B160" s="290" t="n"/>
      <c r="C160" s="290" t="n"/>
      <c r="D160" s="291" t="n"/>
      <c r="E160" s="290" t="n"/>
      <c r="F160" s="290" t="n"/>
    </row>
    <row r="161" ht="13" customHeight="1" s="189">
      <c r="B161" s="290" t="n"/>
      <c r="C161" s="290" t="n"/>
      <c r="D161" s="291" t="n"/>
      <c r="E161" s="290" t="n"/>
      <c r="F161" s="290" t="n"/>
    </row>
    <row r="162" ht="13" customHeight="1" s="189">
      <c r="B162" s="290" t="n"/>
      <c r="C162" s="290" t="n"/>
      <c r="D162" s="291" t="n"/>
      <c r="E162" s="290" t="n"/>
      <c r="F162" s="290" t="n"/>
    </row>
    <row r="163" ht="13" customHeight="1" s="189">
      <c r="B163" s="290" t="n"/>
      <c r="C163" s="290" t="n"/>
      <c r="D163" s="291" t="n"/>
      <c r="E163" s="290" t="n"/>
      <c r="F163" s="290" t="n"/>
    </row>
    <row r="164" ht="13" customHeight="1" s="189">
      <c r="B164" s="290" t="n"/>
      <c r="C164" s="290" t="n"/>
      <c r="D164" s="291" t="n"/>
      <c r="E164" s="290" t="n"/>
      <c r="F164" s="290" t="n"/>
    </row>
    <row r="165" ht="13" customHeight="1" s="189">
      <c r="B165" s="290" t="n"/>
      <c r="C165" s="290" t="n"/>
      <c r="D165" s="291" t="n"/>
      <c r="E165" s="290" t="n"/>
      <c r="F165" s="290" t="n"/>
    </row>
    <row r="166" ht="13" customHeight="1" s="189">
      <c r="B166" s="290" t="n"/>
      <c r="C166" s="290" t="n"/>
      <c r="D166" s="291" t="n"/>
      <c r="E166" s="290" t="n"/>
      <c r="F166" s="290" t="n"/>
    </row>
    <row r="167" ht="13" customHeight="1" s="189">
      <c r="B167" s="290" t="n"/>
      <c r="C167" s="290" t="n"/>
      <c r="D167" s="291" t="n"/>
      <c r="E167" s="290" t="n"/>
      <c r="F167" s="290" t="n"/>
    </row>
    <row r="168" ht="13" customHeight="1" s="189">
      <c r="B168" s="290" t="n"/>
      <c r="C168" s="290" t="n"/>
      <c r="D168" s="291" t="n"/>
      <c r="E168" s="290" t="n"/>
      <c r="F168" s="290" t="n"/>
    </row>
    <row r="169" ht="13" customHeight="1" s="189">
      <c r="B169" s="290" t="n"/>
      <c r="C169" s="290" t="n"/>
      <c r="D169" s="291" t="n"/>
      <c r="E169" s="290" t="n"/>
      <c r="F169" s="290" t="n"/>
    </row>
    <row r="170" ht="13" customHeight="1" s="189">
      <c r="B170" s="290" t="n"/>
      <c r="C170" s="290" t="n"/>
      <c r="D170" s="291" t="n"/>
      <c r="E170" s="290" t="n"/>
      <c r="F170" s="290" t="n"/>
    </row>
    <row r="171" ht="13" customHeight="1" s="189">
      <c r="B171" s="290" t="n"/>
      <c r="C171" s="290" t="n"/>
      <c r="D171" s="291" t="n"/>
      <c r="E171" s="290" t="n"/>
      <c r="F171" s="290" t="n"/>
    </row>
    <row r="172" ht="13" customHeight="1" s="189">
      <c r="B172" s="290" t="n"/>
      <c r="C172" s="290" t="n"/>
      <c r="D172" s="291" t="n"/>
      <c r="E172" s="290" t="n"/>
      <c r="F172" s="290" t="n"/>
    </row>
    <row r="173" ht="13" customHeight="1" s="189">
      <c r="B173" s="290" t="n"/>
      <c r="C173" s="290" t="n"/>
      <c r="D173" s="291" t="n"/>
      <c r="E173" s="290" t="n"/>
      <c r="F173" s="290" t="n"/>
    </row>
    <row r="174" ht="13" customHeight="1" s="189">
      <c r="B174" s="290" t="n"/>
      <c r="C174" s="290" t="n"/>
      <c r="D174" s="291" t="n"/>
      <c r="E174" s="290" t="n"/>
      <c r="F174" s="290" t="n"/>
    </row>
    <row r="175" ht="13" customHeight="1" s="189">
      <c r="B175" s="290" t="n"/>
      <c r="C175" s="290" t="n"/>
      <c r="D175" s="291" t="n"/>
      <c r="E175" s="290" t="n"/>
      <c r="F175" s="290" t="n"/>
    </row>
    <row r="176" ht="13" customHeight="1" s="189">
      <c r="B176" s="290" t="n"/>
      <c r="C176" s="290" t="n"/>
      <c r="D176" s="291" t="n"/>
      <c r="E176" s="290" t="n"/>
      <c r="F176" s="290" t="n"/>
    </row>
    <row r="177" ht="13" customHeight="1" s="189">
      <c r="B177" s="290" t="n"/>
      <c r="C177" s="290" t="n"/>
      <c r="D177" s="291" t="n"/>
      <c r="E177" s="290" t="n"/>
      <c r="F177" s="290" t="n"/>
    </row>
    <row r="178" ht="13" customHeight="1" s="189">
      <c r="B178" s="290" t="n"/>
      <c r="C178" s="290" t="n"/>
      <c r="D178" s="291" t="n"/>
      <c r="E178" s="290" t="n"/>
      <c r="F178" s="290" t="n"/>
    </row>
    <row r="179" ht="13" customHeight="1" s="189">
      <c r="B179" s="290" t="n"/>
      <c r="C179" s="290" t="n"/>
      <c r="D179" s="291" t="n"/>
      <c r="E179" s="290" t="n"/>
      <c r="F179" s="290" t="n"/>
    </row>
    <row r="180" ht="13" customHeight="1" s="189">
      <c r="B180" s="290" t="n"/>
      <c r="C180" s="290" t="n"/>
      <c r="D180" s="291" t="n"/>
      <c r="E180" s="290" t="n"/>
      <c r="F180" s="290" t="n"/>
    </row>
    <row r="181" ht="13" customHeight="1" s="189">
      <c r="B181" s="290" t="n"/>
      <c r="C181" s="290" t="n"/>
      <c r="D181" s="291" t="n"/>
      <c r="E181" s="290" t="n"/>
      <c r="F181" s="290" t="n"/>
    </row>
    <row r="182" ht="13" customHeight="1" s="189">
      <c r="B182" s="290" t="n"/>
      <c r="C182" s="290" t="n"/>
      <c r="D182" s="291" t="n"/>
      <c r="E182" s="290" t="n"/>
      <c r="F182" s="290" t="n"/>
    </row>
    <row r="183" ht="13" customHeight="1" s="189">
      <c r="B183" s="290" t="n"/>
      <c r="C183" s="290" t="n"/>
      <c r="D183" s="291" t="n"/>
      <c r="E183" s="290" t="n"/>
      <c r="F183" s="290" t="n"/>
    </row>
    <row r="184" ht="13" customHeight="1" s="189">
      <c r="B184" s="290" t="n"/>
      <c r="C184" s="290" t="n"/>
      <c r="D184" s="291" t="n"/>
      <c r="E184" s="290" t="n"/>
      <c r="F184" s="290" t="n"/>
    </row>
    <row r="185" ht="13" customHeight="1" s="189">
      <c r="B185" s="290" t="n"/>
      <c r="C185" s="290" t="n"/>
      <c r="D185" s="291" t="n"/>
      <c r="E185" s="290" t="n"/>
      <c r="F185" s="290" t="n"/>
    </row>
    <row r="186" ht="13" customHeight="1" s="189">
      <c r="B186" s="290" t="n"/>
      <c r="C186" s="290" t="n"/>
      <c r="D186" s="291" t="n"/>
      <c r="E186" s="290" t="n"/>
      <c r="F186" s="290" t="n"/>
    </row>
    <row r="187" ht="13" customHeight="1" s="189">
      <c r="B187" s="290" t="n"/>
      <c r="C187" s="290" t="n"/>
      <c r="D187" s="291" t="n"/>
      <c r="E187" s="290" t="n"/>
      <c r="F187" s="290" t="n"/>
    </row>
    <row r="188" ht="13" customHeight="1" s="189">
      <c r="B188" s="290" t="n"/>
      <c r="C188" s="290" t="n"/>
      <c r="D188" s="291" t="n"/>
      <c r="E188" s="290" t="n"/>
      <c r="F188" s="290" t="n"/>
    </row>
    <row r="189" ht="13" customHeight="1" s="189">
      <c r="B189" s="290" t="n"/>
      <c r="C189" s="290" t="n"/>
      <c r="D189" s="291" t="n"/>
      <c r="E189" s="290" t="n"/>
      <c r="F189" s="290" t="n"/>
    </row>
    <row r="190" ht="13" customHeight="1" s="189">
      <c r="B190" s="290" t="n"/>
      <c r="C190" s="290" t="n"/>
      <c r="D190" s="291" t="n"/>
      <c r="E190" s="290" t="n"/>
      <c r="F190" s="290" t="n"/>
    </row>
    <row r="191" ht="13" customHeight="1" s="189">
      <c r="B191" s="290" t="n"/>
      <c r="C191" s="290" t="n"/>
      <c r="D191" s="291" t="n"/>
      <c r="E191" s="290" t="n"/>
      <c r="F191" s="290" t="n"/>
    </row>
    <row r="192" ht="13" customHeight="1" s="189">
      <c r="B192" s="290" t="n"/>
      <c r="C192" s="290" t="n"/>
      <c r="D192" s="291" t="n"/>
      <c r="E192" s="290" t="n"/>
      <c r="F192" s="290" t="n"/>
    </row>
    <row r="193" ht="13" customHeight="1" s="189">
      <c r="B193" s="290" t="n"/>
      <c r="C193" s="290" t="n"/>
      <c r="D193" s="291" t="n"/>
      <c r="E193" s="290" t="n"/>
      <c r="F193" s="290" t="n"/>
    </row>
    <row r="194" ht="13" customHeight="1" s="189">
      <c r="B194" s="290" t="n"/>
      <c r="C194" s="290" t="n"/>
      <c r="D194" s="291" t="n"/>
      <c r="E194" s="290" t="n"/>
      <c r="F194" s="290" t="n"/>
    </row>
    <row r="195" ht="13" customHeight="1" s="189">
      <c r="B195" s="290" t="n"/>
      <c r="C195" s="290" t="n"/>
      <c r="D195" s="291" t="n"/>
      <c r="E195" s="290" t="n"/>
      <c r="F195" s="290" t="n"/>
    </row>
    <row r="196" ht="13" customHeight="1" s="189">
      <c r="B196" s="290" t="n"/>
      <c r="C196" s="290" t="n"/>
      <c r="D196" s="291" t="n"/>
      <c r="E196" s="290" t="n"/>
      <c r="F196" s="290" t="n"/>
    </row>
    <row r="197" ht="13" customHeight="1" s="189">
      <c r="B197" s="290" t="n"/>
      <c r="C197" s="290" t="n"/>
      <c r="D197" s="291" t="n"/>
      <c r="E197" s="290" t="n"/>
      <c r="F197" s="290" t="n"/>
    </row>
    <row r="198" ht="13" customHeight="1" s="189">
      <c r="B198" s="290" t="n"/>
      <c r="C198" s="290" t="n"/>
      <c r="D198" s="291" t="n"/>
      <c r="E198" s="290" t="n"/>
      <c r="F198" s="290" t="n"/>
    </row>
    <row r="199" ht="13" customHeight="1" s="189">
      <c r="B199" s="290" t="n"/>
      <c r="C199" s="290" t="n"/>
      <c r="D199" s="291" t="n"/>
      <c r="E199" s="290" t="n"/>
      <c r="F199" s="290" t="n"/>
    </row>
    <row r="200" ht="13" customHeight="1" s="189">
      <c r="B200" s="290" t="n"/>
      <c r="C200" s="290" t="n"/>
      <c r="D200" s="291" t="n"/>
      <c r="E200" s="290" t="n"/>
      <c r="F200" s="290" t="n"/>
    </row>
    <row r="201" ht="13" customHeight="1" s="189">
      <c r="B201" s="290" t="n"/>
      <c r="C201" s="290" t="n"/>
      <c r="D201" s="291" t="n"/>
      <c r="E201" s="290" t="n"/>
      <c r="F201" s="290" t="n"/>
    </row>
    <row r="202" ht="13" customHeight="1" s="189">
      <c r="B202" s="290" t="n"/>
      <c r="C202" s="290" t="n"/>
      <c r="D202" s="291" t="n"/>
      <c r="E202" s="290" t="n"/>
      <c r="F202" s="290" t="n"/>
    </row>
    <row r="203" ht="13" customHeight="1" s="189">
      <c r="B203" s="290" t="n"/>
      <c r="C203" s="290" t="n"/>
      <c r="D203" s="291" t="n"/>
      <c r="E203" s="290" t="n"/>
      <c r="F203" s="290" t="n"/>
    </row>
    <row r="204" ht="13" customHeight="1" s="189">
      <c r="B204" s="290" t="n"/>
      <c r="C204" s="290" t="n"/>
      <c r="D204" s="291" t="n"/>
      <c r="E204" s="290" t="n"/>
      <c r="F204" s="290" t="n"/>
    </row>
    <row r="205" ht="13" customHeight="1" s="189">
      <c r="B205" s="290" t="n"/>
      <c r="C205" s="290" t="n"/>
      <c r="D205" s="291" t="n"/>
      <c r="E205" s="290" t="n"/>
      <c r="F205" s="290" t="n"/>
    </row>
    <row r="206" ht="13" customHeight="1" s="189">
      <c r="B206" s="290" t="n"/>
      <c r="C206" s="290" t="n"/>
      <c r="D206" s="291" t="n"/>
      <c r="E206" s="290" t="n"/>
      <c r="F206" s="290" t="n"/>
    </row>
    <row r="207" ht="13" customHeight="1" s="189">
      <c r="B207" s="290" t="n"/>
      <c r="C207" s="290" t="n"/>
      <c r="D207" s="291" t="n"/>
      <c r="E207" s="290" t="n"/>
      <c r="F207" s="290" t="n"/>
    </row>
    <row r="208" ht="13" customHeight="1" s="189">
      <c r="B208" s="290" t="n"/>
      <c r="C208" s="290" t="n"/>
      <c r="D208" s="291" t="n"/>
      <c r="E208" s="290" t="n"/>
      <c r="F208" s="290" t="n"/>
    </row>
    <row r="209" ht="13" customHeight="1" s="189">
      <c r="B209" s="290" t="n"/>
      <c r="C209" s="290" t="n"/>
      <c r="D209" s="291" t="n"/>
      <c r="E209" s="290" t="n"/>
      <c r="F209" s="290" t="n"/>
    </row>
    <row r="210" ht="13" customHeight="1" s="189">
      <c r="B210" s="290" t="n"/>
      <c r="C210" s="290" t="n"/>
      <c r="D210" s="291" t="n"/>
      <c r="E210" s="290" t="n"/>
      <c r="F210" s="290" t="n"/>
    </row>
    <row r="211" ht="13" customHeight="1" s="189">
      <c r="B211" s="290" t="n"/>
      <c r="C211" s="290" t="n"/>
      <c r="D211" s="291" t="n"/>
      <c r="E211" s="290" t="n"/>
      <c r="F211" s="290" t="n"/>
    </row>
    <row r="212" ht="13" customHeight="1" s="189">
      <c r="B212" s="290" t="n"/>
      <c r="C212" s="290" t="n"/>
      <c r="D212" s="291" t="n"/>
      <c r="E212" s="290" t="n"/>
      <c r="F212" s="290" t="n"/>
    </row>
    <row r="213" ht="13" customHeight="1" s="189">
      <c r="B213" s="290" t="n"/>
      <c r="C213" s="290" t="n"/>
      <c r="D213" s="291" t="n"/>
      <c r="E213" s="290" t="n"/>
      <c r="F213" s="290" t="n"/>
    </row>
    <row r="214" ht="13" customHeight="1" s="189">
      <c r="B214" s="290" t="n"/>
      <c r="C214" s="290" t="n"/>
      <c r="D214" s="291" t="n"/>
      <c r="E214" s="290" t="n"/>
      <c r="F214" s="290" t="n"/>
    </row>
    <row r="215" ht="13" customHeight="1" s="189">
      <c r="B215" s="290" t="n"/>
      <c r="C215" s="290" t="n"/>
      <c r="D215" s="291" t="n"/>
      <c r="E215" s="290" t="n"/>
      <c r="F215" s="290" t="n"/>
    </row>
    <row r="216" ht="13" customHeight="1" s="189">
      <c r="B216" s="290" t="n"/>
      <c r="C216" s="290" t="n"/>
      <c r="D216" s="291" t="n"/>
      <c r="E216" s="290" t="n"/>
      <c r="F216" s="290" t="n"/>
    </row>
    <row r="217" ht="13" customHeight="1" s="189">
      <c r="B217" s="290" t="n"/>
      <c r="C217" s="290" t="n"/>
      <c r="D217" s="291" t="n"/>
      <c r="E217" s="290" t="n"/>
      <c r="F217" s="290" t="n"/>
    </row>
    <row r="218" ht="13" customHeight="1" s="189">
      <c r="B218" s="290" t="n"/>
      <c r="C218" s="290" t="n"/>
      <c r="D218" s="291" t="n"/>
      <c r="E218" s="290" t="n"/>
      <c r="F218" s="290" t="n"/>
    </row>
    <row r="219" ht="13" customHeight="1" s="189">
      <c r="B219" s="290" t="n"/>
      <c r="C219" s="290" t="n"/>
      <c r="D219" s="291" t="n"/>
      <c r="E219" s="290" t="n"/>
      <c r="F219" s="290" t="n"/>
    </row>
    <row r="220" ht="13" customHeight="1" s="189">
      <c r="B220" s="290" t="n"/>
      <c r="C220" s="290" t="n"/>
      <c r="D220" s="291" t="n"/>
      <c r="E220" s="290" t="n"/>
      <c r="F220" s="290" t="n"/>
    </row>
    <row r="221" ht="13" customHeight="1" s="189">
      <c r="B221" s="290" t="n"/>
      <c r="C221" s="290" t="n"/>
      <c r="D221" s="291" t="n"/>
      <c r="E221" s="290" t="n"/>
      <c r="F221" s="290" t="n"/>
    </row>
    <row r="222" ht="13" customHeight="1" s="189">
      <c r="B222" s="290" t="n"/>
      <c r="C222" s="290" t="n"/>
      <c r="D222" s="291" t="n"/>
      <c r="E222" s="290" t="n"/>
      <c r="F222" s="290" t="n"/>
    </row>
    <row r="223" ht="13" customHeight="1" s="189">
      <c r="B223" s="290" t="n"/>
      <c r="C223" s="290" t="n"/>
      <c r="D223" s="291" t="n"/>
      <c r="E223" s="290" t="n"/>
      <c r="F223" s="290" t="n"/>
    </row>
    <row r="224" ht="13" customHeight="1" s="189">
      <c r="B224" s="290" t="n"/>
      <c r="C224" s="290" t="n"/>
      <c r="D224" s="291" t="n"/>
      <c r="E224" s="290" t="n"/>
      <c r="F224" s="290" t="n"/>
    </row>
    <row r="225" ht="13" customHeight="1" s="189">
      <c r="B225" s="290" t="n"/>
      <c r="C225" s="290" t="n"/>
      <c r="D225" s="291" t="n"/>
      <c r="E225" s="290" t="n"/>
      <c r="F225" s="290" t="n"/>
    </row>
    <row r="226" ht="13" customHeight="1" s="189">
      <c r="B226" s="290" t="n"/>
      <c r="C226" s="290" t="n"/>
      <c r="D226" s="291" t="n"/>
      <c r="E226" s="290" t="n"/>
      <c r="F226" s="290" t="n"/>
    </row>
    <row r="227" ht="13" customHeight="1" s="189">
      <c r="B227" s="290" t="n"/>
      <c r="C227" s="290" t="n"/>
      <c r="D227" s="291" t="n"/>
      <c r="E227" s="290" t="n"/>
      <c r="F227" s="290" t="n"/>
    </row>
    <row r="228" ht="13" customHeight="1" s="189">
      <c r="B228" s="290" t="n"/>
      <c r="C228" s="290" t="n"/>
      <c r="D228" s="291" t="n"/>
      <c r="E228" s="290" t="n"/>
      <c r="F228" s="290" t="n"/>
    </row>
    <row r="229" ht="13" customHeight="1" s="189">
      <c r="B229" s="290" t="n"/>
      <c r="C229" s="290" t="n"/>
      <c r="D229" s="291" t="n"/>
      <c r="E229" s="290" t="n"/>
      <c r="F229" s="290" t="n"/>
    </row>
    <row r="230" ht="13" customHeight="1" s="189">
      <c r="B230" s="290" t="n"/>
      <c r="C230" s="290" t="n"/>
      <c r="D230" s="291" t="n"/>
      <c r="E230" s="290" t="n"/>
      <c r="F230" s="290" t="n"/>
    </row>
    <row r="231" ht="13" customHeight="1" s="189">
      <c r="B231" s="290" t="n"/>
      <c r="C231" s="290" t="n"/>
      <c r="D231" s="291" t="n"/>
      <c r="E231" s="290" t="n"/>
      <c r="F231" s="290" t="n"/>
    </row>
    <row r="232" ht="13" customHeight="1" s="189">
      <c r="B232" s="290" t="n"/>
      <c r="C232" s="290" t="n"/>
      <c r="D232" s="291" t="n"/>
      <c r="E232" s="290" t="n"/>
      <c r="F232" s="290" t="n"/>
    </row>
    <row r="233" ht="13" customHeight="1" s="189">
      <c r="B233" s="290" t="n"/>
      <c r="C233" s="290" t="n"/>
      <c r="D233" s="291" t="n"/>
      <c r="E233" s="290" t="n"/>
      <c r="F233" s="290" t="n"/>
    </row>
    <row r="234" ht="13" customHeight="1" s="189">
      <c r="B234" s="290" t="n"/>
      <c r="C234" s="290" t="n"/>
      <c r="D234" s="291" t="n"/>
      <c r="E234" s="290" t="n"/>
      <c r="F234" s="290" t="n"/>
    </row>
    <row r="235" ht="13" customHeight="1" s="189">
      <c r="B235" s="290" t="n"/>
      <c r="C235" s="290" t="n"/>
      <c r="D235" s="291" t="n"/>
      <c r="E235" s="290" t="n"/>
      <c r="F235" s="290" t="n"/>
    </row>
    <row r="236" ht="13" customHeight="1" s="189">
      <c r="B236" s="290" t="n"/>
      <c r="C236" s="290" t="n"/>
      <c r="D236" s="291" t="n"/>
      <c r="E236" s="290" t="n"/>
      <c r="F236" s="290" t="n"/>
    </row>
    <row r="237" ht="13" customHeight="1" s="189">
      <c r="B237" s="290" t="n"/>
      <c r="C237" s="290" t="n"/>
      <c r="D237" s="291" t="n"/>
      <c r="E237" s="290" t="n"/>
      <c r="F237" s="290" t="n"/>
    </row>
    <row r="238" ht="13" customHeight="1" s="189">
      <c r="B238" s="290" t="n"/>
      <c r="C238" s="290" t="n"/>
      <c r="D238" s="291" t="n"/>
      <c r="E238" s="290" t="n"/>
      <c r="F238" s="290" t="n"/>
    </row>
    <row r="239" ht="13" customHeight="1" s="189">
      <c r="B239" s="290" t="n"/>
      <c r="C239" s="290" t="n"/>
      <c r="D239" s="291" t="n"/>
      <c r="E239" s="290" t="n"/>
      <c r="F239" s="290" t="n"/>
    </row>
    <row r="240" ht="13" customHeight="1" s="189">
      <c r="B240" s="290" t="n"/>
      <c r="C240" s="290" t="n"/>
      <c r="D240" s="291" t="n"/>
      <c r="E240" s="290" t="n"/>
      <c r="F240" s="290" t="n"/>
    </row>
    <row r="241" ht="13" customHeight="1" s="189">
      <c r="B241" s="290" t="n"/>
      <c r="C241" s="290" t="n"/>
      <c r="D241" s="291" t="n"/>
      <c r="E241" s="290" t="n"/>
      <c r="F241" s="290" t="n"/>
    </row>
    <row r="242" ht="13" customHeight="1" s="189">
      <c r="B242" s="290" t="n"/>
      <c r="C242" s="290" t="n"/>
      <c r="D242" s="291" t="n"/>
      <c r="E242" s="290" t="n"/>
      <c r="F242" s="290" t="n"/>
    </row>
    <row r="243" ht="13" customHeight="1" s="189">
      <c r="B243" s="290" t="n"/>
      <c r="C243" s="290" t="n"/>
      <c r="D243" s="291" t="n"/>
      <c r="E243" s="290" t="n"/>
      <c r="F243" s="290" t="n"/>
    </row>
    <row r="244" ht="13" customHeight="1" s="189">
      <c r="B244" s="290" t="n"/>
      <c r="C244" s="290" t="n"/>
      <c r="D244" s="291" t="n"/>
      <c r="E244" s="290" t="n"/>
      <c r="F244" s="290" t="n"/>
    </row>
    <row r="245" ht="13" customHeight="1" s="189">
      <c r="B245" s="290" t="n"/>
      <c r="C245" s="290" t="n"/>
      <c r="D245" s="291" t="n"/>
      <c r="E245" s="290" t="n"/>
      <c r="F245" s="290" t="n"/>
    </row>
    <row r="246" ht="13" customHeight="1" s="189">
      <c r="B246" s="290" t="n"/>
      <c r="C246" s="290" t="n"/>
      <c r="D246" s="291" t="n"/>
      <c r="E246" s="290" t="n"/>
      <c r="F246" s="290" t="n"/>
    </row>
    <row r="247" ht="13" customHeight="1" s="189">
      <c r="B247" s="290" t="n"/>
      <c r="C247" s="290" t="n"/>
      <c r="D247" s="291" t="n"/>
      <c r="E247" s="290" t="n"/>
      <c r="F247" s="290" t="n"/>
    </row>
    <row r="248" ht="13" customHeight="1" s="189">
      <c r="B248" s="290" t="n"/>
      <c r="C248" s="290" t="n"/>
      <c r="D248" s="291" t="n"/>
      <c r="E248" s="290" t="n"/>
      <c r="F248" s="290" t="n"/>
    </row>
    <row r="249" ht="13" customHeight="1" s="189">
      <c r="B249" s="290" t="n"/>
      <c r="C249" s="290" t="n"/>
      <c r="D249" s="291" t="n"/>
      <c r="E249" s="290" t="n"/>
      <c r="F249" s="290" t="n"/>
    </row>
    <row r="250" ht="13" customHeight="1" s="189">
      <c r="B250" s="290" t="n"/>
      <c r="C250" s="290" t="n"/>
      <c r="D250" s="291" t="n"/>
      <c r="E250" s="290" t="n"/>
      <c r="F250" s="290" t="n"/>
    </row>
    <row r="251" ht="13" customHeight="1" s="189">
      <c r="B251" s="290" t="n"/>
      <c r="C251" s="290" t="n"/>
      <c r="D251" s="291" t="n"/>
      <c r="E251" s="290" t="n"/>
      <c r="F251" s="290" t="n"/>
    </row>
    <row r="252" ht="13" customHeight="1" s="189">
      <c r="B252" s="290" t="n"/>
      <c r="C252" s="290" t="n"/>
      <c r="D252" s="291" t="n"/>
      <c r="E252" s="290" t="n"/>
      <c r="F252" s="290" t="n"/>
    </row>
    <row r="253" ht="13" customHeight="1" s="189">
      <c r="B253" s="290" t="n"/>
      <c r="C253" s="290" t="n"/>
      <c r="D253" s="291" t="n"/>
      <c r="E253" s="290" t="n"/>
      <c r="F253" s="290" t="n"/>
    </row>
    <row r="254" ht="13" customHeight="1" s="189">
      <c r="B254" s="290" t="n"/>
      <c r="C254" s="290" t="n"/>
      <c r="D254" s="291" t="n"/>
      <c r="E254" s="290" t="n"/>
      <c r="F254" s="290" t="n"/>
    </row>
    <row r="255" ht="13" customHeight="1" s="189">
      <c r="B255" s="290" t="n"/>
      <c r="C255" s="290" t="n"/>
      <c r="D255" s="291" t="n"/>
      <c r="E255" s="290" t="n"/>
      <c r="F255" s="290" t="n"/>
    </row>
    <row r="256" ht="13" customHeight="1" s="189">
      <c r="B256" s="290" t="n"/>
      <c r="C256" s="290" t="n"/>
      <c r="D256" s="291" t="n"/>
      <c r="E256" s="290" t="n"/>
      <c r="F256" s="290" t="n"/>
    </row>
    <row r="257" ht="13" customHeight="1" s="189">
      <c r="B257" s="290" t="n"/>
      <c r="C257" s="290" t="n"/>
      <c r="D257" s="291" t="n"/>
      <c r="E257" s="290" t="n"/>
      <c r="F257" s="290" t="n"/>
    </row>
    <row r="258" ht="13" customHeight="1" s="189">
      <c r="B258" s="290" t="n"/>
      <c r="C258" s="290" t="n"/>
      <c r="D258" s="291" t="n"/>
      <c r="E258" s="290" t="n"/>
      <c r="F258" s="290" t="n"/>
    </row>
    <row r="259" ht="13" customHeight="1" s="189">
      <c r="B259" s="290" t="n"/>
      <c r="C259" s="290" t="n"/>
      <c r="D259" s="291" t="n"/>
      <c r="E259" s="290" t="n"/>
      <c r="F259" s="290" t="n"/>
    </row>
    <row r="260" ht="13" customHeight="1" s="189">
      <c r="B260" s="290" t="n"/>
      <c r="C260" s="290" t="n"/>
      <c r="D260" s="291" t="n"/>
      <c r="E260" s="290" t="n"/>
      <c r="F260" s="290" t="n"/>
    </row>
    <row r="261" ht="13" customHeight="1" s="189">
      <c r="B261" s="290" t="n"/>
      <c r="C261" s="290" t="n"/>
      <c r="D261" s="291" t="n"/>
      <c r="E261" s="290" t="n"/>
      <c r="F261" s="290" t="n"/>
    </row>
    <row r="262" ht="13" customHeight="1" s="189">
      <c r="B262" s="290" t="n"/>
      <c r="C262" s="290" t="n"/>
      <c r="D262" s="291" t="n"/>
      <c r="E262" s="290" t="n"/>
      <c r="F262" s="290" t="n"/>
    </row>
    <row r="263" ht="13" customHeight="1" s="189">
      <c r="B263" s="290" t="n"/>
      <c r="C263" s="290" t="n"/>
      <c r="D263" s="291" t="n"/>
      <c r="E263" s="290" t="n"/>
      <c r="F263" s="290" t="n"/>
    </row>
    <row r="264" ht="13" customHeight="1" s="189">
      <c r="B264" s="290" t="n"/>
      <c r="C264" s="290" t="n"/>
      <c r="D264" s="291" t="n"/>
      <c r="E264" s="290" t="n"/>
      <c r="F264" s="290" t="n"/>
    </row>
    <row r="265" ht="13" customHeight="1" s="189">
      <c r="B265" s="290" t="n"/>
      <c r="C265" s="290" t="n"/>
      <c r="D265" s="291" t="n"/>
      <c r="E265" s="290" t="n"/>
      <c r="F265" s="290" t="n"/>
    </row>
    <row r="266" ht="13" customHeight="1" s="189">
      <c r="B266" s="290" t="n"/>
      <c r="C266" s="290" t="n"/>
      <c r="D266" s="291" t="n"/>
      <c r="E266" s="290" t="n"/>
      <c r="F266" s="290" t="n"/>
    </row>
    <row r="267" ht="13" customHeight="1" s="189">
      <c r="B267" s="290" t="n"/>
      <c r="C267" s="290" t="n"/>
      <c r="D267" s="291" t="n"/>
      <c r="E267" s="290" t="n"/>
      <c r="F267" s="290" t="n"/>
    </row>
    <row r="268" ht="13" customHeight="1" s="189">
      <c r="B268" s="290" t="n"/>
      <c r="C268" s="290" t="n"/>
      <c r="D268" s="291" t="n"/>
      <c r="E268" s="290" t="n"/>
      <c r="F268" s="290" t="n"/>
    </row>
    <row r="269" ht="13" customHeight="1" s="189">
      <c r="B269" s="290" t="n"/>
      <c r="C269" s="290" t="n"/>
      <c r="D269" s="291" t="n"/>
      <c r="E269" s="290" t="n"/>
      <c r="F269" s="290" t="n"/>
    </row>
    <row r="270" ht="13" customHeight="1" s="189">
      <c r="B270" s="290" t="n"/>
      <c r="C270" s="290" t="n"/>
      <c r="D270" s="291" t="n"/>
      <c r="E270" s="290" t="n"/>
      <c r="F270" s="290" t="n"/>
    </row>
    <row r="271" ht="13" customHeight="1" s="189">
      <c r="B271" s="290" t="n"/>
      <c r="C271" s="290" t="n"/>
      <c r="D271" s="291" t="n"/>
      <c r="E271" s="290" t="n"/>
      <c r="F271" s="290" t="n"/>
    </row>
    <row r="272" ht="13" customHeight="1" s="189">
      <c r="B272" s="290" t="n"/>
      <c r="C272" s="290" t="n"/>
      <c r="D272" s="291" t="n"/>
      <c r="E272" s="290" t="n"/>
      <c r="F272" s="290" t="n"/>
    </row>
    <row r="273" ht="13" customHeight="1" s="189">
      <c r="B273" s="290" t="n"/>
      <c r="C273" s="290" t="n"/>
      <c r="D273" s="291" t="n"/>
      <c r="E273" s="290" t="n"/>
      <c r="F273" s="290" t="n"/>
    </row>
    <row r="274" ht="13" customHeight="1" s="189">
      <c r="B274" s="290" t="n"/>
      <c r="C274" s="290" t="n"/>
      <c r="D274" s="291" t="n"/>
      <c r="E274" s="290" t="n"/>
      <c r="F274" s="290" t="n"/>
    </row>
    <row r="275" ht="13" customHeight="1" s="189">
      <c r="B275" s="290" t="n"/>
      <c r="C275" s="290" t="n"/>
      <c r="D275" s="291" t="n"/>
      <c r="E275" s="290" t="n"/>
      <c r="F275" s="290" t="n"/>
    </row>
    <row r="276" ht="13" customHeight="1" s="189">
      <c r="B276" s="290" t="n"/>
      <c r="C276" s="290" t="n"/>
      <c r="D276" s="291" t="n"/>
      <c r="E276" s="290" t="n"/>
      <c r="F276" s="290" t="n"/>
    </row>
    <row r="277" ht="13" customHeight="1" s="189">
      <c r="B277" s="290" t="n"/>
      <c r="C277" s="290" t="n"/>
      <c r="D277" s="291" t="n"/>
      <c r="E277" s="290" t="n"/>
      <c r="F277" s="290" t="n"/>
    </row>
    <row r="278" ht="13" customHeight="1" s="189">
      <c r="B278" s="290" t="n"/>
      <c r="C278" s="290" t="n"/>
      <c r="D278" s="291" t="n"/>
      <c r="E278" s="290" t="n"/>
      <c r="F278" s="290" t="n"/>
    </row>
    <row r="279" ht="13" customHeight="1" s="189">
      <c r="B279" s="290" t="n"/>
      <c r="C279" s="290" t="n"/>
      <c r="D279" s="291" t="n"/>
      <c r="E279" s="290" t="n"/>
      <c r="F279" s="290" t="n"/>
    </row>
    <row r="280" ht="13" customHeight="1" s="189">
      <c r="B280" s="290" t="n"/>
      <c r="C280" s="290" t="n"/>
      <c r="D280" s="291" t="n"/>
      <c r="E280" s="290" t="n"/>
      <c r="F280" s="290" t="n"/>
    </row>
    <row r="281" ht="13" customHeight="1" s="189">
      <c r="B281" s="290" t="n"/>
      <c r="C281" s="290" t="n"/>
      <c r="D281" s="291" t="n"/>
      <c r="E281" s="290" t="n"/>
      <c r="F281" s="290" t="n"/>
    </row>
    <row r="282" ht="13" customHeight="1" s="189">
      <c r="B282" s="290" t="n"/>
      <c r="C282" s="290" t="n"/>
      <c r="D282" s="291" t="n"/>
      <c r="E282" s="290" t="n"/>
      <c r="F282" s="290" t="n"/>
    </row>
    <row r="283" ht="13" customHeight="1" s="189">
      <c r="B283" s="290" t="n"/>
      <c r="C283" s="290" t="n"/>
      <c r="D283" s="291" t="n"/>
      <c r="E283" s="290" t="n"/>
      <c r="F283" s="290" t="n"/>
    </row>
    <row r="284" ht="13" customHeight="1" s="189">
      <c r="B284" s="290" t="n"/>
      <c r="C284" s="290" t="n"/>
      <c r="D284" s="291" t="n"/>
      <c r="E284" s="290" t="n"/>
      <c r="F284" s="290" t="n"/>
    </row>
    <row r="285" ht="13" customHeight="1" s="189">
      <c r="B285" s="290" t="n"/>
      <c r="C285" s="290" t="n"/>
      <c r="D285" s="291" t="n"/>
      <c r="E285" s="290" t="n"/>
      <c r="F285" s="290" t="n"/>
    </row>
    <row r="286" ht="13" customHeight="1" s="189">
      <c r="B286" s="290" t="n"/>
      <c r="C286" s="290" t="n"/>
      <c r="D286" s="291" t="n"/>
      <c r="E286" s="290" t="n"/>
      <c r="F286" s="290" t="n"/>
    </row>
    <row r="287" ht="13" customHeight="1" s="189">
      <c r="B287" s="290" t="n"/>
      <c r="C287" s="290" t="n"/>
      <c r="D287" s="291" t="n"/>
      <c r="E287" s="290" t="n"/>
      <c r="F287" s="290" t="n"/>
    </row>
    <row r="288" ht="13" customHeight="1" s="189">
      <c r="B288" s="290" t="n"/>
      <c r="C288" s="290" t="n"/>
      <c r="D288" s="291" t="n"/>
      <c r="E288" s="290" t="n"/>
      <c r="F288" s="290" t="n"/>
    </row>
    <row r="289" ht="13" customHeight="1" s="189">
      <c r="B289" s="290" t="n"/>
      <c r="C289" s="290" t="n"/>
      <c r="D289" s="291" t="n"/>
      <c r="E289" s="290" t="n"/>
      <c r="F289" s="290" t="n"/>
    </row>
    <row r="290" ht="13" customHeight="1" s="189">
      <c r="B290" s="290" t="n"/>
      <c r="C290" s="290" t="n"/>
      <c r="D290" s="291" t="n"/>
      <c r="E290" s="290" t="n"/>
      <c r="F290" s="290" t="n"/>
    </row>
    <row r="291" ht="13" customHeight="1" s="189">
      <c r="B291" s="290" t="n"/>
      <c r="C291" s="290" t="n"/>
      <c r="D291" s="291" t="n"/>
      <c r="E291" s="290" t="n"/>
      <c r="F291" s="290" t="n"/>
    </row>
    <row r="292" ht="13" customHeight="1" s="189">
      <c r="B292" s="290" t="n"/>
      <c r="C292" s="290" t="n"/>
      <c r="D292" s="291" t="n"/>
      <c r="E292" s="290" t="n"/>
      <c r="F292" s="290" t="n"/>
    </row>
    <row r="293" ht="13" customHeight="1" s="189">
      <c r="B293" s="290" t="n"/>
      <c r="C293" s="290" t="n"/>
      <c r="D293" s="291" t="n"/>
      <c r="E293" s="290" t="n"/>
      <c r="F293" s="290" t="n"/>
    </row>
    <row r="294" ht="13" customHeight="1" s="189">
      <c r="B294" s="290" t="n"/>
      <c r="C294" s="290" t="n"/>
      <c r="D294" s="291" t="n"/>
      <c r="E294" s="290" t="n"/>
      <c r="F294" s="290" t="n"/>
    </row>
    <row r="295" ht="13" customHeight="1" s="189">
      <c r="B295" s="290" t="n"/>
      <c r="C295" s="290" t="n"/>
      <c r="D295" s="291" t="n"/>
      <c r="E295" s="290" t="n"/>
      <c r="F295" s="290" t="n"/>
    </row>
    <row r="296" ht="13" customHeight="1" s="189">
      <c r="B296" s="290" t="n"/>
      <c r="C296" s="290" t="n"/>
      <c r="D296" s="291" t="n"/>
      <c r="E296" s="290" t="n"/>
      <c r="F296" s="290" t="n"/>
    </row>
    <row r="297" ht="13" customHeight="1" s="189">
      <c r="B297" s="290" t="n"/>
      <c r="C297" s="290" t="n"/>
      <c r="D297" s="291" t="n"/>
      <c r="E297" s="290" t="n"/>
      <c r="F297" s="290" t="n"/>
    </row>
    <row r="298" ht="13" customHeight="1" s="189">
      <c r="B298" s="290" t="n"/>
      <c r="C298" s="290" t="n"/>
      <c r="D298" s="291" t="n"/>
      <c r="E298" s="290" t="n"/>
      <c r="F298" s="290" t="n"/>
    </row>
    <row r="299" ht="13" customHeight="1" s="189">
      <c r="B299" s="290" t="n"/>
      <c r="C299" s="290" t="n"/>
      <c r="D299" s="291" t="n"/>
      <c r="E299" s="290" t="n"/>
      <c r="F299" s="290" t="n"/>
    </row>
    <row r="300" ht="13" customHeight="1" s="189">
      <c r="B300" s="290" t="n"/>
      <c r="C300" s="290" t="n"/>
      <c r="D300" s="291" t="n"/>
      <c r="E300" s="290" t="n"/>
      <c r="F300" s="290" t="n"/>
    </row>
    <row r="301" ht="13" customHeight="1" s="189">
      <c r="B301" s="290" t="n"/>
      <c r="C301" s="290" t="n"/>
      <c r="D301" s="291" t="n"/>
      <c r="E301" s="290" t="n"/>
      <c r="F301" s="290" t="n"/>
    </row>
    <row r="302" ht="13" customHeight="1" s="189">
      <c r="B302" s="290" t="n"/>
      <c r="C302" s="290" t="n"/>
      <c r="D302" s="291" t="n"/>
      <c r="E302" s="290" t="n"/>
      <c r="F302" s="290" t="n"/>
    </row>
    <row r="303" ht="13" customHeight="1" s="189">
      <c r="B303" s="290" t="n"/>
      <c r="C303" s="290" t="n"/>
      <c r="D303" s="291" t="n"/>
      <c r="E303" s="290" t="n"/>
      <c r="F303" s="290" t="n"/>
    </row>
    <row r="304" ht="13" customHeight="1" s="189">
      <c r="B304" s="290" t="n"/>
      <c r="C304" s="290" t="n"/>
      <c r="D304" s="291" t="n"/>
      <c r="E304" s="290" t="n"/>
      <c r="F304" s="290" t="n"/>
    </row>
    <row r="305" ht="13" customHeight="1" s="189">
      <c r="B305" s="290" t="n"/>
      <c r="C305" s="290" t="n"/>
      <c r="D305" s="291" t="n"/>
      <c r="E305" s="290" t="n"/>
      <c r="F305" s="290" t="n"/>
    </row>
    <row r="306" ht="13" customHeight="1" s="189">
      <c r="B306" s="290" t="n"/>
      <c r="C306" s="290" t="n"/>
      <c r="D306" s="291" t="n"/>
      <c r="E306" s="290" t="n"/>
      <c r="F306" s="290" t="n"/>
    </row>
    <row r="307" ht="13" customHeight="1" s="189">
      <c r="B307" s="290" t="n"/>
      <c r="C307" s="290" t="n"/>
      <c r="D307" s="291" t="n"/>
      <c r="E307" s="290" t="n"/>
      <c r="F307" s="290" t="n"/>
    </row>
    <row r="308" ht="13" customHeight="1" s="189">
      <c r="B308" s="290" t="n"/>
      <c r="C308" s="290" t="n"/>
      <c r="D308" s="291" t="n"/>
      <c r="E308" s="290" t="n"/>
      <c r="F308" s="290" t="n"/>
    </row>
    <row r="309" ht="13" customHeight="1" s="189">
      <c r="B309" s="290" t="n"/>
      <c r="C309" s="290" t="n"/>
      <c r="D309" s="291" t="n"/>
      <c r="E309" s="290" t="n"/>
      <c r="F309" s="290" t="n"/>
    </row>
    <row r="310" ht="13" customHeight="1" s="189">
      <c r="B310" s="290" t="n"/>
      <c r="C310" s="290" t="n"/>
      <c r="D310" s="291" t="n"/>
      <c r="E310" s="290" t="n"/>
      <c r="F310" s="290" t="n"/>
    </row>
    <row r="311" ht="13" customHeight="1" s="189">
      <c r="B311" s="290" t="n"/>
      <c r="C311" s="290" t="n"/>
      <c r="D311" s="291" t="n"/>
      <c r="E311" s="290" t="n"/>
      <c r="F311" s="290" t="n"/>
    </row>
    <row r="312" ht="13" customHeight="1" s="189">
      <c r="B312" s="290" t="n"/>
      <c r="C312" s="290" t="n"/>
      <c r="D312" s="291" t="n"/>
      <c r="E312" s="290" t="n"/>
      <c r="F312" s="290" t="n"/>
    </row>
    <row r="313" ht="13" customHeight="1" s="189">
      <c r="B313" s="290" t="n"/>
      <c r="C313" s="290" t="n"/>
      <c r="D313" s="291" t="n"/>
      <c r="E313" s="290" t="n"/>
      <c r="F313" s="290" t="n"/>
    </row>
    <row r="314" ht="13" customHeight="1" s="189">
      <c r="B314" s="290" t="n"/>
      <c r="C314" s="290" t="n"/>
      <c r="D314" s="291" t="n"/>
      <c r="E314" s="290" t="n"/>
      <c r="F314" s="290" t="n"/>
    </row>
    <row r="315" ht="13" customHeight="1" s="189">
      <c r="B315" s="290" t="n"/>
      <c r="C315" s="290" t="n"/>
      <c r="D315" s="291" t="n"/>
      <c r="E315" s="290" t="n"/>
      <c r="F315" s="290" t="n"/>
    </row>
    <row r="316" ht="13" customHeight="1" s="189">
      <c r="B316" s="290" t="n"/>
      <c r="C316" s="290" t="n"/>
      <c r="D316" s="291" t="n"/>
      <c r="E316" s="290" t="n"/>
      <c r="F316" s="290" t="n"/>
    </row>
    <row r="317" ht="13" customHeight="1" s="189">
      <c r="B317" s="290" t="n"/>
      <c r="C317" s="290" t="n"/>
      <c r="D317" s="291" t="n"/>
      <c r="E317" s="290" t="n"/>
      <c r="F317" s="290" t="n"/>
    </row>
    <row r="318" ht="13" customHeight="1" s="189">
      <c r="B318" s="290" t="n"/>
      <c r="C318" s="290" t="n"/>
      <c r="D318" s="291" t="n"/>
      <c r="E318" s="290" t="n"/>
      <c r="F318" s="290" t="n"/>
    </row>
    <row r="319" ht="13" customHeight="1" s="189">
      <c r="B319" s="290" t="n"/>
      <c r="C319" s="290" t="n"/>
      <c r="D319" s="291" t="n"/>
      <c r="E319" s="290" t="n"/>
      <c r="F319" s="290" t="n"/>
    </row>
    <row r="320" ht="13" customHeight="1" s="189">
      <c r="B320" s="290" t="n"/>
      <c r="C320" s="290" t="n"/>
      <c r="D320" s="291" t="n"/>
      <c r="E320" s="290" t="n"/>
      <c r="F320" s="290" t="n"/>
    </row>
    <row r="321" ht="13" customHeight="1" s="189">
      <c r="B321" s="290" t="n"/>
      <c r="C321" s="290" t="n"/>
      <c r="D321" s="291" t="n"/>
      <c r="E321" s="290" t="n"/>
      <c r="F321" s="290" t="n"/>
    </row>
    <row r="322" ht="13" customHeight="1" s="189">
      <c r="B322" s="290" t="n"/>
      <c r="C322" s="290" t="n"/>
      <c r="D322" s="291" t="n"/>
      <c r="E322" s="290" t="n"/>
      <c r="F322" s="290" t="n"/>
    </row>
    <row r="323" ht="13" customHeight="1" s="189">
      <c r="B323" s="290" t="n"/>
      <c r="C323" s="290" t="n"/>
      <c r="D323" s="291" t="n"/>
      <c r="E323" s="290" t="n"/>
      <c r="F323" s="290" t="n"/>
    </row>
    <row r="324" ht="13" customHeight="1" s="189">
      <c r="B324" s="290" t="n"/>
      <c r="C324" s="290" t="n"/>
      <c r="D324" s="291" t="n"/>
      <c r="E324" s="290" t="n"/>
      <c r="F324" s="290" t="n"/>
    </row>
    <row r="325" ht="13" customHeight="1" s="189">
      <c r="B325" s="290" t="n"/>
      <c r="C325" s="290" t="n"/>
      <c r="D325" s="291" t="n"/>
      <c r="E325" s="290" t="n"/>
      <c r="F325" s="290" t="n"/>
    </row>
    <row r="326" ht="13" customHeight="1" s="189">
      <c r="B326" s="290" t="n"/>
      <c r="C326" s="290" t="n"/>
      <c r="D326" s="291" t="n"/>
      <c r="E326" s="290" t="n"/>
      <c r="F326" s="290" t="n"/>
    </row>
    <row r="327" ht="13" customHeight="1" s="189">
      <c r="B327" s="290" t="n"/>
      <c r="C327" s="290" t="n"/>
      <c r="D327" s="291" t="n"/>
      <c r="E327" s="290" t="n"/>
      <c r="F327" s="290" t="n"/>
    </row>
    <row r="328" ht="13" customHeight="1" s="189">
      <c r="B328" s="290" t="n"/>
      <c r="C328" s="290" t="n"/>
      <c r="D328" s="291" t="n"/>
      <c r="E328" s="290" t="n"/>
      <c r="F328" s="290" t="n"/>
    </row>
    <row r="329" ht="13" customHeight="1" s="189">
      <c r="B329" s="290" t="n"/>
      <c r="C329" s="290" t="n"/>
      <c r="D329" s="291" t="n"/>
      <c r="E329" s="290" t="n"/>
      <c r="F329" s="290" t="n"/>
    </row>
    <row r="330" ht="13" customHeight="1" s="189">
      <c r="B330" s="290" t="n"/>
      <c r="C330" s="290" t="n"/>
      <c r="D330" s="291" t="n"/>
      <c r="E330" s="290" t="n"/>
      <c r="F330" s="290" t="n"/>
    </row>
    <row r="331" ht="13" customHeight="1" s="189">
      <c r="B331" s="290" t="n"/>
      <c r="C331" s="290" t="n"/>
      <c r="D331" s="291" t="n"/>
      <c r="E331" s="290" t="n"/>
      <c r="F331" s="290" t="n"/>
    </row>
    <row r="332" ht="13" customHeight="1" s="189">
      <c r="B332" s="290" t="n"/>
      <c r="C332" s="290" t="n"/>
      <c r="D332" s="291" t="n"/>
      <c r="E332" s="290" t="n"/>
      <c r="F332" s="290" t="n"/>
    </row>
    <row r="333" ht="13" customHeight="1" s="189">
      <c r="B333" s="290" t="n"/>
      <c r="C333" s="290" t="n"/>
      <c r="D333" s="291" t="n"/>
      <c r="E333" s="290" t="n"/>
      <c r="F333" s="290" t="n"/>
    </row>
    <row r="334" ht="13" customHeight="1" s="189">
      <c r="B334" s="290" t="n"/>
      <c r="C334" s="290" t="n"/>
      <c r="D334" s="291" t="n"/>
      <c r="E334" s="290" t="n"/>
      <c r="F334" s="290" t="n"/>
    </row>
    <row r="335" ht="13" customHeight="1" s="189">
      <c r="B335" s="290" t="n"/>
      <c r="C335" s="290" t="n"/>
      <c r="D335" s="291" t="n"/>
      <c r="E335" s="290" t="n"/>
      <c r="F335" s="290" t="n"/>
    </row>
    <row r="336" ht="13" customHeight="1" s="189">
      <c r="B336" s="290" t="n"/>
      <c r="C336" s="290" t="n"/>
      <c r="D336" s="291" t="n"/>
      <c r="E336" s="290" t="n"/>
      <c r="F336" s="290" t="n"/>
    </row>
    <row r="337" ht="13" customHeight="1" s="189">
      <c r="B337" s="290" t="n"/>
      <c r="C337" s="290" t="n"/>
      <c r="D337" s="291" t="n"/>
      <c r="E337" s="290" t="n"/>
      <c r="F337" s="290" t="n"/>
    </row>
    <row r="338" ht="13" customHeight="1" s="189">
      <c r="B338" s="290" t="n"/>
      <c r="C338" s="290" t="n"/>
      <c r="D338" s="291" t="n"/>
      <c r="E338" s="290" t="n"/>
      <c r="F338" s="290" t="n"/>
    </row>
    <row r="339" ht="13" customHeight="1" s="189">
      <c r="B339" s="290" t="n"/>
      <c r="C339" s="290" t="n"/>
      <c r="D339" s="291" t="n"/>
      <c r="E339" s="290" t="n"/>
      <c r="F339" s="290" t="n"/>
    </row>
    <row r="340" ht="13" customHeight="1" s="189">
      <c r="B340" s="290" t="n"/>
      <c r="C340" s="290" t="n"/>
      <c r="D340" s="291" t="n"/>
      <c r="E340" s="290" t="n"/>
      <c r="F340" s="290" t="n"/>
    </row>
    <row r="341" ht="13" customHeight="1" s="189">
      <c r="B341" s="290" t="n"/>
      <c r="C341" s="290" t="n"/>
      <c r="D341" s="291" t="n"/>
      <c r="E341" s="290" t="n"/>
      <c r="F341" s="290" t="n"/>
    </row>
    <row r="342" ht="13" customHeight="1" s="189">
      <c r="B342" s="290" t="n"/>
      <c r="C342" s="290" t="n"/>
      <c r="D342" s="291" t="n"/>
      <c r="E342" s="290" t="n"/>
      <c r="F342" s="290" t="n"/>
    </row>
    <row r="343" ht="13" customHeight="1" s="189">
      <c r="B343" s="290" t="n"/>
      <c r="C343" s="290" t="n"/>
      <c r="D343" s="291" t="n"/>
      <c r="E343" s="290" t="n"/>
      <c r="F343" s="290" t="n"/>
    </row>
    <row r="344" ht="13" customHeight="1" s="189">
      <c r="B344" s="290" t="n"/>
      <c r="C344" s="290" t="n"/>
      <c r="D344" s="291" t="n"/>
      <c r="E344" s="290" t="n"/>
      <c r="F344" s="290" t="n"/>
    </row>
    <row r="345" ht="13" customHeight="1" s="189">
      <c r="B345" s="290" t="n"/>
      <c r="C345" s="290" t="n"/>
      <c r="D345" s="291" t="n"/>
      <c r="E345" s="290" t="n"/>
      <c r="F345" s="290" t="n"/>
    </row>
    <row r="346" ht="13" customHeight="1" s="189">
      <c r="B346" s="290" t="n"/>
      <c r="C346" s="290" t="n"/>
      <c r="D346" s="291" t="n"/>
      <c r="E346" s="290" t="n"/>
      <c r="F346" s="290" t="n"/>
    </row>
    <row r="347" ht="13" customHeight="1" s="189">
      <c r="B347" s="290" t="n"/>
      <c r="C347" s="290" t="n"/>
      <c r="D347" s="291" t="n"/>
      <c r="E347" s="290" t="n"/>
      <c r="F347" s="290" t="n"/>
    </row>
    <row r="348" ht="13" customHeight="1" s="189">
      <c r="B348" s="290" t="n"/>
      <c r="C348" s="290" t="n"/>
      <c r="D348" s="291" t="n"/>
      <c r="E348" s="290" t="n"/>
      <c r="F348" s="290" t="n"/>
    </row>
    <row r="349" ht="13" customHeight="1" s="189">
      <c r="B349" s="290" t="n"/>
      <c r="C349" s="290" t="n"/>
      <c r="D349" s="291" t="n"/>
      <c r="E349" s="290" t="n"/>
      <c r="F349" s="290" t="n"/>
    </row>
    <row r="350" ht="13" customHeight="1" s="189">
      <c r="B350" s="290" t="n"/>
      <c r="C350" s="290" t="n"/>
      <c r="D350" s="291" t="n"/>
      <c r="E350" s="290" t="n"/>
      <c r="F350" s="290" t="n"/>
    </row>
    <row r="351" ht="13" customHeight="1" s="189">
      <c r="B351" s="290" t="n"/>
      <c r="C351" s="290" t="n"/>
      <c r="D351" s="291" t="n"/>
      <c r="E351" s="290" t="n"/>
      <c r="F351" s="290" t="n"/>
    </row>
    <row r="352" ht="13" customHeight="1" s="189">
      <c r="B352" s="290" t="n"/>
      <c r="C352" s="290" t="n"/>
      <c r="D352" s="291" t="n"/>
      <c r="E352" s="290" t="n"/>
      <c r="F352" s="290" t="n"/>
    </row>
    <row r="353" ht="13" customHeight="1" s="189">
      <c r="B353" s="290" t="n"/>
      <c r="C353" s="290" t="n"/>
      <c r="D353" s="291" t="n"/>
      <c r="E353" s="290" t="n"/>
      <c r="F353" s="290" t="n"/>
    </row>
    <row r="354" ht="13" customHeight="1" s="189">
      <c r="B354" s="290" t="n"/>
      <c r="C354" s="290" t="n"/>
      <c r="D354" s="291" t="n"/>
      <c r="E354" s="290" t="n"/>
      <c r="F354" s="290" t="n"/>
    </row>
    <row r="355" ht="13" customHeight="1" s="189">
      <c r="B355" s="290" t="n"/>
      <c r="C355" s="290" t="n"/>
      <c r="D355" s="291" t="n"/>
      <c r="E355" s="290" t="n"/>
      <c r="F355" s="290" t="n"/>
    </row>
    <row r="356" ht="13" customHeight="1" s="189">
      <c r="B356" s="290" t="n"/>
      <c r="C356" s="290" t="n"/>
      <c r="D356" s="291" t="n"/>
      <c r="E356" s="290" t="n"/>
      <c r="F356" s="290" t="n"/>
    </row>
    <row r="357" ht="13" customHeight="1" s="189">
      <c r="B357" s="290" t="n"/>
      <c r="C357" s="290" t="n"/>
      <c r="D357" s="291" t="n"/>
      <c r="E357" s="290" t="n"/>
      <c r="F357" s="290" t="n"/>
    </row>
    <row r="358" ht="13" customHeight="1" s="189">
      <c r="B358" s="290" t="n"/>
      <c r="C358" s="290" t="n"/>
      <c r="D358" s="291" t="n"/>
      <c r="E358" s="290" t="n"/>
      <c r="F358" s="290" t="n"/>
    </row>
    <row r="359" ht="13" customHeight="1" s="189">
      <c r="B359" s="290" t="n"/>
      <c r="C359" s="290" t="n"/>
      <c r="D359" s="291" t="n"/>
      <c r="E359" s="290" t="n"/>
      <c r="F359" s="290" t="n"/>
    </row>
    <row r="360" ht="13" customHeight="1" s="189">
      <c r="B360" s="290" t="n"/>
      <c r="C360" s="290" t="n"/>
      <c r="D360" s="291" t="n"/>
      <c r="E360" s="290" t="n"/>
      <c r="F360" s="290" t="n"/>
    </row>
    <row r="361" ht="13" customHeight="1" s="189">
      <c r="B361" s="290" t="n"/>
      <c r="C361" s="290" t="n"/>
      <c r="D361" s="291" t="n"/>
      <c r="E361" s="290" t="n"/>
      <c r="F361" s="290" t="n"/>
    </row>
    <row r="362" ht="13" customHeight="1" s="189">
      <c r="B362" s="290" t="n"/>
      <c r="C362" s="290" t="n"/>
      <c r="D362" s="291" t="n"/>
      <c r="E362" s="290" t="n"/>
      <c r="F362" s="290" t="n"/>
    </row>
    <row r="363" ht="13" customHeight="1" s="189">
      <c r="B363" s="290" t="n"/>
      <c r="C363" s="290" t="n"/>
      <c r="D363" s="291" t="n"/>
      <c r="E363" s="290" t="n"/>
      <c r="F363" s="290" t="n"/>
    </row>
    <row r="364" ht="13" customHeight="1" s="189">
      <c r="B364" s="290" t="n"/>
      <c r="C364" s="290" t="n"/>
      <c r="D364" s="291" t="n"/>
      <c r="E364" s="290" t="n"/>
      <c r="F364" s="290" t="n"/>
    </row>
    <row r="365" ht="13" customHeight="1" s="189">
      <c r="B365" s="290" t="n"/>
      <c r="C365" s="290" t="n"/>
      <c r="D365" s="291" t="n"/>
      <c r="E365" s="290" t="n"/>
      <c r="F365" s="290" t="n"/>
    </row>
    <row r="366" ht="13" customHeight="1" s="189">
      <c r="B366" s="290" t="n"/>
      <c r="C366" s="290" t="n"/>
      <c r="D366" s="291" t="n"/>
      <c r="E366" s="290" t="n"/>
      <c r="F366" s="290" t="n"/>
    </row>
    <row r="367" ht="13" customHeight="1" s="189">
      <c r="B367" s="290" t="n"/>
      <c r="C367" s="290" t="n"/>
      <c r="D367" s="291" t="n"/>
      <c r="E367" s="290" t="n"/>
      <c r="F367" s="290" t="n"/>
    </row>
    <row r="368" ht="13" customHeight="1" s="189">
      <c r="B368" s="290" t="n"/>
      <c r="C368" s="290" t="n"/>
      <c r="D368" s="291" t="n"/>
      <c r="E368" s="290" t="n"/>
      <c r="F368" s="290" t="n"/>
    </row>
    <row r="369" ht="13" customHeight="1" s="189">
      <c r="B369" s="290" t="n"/>
      <c r="C369" s="290" t="n"/>
      <c r="D369" s="291" t="n"/>
      <c r="E369" s="290" t="n"/>
      <c r="F369" s="290" t="n"/>
    </row>
    <row r="370" ht="13" customHeight="1" s="189">
      <c r="B370" s="290" t="n"/>
      <c r="C370" s="290" t="n"/>
      <c r="D370" s="291" t="n"/>
      <c r="E370" s="290" t="n"/>
      <c r="F370" s="290" t="n"/>
    </row>
    <row r="371" ht="13" customHeight="1" s="189">
      <c r="B371" s="290" t="n"/>
      <c r="C371" s="290" t="n"/>
      <c r="D371" s="291" t="n"/>
      <c r="E371" s="290" t="n"/>
      <c r="F371" s="290" t="n"/>
    </row>
    <row r="372" ht="13" customHeight="1" s="189">
      <c r="B372" s="290" t="n"/>
      <c r="C372" s="290" t="n"/>
      <c r="D372" s="291" t="n"/>
      <c r="E372" s="290" t="n"/>
      <c r="F372" s="290" t="n"/>
    </row>
    <row r="373" ht="13" customHeight="1" s="189">
      <c r="B373" s="290" t="n"/>
      <c r="C373" s="290" t="n"/>
      <c r="D373" s="291" t="n"/>
      <c r="E373" s="290" t="n"/>
      <c r="F373" s="290" t="n"/>
    </row>
    <row r="374" ht="13" customHeight="1" s="189">
      <c r="B374" s="290" t="n"/>
      <c r="C374" s="290" t="n"/>
      <c r="D374" s="291" t="n"/>
      <c r="E374" s="290" t="n"/>
      <c r="F374" s="290" t="n"/>
    </row>
    <row r="375" ht="13" customHeight="1" s="189">
      <c r="B375" s="290" t="n"/>
      <c r="C375" s="290" t="n"/>
      <c r="D375" s="291" t="n"/>
      <c r="E375" s="290" t="n"/>
      <c r="F375" s="290" t="n"/>
    </row>
    <row r="376" ht="13" customHeight="1" s="189">
      <c r="B376" s="290" t="n"/>
      <c r="C376" s="290" t="n"/>
      <c r="D376" s="291" t="n"/>
      <c r="E376" s="290" t="n"/>
      <c r="F376" s="290" t="n"/>
    </row>
    <row r="377" ht="13" customHeight="1" s="189">
      <c r="B377" s="290" t="n"/>
      <c r="C377" s="290" t="n"/>
      <c r="D377" s="291" t="n"/>
      <c r="E377" s="290" t="n"/>
      <c r="F377" s="290" t="n"/>
    </row>
    <row r="378" ht="13" customHeight="1" s="189">
      <c r="B378" s="290" t="n"/>
      <c r="C378" s="290" t="n"/>
      <c r="D378" s="291" t="n"/>
      <c r="E378" s="290" t="n"/>
      <c r="F378" s="290" t="n"/>
    </row>
    <row r="379" ht="13" customHeight="1" s="189">
      <c r="B379" s="290" t="n"/>
      <c r="C379" s="290" t="n"/>
      <c r="D379" s="291" t="n"/>
      <c r="E379" s="290" t="n"/>
      <c r="F379" s="290" t="n"/>
    </row>
    <row r="380" ht="13" customHeight="1" s="189">
      <c r="B380" s="290" t="n"/>
      <c r="C380" s="290" t="n"/>
      <c r="D380" s="291" t="n"/>
      <c r="E380" s="290" t="n"/>
      <c r="F380" s="290" t="n"/>
    </row>
    <row r="381" ht="13" customHeight="1" s="189">
      <c r="B381" s="290" t="n"/>
      <c r="C381" s="290" t="n"/>
      <c r="D381" s="291" t="n"/>
      <c r="E381" s="290" t="n"/>
      <c r="F381" s="290" t="n"/>
    </row>
    <row r="382" ht="13" customHeight="1" s="189">
      <c r="B382" s="290" t="n"/>
      <c r="C382" s="290" t="n"/>
      <c r="D382" s="291" t="n"/>
      <c r="E382" s="290" t="n"/>
      <c r="F382" s="290" t="n"/>
    </row>
    <row r="383" ht="13" customHeight="1" s="189">
      <c r="B383" s="290" t="n"/>
      <c r="C383" s="290" t="n"/>
      <c r="D383" s="291" t="n"/>
      <c r="E383" s="290" t="n"/>
      <c r="F383" s="290" t="n"/>
    </row>
    <row r="384" ht="13" customHeight="1" s="189">
      <c r="B384" s="290" t="n"/>
      <c r="C384" s="290" t="n"/>
      <c r="D384" s="291" t="n"/>
      <c r="E384" s="290" t="n"/>
      <c r="F384" s="290" t="n"/>
    </row>
    <row r="385" ht="13" customHeight="1" s="189">
      <c r="B385" s="290" t="n"/>
      <c r="C385" s="290" t="n"/>
      <c r="D385" s="291" t="n"/>
      <c r="E385" s="290" t="n"/>
      <c r="F385" s="290" t="n"/>
    </row>
    <row r="386" ht="13" customHeight="1" s="189">
      <c r="B386" s="290" t="n"/>
      <c r="C386" s="290" t="n"/>
      <c r="D386" s="291" t="n"/>
      <c r="E386" s="290" t="n"/>
      <c r="F386" s="290" t="n"/>
    </row>
    <row r="387" ht="13" customHeight="1" s="189">
      <c r="B387" s="290" t="n"/>
      <c r="C387" s="290" t="n"/>
      <c r="D387" s="291" t="n"/>
      <c r="E387" s="290" t="n"/>
      <c r="F387" s="290" t="n"/>
    </row>
    <row r="388" ht="13" customHeight="1" s="189">
      <c r="B388" s="290" t="n"/>
      <c r="C388" s="290" t="n"/>
      <c r="D388" s="291" t="n"/>
      <c r="E388" s="290" t="n"/>
      <c r="F388" s="290" t="n"/>
    </row>
    <row r="389" ht="13" customHeight="1" s="189">
      <c r="B389" s="290" t="n"/>
      <c r="C389" s="290" t="n"/>
      <c r="D389" s="291" t="n"/>
      <c r="E389" s="290" t="n"/>
      <c r="F389" s="290" t="n"/>
    </row>
    <row r="390" ht="13" customHeight="1" s="189">
      <c r="B390" s="290" t="n"/>
      <c r="C390" s="290" t="n"/>
      <c r="D390" s="291" t="n"/>
      <c r="E390" s="290" t="n"/>
      <c r="F390" s="290" t="n"/>
    </row>
    <row r="391" ht="13" customHeight="1" s="189">
      <c r="B391" s="290" t="n"/>
      <c r="C391" s="290" t="n"/>
      <c r="D391" s="291" t="n"/>
      <c r="E391" s="290" t="n"/>
      <c r="F391" s="290" t="n"/>
    </row>
    <row r="392" ht="13" customHeight="1" s="189">
      <c r="B392" s="290" t="n"/>
      <c r="C392" s="290" t="n"/>
      <c r="D392" s="291" t="n"/>
      <c r="E392" s="290" t="n"/>
      <c r="F392" s="290" t="n"/>
    </row>
    <row r="393" ht="13" customHeight="1" s="189">
      <c r="B393" s="290" t="n"/>
      <c r="C393" s="290" t="n"/>
      <c r="D393" s="291" t="n"/>
      <c r="E393" s="290" t="n"/>
      <c r="F393" s="290" t="n"/>
    </row>
    <row r="394" ht="13" customHeight="1" s="189">
      <c r="B394" s="290" t="n"/>
      <c r="C394" s="290" t="n"/>
      <c r="D394" s="291" t="n"/>
      <c r="E394" s="290" t="n"/>
      <c r="F394" s="290" t="n"/>
    </row>
    <row r="395" ht="13" customHeight="1" s="189">
      <c r="B395" s="290" t="n"/>
      <c r="C395" s="290" t="n"/>
      <c r="D395" s="291" t="n"/>
      <c r="E395" s="290" t="n"/>
      <c r="F395" s="290" t="n"/>
    </row>
    <row r="396" ht="13" customHeight="1" s="189">
      <c r="B396" s="290" t="n"/>
      <c r="C396" s="290" t="n"/>
      <c r="D396" s="291" t="n"/>
      <c r="E396" s="290" t="n"/>
      <c r="F396" s="290" t="n"/>
    </row>
    <row r="397" ht="13" customHeight="1" s="189">
      <c r="B397" s="290" t="n"/>
      <c r="C397" s="290" t="n"/>
      <c r="D397" s="291" t="n"/>
      <c r="E397" s="290" t="n"/>
      <c r="F397" s="290" t="n"/>
    </row>
    <row r="398" ht="13" customHeight="1" s="189">
      <c r="B398" s="290" t="n"/>
      <c r="C398" s="290" t="n"/>
      <c r="D398" s="291" t="n"/>
      <c r="E398" s="290" t="n"/>
      <c r="F398" s="290" t="n"/>
    </row>
    <row r="399" ht="13" customHeight="1" s="189">
      <c r="B399" s="290" t="n"/>
      <c r="C399" s="290" t="n"/>
      <c r="D399" s="291" t="n"/>
      <c r="E399" s="290" t="n"/>
      <c r="F399" s="290" t="n"/>
    </row>
    <row r="400" ht="13" customHeight="1" s="189">
      <c r="B400" s="290" t="n"/>
      <c r="C400" s="290" t="n"/>
      <c r="D400" s="291" t="n"/>
      <c r="E400" s="290" t="n"/>
      <c r="F400" s="290" t="n"/>
    </row>
    <row r="401" ht="13" customHeight="1" s="189">
      <c r="B401" s="290" t="n"/>
      <c r="C401" s="290" t="n"/>
      <c r="D401" s="291" t="n"/>
      <c r="E401" s="290" t="n"/>
      <c r="F401" s="290" t="n"/>
    </row>
    <row r="402" ht="13" customHeight="1" s="189">
      <c r="B402" s="290" t="n"/>
      <c r="C402" s="290" t="n"/>
      <c r="D402" s="291" t="n"/>
      <c r="E402" s="290" t="n"/>
      <c r="F402" s="290" t="n"/>
    </row>
    <row r="403" ht="13" customHeight="1" s="189">
      <c r="B403" s="290" t="n"/>
      <c r="C403" s="290" t="n"/>
      <c r="D403" s="291" t="n"/>
      <c r="E403" s="290" t="n"/>
      <c r="F403" s="290" t="n"/>
    </row>
    <row r="404" ht="13" customHeight="1" s="189">
      <c r="B404" s="290" t="n"/>
      <c r="C404" s="290" t="n"/>
      <c r="D404" s="291" t="n"/>
      <c r="E404" s="290" t="n"/>
      <c r="F404" s="290" t="n"/>
    </row>
    <row r="405" ht="13" customHeight="1" s="189">
      <c r="B405" s="290" t="n"/>
      <c r="C405" s="290" t="n"/>
      <c r="D405" s="291" t="n"/>
      <c r="E405" s="290" t="n"/>
      <c r="F405" s="290" t="n"/>
    </row>
    <row r="406" ht="13" customHeight="1" s="189">
      <c r="B406" s="290" t="n"/>
      <c r="C406" s="290" t="n"/>
      <c r="D406" s="291" t="n"/>
      <c r="E406" s="290" t="n"/>
      <c r="F406" s="290" t="n"/>
    </row>
    <row r="407" ht="13" customHeight="1" s="189">
      <c r="B407" s="290" t="n"/>
      <c r="C407" s="290" t="n"/>
      <c r="D407" s="291" t="n"/>
      <c r="E407" s="290" t="n"/>
      <c r="F407" s="290" t="n"/>
    </row>
    <row r="408" ht="13" customHeight="1" s="189">
      <c r="B408" s="290" t="n"/>
      <c r="C408" s="290" t="n"/>
      <c r="D408" s="291" t="n"/>
      <c r="E408" s="290" t="n"/>
      <c r="F408" s="290" t="n"/>
    </row>
    <row r="409" ht="13" customHeight="1" s="189">
      <c r="B409" s="290" t="n"/>
      <c r="C409" s="290" t="n"/>
      <c r="D409" s="291" t="n"/>
      <c r="E409" s="290" t="n"/>
      <c r="F409" s="290" t="n"/>
    </row>
    <row r="410" ht="13" customHeight="1" s="189">
      <c r="B410" s="290" t="n"/>
      <c r="C410" s="290" t="n"/>
      <c r="D410" s="291" t="n"/>
      <c r="E410" s="290" t="n"/>
      <c r="F410" s="290" t="n"/>
    </row>
    <row r="411" ht="13" customHeight="1" s="189">
      <c r="B411" s="290" t="n"/>
      <c r="C411" s="290" t="n"/>
      <c r="D411" s="291" t="n"/>
      <c r="E411" s="290" t="n"/>
      <c r="F411" s="290" t="n"/>
    </row>
    <row r="412" ht="13" customHeight="1" s="189">
      <c r="B412" s="290" t="n"/>
      <c r="C412" s="290" t="n"/>
      <c r="D412" s="291" t="n"/>
      <c r="E412" s="290" t="n"/>
      <c r="F412" s="290" t="n"/>
    </row>
    <row r="413" ht="13" customHeight="1" s="189">
      <c r="B413" s="290" t="n"/>
      <c r="C413" s="290" t="n"/>
      <c r="D413" s="291" t="n"/>
      <c r="E413" s="290" t="n"/>
      <c r="F413" s="290" t="n"/>
    </row>
    <row r="414" ht="13" customHeight="1" s="189">
      <c r="B414" s="290" t="n"/>
      <c r="C414" s="290" t="n"/>
      <c r="D414" s="291" t="n"/>
      <c r="E414" s="290" t="n"/>
      <c r="F414" s="290" t="n"/>
    </row>
    <row r="415" ht="13" customHeight="1" s="189">
      <c r="B415" s="290" t="n"/>
      <c r="C415" s="290" t="n"/>
      <c r="D415" s="291" t="n"/>
      <c r="E415" s="290" t="n"/>
      <c r="F415" s="290" t="n"/>
    </row>
    <row r="416" ht="13" customHeight="1" s="189">
      <c r="B416" s="290" t="n"/>
      <c r="C416" s="290" t="n"/>
      <c r="D416" s="291" t="n"/>
      <c r="E416" s="290" t="n"/>
      <c r="F416" s="290" t="n"/>
    </row>
    <row r="417" ht="13" customHeight="1" s="189">
      <c r="B417" s="290" t="n"/>
      <c r="C417" s="290" t="n"/>
      <c r="D417" s="291" t="n"/>
      <c r="E417" s="290" t="n"/>
      <c r="F417" s="290" t="n"/>
    </row>
    <row r="418" ht="13" customHeight="1" s="189">
      <c r="B418" s="290" t="n"/>
      <c r="C418" s="290" t="n"/>
      <c r="D418" s="291" t="n"/>
      <c r="E418" s="290" t="n"/>
      <c r="F418" s="290" t="n"/>
    </row>
    <row r="419" ht="13" customHeight="1" s="189">
      <c r="B419" s="290" t="n"/>
      <c r="C419" s="290" t="n"/>
      <c r="D419" s="291" t="n"/>
      <c r="E419" s="290" t="n"/>
      <c r="F419" s="290" t="n"/>
    </row>
    <row r="420" ht="13" customHeight="1" s="189">
      <c r="B420" s="290" t="n"/>
      <c r="C420" s="290" t="n"/>
      <c r="D420" s="291" t="n"/>
      <c r="E420" s="290" t="n"/>
      <c r="F420" s="290" t="n"/>
    </row>
    <row r="421" ht="13" customHeight="1" s="189">
      <c r="B421" s="290" t="n"/>
      <c r="C421" s="290" t="n"/>
      <c r="D421" s="291" t="n"/>
      <c r="E421" s="290" t="n"/>
      <c r="F421" s="290" t="n"/>
    </row>
    <row r="422" ht="13" customHeight="1" s="189">
      <c r="B422" s="290" t="n"/>
      <c r="C422" s="290" t="n"/>
      <c r="D422" s="291" t="n"/>
      <c r="E422" s="290" t="n"/>
      <c r="F422" s="290" t="n"/>
    </row>
    <row r="423" ht="13" customHeight="1" s="189">
      <c r="B423" s="290" t="n"/>
      <c r="C423" s="290" t="n"/>
      <c r="D423" s="291" t="n"/>
      <c r="E423" s="290" t="n"/>
      <c r="F423" s="290" t="n"/>
    </row>
    <row r="424" ht="13" customHeight="1" s="189">
      <c r="B424" s="290" t="n"/>
      <c r="C424" s="290" t="n"/>
      <c r="D424" s="291" t="n"/>
      <c r="E424" s="290" t="n"/>
      <c r="F424" s="290" t="n"/>
    </row>
    <row r="425" ht="13" customHeight="1" s="189">
      <c r="B425" s="290" t="n"/>
      <c r="C425" s="290" t="n"/>
      <c r="D425" s="291" t="n"/>
      <c r="E425" s="290" t="n"/>
      <c r="F425" s="290" t="n"/>
    </row>
    <row r="426" ht="13" customHeight="1" s="189">
      <c r="B426" s="290" t="n"/>
      <c r="C426" s="290" t="n"/>
      <c r="D426" s="291" t="n"/>
      <c r="E426" s="290" t="n"/>
      <c r="F426" s="290" t="n"/>
    </row>
    <row r="427" ht="13" customHeight="1" s="189">
      <c r="B427" s="290" t="n"/>
      <c r="C427" s="290" t="n"/>
      <c r="D427" s="291" t="n"/>
      <c r="E427" s="290" t="n"/>
      <c r="F427" s="290" t="n"/>
    </row>
    <row r="428" ht="13" customHeight="1" s="189">
      <c r="B428" s="290" t="n"/>
      <c r="C428" s="290" t="n"/>
      <c r="D428" s="291" t="n"/>
      <c r="E428" s="290" t="n"/>
      <c r="F428" s="290" t="n"/>
    </row>
    <row r="429" ht="13" customHeight="1" s="189">
      <c r="B429" s="290" t="n"/>
      <c r="C429" s="290" t="n"/>
      <c r="D429" s="291" t="n"/>
      <c r="E429" s="290" t="n"/>
      <c r="F429" s="290" t="n"/>
    </row>
    <row r="430" ht="13" customHeight="1" s="189">
      <c r="B430" s="290" t="n"/>
      <c r="C430" s="290" t="n"/>
      <c r="D430" s="291" t="n"/>
      <c r="E430" s="290" t="n"/>
      <c r="F430" s="290" t="n"/>
    </row>
    <row r="431" ht="13" customHeight="1" s="189">
      <c r="B431" s="290" t="n"/>
      <c r="C431" s="290" t="n"/>
      <c r="D431" s="291" t="n"/>
      <c r="E431" s="290" t="n"/>
      <c r="F431" s="290" t="n"/>
    </row>
    <row r="432" ht="13" customHeight="1" s="189">
      <c r="B432" s="290" t="n"/>
      <c r="C432" s="290" t="n"/>
      <c r="D432" s="291" t="n"/>
      <c r="E432" s="290" t="n"/>
      <c r="F432" s="290" t="n"/>
    </row>
    <row r="433" ht="13" customHeight="1" s="189">
      <c r="B433" s="290" t="n"/>
      <c r="C433" s="290" t="n"/>
      <c r="D433" s="291" t="n"/>
      <c r="E433" s="290" t="n"/>
      <c r="F433" s="290" t="n"/>
    </row>
    <row r="434" ht="13" customHeight="1" s="189">
      <c r="B434" s="290" t="n"/>
      <c r="C434" s="290" t="n"/>
      <c r="D434" s="291" t="n"/>
      <c r="E434" s="290" t="n"/>
      <c r="F434" s="290" t="n"/>
    </row>
    <row r="435" ht="13" customHeight="1" s="189">
      <c r="B435" s="290" t="n"/>
      <c r="C435" s="290" t="n"/>
      <c r="D435" s="291" t="n"/>
      <c r="E435" s="290" t="n"/>
      <c r="F435" s="290" t="n"/>
    </row>
    <row r="436" ht="13" customHeight="1" s="189">
      <c r="B436" s="290" t="n"/>
      <c r="C436" s="290" t="n"/>
      <c r="D436" s="291" t="n"/>
      <c r="E436" s="290" t="n"/>
      <c r="F436" s="290" t="n"/>
    </row>
    <row r="437" ht="13" customHeight="1" s="189">
      <c r="B437" s="290" t="n"/>
      <c r="C437" s="290" t="n"/>
      <c r="D437" s="291" t="n"/>
      <c r="E437" s="290" t="n"/>
      <c r="F437" s="290" t="n"/>
    </row>
    <row r="438" ht="13" customHeight="1" s="189">
      <c r="B438" s="290" t="n"/>
      <c r="C438" s="290" t="n"/>
      <c r="D438" s="291" t="n"/>
      <c r="E438" s="290" t="n"/>
      <c r="F438" s="290" t="n"/>
    </row>
    <row r="439" ht="13" customHeight="1" s="189">
      <c r="B439" s="290" t="n"/>
      <c r="C439" s="290" t="n"/>
      <c r="D439" s="291" t="n"/>
      <c r="E439" s="290" t="n"/>
      <c r="F439" s="290" t="n"/>
    </row>
    <row r="440" ht="13" customHeight="1" s="189">
      <c r="B440" s="290" t="n"/>
      <c r="C440" s="290" t="n"/>
      <c r="D440" s="291" t="n"/>
      <c r="E440" s="290" t="n"/>
      <c r="F440" s="290" t="n"/>
    </row>
    <row r="441" ht="13" customHeight="1" s="189">
      <c r="B441" s="290" t="n"/>
      <c r="C441" s="290" t="n"/>
      <c r="D441" s="291" t="n"/>
      <c r="E441" s="290" t="n"/>
      <c r="F441" s="290" t="n"/>
    </row>
    <row r="442" ht="13" customHeight="1" s="189">
      <c r="B442" s="290" t="n"/>
      <c r="C442" s="290" t="n"/>
      <c r="D442" s="291" t="n"/>
      <c r="E442" s="290" t="n"/>
      <c r="F442" s="290" t="n"/>
    </row>
    <row r="443" ht="13" customHeight="1" s="189">
      <c r="B443" s="290" t="n"/>
      <c r="C443" s="290" t="n"/>
      <c r="D443" s="291" t="n"/>
      <c r="E443" s="290" t="n"/>
      <c r="F443" s="290" t="n"/>
    </row>
    <row r="444" ht="13" customHeight="1" s="189">
      <c r="B444" s="290" t="n"/>
      <c r="C444" s="290" t="n"/>
      <c r="D444" s="291" t="n"/>
      <c r="E444" s="290" t="n"/>
      <c r="F444" s="290" t="n"/>
    </row>
    <row r="445" ht="13" customHeight="1" s="189">
      <c r="B445" s="290" t="n"/>
      <c r="C445" s="290" t="n"/>
      <c r="D445" s="291" t="n"/>
      <c r="E445" s="290" t="n"/>
      <c r="F445" s="290" t="n"/>
    </row>
    <row r="446" ht="13" customHeight="1" s="189">
      <c r="B446" s="290" t="n"/>
      <c r="C446" s="290" t="n"/>
      <c r="D446" s="291" t="n"/>
      <c r="E446" s="290" t="n"/>
      <c r="F446" s="290" t="n"/>
    </row>
    <row r="447" ht="13" customHeight="1" s="189">
      <c r="B447" s="290" t="n"/>
      <c r="C447" s="290" t="n"/>
      <c r="D447" s="291" t="n"/>
      <c r="E447" s="290" t="n"/>
      <c r="F447" s="290" t="n"/>
    </row>
    <row r="448" ht="13" customHeight="1" s="189">
      <c r="B448" s="290" t="n"/>
      <c r="C448" s="290" t="n"/>
      <c r="D448" s="291" t="n"/>
      <c r="E448" s="290" t="n"/>
      <c r="F448" s="290" t="n"/>
    </row>
    <row r="449" ht="13" customHeight="1" s="189">
      <c r="B449" s="290" t="n"/>
      <c r="C449" s="290" t="n"/>
      <c r="D449" s="291" t="n"/>
      <c r="E449" s="290" t="n"/>
      <c r="F449" s="290" t="n"/>
    </row>
    <row r="450" ht="13" customHeight="1" s="189">
      <c r="B450" s="290" t="n"/>
      <c r="C450" s="290" t="n"/>
      <c r="D450" s="291" t="n"/>
      <c r="E450" s="290" t="n"/>
      <c r="F450" s="290" t="n"/>
    </row>
    <row r="451" ht="13" customHeight="1" s="189">
      <c r="B451" s="290" t="n"/>
      <c r="C451" s="290" t="n"/>
      <c r="D451" s="291" t="n"/>
      <c r="E451" s="290" t="n"/>
      <c r="F451" s="290" t="n"/>
    </row>
    <row r="452" ht="13" customHeight="1" s="189">
      <c r="B452" s="290" t="n"/>
      <c r="C452" s="290" t="n"/>
      <c r="D452" s="291" t="n"/>
      <c r="E452" s="290" t="n"/>
      <c r="F452" s="290" t="n"/>
    </row>
    <row r="453" ht="13" customHeight="1" s="189">
      <c r="B453" s="290" t="n"/>
      <c r="C453" s="290" t="n"/>
      <c r="D453" s="291" t="n"/>
      <c r="E453" s="290" t="n"/>
      <c r="F453" s="290" t="n"/>
    </row>
    <row r="454" ht="13" customHeight="1" s="189">
      <c r="B454" s="290" t="n"/>
      <c r="C454" s="290" t="n"/>
      <c r="D454" s="291" t="n"/>
      <c r="E454" s="290" t="n"/>
      <c r="F454" s="290" t="n"/>
    </row>
    <row r="455" ht="13" customHeight="1" s="189">
      <c r="B455" s="290" t="n"/>
      <c r="C455" s="290" t="n"/>
      <c r="D455" s="291" t="n"/>
      <c r="E455" s="290" t="n"/>
      <c r="F455" s="290" t="n"/>
    </row>
    <row r="456" ht="13" customHeight="1" s="189">
      <c r="B456" s="290" t="n"/>
      <c r="C456" s="290" t="n"/>
      <c r="D456" s="291" t="n"/>
      <c r="E456" s="290" t="n"/>
      <c r="F456" s="290" t="n"/>
    </row>
    <row r="457" ht="13" customHeight="1" s="189">
      <c r="B457" s="290" t="n"/>
      <c r="C457" s="290" t="n"/>
      <c r="D457" s="291" t="n"/>
      <c r="E457" s="290" t="n"/>
      <c r="F457" s="290" t="n"/>
    </row>
    <row r="458" ht="13" customHeight="1" s="189">
      <c r="B458" s="290" t="n"/>
      <c r="C458" s="290" t="n"/>
      <c r="D458" s="291" t="n"/>
      <c r="E458" s="290" t="n"/>
      <c r="F458" s="290" t="n"/>
    </row>
    <row r="459" ht="13" customHeight="1" s="189">
      <c r="B459" s="290" t="n"/>
      <c r="C459" s="290" t="n"/>
      <c r="D459" s="291" t="n"/>
      <c r="E459" s="290" t="n"/>
      <c r="F459" s="290" t="n"/>
    </row>
    <row r="460" ht="13" customHeight="1" s="189">
      <c r="B460" s="290" t="n"/>
      <c r="C460" s="290" t="n"/>
      <c r="D460" s="291" t="n"/>
      <c r="E460" s="290" t="n"/>
      <c r="F460" s="290" t="n"/>
    </row>
    <row r="461" ht="13" customHeight="1" s="189">
      <c r="B461" s="290" t="n"/>
      <c r="C461" s="290" t="n"/>
      <c r="D461" s="291" t="n"/>
      <c r="E461" s="290" t="n"/>
      <c r="F461" s="290" t="n"/>
    </row>
    <row r="462" ht="13" customHeight="1" s="189">
      <c r="B462" s="290" t="n"/>
      <c r="C462" s="290" t="n"/>
      <c r="D462" s="291" t="n"/>
      <c r="E462" s="290" t="n"/>
      <c r="F462" s="290" t="n"/>
    </row>
    <row r="463" ht="13" customHeight="1" s="189">
      <c r="B463" s="290" t="n"/>
      <c r="C463" s="290" t="n"/>
      <c r="D463" s="291" t="n"/>
      <c r="E463" s="290" t="n"/>
      <c r="F463" s="290" t="n"/>
    </row>
    <row r="464" ht="13" customHeight="1" s="189">
      <c r="B464" s="290" t="n"/>
      <c r="C464" s="290" t="n"/>
      <c r="D464" s="291" t="n"/>
      <c r="E464" s="290" t="n"/>
      <c r="F464" s="290" t="n"/>
    </row>
    <row r="465" ht="13" customHeight="1" s="189">
      <c r="B465" s="290" t="n"/>
      <c r="C465" s="290" t="n"/>
      <c r="D465" s="291" t="n"/>
      <c r="E465" s="290" t="n"/>
      <c r="F465" s="290" t="n"/>
    </row>
    <row r="466" ht="13" customHeight="1" s="189">
      <c r="B466" s="290" t="n"/>
      <c r="C466" s="290" t="n"/>
      <c r="D466" s="291" t="n"/>
      <c r="E466" s="290" t="n"/>
      <c r="F466" s="290" t="n"/>
    </row>
    <row r="467" ht="13" customHeight="1" s="189">
      <c r="B467" s="290" t="n"/>
      <c r="C467" s="290" t="n"/>
      <c r="D467" s="291" t="n"/>
      <c r="E467" s="290" t="n"/>
      <c r="F467" s="290" t="n"/>
    </row>
    <row r="468" ht="13" customHeight="1" s="189">
      <c r="B468" s="290" t="n"/>
      <c r="C468" s="290" t="n"/>
      <c r="D468" s="291" t="n"/>
      <c r="E468" s="290" t="n"/>
      <c r="F468" s="290" t="n"/>
    </row>
    <row r="469" ht="13" customHeight="1" s="189">
      <c r="B469" s="290" t="n"/>
      <c r="C469" s="290" t="n"/>
      <c r="D469" s="291" t="n"/>
      <c r="E469" s="290" t="n"/>
      <c r="F469" s="290" t="n"/>
    </row>
    <row r="470" ht="13" customHeight="1" s="189">
      <c r="B470" s="290" t="n"/>
      <c r="C470" s="290" t="n"/>
      <c r="D470" s="291" t="n"/>
      <c r="E470" s="290" t="n"/>
      <c r="F470" s="290" t="n"/>
    </row>
    <row r="471" ht="13" customHeight="1" s="189">
      <c r="B471" s="290" t="n"/>
      <c r="C471" s="290" t="n"/>
      <c r="D471" s="291" t="n"/>
      <c r="E471" s="290" t="n"/>
      <c r="F471" s="290" t="n"/>
    </row>
    <row r="472" ht="13" customHeight="1" s="189">
      <c r="B472" s="290" t="n"/>
      <c r="C472" s="290" t="n"/>
      <c r="D472" s="291" t="n"/>
      <c r="E472" s="290" t="n"/>
      <c r="F472" s="290" t="n"/>
    </row>
    <row r="473" ht="13" customHeight="1" s="189">
      <c r="B473" s="290" t="n"/>
      <c r="C473" s="290" t="n"/>
      <c r="D473" s="291" t="n"/>
      <c r="E473" s="290" t="n"/>
      <c r="F473" s="290" t="n"/>
    </row>
    <row r="474" ht="13" customHeight="1" s="189">
      <c r="B474" s="290" t="n"/>
      <c r="C474" s="290" t="n"/>
      <c r="D474" s="291" t="n"/>
      <c r="E474" s="290" t="n"/>
      <c r="F474" s="290" t="n"/>
    </row>
    <row r="475" ht="13" customHeight="1" s="189">
      <c r="B475" s="290" t="n"/>
      <c r="C475" s="290" t="n"/>
      <c r="D475" s="291" t="n"/>
      <c r="E475" s="290" t="n"/>
      <c r="F475" s="290" t="n"/>
    </row>
    <row r="476" ht="13" customHeight="1" s="189">
      <c r="B476" s="290" t="n"/>
      <c r="C476" s="290" t="n"/>
      <c r="D476" s="291" t="n"/>
      <c r="E476" s="290" t="n"/>
      <c r="F476" s="290" t="n"/>
    </row>
    <row r="477" ht="13" customHeight="1" s="189">
      <c r="B477" s="290" t="n"/>
      <c r="C477" s="290" t="n"/>
      <c r="D477" s="291" t="n"/>
      <c r="E477" s="290" t="n"/>
      <c r="F477" s="290" t="n"/>
    </row>
    <row r="478" ht="13" customHeight="1" s="189">
      <c r="B478" s="290" t="n"/>
      <c r="C478" s="290" t="n"/>
      <c r="D478" s="291" t="n"/>
      <c r="E478" s="290" t="n"/>
      <c r="F478" s="290" t="n"/>
    </row>
    <row r="479" ht="13" customHeight="1" s="189">
      <c r="B479" s="290" t="n"/>
      <c r="C479" s="290" t="n"/>
      <c r="D479" s="291" t="n"/>
      <c r="E479" s="290" t="n"/>
      <c r="F479" s="290" t="n"/>
    </row>
    <row r="480" ht="13" customHeight="1" s="189">
      <c r="B480" s="290" t="n"/>
      <c r="C480" s="290" t="n"/>
      <c r="D480" s="291" t="n"/>
      <c r="E480" s="290" t="n"/>
      <c r="F480" s="290" t="n"/>
    </row>
    <row r="481" ht="13" customHeight="1" s="189">
      <c r="B481" s="290" t="n"/>
      <c r="C481" s="290" t="n"/>
      <c r="D481" s="291" t="n"/>
      <c r="E481" s="290" t="n"/>
      <c r="F481" s="290" t="n"/>
    </row>
    <row r="482" ht="13" customHeight="1" s="189">
      <c r="B482" s="290" t="n"/>
      <c r="C482" s="290" t="n"/>
      <c r="D482" s="291" t="n"/>
      <c r="E482" s="290" t="n"/>
      <c r="F482" s="290" t="n"/>
    </row>
    <row r="483" ht="13" customHeight="1" s="189">
      <c r="B483" s="290" t="n"/>
      <c r="C483" s="290" t="n"/>
      <c r="D483" s="291" t="n"/>
      <c r="E483" s="290" t="n"/>
      <c r="F483" s="290" t="n"/>
    </row>
    <row r="484" ht="13" customHeight="1" s="189">
      <c r="B484" s="290" t="n"/>
      <c r="C484" s="290" t="n"/>
      <c r="D484" s="291" t="n"/>
      <c r="E484" s="290" t="n"/>
      <c r="F484" s="290" t="n"/>
    </row>
    <row r="485" ht="13" customHeight="1" s="189">
      <c r="B485" s="290" t="n"/>
      <c r="C485" s="290" t="n"/>
      <c r="D485" s="291" t="n"/>
      <c r="E485" s="290" t="n"/>
      <c r="F485" s="290" t="n"/>
    </row>
    <row r="486" ht="13" customHeight="1" s="189">
      <c r="B486" s="290" t="n"/>
      <c r="C486" s="290" t="n"/>
      <c r="D486" s="291" t="n"/>
      <c r="E486" s="290" t="n"/>
      <c r="F486" s="290" t="n"/>
    </row>
    <row r="487" ht="13" customHeight="1" s="189">
      <c r="B487" s="290" t="n"/>
      <c r="C487" s="290" t="n"/>
      <c r="D487" s="291" t="n"/>
      <c r="E487" s="290" t="n"/>
      <c r="F487" s="290" t="n"/>
    </row>
    <row r="488" ht="13" customHeight="1" s="189">
      <c r="B488" s="290" t="n"/>
      <c r="C488" s="290" t="n"/>
      <c r="D488" s="291" t="n"/>
      <c r="E488" s="290" t="n"/>
      <c r="F488" s="290" t="n"/>
    </row>
    <row r="489" ht="13" customHeight="1" s="189">
      <c r="B489" s="290" t="n"/>
      <c r="C489" s="290" t="n"/>
      <c r="D489" s="291" t="n"/>
      <c r="E489" s="290" t="n"/>
      <c r="F489" s="290" t="n"/>
    </row>
    <row r="490" ht="13" customHeight="1" s="189">
      <c r="B490" s="290" t="n"/>
      <c r="C490" s="290" t="n"/>
      <c r="D490" s="291" t="n"/>
      <c r="E490" s="290" t="n"/>
      <c r="F490" s="290" t="n"/>
    </row>
    <row r="491" ht="13" customHeight="1" s="189">
      <c r="B491" s="290" t="n"/>
      <c r="C491" s="290" t="n"/>
      <c r="D491" s="291" t="n"/>
      <c r="E491" s="290" t="n"/>
      <c r="F491" s="290" t="n"/>
    </row>
    <row r="492" ht="13" customHeight="1" s="189">
      <c r="B492" s="290" t="n"/>
      <c r="C492" s="290" t="n"/>
      <c r="D492" s="291" t="n"/>
      <c r="E492" s="290" t="n"/>
      <c r="F492" s="290" t="n"/>
    </row>
    <row r="493" ht="13" customHeight="1" s="189">
      <c r="B493" s="290" t="n"/>
      <c r="C493" s="290" t="n"/>
      <c r="D493" s="291" t="n"/>
      <c r="E493" s="290" t="n"/>
      <c r="F493" s="290" t="n"/>
    </row>
    <row r="494" ht="13" customHeight="1" s="189">
      <c r="B494" s="290" t="n"/>
      <c r="C494" s="290" t="n"/>
      <c r="D494" s="291" t="n"/>
      <c r="E494" s="290" t="n"/>
      <c r="F494" s="290" t="n"/>
    </row>
    <row r="495" ht="13" customHeight="1" s="189">
      <c r="B495" s="290" t="n"/>
      <c r="C495" s="290" t="n"/>
      <c r="D495" s="291" t="n"/>
      <c r="E495" s="290" t="n"/>
      <c r="F495" s="290" t="n"/>
    </row>
    <row r="496" ht="13" customHeight="1" s="189">
      <c r="B496" s="290" t="n"/>
      <c r="C496" s="290" t="n"/>
      <c r="D496" s="291" t="n"/>
      <c r="E496" s="290" t="n"/>
      <c r="F496" s="290" t="n"/>
    </row>
    <row r="497" ht="13" customHeight="1" s="189">
      <c r="B497" s="290" t="n"/>
      <c r="C497" s="290" t="n"/>
      <c r="D497" s="291" t="n"/>
      <c r="E497" s="290" t="n"/>
      <c r="F497" s="290" t="n"/>
    </row>
    <row r="498" ht="13" customHeight="1" s="189">
      <c r="B498" s="290" t="n"/>
      <c r="C498" s="290" t="n"/>
      <c r="D498" s="291" t="n"/>
      <c r="E498" s="290" t="n"/>
      <c r="F498" s="290" t="n"/>
    </row>
    <row r="499" ht="13" customHeight="1" s="189">
      <c r="B499" s="290" t="n"/>
      <c r="C499" s="290" t="n"/>
      <c r="D499" s="291" t="n"/>
      <c r="E499" s="290" t="n"/>
      <c r="F499" s="290" t="n"/>
    </row>
    <row r="500" ht="13" customHeight="1" s="189">
      <c r="B500" s="290" t="n"/>
      <c r="C500" s="290" t="n"/>
      <c r="D500" s="291" t="n"/>
      <c r="E500" s="290" t="n"/>
      <c r="F500" s="290" t="n"/>
    </row>
    <row r="501" ht="13" customHeight="1" s="189">
      <c r="B501" s="290" t="n"/>
      <c r="C501" s="290" t="n"/>
      <c r="D501" s="291" t="n"/>
      <c r="E501" s="290" t="n"/>
      <c r="F501" s="290" t="n"/>
    </row>
    <row r="502" ht="13" customHeight="1" s="189">
      <c r="B502" s="290" t="n"/>
      <c r="C502" s="290" t="n"/>
      <c r="D502" s="291" t="n"/>
      <c r="E502" s="290" t="n"/>
      <c r="F502" s="290" t="n"/>
    </row>
    <row r="503" ht="13" customHeight="1" s="189">
      <c r="B503" s="290" t="n"/>
      <c r="C503" s="290" t="n"/>
      <c r="D503" s="291" t="n"/>
      <c r="E503" s="290" t="n"/>
      <c r="F503" s="290" t="n"/>
    </row>
    <row r="504" ht="13" customHeight="1" s="189">
      <c r="B504" s="290" t="n"/>
      <c r="C504" s="290" t="n"/>
      <c r="D504" s="291" t="n"/>
      <c r="E504" s="290" t="n"/>
      <c r="F504" s="290" t="n"/>
    </row>
    <row r="505" ht="13" customHeight="1" s="189">
      <c r="B505" s="290" t="n"/>
      <c r="C505" s="290" t="n"/>
      <c r="D505" s="291" t="n"/>
      <c r="E505" s="290" t="n"/>
      <c r="F505" s="290" t="n"/>
    </row>
    <row r="506" ht="13" customHeight="1" s="189">
      <c r="B506" s="290" t="n"/>
      <c r="C506" s="290" t="n"/>
      <c r="D506" s="291" t="n"/>
      <c r="E506" s="290" t="n"/>
      <c r="F506" s="290" t="n"/>
    </row>
    <row r="507" ht="13" customHeight="1" s="189">
      <c r="B507" s="290" t="n"/>
      <c r="C507" s="290" t="n"/>
      <c r="D507" s="291" t="n"/>
      <c r="E507" s="290" t="n"/>
      <c r="F507" s="290" t="n"/>
    </row>
    <row r="508" ht="13" customHeight="1" s="189">
      <c r="B508" s="290" t="n"/>
      <c r="C508" s="290" t="n"/>
      <c r="D508" s="291" t="n"/>
      <c r="E508" s="290" t="n"/>
      <c r="F508" s="290" t="n"/>
    </row>
    <row r="509" ht="13" customHeight="1" s="189">
      <c r="B509" s="290" t="n"/>
      <c r="C509" s="290" t="n"/>
      <c r="D509" s="291" t="n"/>
      <c r="E509" s="290" t="n"/>
      <c r="F509" s="290" t="n"/>
    </row>
    <row r="510" ht="13" customHeight="1" s="189">
      <c r="B510" s="290" t="n"/>
      <c r="C510" s="290" t="n"/>
      <c r="D510" s="291" t="n"/>
      <c r="E510" s="290" t="n"/>
      <c r="F510" s="290" t="n"/>
    </row>
    <row r="511" ht="13" customHeight="1" s="189">
      <c r="B511" s="290" t="n"/>
      <c r="C511" s="290" t="n"/>
      <c r="D511" s="291" t="n"/>
      <c r="E511" s="290" t="n"/>
      <c r="F511" s="290" t="n"/>
    </row>
    <row r="512" ht="13" customHeight="1" s="189">
      <c r="B512" s="290" t="n"/>
      <c r="C512" s="290" t="n"/>
      <c r="D512" s="291" t="n"/>
      <c r="E512" s="290" t="n"/>
      <c r="F512" s="290" t="n"/>
    </row>
    <row r="513" ht="13" customHeight="1" s="189">
      <c r="B513" s="290" t="n"/>
      <c r="C513" s="290" t="n"/>
      <c r="D513" s="291" t="n"/>
      <c r="E513" s="290" t="n"/>
      <c r="F513" s="290" t="n"/>
    </row>
    <row r="514" ht="13" customHeight="1" s="189">
      <c r="B514" s="290" t="n"/>
      <c r="C514" s="290" t="n"/>
      <c r="D514" s="291" t="n"/>
      <c r="E514" s="290" t="n"/>
      <c r="F514" s="290" t="n"/>
    </row>
    <row r="515" ht="13" customHeight="1" s="189">
      <c r="B515" s="290" t="n"/>
      <c r="C515" s="290" t="n"/>
      <c r="D515" s="291" t="n"/>
      <c r="E515" s="290" t="n"/>
      <c r="F515" s="290" t="n"/>
    </row>
    <row r="516" ht="13" customHeight="1" s="189">
      <c r="B516" s="290" t="n"/>
      <c r="C516" s="290" t="n"/>
      <c r="D516" s="291" t="n"/>
      <c r="E516" s="290" t="n"/>
      <c r="F516" s="290" t="n"/>
    </row>
    <row r="517" ht="13" customHeight="1" s="189">
      <c r="B517" s="290" t="n"/>
      <c r="C517" s="290" t="n"/>
      <c r="D517" s="291" t="n"/>
      <c r="E517" s="290" t="n"/>
      <c r="F517" s="290" t="n"/>
    </row>
    <row r="518" ht="13" customHeight="1" s="189">
      <c r="B518" s="290" t="n"/>
      <c r="C518" s="290" t="n"/>
      <c r="D518" s="291" t="n"/>
      <c r="E518" s="290" t="n"/>
      <c r="F518" s="290" t="n"/>
    </row>
    <row r="519" ht="13" customHeight="1" s="189">
      <c r="B519" s="290" t="n"/>
      <c r="C519" s="290" t="n"/>
      <c r="D519" s="291" t="n"/>
      <c r="E519" s="290" t="n"/>
      <c r="F519" s="290" t="n"/>
    </row>
    <row r="520" ht="13" customHeight="1" s="189">
      <c r="B520" s="290" t="n"/>
      <c r="C520" s="290" t="n"/>
      <c r="D520" s="291" t="n"/>
      <c r="E520" s="290" t="n"/>
      <c r="F520" s="290" t="n"/>
    </row>
    <row r="521" ht="13" customHeight="1" s="189">
      <c r="B521" s="290" t="n"/>
      <c r="C521" s="290" t="n"/>
      <c r="D521" s="291" t="n"/>
      <c r="E521" s="290" t="n"/>
      <c r="F521" s="290" t="n"/>
    </row>
    <row r="522" ht="13" customHeight="1" s="189">
      <c r="B522" s="290" t="n"/>
      <c r="C522" s="290" t="n"/>
      <c r="D522" s="291" t="n"/>
      <c r="E522" s="290" t="n"/>
      <c r="F522" s="290" t="n"/>
    </row>
    <row r="523" ht="13" customHeight="1" s="189">
      <c r="B523" s="290" t="n"/>
      <c r="C523" s="290" t="n"/>
      <c r="D523" s="291" t="n"/>
      <c r="E523" s="290" t="n"/>
      <c r="F523" s="290" t="n"/>
    </row>
    <row r="524" ht="13" customHeight="1" s="189">
      <c r="B524" s="290" t="n"/>
      <c r="C524" s="290" t="n"/>
      <c r="D524" s="291" t="n"/>
      <c r="E524" s="290" t="n"/>
      <c r="F524" s="290" t="n"/>
    </row>
    <row r="525" ht="13" customHeight="1" s="189">
      <c r="B525" s="290" t="n"/>
      <c r="C525" s="290" t="n"/>
      <c r="D525" s="291" t="n"/>
      <c r="E525" s="290" t="n"/>
      <c r="F525" s="290" t="n"/>
    </row>
    <row r="526" ht="13" customHeight="1" s="189">
      <c r="B526" s="290" t="n"/>
      <c r="C526" s="290" t="n"/>
      <c r="D526" s="291" t="n"/>
      <c r="E526" s="290" t="n"/>
      <c r="F526" s="290" t="n"/>
    </row>
    <row r="527" ht="13" customHeight="1" s="189">
      <c r="B527" s="290" t="n"/>
      <c r="C527" s="290" t="n"/>
      <c r="D527" s="291" t="n"/>
      <c r="E527" s="290" t="n"/>
      <c r="F527" s="290" t="n"/>
    </row>
    <row r="528" ht="13" customHeight="1" s="189">
      <c r="B528" s="290" t="n"/>
      <c r="C528" s="290" t="n"/>
      <c r="D528" s="291" t="n"/>
      <c r="E528" s="290" t="n"/>
      <c r="F528" s="290" t="n"/>
    </row>
    <row r="529" ht="13" customHeight="1" s="189">
      <c r="B529" s="290" t="n"/>
      <c r="C529" s="290" t="n"/>
      <c r="D529" s="291" t="n"/>
      <c r="E529" s="290" t="n"/>
      <c r="F529" s="290" t="n"/>
    </row>
    <row r="530" ht="13" customHeight="1" s="189">
      <c r="B530" s="290" t="n"/>
      <c r="C530" s="290" t="n"/>
      <c r="D530" s="291" t="n"/>
      <c r="E530" s="290" t="n"/>
      <c r="F530" s="290" t="n"/>
    </row>
    <row r="531" ht="13" customHeight="1" s="189">
      <c r="B531" s="290" t="n"/>
      <c r="C531" s="290" t="n"/>
      <c r="D531" s="291" t="n"/>
      <c r="E531" s="290" t="n"/>
      <c r="F531" s="290" t="n"/>
    </row>
    <row r="532" ht="13" customHeight="1" s="189">
      <c r="B532" s="290" t="n"/>
      <c r="C532" s="290" t="n"/>
      <c r="D532" s="291" t="n"/>
      <c r="E532" s="290" t="n"/>
      <c r="F532" s="290" t="n"/>
    </row>
    <row r="533" ht="13" customHeight="1" s="189">
      <c r="B533" s="290" t="n"/>
      <c r="C533" s="290" t="n"/>
      <c r="D533" s="291" t="n"/>
      <c r="E533" s="290" t="n"/>
      <c r="F533" s="290" t="n"/>
    </row>
    <row r="534" ht="13" customHeight="1" s="189">
      <c r="B534" s="290" t="n"/>
      <c r="C534" s="290" t="n"/>
      <c r="D534" s="291" t="n"/>
      <c r="E534" s="290" t="n"/>
      <c r="F534" s="290" t="n"/>
    </row>
    <row r="535" ht="13" customHeight="1" s="189">
      <c r="B535" s="290" t="n"/>
      <c r="C535" s="290" t="n"/>
      <c r="D535" s="291" t="n"/>
      <c r="E535" s="290" t="n"/>
      <c r="F535" s="290" t="n"/>
    </row>
    <row r="536" ht="13" customHeight="1" s="189">
      <c r="B536" s="290" t="n"/>
      <c r="C536" s="290" t="n"/>
      <c r="D536" s="291" t="n"/>
      <c r="E536" s="290" t="n"/>
      <c r="F536" s="290" t="n"/>
    </row>
    <row r="537" ht="13" customHeight="1" s="189">
      <c r="B537" s="290" t="n"/>
      <c r="C537" s="290" t="n"/>
      <c r="D537" s="291" t="n"/>
      <c r="E537" s="290" t="n"/>
      <c r="F537" s="290" t="n"/>
    </row>
    <row r="538" ht="13" customHeight="1" s="189">
      <c r="B538" s="290" t="n"/>
      <c r="C538" s="290" t="n"/>
      <c r="D538" s="291" t="n"/>
      <c r="E538" s="290" t="n"/>
      <c r="F538" s="290" t="n"/>
    </row>
    <row r="539" ht="13" customHeight="1" s="189">
      <c r="B539" s="290" t="n"/>
      <c r="C539" s="290" t="n"/>
      <c r="D539" s="291" t="n"/>
      <c r="E539" s="290" t="n"/>
      <c r="F539" s="290" t="n"/>
    </row>
    <row r="540" ht="13" customHeight="1" s="189">
      <c r="B540" s="290" t="n"/>
      <c r="C540" s="290" t="n"/>
      <c r="D540" s="291" t="n"/>
      <c r="E540" s="290" t="n"/>
      <c r="F540" s="290" t="n"/>
    </row>
    <row r="541" ht="13" customHeight="1" s="189">
      <c r="B541" s="290" t="n"/>
      <c r="C541" s="290" t="n"/>
      <c r="D541" s="291" t="n"/>
      <c r="E541" s="290" t="n"/>
      <c r="F541" s="290" t="n"/>
    </row>
    <row r="542" ht="13" customHeight="1" s="189">
      <c r="B542" s="290" t="n"/>
      <c r="C542" s="290" t="n"/>
      <c r="D542" s="291" t="n"/>
      <c r="E542" s="290" t="n"/>
      <c r="F542" s="290" t="n"/>
    </row>
    <row r="543" ht="13" customHeight="1" s="189">
      <c r="B543" s="290" t="n"/>
      <c r="C543" s="290" t="n"/>
      <c r="D543" s="291" t="n"/>
      <c r="E543" s="290" t="n"/>
      <c r="F543" s="290" t="n"/>
    </row>
    <row r="544" ht="13" customHeight="1" s="189">
      <c r="B544" s="290" t="n"/>
      <c r="C544" s="290" t="n"/>
      <c r="D544" s="291" t="n"/>
      <c r="E544" s="290" t="n"/>
      <c r="F544" s="290" t="n"/>
    </row>
    <row r="545" ht="13" customHeight="1" s="189">
      <c r="B545" s="290" t="n"/>
      <c r="C545" s="290" t="n"/>
      <c r="D545" s="291" t="n"/>
      <c r="E545" s="290" t="n"/>
      <c r="F545" s="290" t="n"/>
    </row>
    <row r="546" ht="13" customHeight="1" s="189">
      <c r="B546" s="290" t="n"/>
      <c r="C546" s="290" t="n"/>
      <c r="D546" s="291" t="n"/>
      <c r="E546" s="290" t="n"/>
      <c r="F546" s="290" t="n"/>
    </row>
    <row r="547" ht="13" customHeight="1" s="189">
      <c r="B547" s="290" t="n"/>
      <c r="C547" s="290" t="n"/>
      <c r="D547" s="291" t="n"/>
      <c r="E547" s="290" t="n"/>
      <c r="F547" s="290" t="n"/>
    </row>
    <row r="548" ht="13" customHeight="1" s="189">
      <c r="B548" s="290" t="n"/>
      <c r="C548" s="290" t="n"/>
      <c r="D548" s="291" t="n"/>
      <c r="E548" s="290" t="n"/>
      <c r="F548" s="290" t="n"/>
    </row>
    <row r="549" ht="13" customHeight="1" s="189">
      <c r="B549" s="290" t="n"/>
      <c r="C549" s="290" t="n"/>
      <c r="D549" s="291" t="n"/>
      <c r="E549" s="290" t="n"/>
      <c r="F549" s="290" t="n"/>
    </row>
    <row r="550" ht="13" customHeight="1" s="189">
      <c r="B550" s="290" t="n"/>
      <c r="C550" s="290" t="n"/>
      <c r="D550" s="291" t="n"/>
      <c r="E550" s="290" t="n"/>
      <c r="F550" s="290" t="n"/>
    </row>
    <row r="551" ht="13" customHeight="1" s="189">
      <c r="B551" s="290" t="n"/>
      <c r="C551" s="290" t="n"/>
      <c r="D551" s="291" t="n"/>
      <c r="E551" s="290" t="n"/>
      <c r="F551" s="290" t="n"/>
    </row>
    <row r="552" ht="13" customHeight="1" s="189">
      <c r="B552" s="290" t="n"/>
      <c r="C552" s="290" t="n"/>
      <c r="D552" s="291" t="n"/>
      <c r="E552" s="290" t="n"/>
      <c r="F552" s="290" t="n"/>
    </row>
    <row r="553" ht="13" customHeight="1" s="189">
      <c r="B553" s="290" t="n"/>
      <c r="C553" s="290" t="n"/>
      <c r="D553" s="291" t="n"/>
      <c r="E553" s="290" t="n"/>
      <c r="F553" s="290" t="n"/>
    </row>
    <row r="554" ht="13" customHeight="1" s="189">
      <c r="B554" s="290" t="n"/>
      <c r="C554" s="290" t="n"/>
      <c r="D554" s="291" t="n"/>
      <c r="E554" s="290" t="n"/>
      <c r="F554" s="290" t="n"/>
    </row>
    <row r="555" ht="13" customHeight="1" s="189">
      <c r="B555" s="290" t="n"/>
      <c r="C555" s="290" t="n"/>
      <c r="D555" s="291" t="n"/>
      <c r="E555" s="290" t="n"/>
      <c r="F555" s="290" t="n"/>
    </row>
    <row r="556" ht="13" customHeight="1" s="189">
      <c r="B556" s="290" t="n"/>
      <c r="C556" s="290" t="n"/>
      <c r="D556" s="291" t="n"/>
      <c r="E556" s="290" t="n"/>
      <c r="F556" s="290" t="n"/>
    </row>
    <row r="557" ht="13" customHeight="1" s="189">
      <c r="B557" s="290" t="n"/>
      <c r="C557" s="290" t="n"/>
      <c r="D557" s="291" t="n"/>
      <c r="E557" s="290" t="n"/>
      <c r="F557" s="290" t="n"/>
    </row>
    <row r="558" ht="13" customHeight="1" s="189">
      <c r="B558" s="290" t="n"/>
      <c r="C558" s="290" t="n"/>
      <c r="D558" s="291" t="n"/>
      <c r="E558" s="290" t="n"/>
      <c r="F558" s="290" t="n"/>
    </row>
    <row r="559" ht="13" customHeight="1" s="189">
      <c r="B559" s="290" t="n"/>
      <c r="C559" s="290" t="n"/>
      <c r="D559" s="291" t="n"/>
      <c r="E559" s="290" t="n"/>
      <c r="F559" s="290" t="n"/>
    </row>
    <row r="560" ht="13" customHeight="1" s="189">
      <c r="B560" s="290" t="n"/>
      <c r="C560" s="290" t="n"/>
      <c r="D560" s="291" t="n"/>
      <c r="E560" s="290" t="n"/>
      <c r="F560" s="290" t="n"/>
    </row>
    <row r="561" ht="13" customHeight="1" s="189">
      <c r="B561" s="290" t="n"/>
      <c r="C561" s="290" t="n"/>
      <c r="D561" s="291" t="n"/>
      <c r="E561" s="290" t="n"/>
      <c r="F561" s="290" t="n"/>
    </row>
    <row r="562" ht="13" customHeight="1" s="189">
      <c r="B562" s="290" t="n"/>
      <c r="C562" s="290" t="n"/>
      <c r="D562" s="291" t="n"/>
      <c r="E562" s="290" t="n"/>
      <c r="F562" s="290" t="n"/>
    </row>
    <row r="563" ht="13" customHeight="1" s="189">
      <c r="B563" s="290" t="n"/>
      <c r="C563" s="290" t="n"/>
      <c r="D563" s="291" t="n"/>
      <c r="E563" s="290" t="n"/>
      <c r="F563" s="290" t="n"/>
    </row>
    <row r="564" ht="13" customHeight="1" s="189">
      <c r="B564" s="290" t="n"/>
      <c r="C564" s="290" t="n"/>
      <c r="D564" s="291" t="n"/>
      <c r="E564" s="290" t="n"/>
      <c r="F564" s="290" t="n"/>
    </row>
    <row r="565" ht="13" customHeight="1" s="189">
      <c r="B565" s="290" t="n"/>
      <c r="C565" s="290" t="n"/>
      <c r="D565" s="291" t="n"/>
      <c r="E565" s="290" t="n"/>
      <c r="F565" s="290" t="n"/>
    </row>
    <row r="566" ht="13" customHeight="1" s="189">
      <c r="B566" s="290" t="n"/>
      <c r="C566" s="290" t="n"/>
      <c r="D566" s="291" t="n"/>
      <c r="E566" s="290" t="n"/>
      <c r="F566" s="290" t="n"/>
    </row>
    <row r="567" ht="13" customHeight="1" s="189">
      <c r="B567" s="290" t="n"/>
      <c r="C567" s="290" t="n"/>
      <c r="D567" s="291" t="n"/>
      <c r="E567" s="290" t="n"/>
      <c r="F567" s="290" t="n"/>
    </row>
    <row r="568" ht="13" customHeight="1" s="189">
      <c r="B568" s="290" t="n"/>
      <c r="C568" s="290" t="n"/>
      <c r="D568" s="291" t="n"/>
      <c r="E568" s="290" t="n"/>
      <c r="F568" s="290" t="n"/>
    </row>
    <row r="569" ht="13" customHeight="1" s="189">
      <c r="B569" s="290" t="n"/>
      <c r="C569" s="290" t="n"/>
      <c r="D569" s="291" t="n"/>
      <c r="E569" s="290" t="n"/>
      <c r="F569" s="290" t="n"/>
    </row>
    <row r="570" ht="13" customHeight="1" s="189">
      <c r="B570" s="290" t="n"/>
      <c r="C570" s="290" t="n"/>
      <c r="D570" s="291" t="n"/>
      <c r="E570" s="290" t="n"/>
      <c r="F570" s="290" t="n"/>
    </row>
    <row r="571" ht="13" customHeight="1" s="189">
      <c r="B571" s="290" t="n"/>
      <c r="C571" s="290" t="n"/>
      <c r="D571" s="291" t="n"/>
      <c r="E571" s="290" t="n"/>
      <c r="F571" s="290" t="n"/>
    </row>
    <row r="572" ht="13" customHeight="1" s="189">
      <c r="B572" s="290" t="n"/>
      <c r="C572" s="290" t="n"/>
      <c r="D572" s="291" t="n"/>
      <c r="E572" s="290" t="n"/>
      <c r="F572" s="290" t="n"/>
    </row>
    <row r="573" ht="13" customHeight="1" s="189">
      <c r="B573" s="290" t="n"/>
      <c r="C573" s="290" t="n"/>
      <c r="D573" s="291" t="n"/>
      <c r="E573" s="290" t="n"/>
      <c r="F573" s="290" t="n"/>
    </row>
    <row r="574" ht="13" customHeight="1" s="189">
      <c r="B574" s="290" t="n"/>
      <c r="C574" s="290" t="n"/>
      <c r="D574" s="291" t="n"/>
      <c r="E574" s="290" t="n"/>
      <c r="F574" s="290" t="n"/>
    </row>
    <row r="575" ht="13" customHeight="1" s="189">
      <c r="B575" s="290" t="n"/>
      <c r="C575" s="290" t="n"/>
      <c r="D575" s="291" t="n"/>
      <c r="E575" s="290" t="n"/>
      <c r="F575" s="290" t="n"/>
    </row>
    <row r="576" ht="13" customHeight="1" s="189">
      <c r="B576" s="290" t="n"/>
      <c r="C576" s="290" t="n"/>
      <c r="D576" s="291" t="n"/>
      <c r="E576" s="290" t="n"/>
      <c r="F576" s="290" t="n"/>
    </row>
    <row r="577" ht="13" customHeight="1" s="189">
      <c r="B577" s="290" t="n"/>
      <c r="C577" s="290" t="n"/>
      <c r="D577" s="291" t="n"/>
      <c r="E577" s="290" t="n"/>
      <c r="F577" s="290" t="n"/>
    </row>
    <row r="578" ht="13" customHeight="1" s="189">
      <c r="B578" s="290" t="n"/>
      <c r="C578" s="290" t="n"/>
      <c r="D578" s="291" t="n"/>
      <c r="E578" s="290" t="n"/>
      <c r="F578" s="290" t="n"/>
    </row>
    <row r="579" ht="13" customHeight="1" s="189">
      <c r="B579" s="290" t="n"/>
      <c r="C579" s="290" t="n"/>
      <c r="D579" s="291" t="n"/>
      <c r="E579" s="290" t="n"/>
      <c r="F579" s="290" t="n"/>
    </row>
    <row r="580" ht="13" customHeight="1" s="189">
      <c r="B580" s="290" t="n"/>
      <c r="C580" s="290" t="n"/>
      <c r="D580" s="291" t="n"/>
      <c r="E580" s="290" t="n"/>
      <c r="F580" s="290" t="n"/>
    </row>
    <row r="581" ht="13" customHeight="1" s="189">
      <c r="B581" s="290" t="n"/>
      <c r="C581" s="290" t="n"/>
      <c r="D581" s="291" t="n"/>
      <c r="E581" s="290" t="n"/>
      <c r="F581" s="290" t="n"/>
    </row>
    <row r="582" ht="13" customHeight="1" s="189">
      <c r="B582" s="290" t="n"/>
      <c r="C582" s="290" t="n"/>
      <c r="D582" s="291" t="n"/>
      <c r="E582" s="290" t="n"/>
      <c r="F582" s="290" t="n"/>
    </row>
    <row r="583" ht="13" customHeight="1" s="189">
      <c r="B583" s="290" t="n"/>
      <c r="C583" s="290" t="n"/>
      <c r="D583" s="291" t="n"/>
      <c r="E583" s="290" t="n"/>
      <c r="F583" s="290" t="n"/>
    </row>
    <row r="584" ht="13" customHeight="1" s="189">
      <c r="B584" s="290" t="n"/>
      <c r="C584" s="290" t="n"/>
      <c r="D584" s="291" t="n"/>
      <c r="E584" s="290" t="n"/>
      <c r="F584" s="290" t="n"/>
    </row>
    <row r="585" ht="13" customHeight="1" s="189">
      <c r="B585" s="290" t="n"/>
      <c r="C585" s="290" t="n"/>
      <c r="D585" s="291" t="n"/>
      <c r="E585" s="290" t="n"/>
      <c r="F585" s="290" t="n"/>
    </row>
    <row r="586" ht="13" customHeight="1" s="189">
      <c r="B586" s="290" t="n"/>
      <c r="C586" s="290" t="n"/>
      <c r="D586" s="291" t="n"/>
      <c r="E586" s="290" t="n"/>
      <c r="F586" s="290" t="n"/>
    </row>
    <row r="587" ht="13" customHeight="1" s="189">
      <c r="B587" s="290" t="n"/>
      <c r="C587" s="290" t="n"/>
      <c r="D587" s="291" t="n"/>
      <c r="E587" s="290" t="n"/>
      <c r="F587" s="290" t="n"/>
    </row>
    <row r="588" ht="13" customHeight="1" s="189">
      <c r="B588" s="290" t="n"/>
      <c r="C588" s="290" t="n"/>
      <c r="D588" s="291" t="n"/>
      <c r="E588" s="290" t="n"/>
      <c r="F588" s="290" t="n"/>
    </row>
    <row r="589" ht="13" customHeight="1" s="189">
      <c r="B589" s="290" t="n"/>
      <c r="C589" s="290" t="n"/>
      <c r="D589" s="291" t="n"/>
      <c r="E589" s="290" t="n"/>
      <c r="F589" s="290" t="n"/>
    </row>
    <row r="590" ht="13" customHeight="1" s="189">
      <c r="B590" s="290" t="n"/>
      <c r="C590" s="290" t="n"/>
      <c r="D590" s="291" t="n"/>
      <c r="E590" s="290" t="n"/>
      <c r="F590" s="290" t="n"/>
    </row>
    <row r="591" ht="13" customHeight="1" s="189">
      <c r="B591" s="290" t="n"/>
      <c r="C591" s="290" t="n"/>
      <c r="D591" s="291" t="n"/>
      <c r="E591" s="290" t="n"/>
      <c r="F591" s="290" t="n"/>
    </row>
    <row r="592" ht="13" customHeight="1" s="189">
      <c r="B592" s="290" t="n"/>
      <c r="C592" s="290" t="n"/>
      <c r="D592" s="291" t="n"/>
      <c r="E592" s="290" t="n"/>
      <c r="F592" s="290" t="n"/>
    </row>
    <row r="593" ht="13" customHeight="1" s="189">
      <c r="B593" s="290" t="n"/>
      <c r="C593" s="290" t="n"/>
      <c r="D593" s="291" t="n"/>
      <c r="E593" s="290" t="n"/>
      <c r="F593" s="290" t="n"/>
    </row>
    <row r="594" ht="13" customHeight="1" s="189">
      <c r="B594" s="290" t="n"/>
      <c r="C594" s="290" t="n"/>
      <c r="D594" s="291" t="n"/>
      <c r="E594" s="290" t="n"/>
      <c r="F594" s="290" t="n"/>
    </row>
    <row r="595" ht="13" customHeight="1" s="189">
      <c r="B595" s="290" t="n"/>
      <c r="C595" s="290" t="n"/>
      <c r="D595" s="291" t="n"/>
      <c r="E595" s="290" t="n"/>
      <c r="F595" s="290" t="n"/>
    </row>
    <row r="596" ht="13" customHeight="1" s="189">
      <c r="B596" s="290" t="n"/>
      <c r="C596" s="290" t="n"/>
      <c r="D596" s="291" t="n"/>
      <c r="E596" s="290" t="n"/>
      <c r="F596" s="290" t="n"/>
    </row>
    <row r="597" ht="13" customHeight="1" s="189">
      <c r="B597" s="290" t="n"/>
      <c r="C597" s="290" t="n"/>
      <c r="D597" s="291" t="n"/>
      <c r="E597" s="290" t="n"/>
      <c r="F597" s="290" t="n"/>
    </row>
    <row r="598" ht="13" customHeight="1" s="189">
      <c r="B598" s="290" t="n"/>
      <c r="C598" s="290" t="n"/>
      <c r="D598" s="291" t="n"/>
      <c r="E598" s="290" t="n"/>
      <c r="F598" s="290" t="n"/>
    </row>
    <row r="599" ht="13" customHeight="1" s="189">
      <c r="B599" s="290" t="n"/>
      <c r="C599" s="290" t="n"/>
      <c r="D599" s="291" t="n"/>
      <c r="E599" s="290" t="n"/>
      <c r="F599" s="290" t="n"/>
    </row>
    <row r="600" ht="13" customHeight="1" s="189">
      <c r="B600" s="290" t="n"/>
      <c r="C600" s="290" t="n"/>
      <c r="D600" s="291" t="n"/>
      <c r="E600" s="290" t="n"/>
      <c r="F600" s="290" t="n"/>
    </row>
    <row r="601" ht="13" customHeight="1" s="189">
      <c r="B601" s="290" t="n"/>
      <c r="C601" s="290" t="n"/>
      <c r="D601" s="291" t="n"/>
      <c r="E601" s="290" t="n"/>
      <c r="F601" s="290" t="n"/>
    </row>
    <row r="602" ht="13" customHeight="1" s="189">
      <c r="B602" s="290" t="n"/>
      <c r="C602" s="290" t="n"/>
      <c r="D602" s="291" t="n"/>
      <c r="E602" s="290" t="n"/>
      <c r="F602" s="290" t="n"/>
    </row>
    <row r="603" ht="13" customHeight="1" s="189">
      <c r="B603" s="290" t="n"/>
      <c r="C603" s="290" t="n"/>
      <c r="D603" s="291" t="n"/>
      <c r="E603" s="290" t="n"/>
      <c r="F603" s="290" t="n"/>
    </row>
    <row r="604" ht="13" customHeight="1" s="189">
      <c r="B604" s="290" t="n"/>
      <c r="C604" s="290" t="n"/>
      <c r="D604" s="291" t="n"/>
      <c r="E604" s="290" t="n"/>
      <c r="F604" s="290" t="n"/>
    </row>
    <row r="605" ht="13" customHeight="1" s="189">
      <c r="B605" s="290" t="n"/>
      <c r="C605" s="290" t="n"/>
      <c r="D605" s="291" t="n"/>
      <c r="E605" s="290" t="n"/>
      <c r="F605" s="290" t="n"/>
    </row>
    <row r="606" ht="13" customHeight="1" s="189">
      <c r="B606" s="290" t="n"/>
      <c r="C606" s="290" t="n"/>
      <c r="D606" s="291" t="n"/>
      <c r="E606" s="290" t="n"/>
      <c r="F606" s="290" t="n"/>
    </row>
    <row r="607" ht="13" customHeight="1" s="189">
      <c r="B607" s="290" t="n"/>
      <c r="C607" s="290" t="n"/>
      <c r="D607" s="291" t="n"/>
      <c r="E607" s="290" t="n"/>
      <c r="F607" s="290" t="n"/>
    </row>
    <row r="608" ht="13" customHeight="1" s="189">
      <c r="B608" s="290" t="n"/>
      <c r="C608" s="290" t="n"/>
      <c r="D608" s="291" t="n"/>
      <c r="E608" s="290" t="n"/>
      <c r="F608" s="290" t="n"/>
    </row>
    <row r="609" ht="13" customHeight="1" s="189">
      <c r="B609" s="290" t="n"/>
      <c r="C609" s="290" t="n"/>
      <c r="D609" s="291" t="n"/>
      <c r="E609" s="290" t="n"/>
      <c r="F609" s="290" t="n"/>
    </row>
    <row r="610" ht="13" customHeight="1" s="189">
      <c r="B610" s="290" t="n"/>
      <c r="C610" s="290" t="n"/>
      <c r="D610" s="291" t="n"/>
      <c r="E610" s="290" t="n"/>
      <c r="F610" s="290" t="n"/>
    </row>
    <row r="611" ht="13" customHeight="1" s="189">
      <c r="B611" s="290" t="n"/>
      <c r="C611" s="290" t="n"/>
      <c r="D611" s="291" t="n"/>
      <c r="E611" s="290" t="n"/>
      <c r="F611" s="290" t="n"/>
    </row>
    <row r="612" ht="13" customHeight="1" s="189">
      <c r="B612" s="290" t="n"/>
      <c r="C612" s="290" t="n"/>
      <c r="D612" s="291" t="n"/>
      <c r="E612" s="290" t="n"/>
      <c r="F612" s="290" t="n"/>
    </row>
    <row r="613" ht="13" customHeight="1" s="189">
      <c r="B613" s="290" t="n"/>
      <c r="C613" s="290" t="n"/>
      <c r="D613" s="291" t="n"/>
      <c r="E613" s="290" t="n"/>
      <c r="F613" s="290" t="n"/>
    </row>
    <row r="614" ht="13" customHeight="1" s="189">
      <c r="B614" s="290" t="n"/>
      <c r="C614" s="290" t="n"/>
      <c r="D614" s="291" t="n"/>
      <c r="E614" s="290" t="n"/>
      <c r="F614" s="290" t="n"/>
    </row>
    <row r="615" ht="13" customHeight="1" s="189">
      <c r="B615" s="290" t="n"/>
      <c r="C615" s="290" t="n"/>
      <c r="D615" s="291" t="n"/>
      <c r="E615" s="290" t="n"/>
      <c r="F615" s="290" t="n"/>
    </row>
    <row r="616" ht="13" customHeight="1" s="189">
      <c r="B616" s="290" t="n"/>
      <c r="C616" s="290" t="n"/>
      <c r="D616" s="291" t="n"/>
      <c r="E616" s="290" t="n"/>
      <c r="F616" s="290" t="n"/>
    </row>
    <row r="617" ht="13" customHeight="1" s="189">
      <c r="B617" s="290" t="n"/>
      <c r="C617" s="290" t="n"/>
      <c r="D617" s="291" t="n"/>
      <c r="E617" s="290" t="n"/>
      <c r="F617" s="290" t="n"/>
    </row>
    <row r="618" ht="13" customHeight="1" s="189">
      <c r="B618" s="290" t="n"/>
      <c r="C618" s="290" t="n"/>
      <c r="D618" s="291" t="n"/>
      <c r="E618" s="290" t="n"/>
      <c r="F618" s="290" t="n"/>
    </row>
    <row r="619" ht="13" customHeight="1" s="189">
      <c r="B619" s="290" t="n"/>
      <c r="C619" s="290" t="n"/>
      <c r="D619" s="291" t="n"/>
      <c r="E619" s="290" t="n"/>
      <c r="F619" s="290" t="n"/>
    </row>
    <row r="620" ht="13" customHeight="1" s="189">
      <c r="B620" s="290" t="n"/>
      <c r="C620" s="290" t="n"/>
      <c r="D620" s="291" t="n"/>
      <c r="E620" s="290" t="n"/>
      <c r="F620" s="290" t="n"/>
    </row>
    <row r="621" ht="13" customHeight="1" s="189">
      <c r="B621" s="290" t="n"/>
      <c r="C621" s="290" t="n"/>
      <c r="D621" s="291" t="n"/>
      <c r="E621" s="290" t="n"/>
      <c r="F621" s="290" t="n"/>
    </row>
    <row r="622" ht="13" customHeight="1" s="189">
      <c r="B622" s="290" t="n"/>
      <c r="C622" s="290" t="n"/>
      <c r="D622" s="291" t="n"/>
      <c r="E622" s="290" t="n"/>
      <c r="F622" s="290" t="n"/>
    </row>
    <row r="623" ht="13" customHeight="1" s="189">
      <c r="B623" s="290" t="n"/>
      <c r="C623" s="290" t="n"/>
      <c r="D623" s="291" t="n"/>
      <c r="E623" s="290" t="n"/>
      <c r="F623" s="290" t="n"/>
    </row>
    <row r="624" ht="13" customHeight="1" s="189">
      <c r="B624" s="290" t="n"/>
      <c r="C624" s="290" t="n"/>
      <c r="D624" s="291" t="n"/>
      <c r="E624" s="290" t="n"/>
      <c r="F624" s="290" t="n"/>
    </row>
    <row r="625" ht="13" customHeight="1" s="189">
      <c r="B625" s="290" t="n"/>
      <c r="C625" s="290" t="n"/>
      <c r="D625" s="291" t="n"/>
      <c r="E625" s="290" t="n"/>
      <c r="F625" s="290" t="n"/>
    </row>
    <row r="626" ht="13" customHeight="1" s="189">
      <c r="B626" s="290" t="n"/>
      <c r="C626" s="290" t="n"/>
      <c r="D626" s="291" t="n"/>
      <c r="E626" s="290" t="n"/>
      <c r="F626" s="290" t="n"/>
    </row>
    <row r="627" ht="13" customHeight="1" s="189">
      <c r="B627" s="290" t="n"/>
      <c r="C627" s="290" t="n"/>
      <c r="D627" s="291" t="n"/>
      <c r="E627" s="290" t="n"/>
      <c r="F627" s="290" t="n"/>
    </row>
    <row r="628" ht="13" customHeight="1" s="189">
      <c r="B628" s="290" t="n"/>
      <c r="C628" s="290" t="n"/>
      <c r="D628" s="291" t="n"/>
      <c r="E628" s="290" t="n"/>
      <c r="F628" s="290" t="n"/>
    </row>
    <row r="629" ht="13" customHeight="1" s="189">
      <c r="B629" s="290" t="n"/>
      <c r="C629" s="290" t="n"/>
      <c r="D629" s="291" t="n"/>
      <c r="E629" s="290" t="n"/>
      <c r="F629" s="290" t="n"/>
    </row>
    <row r="630" ht="13" customHeight="1" s="189">
      <c r="B630" s="290" t="n"/>
      <c r="C630" s="290" t="n"/>
      <c r="D630" s="291" t="n"/>
      <c r="E630" s="290" t="n"/>
      <c r="F630" s="290" t="n"/>
    </row>
    <row r="631" ht="13" customHeight="1" s="189">
      <c r="B631" s="290" t="n"/>
      <c r="C631" s="290" t="n"/>
      <c r="D631" s="291" t="n"/>
      <c r="E631" s="290" t="n"/>
      <c r="F631" s="290" t="n"/>
    </row>
    <row r="632" ht="13" customHeight="1" s="189">
      <c r="B632" s="290" t="n"/>
      <c r="C632" s="290" t="n"/>
      <c r="D632" s="291" t="n"/>
      <c r="E632" s="290" t="n"/>
      <c r="F632" s="290" t="n"/>
    </row>
    <row r="633" ht="13" customHeight="1" s="189">
      <c r="B633" s="290" t="n"/>
      <c r="C633" s="290" t="n"/>
      <c r="D633" s="291" t="n"/>
      <c r="E633" s="290" t="n"/>
      <c r="F633" s="290" t="n"/>
    </row>
    <row r="634" ht="13" customHeight="1" s="189">
      <c r="B634" s="290" t="n"/>
      <c r="C634" s="290" t="n"/>
      <c r="D634" s="291" t="n"/>
      <c r="E634" s="290" t="n"/>
      <c r="F634" s="290" t="n"/>
    </row>
    <row r="635" ht="13" customHeight="1" s="189">
      <c r="B635" s="290" t="n"/>
      <c r="C635" s="290" t="n"/>
      <c r="D635" s="291" t="n"/>
      <c r="E635" s="290" t="n"/>
      <c r="F635" s="290" t="n"/>
    </row>
    <row r="636" ht="13" customHeight="1" s="189">
      <c r="B636" s="290" t="n"/>
      <c r="C636" s="290" t="n"/>
      <c r="D636" s="291" t="n"/>
      <c r="E636" s="290" t="n"/>
      <c r="F636" s="290" t="n"/>
    </row>
    <row r="637" ht="13" customHeight="1" s="189">
      <c r="B637" s="290" t="n"/>
      <c r="C637" s="290" t="n"/>
      <c r="D637" s="291" t="n"/>
      <c r="E637" s="290" t="n"/>
      <c r="F637" s="290" t="n"/>
    </row>
    <row r="638" ht="13" customHeight="1" s="189">
      <c r="B638" s="290" t="n"/>
      <c r="C638" s="290" t="n"/>
      <c r="D638" s="291" t="n"/>
      <c r="E638" s="290" t="n"/>
      <c r="F638" s="290" t="n"/>
    </row>
    <row r="639" ht="13" customHeight="1" s="189">
      <c r="B639" s="290" t="n"/>
      <c r="C639" s="290" t="n"/>
      <c r="D639" s="291" t="n"/>
      <c r="E639" s="290" t="n"/>
      <c r="F639" s="290" t="n"/>
    </row>
    <row r="640" ht="13" customHeight="1" s="189">
      <c r="B640" s="290" t="n"/>
      <c r="C640" s="290" t="n"/>
      <c r="D640" s="291" t="n"/>
      <c r="E640" s="290" t="n"/>
      <c r="F640" s="290" t="n"/>
    </row>
    <row r="641" ht="13" customHeight="1" s="189">
      <c r="B641" s="290" t="n"/>
      <c r="C641" s="290" t="n"/>
      <c r="D641" s="291" t="n"/>
      <c r="E641" s="290" t="n"/>
      <c r="F641" s="290" t="n"/>
    </row>
    <row r="642" ht="13" customHeight="1" s="189">
      <c r="B642" s="290" t="n"/>
      <c r="C642" s="290" t="n"/>
      <c r="D642" s="291" t="n"/>
      <c r="E642" s="290" t="n"/>
      <c r="F642" s="290" t="n"/>
    </row>
    <row r="643" ht="13" customHeight="1" s="189">
      <c r="B643" s="290" t="n"/>
      <c r="C643" s="290" t="n"/>
      <c r="D643" s="291" t="n"/>
      <c r="E643" s="290" t="n"/>
      <c r="F643" s="290" t="n"/>
    </row>
    <row r="644" ht="13" customHeight="1" s="189">
      <c r="B644" s="290" t="n"/>
      <c r="C644" s="290" t="n"/>
      <c r="D644" s="291" t="n"/>
      <c r="E644" s="290" t="n"/>
      <c r="F644" s="290" t="n"/>
    </row>
    <row r="645" ht="13" customHeight="1" s="189">
      <c r="B645" s="290" t="n"/>
      <c r="C645" s="290" t="n"/>
      <c r="D645" s="291" t="n"/>
      <c r="E645" s="290" t="n"/>
      <c r="F645" s="290" t="n"/>
    </row>
    <row r="646" ht="13" customHeight="1" s="189">
      <c r="B646" s="290" t="n"/>
      <c r="C646" s="290" t="n"/>
      <c r="D646" s="291" t="n"/>
      <c r="E646" s="290" t="n"/>
      <c r="F646" s="290" t="n"/>
    </row>
    <row r="647" ht="13" customHeight="1" s="189">
      <c r="B647" s="290" t="n"/>
      <c r="C647" s="290" t="n"/>
      <c r="D647" s="291" t="n"/>
      <c r="E647" s="290" t="n"/>
      <c r="F647" s="290" t="n"/>
    </row>
    <row r="648" ht="13" customHeight="1" s="189">
      <c r="B648" s="290" t="n"/>
      <c r="C648" s="290" t="n"/>
      <c r="D648" s="291" t="n"/>
      <c r="E648" s="290" t="n"/>
      <c r="F648" s="290" t="n"/>
    </row>
    <row r="649" ht="13" customHeight="1" s="189">
      <c r="B649" s="290" t="n"/>
      <c r="C649" s="290" t="n"/>
      <c r="D649" s="291" t="n"/>
      <c r="E649" s="290" t="n"/>
      <c r="F649" s="290" t="n"/>
    </row>
    <row r="650" ht="13" customHeight="1" s="189">
      <c r="B650" s="290" t="n"/>
      <c r="C650" s="290" t="n"/>
      <c r="D650" s="291" t="n"/>
      <c r="E650" s="290" t="n"/>
      <c r="F650" s="290" t="n"/>
    </row>
    <row r="651" ht="13" customHeight="1" s="189">
      <c r="B651" s="290" t="n"/>
      <c r="C651" s="290" t="n"/>
      <c r="D651" s="291" t="n"/>
      <c r="E651" s="290" t="n"/>
      <c r="F651" s="290" t="n"/>
    </row>
    <row r="652" ht="13" customHeight="1" s="189">
      <c r="B652" s="290" t="n"/>
      <c r="C652" s="290" t="n"/>
      <c r="D652" s="291" t="n"/>
      <c r="E652" s="290" t="n"/>
      <c r="F652" s="290" t="n"/>
    </row>
    <row r="653" ht="13" customHeight="1" s="189">
      <c r="B653" s="290" t="n"/>
      <c r="C653" s="290" t="n"/>
      <c r="D653" s="291" t="n"/>
      <c r="E653" s="290" t="n"/>
      <c r="F653" s="290" t="n"/>
    </row>
    <row r="654" ht="13" customHeight="1" s="189">
      <c r="B654" s="290" t="n"/>
      <c r="C654" s="290" t="n"/>
      <c r="D654" s="291" t="n"/>
      <c r="E654" s="290" t="n"/>
      <c r="F654" s="290" t="n"/>
    </row>
    <row r="655" ht="13" customHeight="1" s="189">
      <c r="B655" s="290" t="n"/>
      <c r="C655" s="290" t="n"/>
      <c r="D655" s="291" t="n"/>
      <c r="E655" s="290" t="n"/>
      <c r="F655" s="290" t="n"/>
    </row>
    <row r="656" ht="13" customHeight="1" s="189">
      <c r="B656" s="290" t="n"/>
      <c r="C656" s="290" t="n"/>
      <c r="D656" s="291" t="n"/>
      <c r="E656" s="290" t="n"/>
      <c r="F656" s="290" t="n"/>
    </row>
    <row r="657" ht="13" customHeight="1" s="189">
      <c r="B657" s="290" t="n"/>
      <c r="C657" s="290" t="n"/>
      <c r="D657" s="291" t="n"/>
      <c r="E657" s="290" t="n"/>
      <c r="F657" s="290" t="n"/>
    </row>
    <row r="658" ht="13" customHeight="1" s="189">
      <c r="B658" s="290" t="n"/>
      <c r="C658" s="290" t="n"/>
      <c r="D658" s="291" t="n"/>
      <c r="E658" s="290" t="n"/>
      <c r="F658" s="290" t="n"/>
    </row>
    <row r="659" ht="13" customHeight="1" s="189">
      <c r="B659" s="290" t="n"/>
      <c r="C659" s="290" t="n"/>
      <c r="D659" s="291" t="n"/>
      <c r="E659" s="290" t="n"/>
      <c r="F659" s="290" t="n"/>
    </row>
    <row r="660" ht="13" customHeight="1" s="189">
      <c r="B660" s="290" t="n"/>
      <c r="C660" s="290" t="n"/>
      <c r="D660" s="291" t="n"/>
      <c r="E660" s="290" t="n"/>
      <c r="F660" s="290" t="n"/>
    </row>
    <row r="661" ht="13" customHeight="1" s="189">
      <c r="B661" s="290" t="n"/>
      <c r="C661" s="290" t="n"/>
      <c r="D661" s="291" t="n"/>
      <c r="E661" s="290" t="n"/>
      <c r="F661" s="290" t="n"/>
    </row>
    <row r="662" ht="13" customHeight="1" s="189">
      <c r="B662" s="290" t="n"/>
      <c r="C662" s="290" t="n"/>
      <c r="D662" s="291" t="n"/>
      <c r="E662" s="290" t="n"/>
      <c r="F662" s="290" t="n"/>
    </row>
    <row r="663" ht="13" customHeight="1" s="189">
      <c r="B663" s="290" t="n"/>
      <c r="C663" s="290" t="n"/>
      <c r="D663" s="291" t="n"/>
      <c r="E663" s="290" t="n"/>
      <c r="F663" s="290" t="n"/>
    </row>
    <row r="664" ht="13" customHeight="1" s="189">
      <c r="B664" s="290" t="n"/>
      <c r="C664" s="290" t="n"/>
      <c r="D664" s="291" t="n"/>
      <c r="E664" s="290" t="n"/>
      <c r="F664" s="290" t="n"/>
    </row>
    <row r="665" ht="13" customHeight="1" s="189">
      <c r="B665" s="290" t="n"/>
      <c r="C665" s="290" t="n"/>
      <c r="D665" s="291" t="n"/>
      <c r="E665" s="290" t="n"/>
      <c r="F665" s="290" t="n"/>
    </row>
    <row r="666" ht="13" customHeight="1" s="189">
      <c r="B666" s="290" t="n"/>
      <c r="C666" s="290" t="n"/>
      <c r="D666" s="291" t="n"/>
      <c r="E666" s="290" t="n"/>
      <c r="F666" s="290" t="n"/>
    </row>
    <row r="667" ht="13" customHeight="1" s="189">
      <c r="B667" s="290" t="n"/>
      <c r="C667" s="290" t="n"/>
      <c r="D667" s="291" t="n"/>
      <c r="E667" s="290" t="n"/>
      <c r="F667" s="290" t="n"/>
    </row>
    <row r="668" ht="13" customHeight="1" s="189">
      <c r="B668" s="290" t="n"/>
      <c r="C668" s="290" t="n"/>
      <c r="D668" s="291" t="n"/>
      <c r="E668" s="290" t="n"/>
      <c r="F668" s="290" t="n"/>
    </row>
    <row r="669" ht="13" customHeight="1" s="189">
      <c r="B669" s="290" t="n"/>
      <c r="C669" s="290" t="n"/>
      <c r="D669" s="291" t="n"/>
      <c r="E669" s="290" t="n"/>
      <c r="F669" s="290" t="n"/>
    </row>
    <row r="670" ht="13" customHeight="1" s="189">
      <c r="B670" s="290" t="n"/>
      <c r="C670" s="290" t="n"/>
      <c r="D670" s="291" t="n"/>
      <c r="E670" s="290" t="n"/>
      <c r="F670" s="290" t="n"/>
    </row>
    <row r="671" ht="13" customHeight="1" s="189">
      <c r="B671" s="290" t="n"/>
      <c r="C671" s="290" t="n"/>
      <c r="D671" s="291" t="n"/>
      <c r="E671" s="290" t="n"/>
      <c r="F671" s="290" t="n"/>
    </row>
    <row r="672" ht="13" customHeight="1" s="189">
      <c r="B672" s="290" t="n"/>
      <c r="C672" s="290" t="n"/>
      <c r="D672" s="291" t="n"/>
      <c r="E672" s="290" t="n"/>
      <c r="F672" s="290" t="n"/>
    </row>
    <row r="673" ht="13" customHeight="1" s="189">
      <c r="B673" s="290" t="n"/>
      <c r="C673" s="290" t="n"/>
      <c r="D673" s="291" t="n"/>
      <c r="E673" s="290" t="n"/>
      <c r="F673" s="290" t="n"/>
    </row>
    <row r="674" ht="13" customHeight="1" s="189">
      <c r="B674" s="290" t="n"/>
      <c r="C674" s="290" t="n"/>
      <c r="D674" s="291" t="n"/>
      <c r="E674" s="290" t="n"/>
      <c r="F674" s="290" t="n"/>
    </row>
    <row r="675" ht="13" customHeight="1" s="189">
      <c r="B675" s="290" t="n"/>
      <c r="C675" s="290" t="n"/>
      <c r="D675" s="291" t="n"/>
      <c r="E675" s="290" t="n"/>
      <c r="F675" s="290" t="n"/>
    </row>
    <row r="676" ht="13" customHeight="1" s="189">
      <c r="B676" s="290" t="n"/>
      <c r="C676" s="290" t="n"/>
      <c r="D676" s="291" t="n"/>
      <c r="E676" s="290" t="n"/>
      <c r="F676" s="290" t="n"/>
    </row>
    <row r="677" ht="13" customHeight="1" s="189">
      <c r="B677" s="290" t="n"/>
      <c r="C677" s="290" t="n"/>
      <c r="D677" s="291" t="n"/>
      <c r="E677" s="290" t="n"/>
      <c r="F677" s="290" t="n"/>
    </row>
    <row r="678" ht="13" customHeight="1" s="189">
      <c r="B678" s="290" t="n"/>
      <c r="C678" s="290" t="n"/>
      <c r="D678" s="291" t="n"/>
      <c r="E678" s="290" t="n"/>
      <c r="F678" s="290" t="n"/>
    </row>
    <row r="679" ht="13" customHeight="1" s="189">
      <c r="B679" s="290" t="n"/>
      <c r="C679" s="290" t="n"/>
      <c r="D679" s="291" t="n"/>
      <c r="E679" s="290" t="n"/>
      <c r="F679" s="290" t="n"/>
    </row>
    <row r="680" ht="13" customHeight="1" s="189">
      <c r="B680" s="290" t="n"/>
      <c r="C680" s="290" t="n"/>
      <c r="D680" s="291" t="n"/>
      <c r="E680" s="290" t="n"/>
      <c r="F680" s="290" t="n"/>
    </row>
    <row r="681" ht="13" customHeight="1" s="189">
      <c r="B681" s="290" t="n"/>
      <c r="C681" s="290" t="n"/>
      <c r="D681" s="291" t="n"/>
      <c r="E681" s="290" t="n"/>
      <c r="F681" s="290" t="n"/>
    </row>
    <row r="682" ht="13" customHeight="1" s="189">
      <c r="B682" s="290" t="n"/>
      <c r="C682" s="290" t="n"/>
      <c r="D682" s="291" t="n"/>
      <c r="E682" s="290" t="n"/>
      <c r="F682" s="290" t="n"/>
    </row>
    <row r="683" ht="13" customHeight="1" s="189">
      <c r="B683" s="290" t="n"/>
      <c r="C683" s="290" t="n"/>
      <c r="D683" s="291" t="n"/>
      <c r="E683" s="290" t="n"/>
      <c r="F683" s="290" t="n"/>
    </row>
    <row r="684" ht="13" customHeight="1" s="189">
      <c r="B684" s="290" t="n"/>
      <c r="C684" s="290" t="n"/>
      <c r="D684" s="291" t="n"/>
      <c r="E684" s="290" t="n"/>
      <c r="F684" s="290" t="n"/>
    </row>
    <row r="685" ht="13" customHeight="1" s="189">
      <c r="B685" s="290" t="n"/>
      <c r="C685" s="290" t="n"/>
      <c r="D685" s="291" t="n"/>
      <c r="E685" s="290" t="n"/>
      <c r="F685" s="290" t="n"/>
    </row>
    <row r="686" ht="13" customHeight="1" s="189">
      <c r="B686" s="290" t="n"/>
      <c r="C686" s="290" t="n"/>
      <c r="D686" s="291" t="n"/>
      <c r="E686" s="290" t="n"/>
      <c r="F686" s="290" t="n"/>
    </row>
    <row r="687" ht="13" customHeight="1" s="189">
      <c r="B687" s="290" t="n"/>
      <c r="C687" s="290" t="n"/>
      <c r="D687" s="291" t="n"/>
      <c r="E687" s="290" t="n"/>
      <c r="F687" s="290" t="n"/>
    </row>
    <row r="688" ht="13" customHeight="1" s="189">
      <c r="B688" s="290" t="n"/>
      <c r="C688" s="290" t="n"/>
      <c r="D688" s="291" t="n"/>
      <c r="E688" s="290" t="n"/>
      <c r="F688" s="290" t="n"/>
    </row>
    <row r="689" ht="13" customHeight="1" s="189">
      <c r="B689" s="290" t="n"/>
      <c r="C689" s="290" t="n"/>
      <c r="D689" s="291" t="n"/>
      <c r="E689" s="290" t="n"/>
      <c r="F689" s="290" t="n"/>
    </row>
    <row r="690" ht="13" customHeight="1" s="189">
      <c r="B690" s="290" t="n"/>
      <c r="C690" s="290" t="n"/>
      <c r="D690" s="291" t="n"/>
      <c r="E690" s="290" t="n"/>
      <c r="F690" s="290" t="n"/>
    </row>
    <row r="691" ht="13" customHeight="1" s="189">
      <c r="B691" s="290" t="n"/>
      <c r="C691" s="290" t="n"/>
      <c r="D691" s="291" t="n"/>
      <c r="E691" s="290" t="n"/>
      <c r="F691" s="290" t="n"/>
    </row>
    <row r="692" ht="13" customHeight="1" s="189">
      <c r="B692" s="290" t="n"/>
      <c r="C692" s="290" t="n"/>
      <c r="D692" s="291" t="n"/>
      <c r="E692" s="290" t="n"/>
      <c r="F692" s="290" t="n"/>
    </row>
    <row r="693" ht="13" customHeight="1" s="189">
      <c r="B693" s="290" t="n"/>
      <c r="C693" s="290" t="n"/>
      <c r="D693" s="291" t="n"/>
      <c r="E693" s="290" t="n"/>
      <c r="F693" s="290" t="n"/>
    </row>
    <row r="694" ht="13" customHeight="1" s="189">
      <c r="B694" s="290" t="n"/>
      <c r="C694" s="290" t="n"/>
      <c r="D694" s="291" t="n"/>
      <c r="E694" s="290" t="n"/>
      <c r="F694" s="290" t="n"/>
    </row>
    <row r="695" ht="13" customHeight="1" s="189">
      <c r="B695" s="290" t="n"/>
      <c r="C695" s="290" t="n"/>
      <c r="D695" s="291" t="n"/>
      <c r="E695" s="290" t="n"/>
      <c r="F695" s="290" t="n"/>
    </row>
    <row r="696" ht="13" customHeight="1" s="189">
      <c r="B696" s="290" t="n"/>
      <c r="C696" s="290" t="n"/>
      <c r="D696" s="291" t="n"/>
      <c r="E696" s="290" t="n"/>
      <c r="F696" s="290" t="n"/>
    </row>
    <row r="697" ht="13" customHeight="1" s="189">
      <c r="B697" s="290" t="n"/>
      <c r="C697" s="290" t="n"/>
      <c r="D697" s="291" t="n"/>
      <c r="E697" s="290" t="n"/>
      <c r="F697" s="290" t="n"/>
    </row>
    <row r="698" ht="13" customHeight="1" s="189">
      <c r="B698" s="290" t="n"/>
      <c r="C698" s="290" t="n"/>
      <c r="D698" s="291" t="n"/>
      <c r="E698" s="290" t="n"/>
      <c r="F698" s="290" t="n"/>
    </row>
    <row r="699" ht="13" customHeight="1" s="189">
      <c r="B699" s="290" t="n"/>
      <c r="C699" s="290" t="n"/>
      <c r="D699" s="291" t="n"/>
      <c r="E699" s="290" t="n"/>
      <c r="F699" s="290" t="n"/>
    </row>
    <row r="700" ht="13" customHeight="1" s="189">
      <c r="B700" s="290" t="n"/>
      <c r="C700" s="290" t="n"/>
      <c r="D700" s="291" t="n"/>
      <c r="E700" s="290" t="n"/>
      <c r="F700" s="290" t="n"/>
    </row>
    <row r="701" ht="13" customHeight="1" s="189">
      <c r="B701" s="290" t="n"/>
      <c r="C701" s="290" t="n"/>
      <c r="D701" s="291" t="n"/>
      <c r="E701" s="290" t="n"/>
      <c r="F701" s="290" t="n"/>
    </row>
    <row r="702" ht="13" customHeight="1" s="189">
      <c r="B702" s="290" t="n"/>
      <c r="C702" s="290" t="n"/>
      <c r="D702" s="291" t="n"/>
      <c r="E702" s="290" t="n"/>
      <c r="F702" s="290" t="n"/>
    </row>
    <row r="703" ht="13" customHeight="1" s="189">
      <c r="B703" s="290" t="n"/>
      <c r="C703" s="290" t="n"/>
      <c r="D703" s="291" t="n"/>
      <c r="E703" s="290" t="n"/>
      <c r="F703" s="290" t="n"/>
    </row>
    <row r="704" ht="13" customHeight="1" s="189">
      <c r="B704" s="290" t="n"/>
      <c r="C704" s="290" t="n"/>
      <c r="D704" s="291" t="n"/>
      <c r="E704" s="290" t="n"/>
      <c r="F704" s="290" t="n"/>
    </row>
    <row r="705" ht="13" customHeight="1" s="189">
      <c r="B705" s="290" t="n"/>
      <c r="C705" s="290" t="n"/>
      <c r="D705" s="291" t="n"/>
      <c r="E705" s="290" t="n"/>
      <c r="F705" s="290" t="n"/>
    </row>
    <row r="706" ht="13" customHeight="1" s="189">
      <c r="B706" s="290" t="n"/>
      <c r="C706" s="290" t="n"/>
      <c r="D706" s="291" t="n"/>
      <c r="E706" s="290" t="n"/>
      <c r="F706" s="290" t="n"/>
    </row>
    <row r="707" ht="13" customHeight="1" s="189">
      <c r="B707" s="290" t="n"/>
      <c r="C707" s="290" t="n"/>
      <c r="D707" s="291" t="n"/>
      <c r="E707" s="290" t="n"/>
      <c r="F707" s="290" t="n"/>
    </row>
    <row r="708" ht="13" customHeight="1" s="189">
      <c r="B708" s="290" t="n"/>
      <c r="C708" s="290" t="n"/>
      <c r="D708" s="291" t="n"/>
      <c r="E708" s="290" t="n"/>
      <c r="F708" s="290" t="n"/>
    </row>
    <row r="709" ht="13" customHeight="1" s="189">
      <c r="B709" s="290" t="n"/>
      <c r="C709" s="290" t="n"/>
      <c r="D709" s="291" t="n"/>
      <c r="E709" s="290" t="n"/>
      <c r="F709" s="290" t="n"/>
    </row>
    <row r="710" ht="13" customHeight="1" s="189">
      <c r="B710" s="290" t="n"/>
      <c r="C710" s="290" t="n"/>
      <c r="D710" s="291" t="n"/>
      <c r="E710" s="290" t="n"/>
      <c r="F710" s="290" t="n"/>
    </row>
    <row r="711" ht="13" customHeight="1" s="189">
      <c r="B711" s="290" t="n"/>
      <c r="C711" s="290" t="n"/>
      <c r="D711" s="291" t="n"/>
      <c r="E711" s="290" t="n"/>
      <c r="F711" s="290" t="n"/>
    </row>
    <row r="712" ht="13" customHeight="1" s="189">
      <c r="B712" s="290" t="n"/>
      <c r="C712" s="290" t="n"/>
      <c r="D712" s="291" t="n"/>
      <c r="E712" s="290" t="n"/>
      <c r="F712" s="290" t="n"/>
    </row>
    <row r="713" ht="13" customHeight="1" s="189">
      <c r="B713" s="290" t="n"/>
      <c r="C713" s="290" t="n"/>
      <c r="D713" s="291" t="n"/>
      <c r="E713" s="290" t="n"/>
      <c r="F713" s="290" t="n"/>
    </row>
    <row r="714" ht="13" customHeight="1" s="189">
      <c r="B714" s="290" t="n"/>
      <c r="C714" s="290" t="n"/>
      <c r="D714" s="291" t="n"/>
      <c r="E714" s="290" t="n"/>
      <c r="F714" s="290" t="n"/>
    </row>
    <row r="715" ht="13" customHeight="1" s="189">
      <c r="B715" s="290" t="n"/>
      <c r="C715" s="290" t="n"/>
      <c r="D715" s="291" t="n"/>
      <c r="E715" s="290" t="n"/>
      <c r="F715" s="290" t="n"/>
    </row>
    <row r="716" ht="13" customHeight="1" s="189">
      <c r="B716" s="290" t="n"/>
      <c r="C716" s="290" t="n"/>
      <c r="D716" s="291" t="n"/>
      <c r="E716" s="290" t="n"/>
      <c r="F716" s="290" t="n"/>
    </row>
    <row r="717" ht="13" customHeight="1" s="189">
      <c r="B717" s="290" t="n"/>
      <c r="C717" s="290" t="n"/>
      <c r="D717" s="291" t="n"/>
      <c r="E717" s="290" t="n"/>
      <c r="F717" s="290" t="n"/>
    </row>
    <row r="718" ht="13" customHeight="1" s="189">
      <c r="B718" s="290" t="n"/>
      <c r="C718" s="290" t="n"/>
      <c r="D718" s="291" t="n"/>
      <c r="E718" s="290" t="n"/>
      <c r="F718" s="290" t="n"/>
    </row>
    <row r="719" ht="13" customHeight="1" s="189">
      <c r="B719" s="290" t="n"/>
      <c r="C719" s="290" t="n"/>
      <c r="D719" s="291" t="n"/>
      <c r="E719" s="290" t="n"/>
      <c r="F719" s="290" t="n"/>
    </row>
    <row r="720" ht="13" customHeight="1" s="189">
      <c r="B720" s="290" t="n"/>
      <c r="C720" s="290" t="n"/>
      <c r="D720" s="291" t="n"/>
      <c r="E720" s="290" t="n"/>
      <c r="F720" s="290" t="n"/>
    </row>
    <row r="721" ht="13" customHeight="1" s="189">
      <c r="B721" s="290" t="n"/>
      <c r="C721" s="290" t="n"/>
      <c r="D721" s="291" t="n"/>
      <c r="E721" s="290" t="n"/>
      <c r="F721" s="290" t="n"/>
    </row>
    <row r="722" ht="13" customHeight="1" s="189">
      <c r="B722" s="290" t="n"/>
      <c r="C722" s="290" t="n"/>
      <c r="D722" s="291" t="n"/>
      <c r="E722" s="290" t="n"/>
      <c r="F722" s="290" t="n"/>
    </row>
    <row r="723" ht="13" customHeight="1" s="189">
      <c r="B723" s="290" t="n"/>
      <c r="C723" s="290" t="n"/>
      <c r="D723" s="291" t="n"/>
      <c r="E723" s="290" t="n"/>
      <c r="F723" s="290" t="n"/>
    </row>
    <row r="724" ht="13" customHeight="1" s="189">
      <c r="B724" s="290" t="n"/>
      <c r="C724" s="290" t="n"/>
      <c r="D724" s="291" t="n"/>
      <c r="E724" s="290" t="n"/>
      <c r="F724" s="290" t="n"/>
    </row>
    <row r="725" ht="13" customHeight="1" s="189">
      <c r="B725" s="290" t="n"/>
      <c r="C725" s="290" t="n"/>
      <c r="D725" s="291" t="n"/>
      <c r="E725" s="290" t="n"/>
      <c r="F725" s="290" t="n"/>
    </row>
    <row r="726" ht="13" customHeight="1" s="189">
      <c r="B726" s="290" t="n"/>
      <c r="C726" s="290" t="n"/>
      <c r="D726" s="291" t="n"/>
      <c r="E726" s="290" t="n"/>
      <c r="F726" s="290" t="n"/>
    </row>
    <row r="727" ht="13" customHeight="1" s="189">
      <c r="B727" s="290" t="n"/>
      <c r="C727" s="290" t="n"/>
      <c r="D727" s="291" t="n"/>
      <c r="E727" s="290" t="n"/>
      <c r="F727" s="290" t="n"/>
    </row>
    <row r="728" ht="13" customHeight="1" s="189">
      <c r="B728" s="290" t="n"/>
      <c r="C728" s="290" t="n"/>
      <c r="D728" s="291" t="n"/>
      <c r="E728" s="290" t="n"/>
      <c r="F728" s="290" t="n"/>
    </row>
    <row r="729" ht="13" customHeight="1" s="189">
      <c r="B729" s="290" t="n"/>
      <c r="C729" s="290" t="n"/>
      <c r="D729" s="291" t="n"/>
      <c r="E729" s="290" t="n"/>
      <c r="F729" s="290" t="n"/>
    </row>
    <row r="730" ht="13" customHeight="1" s="189">
      <c r="B730" s="290" t="n"/>
      <c r="C730" s="290" t="n"/>
      <c r="D730" s="291" t="n"/>
      <c r="E730" s="290" t="n"/>
      <c r="F730" s="290" t="n"/>
    </row>
    <row r="731" ht="13" customHeight="1" s="189">
      <c r="B731" s="290" t="n"/>
      <c r="C731" s="290" t="n"/>
      <c r="D731" s="291" t="n"/>
      <c r="E731" s="290" t="n"/>
      <c r="F731" s="290" t="n"/>
    </row>
    <row r="732" ht="13" customHeight="1" s="189">
      <c r="B732" s="290" t="n"/>
      <c r="C732" s="290" t="n"/>
      <c r="D732" s="291" t="n"/>
      <c r="E732" s="290" t="n"/>
      <c r="F732" s="290" t="n"/>
    </row>
    <row r="733" ht="13" customHeight="1" s="189">
      <c r="B733" s="290" t="n"/>
      <c r="C733" s="290" t="n"/>
      <c r="D733" s="291" t="n"/>
      <c r="E733" s="290" t="n"/>
      <c r="F733" s="290" t="n"/>
    </row>
    <row r="734" ht="13" customHeight="1" s="189">
      <c r="B734" s="290" t="n"/>
      <c r="C734" s="290" t="n"/>
      <c r="D734" s="291" t="n"/>
      <c r="E734" s="290" t="n"/>
      <c r="F734" s="290" t="n"/>
    </row>
    <row r="735" ht="13" customHeight="1" s="189">
      <c r="B735" s="290" t="n"/>
      <c r="C735" s="290" t="n"/>
      <c r="D735" s="291" t="n"/>
      <c r="E735" s="290" t="n"/>
      <c r="F735" s="290" t="n"/>
    </row>
    <row r="736" ht="13" customHeight="1" s="189">
      <c r="B736" s="290" t="n"/>
      <c r="C736" s="290" t="n"/>
      <c r="D736" s="291" t="n"/>
      <c r="E736" s="290" t="n"/>
      <c r="F736" s="290" t="n"/>
    </row>
    <row r="737" ht="13" customHeight="1" s="189">
      <c r="B737" s="290" t="n"/>
      <c r="C737" s="290" t="n"/>
      <c r="D737" s="291" t="n"/>
      <c r="E737" s="290" t="n"/>
      <c r="F737" s="290" t="n"/>
    </row>
    <row r="738" ht="13" customHeight="1" s="189">
      <c r="B738" s="290" t="n"/>
      <c r="C738" s="290" t="n"/>
      <c r="D738" s="291" t="n"/>
      <c r="E738" s="290" t="n"/>
      <c r="F738" s="290" t="n"/>
    </row>
    <row r="739" ht="13" customHeight="1" s="189">
      <c r="B739" s="290" t="n"/>
      <c r="C739" s="290" t="n"/>
      <c r="D739" s="291" t="n"/>
      <c r="E739" s="290" t="n"/>
      <c r="F739" s="290" t="n"/>
    </row>
    <row r="740" ht="13" customHeight="1" s="189">
      <c r="B740" s="290" t="n"/>
      <c r="C740" s="290" t="n"/>
      <c r="D740" s="291" t="n"/>
      <c r="E740" s="290" t="n"/>
      <c r="F740" s="290" t="n"/>
    </row>
    <row r="741" ht="13" customHeight="1" s="189">
      <c r="B741" s="290" t="n"/>
      <c r="C741" s="290" t="n"/>
      <c r="D741" s="291" t="n"/>
      <c r="E741" s="290" t="n"/>
      <c r="F741" s="290" t="n"/>
    </row>
    <row r="742" ht="13" customHeight="1" s="189">
      <c r="B742" s="290" t="n"/>
      <c r="C742" s="290" t="n"/>
      <c r="D742" s="291" t="n"/>
      <c r="E742" s="290" t="n"/>
      <c r="F742" s="290" t="n"/>
    </row>
    <row r="743" ht="13" customHeight="1" s="189">
      <c r="B743" s="290" t="n"/>
      <c r="C743" s="290" t="n"/>
      <c r="D743" s="291" t="n"/>
      <c r="E743" s="290" t="n"/>
      <c r="F743" s="290" t="n"/>
    </row>
    <row r="744" ht="13" customHeight="1" s="189">
      <c r="B744" s="290" t="n"/>
      <c r="C744" s="290" t="n"/>
      <c r="D744" s="291" t="n"/>
      <c r="E744" s="290" t="n"/>
      <c r="F744" s="290" t="n"/>
    </row>
    <row r="745" ht="13" customHeight="1" s="189">
      <c r="B745" s="290" t="n"/>
      <c r="C745" s="290" t="n"/>
      <c r="D745" s="291" t="n"/>
      <c r="E745" s="290" t="n"/>
      <c r="F745" s="290" t="n"/>
    </row>
    <row r="746" ht="13" customHeight="1" s="189">
      <c r="B746" s="290" t="n"/>
      <c r="C746" s="290" t="n"/>
      <c r="D746" s="291" t="n"/>
      <c r="E746" s="290" t="n"/>
      <c r="F746" s="290" t="n"/>
    </row>
    <row r="747" ht="13" customHeight="1" s="189">
      <c r="B747" s="290" t="n"/>
      <c r="C747" s="290" t="n"/>
      <c r="D747" s="291" t="n"/>
      <c r="E747" s="290" t="n"/>
      <c r="F747" s="290" t="n"/>
    </row>
    <row r="748" ht="13" customHeight="1" s="189">
      <c r="B748" s="290" t="n"/>
      <c r="C748" s="290" t="n"/>
      <c r="D748" s="291" t="n"/>
      <c r="E748" s="290" t="n"/>
      <c r="F748" s="290" t="n"/>
    </row>
    <row r="749" ht="13" customHeight="1" s="189">
      <c r="B749" s="290" t="n"/>
      <c r="C749" s="290" t="n"/>
      <c r="D749" s="291" t="n"/>
      <c r="E749" s="290" t="n"/>
      <c r="F749" s="290" t="n"/>
    </row>
    <row r="750" ht="13" customHeight="1" s="189">
      <c r="B750" s="290" t="n"/>
      <c r="C750" s="290" t="n"/>
      <c r="D750" s="291" t="n"/>
      <c r="E750" s="290" t="n"/>
      <c r="F750" s="290" t="n"/>
    </row>
    <row r="751" ht="13" customHeight="1" s="189">
      <c r="B751" s="290" t="n"/>
      <c r="C751" s="290" t="n"/>
      <c r="D751" s="291" t="n"/>
      <c r="E751" s="290" t="n"/>
      <c r="F751" s="290" t="n"/>
    </row>
    <row r="752" ht="13" customHeight="1" s="189">
      <c r="B752" s="290" t="n"/>
      <c r="C752" s="290" t="n"/>
      <c r="D752" s="291" t="n"/>
      <c r="E752" s="290" t="n"/>
      <c r="F752" s="290" t="n"/>
    </row>
    <row r="753" ht="13" customHeight="1" s="189">
      <c r="B753" s="290" t="n"/>
      <c r="C753" s="290" t="n"/>
      <c r="D753" s="291" t="n"/>
      <c r="E753" s="290" t="n"/>
      <c r="F753" s="290" t="n"/>
    </row>
    <row r="754" ht="13" customHeight="1" s="189">
      <c r="B754" s="290" t="n"/>
      <c r="C754" s="290" t="n"/>
      <c r="D754" s="291" t="n"/>
      <c r="E754" s="290" t="n"/>
      <c r="F754" s="290" t="n"/>
    </row>
    <row r="755" ht="13" customHeight="1" s="189">
      <c r="B755" s="290" t="n"/>
      <c r="C755" s="290" t="n"/>
      <c r="D755" s="291" t="n"/>
      <c r="E755" s="290" t="n"/>
      <c r="F755" s="290" t="n"/>
    </row>
    <row r="756" ht="13" customHeight="1" s="189">
      <c r="B756" s="290" t="n"/>
      <c r="C756" s="290" t="n"/>
      <c r="D756" s="291" t="n"/>
      <c r="E756" s="290" t="n"/>
      <c r="F756" s="290" t="n"/>
    </row>
    <row r="757" ht="13" customHeight="1" s="189">
      <c r="B757" s="290" t="n"/>
      <c r="C757" s="290" t="n"/>
      <c r="D757" s="291" t="n"/>
      <c r="E757" s="290" t="n"/>
      <c r="F757" s="290" t="n"/>
    </row>
    <row r="758" ht="13" customHeight="1" s="189">
      <c r="B758" s="290" t="n"/>
      <c r="C758" s="290" t="n"/>
      <c r="D758" s="291" t="n"/>
      <c r="E758" s="290" t="n"/>
      <c r="F758" s="290" t="n"/>
    </row>
    <row r="759" ht="13" customHeight="1" s="189">
      <c r="B759" s="290" t="n"/>
      <c r="C759" s="290" t="n"/>
      <c r="D759" s="291" t="n"/>
      <c r="E759" s="290" t="n"/>
      <c r="F759" s="290" t="n"/>
    </row>
    <row r="760" ht="13" customHeight="1" s="189">
      <c r="B760" s="290" t="n"/>
      <c r="C760" s="290" t="n"/>
      <c r="D760" s="291" t="n"/>
      <c r="E760" s="290" t="n"/>
      <c r="F760" s="290" t="n"/>
    </row>
    <row r="761" ht="13" customHeight="1" s="189">
      <c r="B761" s="290" t="n"/>
      <c r="C761" s="290" t="n"/>
      <c r="D761" s="291" t="n"/>
      <c r="E761" s="290" t="n"/>
      <c r="F761" s="290" t="n"/>
    </row>
    <row r="762" ht="13" customHeight="1" s="189">
      <c r="B762" s="290" t="n"/>
      <c r="C762" s="290" t="n"/>
      <c r="D762" s="291" t="n"/>
      <c r="E762" s="290" t="n"/>
      <c r="F762" s="290" t="n"/>
    </row>
    <row r="763" ht="13" customHeight="1" s="189">
      <c r="B763" s="290" t="n"/>
      <c r="C763" s="290" t="n"/>
      <c r="D763" s="291" t="n"/>
      <c r="E763" s="290" t="n"/>
      <c r="F763" s="290" t="n"/>
    </row>
    <row r="764" ht="13" customHeight="1" s="189">
      <c r="B764" s="290" t="n"/>
      <c r="C764" s="290" t="n"/>
      <c r="D764" s="291" t="n"/>
      <c r="E764" s="290" t="n"/>
      <c r="F764" s="290" t="n"/>
    </row>
    <row r="765" ht="13" customHeight="1" s="189">
      <c r="B765" s="290" t="n"/>
      <c r="C765" s="290" t="n"/>
      <c r="D765" s="291" t="n"/>
      <c r="E765" s="290" t="n"/>
      <c r="F765" s="290" t="n"/>
    </row>
    <row r="766" ht="13" customHeight="1" s="189">
      <c r="B766" s="290" t="n"/>
      <c r="C766" s="290" t="n"/>
      <c r="D766" s="291" t="n"/>
      <c r="E766" s="290" t="n"/>
      <c r="F766" s="290" t="n"/>
    </row>
    <row r="767" ht="13" customHeight="1" s="189">
      <c r="B767" s="290" t="n"/>
      <c r="C767" s="290" t="n"/>
      <c r="D767" s="291" t="n"/>
      <c r="E767" s="290" t="n"/>
      <c r="F767" s="290" t="n"/>
    </row>
    <row r="768" ht="13" customHeight="1" s="189">
      <c r="B768" s="290" t="n"/>
      <c r="C768" s="290" t="n"/>
      <c r="D768" s="291" t="n"/>
      <c r="E768" s="290" t="n"/>
      <c r="F768" s="290" t="n"/>
    </row>
    <row r="769" ht="13" customHeight="1" s="189">
      <c r="B769" s="290" t="n"/>
      <c r="C769" s="290" t="n"/>
      <c r="D769" s="291" t="n"/>
      <c r="E769" s="290" t="n"/>
      <c r="F769" s="290" t="n"/>
    </row>
    <row r="770" ht="13" customHeight="1" s="189">
      <c r="B770" s="290" t="n"/>
      <c r="C770" s="290" t="n"/>
      <c r="D770" s="291" t="n"/>
      <c r="E770" s="290" t="n"/>
      <c r="F770" s="290" t="n"/>
    </row>
    <row r="771" ht="13" customHeight="1" s="189">
      <c r="B771" s="290" t="n"/>
      <c r="C771" s="290" t="n"/>
      <c r="D771" s="291" t="n"/>
      <c r="E771" s="290" t="n"/>
      <c r="F771" s="290" t="n"/>
    </row>
    <row r="772" ht="13" customHeight="1" s="189">
      <c r="B772" s="290" t="n"/>
      <c r="C772" s="290" t="n"/>
      <c r="D772" s="291" t="n"/>
      <c r="E772" s="290" t="n"/>
      <c r="F772" s="290" t="n"/>
    </row>
    <row r="773" ht="13" customHeight="1" s="189">
      <c r="B773" s="290" t="n"/>
      <c r="C773" s="290" t="n"/>
      <c r="D773" s="291" t="n"/>
      <c r="E773" s="290" t="n"/>
      <c r="F773" s="290" t="n"/>
    </row>
    <row r="774" ht="13" customHeight="1" s="189">
      <c r="B774" s="290" t="n"/>
      <c r="C774" s="290" t="n"/>
      <c r="D774" s="291" t="n"/>
      <c r="E774" s="290" t="n"/>
      <c r="F774" s="290" t="n"/>
    </row>
    <row r="775" ht="13" customHeight="1" s="189">
      <c r="B775" s="290" t="n"/>
      <c r="C775" s="290" t="n"/>
      <c r="D775" s="291" t="n"/>
      <c r="E775" s="290" t="n"/>
      <c r="F775" s="290" t="n"/>
    </row>
    <row r="776" ht="13" customHeight="1" s="189">
      <c r="B776" s="290" t="n"/>
      <c r="C776" s="290" t="n"/>
      <c r="D776" s="291" t="n"/>
      <c r="E776" s="290" t="n"/>
      <c r="F776" s="290" t="n"/>
    </row>
    <row r="777" ht="13" customHeight="1" s="189">
      <c r="B777" s="290" t="n"/>
      <c r="C777" s="290" t="n"/>
      <c r="D777" s="291" t="n"/>
      <c r="E777" s="290" t="n"/>
      <c r="F777" s="290" t="n"/>
    </row>
    <row r="778" ht="13" customHeight="1" s="189">
      <c r="B778" s="290" t="n"/>
      <c r="C778" s="290" t="n"/>
      <c r="D778" s="291" t="n"/>
      <c r="E778" s="290" t="n"/>
      <c r="F778" s="290" t="n"/>
    </row>
    <row r="779" ht="13" customHeight="1" s="189">
      <c r="B779" s="290" t="n"/>
      <c r="C779" s="290" t="n"/>
      <c r="D779" s="291" t="n"/>
      <c r="E779" s="290" t="n"/>
      <c r="F779" s="290" t="n"/>
    </row>
    <row r="780" ht="13" customHeight="1" s="189">
      <c r="B780" s="290" t="n"/>
      <c r="C780" s="290" t="n"/>
      <c r="D780" s="291" t="n"/>
      <c r="E780" s="290" t="n"/>
      <c r="F780" s="290" t="n"/>
    </row>
    <row r="781" ht="13" customHeight="1" s="189">
      <c r="B781" s="290" t="n"/>
      <c r="C781" s="290" t="n"/>
      <c r="D781" s="291" t="n"/>
      <c r="E781" s="290" t="n"/>
      <c r="F781" s="290" t="n"/>
    </row>
    <row r="782" ht="13" customHeight="1" s="189">
      <c r="B782" s="290" t="n"/>
      <c r="C782" s="290" t="n"/>
      <c r="D782" s="291" t="n"/>
      <c r="E782" s="290" t="n"/>
      <c r="F782" s="290" t="n"/>
    </row>
    <row r="783" ht="13" customHeight="1" s="189">
      <c r="B783" s="290" t="n"/>
      <c r="C783" s="290" t="n"/>
      <c r="D783" s="291" t="n"/>
      <c r="E783" s="290" t="n"/>
      <c r="F783" s="290" t="n"/>
    </row>
    <row r="784" ht="13" customHeight="1" s="189">
      <c r="B784" s="290" t="n"/>
      <c r="C784" s="290" t="n"/>
      <c r="D784" s="291" t="n"/>
      <c r="E784" s="290" t="n"/>
      <c r="F784" s="290" t="n"/>
    </row>
    <row r="785" ht="13" customHeight="1" s="189">
      <c r="B785" s="290" t="n"/>
      <c r="C785" s="290" t="n"/>
      <c r="D785" s="291" t="n"/>
      <c r="E785" s="290" t="n"/>
      <c r="F785" s="290" t="n"/>
    </row>
    <row r="786" ht="13" customHeight="1" s="189">
      <c r="B786" s="290" t="n"/>
      <c r="C786" s="290" t="n"/>
      <c r="D786" s="291" t="n"/>
      <c r="E786" s="290" t="n"/>
      <c r="F786" s="290" t="n"/>
    </row>
    <row r="787" ht="13" customHeight="1" s="189">
      <c r="B787" s="290" t="n"/>
      <c r="C787" s="290" t="n"/>
      <c r="D787" s="291" t="n"/>
      <c r="E787" s="290" t="n"/>
      <c r="F787" s="290" t="n"/>
    </row>
    <row r="788" ht="13" customHeight="1" s="189">
      <c r="B788" s="290" t="n"/>
      <c r="C788" s="290" t="n"/>
      <c r="D788" s="291" t="n"/>
      <c r="E788" s="290" t="n"/>
      <c r="F788" s="290" t="n"/>
    </row>
    <row r="789" ht="13" customHeight="1" s="189">
      <c r="B789" s="290" t="n"/>
      <c r="C789" s="290" t="n"/>
      <c r="D789" s="291" t="n"/>
      <c r="E789" s="290" t="n"/>
      <c r="F789" s="290" t="n"/>
    </row>
    <row r="790" ht="13" customHeight="1" s="189">
      <c r="B790" s="290" t="n"/>
      <c r="C790" s="290" t="n"/>
      <c r="D790" s="291" t="n"/>
      <c r="E790" s="290" t="n"/>
      <c r="F790" s="290" t="n"/>
    </row>
    <row r="791" ht="13" customHeight="1" s="189">
      <c r="B791" s="290" t="n"/>
      <c r="C791" s="290" t="n"/>
      <c r="D791" s="291" t="n"/>
      <c r="E791" s="290" t="n"/>
      <c r="F791" s="290" t="n"/>
    </row>
    <row r="792" ht="13" customHeight="1" s="189">
      <c r="B792" s="290" t="n"/>
      <c r="C792" s="290" t="n"/>
      <c r="D792" s="291" t="n"/>
      <c r="E792" s="290" t="n"/>
      <c r="F792" s="290" t="n"/>
    </row>
    <row r="793" ht="13" customHeight="1" s="189">
      <c r="B793" s="290" t="n"/>
      <c r="C793" s="290" t="n"/>
      <c r="D793" s="291" t="n"/>
      <c r="E793" s="290" t="n"/>
      <c r="F793" s="290" t="n"/>
    </row>
    <row r="794" ht="13" customHeight="1" s="189">
      <c r="B794" s="290" t="n"/>
      <c r="C794" s="290" t="n"/>
      <c r="D794" s="291" t="n"/>
      <c r="E794" s="290" t="n"/>
      <c r="F794" s="290" t="n"/>
    </row>
    <row r="795" ht="13" customHeight="1" s="189">
      <c r="B795" s="290" t="n"/>
      <c r="C795" s="290" t="n"/>
      <c r="D795" s="291" t="n"/>
      <c r="E795" s="290" t="n"/>
      <c r="F795" s="290" t="n"/>
    </row>
    <row r="796" ht="13" customHeight="1" s="189">
      <c r="B796" s="290" t="n"/>
      <c r="C796" s="290" t="n"/>
      <c r="D796" s="291" t="n"/>
      <c r="E796" s="290" t="n"/>
      <c r="F796" s="290" t="n"/>
    </row>
    <row r="797" ht="13" customHeight="1" s="189">
      <c r="B797" s="290" t="n"/>
      <c r="C797" s="290" t="n"/>
      <c r="D797" s="291" t="n"/>
      <c r="E797" s="290" t="n"/>
      <c r="F797" s="290" t="n"/>
    </row>
    <row r="798" ht="13" customHeight="1" s="189">
      <c r="B798" s="290" t="n"/>
      <c r="C798" s="290" t="n"/>
      <c r="D798" s="291" t="n"/>
      <c r="E798" s="290" t="n"/>
      <c r="F798" s="290" t="n"/>
    </row>
    <row r="799" ht="13" customHeight="1" s="189">
      <c r="B799" s="290" t="n"/>
      <c r="C799" s="290" t="n"/>
      <c r="D799" s="291" t="n"/>
      <c r="E799" s="290" t="n"/>
      <c r="F799" s="290" t="n"/>
    </row>
    <row r="800" ht="13" customHeight="1" s="189">
      <c r="B800" s="290" t="n"/>
      <c r="C800" s="290" t="n"/>
      <c r="D800" s="291" t="n"/>
      <c r="E800" s="290" t="n"/>
      <c r="F800" s="290" t="n"/>
    </row>
    <row r="801" ht="13" customHeight="1" s="189">
      <c r="B801" s="290" t="n"/>
      <c r="C801" s="290" t="n"/>
      <c r="D801" s="291" t="n"/>
      <c r="E801" s="290" t="n"/>
      <c r="F801" s="290" t="n"/>
    </row>
    <row r="802" ht="13" customHeight="1" s="189">
      <c r="B802" s="290" t="n"/>
      <c r="C802" s="290" t="n"/>
      <c r="D802" s="291" t="n"/>
      <c r="E802" s="290" t="n"/>
      <c r="F802" s="290" t="n"/>
    </row>
    <row r="803" ht="13" customHeight="1" s="189">
      <c r="B803" s="290" t="n"/>
      <c r="C803" s="290" t="n"/>
      <c r="D803" s="291" t="n"/>
      <c r="E803" s="290" t="n"/>
      <c r="F803" s="290" t="n"/>
    </row>
    <row r="804" ht="13" customHeight="1" s="189">
      <c r="B804" s="290" t="n"/>
      <c r="C804" s="290" t="n"/>
      <c r="D804" s="291" t="n"/>
      <c r="E804" s="290" t="n"/>
      <c r="F804" s="290" t="n"/>
    </row>
    <row r="805" ht="13" customHeight="1" s="189">
      <c r="B805" s="290" t="n"/>
      <c r="C805" s="290" t="n"/>
      <c r="D805" s="291" t="n"/>
      <c r="E805" s="290" t="n"/>
      <c r="F805" s="290" t="n"/>
    </row>
    <row r="806" ht="13" customHeight="1" s="189">
      <c r="B806" s="290" t="n"/>
      <c r="C806" s="290" t="n"/>
      <c r="D806" s="291" t="n"/>
      <c r="E806" s="290" t="n"/>
      <c r="F806" s="290" t="n"/>
    </row>
    <row r="807" ht="13" customHeight="1" s="189">
      <c r="B807" s="290" t="n"/>
      <c r="C807" s="290" t="n"/>
      <c r="D807" s="291" t="n"/>
      <c r="E807" s="290" t="n"/>
      <c r="F807" s="290" t="n"/>
    </row>
    <row r="808" ht="13" customHeight="1" s="189">
      <c r="B808" s="290" t="n"/>
      <c r="C808" s="290" t="n"/>
      <c r="D808" s="291" t="n"/>
      <c r="E808" s="290" t="n"/>
      <c r="F808" s="290" t="n"/>
    </row>
    <row r="809" ht="13" customHeight="1" s="189">
      <c r="B809" s="290" t="n"/>
      <c r="C809" s="290" t="n"/>
      <c r="D809" s="291" t="n"/>
      <c r="E809" s="290" t="n"/>
      <c r="F809" s="290" t="n"/>
    </row>
    <row r="810" ht="13" customHeight="1" s="189">
      <c r="B810" s="290" t="n"/>
      <c r="C810" s="290" t="n"/>
      <c r="D810" s="291" t="n"/>
      <c r="E810" s="290" t="n"/>
      <c r="F810" s="290" t="n"/>
    </row>
    <row r="811" ht="13" customHeight="1" s="189">
      <c r="B811" s="290" t="n"/>
      <c r="C811" s="290" t="n"/>
      <c r="D811" s="291" t="n"/>
      <c r="E811" s="290" t="n"/>
      <c r="F811" s="290" t="n"/>
    </row>
    <row r="812" ht="13" customHeight="1" s="189">
      <c r="B812" s="290" t="n"/>
      <c r="C812" s="290" t="n"/>
      <c r="D812" s="291" t="n"/>
      <c r="E812" s="290" t="n"/>
      <c r="F812" s="290" t="n"/>
    </row>
    <row r="813" ht="13" customHeight="1" s="189">
      <c r="B813" s="290" t="n"/>
      <c r="C813" s="290" t="n"/>
      <c r="D813" s="291" t="n"/>
      <c r="E813" s="290" t="n"/>
      <c r="F813" s="290" t="n"/>
    </row>
    <row r="814" ht="13" customHeight="1" s="189">
      <c r="B814" s="290" t="n"/>
      <c r="C814" s="290" t="n"/>
      <c r="D814" s="291" t="n"/>
      <c r="E814" s="290" t="n"/>
      <c r="F814" s="290" t="n"/>
    </row>
    <row r="815" ht="13" customHeight="1" s="189">
      <c r="B815" s="290" t="n"/>
      <c r="C815" s="290" t="n"/>
      <c r="D815" s="291" t="n"/>
      <c r="E815" s="290" t="n"/>
      <c r="F815" s="290" t="n"/>
    </row>
    <row r="816" ht="13" customHeight="1" s="189">
      <c r="B816" s="290" t="n"/>
      <c r="C816" s="290" t="n"/>
      <c r="D816" s="291" t="n"/>
      <c r="E816" s="290" t="n"/>
      <c r="F816" s="290" t="n"/>
    </row>
    <row r="817" ht="13" customHeight="1" s="189">
      <c r="B817" s="290" t="n"/>
      <c r="C817" s="290" t="n"/>
      <c r="D817" s="291" t="n"/>
      <c r="E817" s="290" t="n"/>
      <c r="F817" s="290" t="n"/>
    </row>
    <row r="818" ht="13" customHeight="1" s="189">
      <c r="B818" s="290" t="n"/>
      <c r="C818" s="290" t="n"/>
      <c r="D818" s="291" t="n"/>
      <c r="E818" s="290" t="n"/>
      <c r="F818" s="290" t="n"/>
    </row>
    <row r="819" ht="13" customHeight="1" s="189">
      <c r="B819" s="290" t="n"/>
      <c r="C819" s="290" t="n"/>
      <c r="D819" s="291" t="n"/>
      <c r="E819" s="290" t="n"/>
      <c r="F819" s="290" t="n"/>
    </row>
    <row r="820" ht="13" customHeight="1" s="189">
      <c r="B820" s="290" t="n"/>
      <c r="C820" s="290" t="n"/>
      <c r="D820" s="291" t="n"/>
      <c r="E820" s="290" t="n"/>
      <c r="F820" s="290" t="n"/>
    </row>
    <row r="821" ht="13" customHeight="1" s="189">
      <c r="B821" s="290" t="n"/>
      <c r="C821" s="290" t="n"/>
      <c r="D821" s="291" t="n"/>
      <c r="E821" s="290" t="n"/>
      <c r="F821" s="290" t="n"/>
    </row>
    <row r="822" ht="13" customHeight="1" s="189">
      <c r="B822" s="290" t="n"/>
      <c r="C822" s="290" t="n"/>
      <c r="D822" s="291" t="n"/>
      <c r="E822" s="290" t="n"/>
      <c r="F822" s="290" t="n"/>
    </row>
    <row r="823" ht="13" customHeight="1" s="189">
      <c r="B823" s="290" t="n"/>
      <c r="C823" s="290" t="n"/>
      <c r="D823" s="291" t="n"/>
      <c r="E823" s="290" t="n"/>
      <c r="F823" s="290" t="n"/>
    </row>
    <row r="824" ht="13" customHeight="1" s="189">
      <c r="B824" s="290" t="n"/>
      <c r="C824" s="290" t="n"/>
      <c r="D824" s="291" t="n"/>
      <c r="E824" s="290" t="n"/>
      <c r="F824" s="290" t="n"/>
    </row>
    <row r="825" ht="13" customHeight="1" s="189">
      <c r="B825" s="290" t="n"/>
      <c r="C825" s="290" t="n"/>
      <c r="D825" s="291" t="n"/>
      <c r="E825" s="290" t="n"/>
      <c r="F825" s="290" t="n"/>
    </row>
    <row r="826" ht="13" customHeight="1" s="189">
      <c r="B826" s="290" t="n"/>
      <c r="C826" s="290" t="n"/>
      <c r="D826" s="291" t="n"/>
      <c r="E826" s="290" t="n"/>
      <c r="F826" s="290" t="n"/>
    </row>
    <row r="827" ht="13" customHeight="1" s="189">
      <c r="B827" s="290" t="n"/>
      <c r="C827" s="290" t="n"/>
      <c r="D827" s="291" t="n"/>
      <c r="E827" s="290" t="n"/>
      <c r="F827" s="290" t="n"/>
    </row>
    <row r="828" ht="13" customHeight="1" s="189">
      <c r="B828" s="290" t="n"/>
      <c r="C828" s="290" t="n"/>
      <c r="D828" s="291" t="n"/>
      <c r="E828" s="290" t="n"/>
      <c r="F828" s="290" t="n"/>
    </row>
    <row r="829" ht="13" customHeight="1" s="189">
      <c r="B829" s="290" t="n"/>
      <c r="C829" s="290" t="n"/>
      <c r="D829" s="291" t="n"/>
      <c r="E829" s="290" t="n"/>
      <c r="F829" s="290" t="n"/>
    </row>
    <row r="830" ht="13" customHeight="1" s="189">
      <c r="B830" s="290" t="n"/>
      <c r="C830" s="290" t="n"/>
      <c r="D830" s="291" t="n"/>
      <c r="E830" s="290" t="n"/>
      <c r="F830" s="290" t="n"/>
    </row>
    <row r="831" ht="13" customHeight="1" s="189">
      <c r="B831" s="290" t="n"/>
      <c r="C831" s="290" t="n"/>
      <c r="D831" s="291" t="n"/>
      <c r="E831" s="290" t="n"/>
      <c r="F831" s="290" t="n"/>
    </row>
    <row r="832" ht="13" customHeight="1" s="189">
      <c r="B832" s="290" t="n"/>
      <c r="C832" s="290" t="n"/>
      <c r="D832" s="291" t="n"/>
      <c r="E832" s="290" t="n"/>
      <c r="F832" s="290" t="n"/>
    </row>
    <row r="833" ht="13" customHeight="1" s="189">
      <c r="B833" s="290" t="n"/>
      <c r="C833" s="290" t="n"/>
      <c r="D833" s="291" t="n"/>
      <c r="E833" s="290" t="n"/>
      <c r="F833" s="290" t="n"/>
    </row>
    <row r="834" ht="13" customHeight="1" s="189">
      <c r="B834" s="290" t="n"/>
      <c r="C834" s="290" t="n"/>
      <c r="D834" s="291" t="n"/>
      <c r="E834" s="290" t="n"/>
      <c r="F834" s="290" t="n"/>
    </row>
    <row r="835" ht="13" customHeight="1" s="189">
      <c r="B835" s="290" t="n"/>
      <c r="C835" s="290" t="n"/>
      <c r="D835" s="291" t="n"/>
      <c r="E835" s="290" t="n"/>
      <c r="F835" s="290" t="n"/>
    </row>
    <row r="836" ht="13" customHeight="1" s="189">
      <c r="B836" s="290" t="n"/>
      <c r="C836" s="290" t="n"/>
      <c r="D836" s="291" t="n"/>
      <c r="E836" s="290" t="n"/>
      <c r="F836" s="290" t="n"/>
    </row>
    <row r="837" ht="13" customHeight="1" s="189">
      <c r="B837" s="290" t="n"/>
      <c r="C837" s="290" t="n"/>
      <c r="D837" s="291" t="n"/>
      <c r="E837" s="290" t="n"/>
      <c r="F837" s="290" t="n"/>
    </row>
    <row r="838" ht="13" customHeight="1" s="189">
      <c r="B838" s="290" t="n"/>
      <c r="C838" s="290" t="n"/>
      <c r="D838" s="291" t="n"/>
      <c r="E838" s="290" t="n"/>
      <c r="F838" s="290" t="n"/>
    </row>
    <row r="839" ht="13" customHeight="1" s="189">
      <c r="B839" s="290" t="n"/>
      <c r="C839" s="290" t="n"/>
      <c r="D839" s="291" t="n"/>
      <c r="E839" s="290" t="n"/>
      <c r="F839" s="290" t="n"/>
    </row>
    <row r="840" ht="13" customHeight="1" s="189">
      <c r="B840" s="290" t="n"/>
      <c r="C840" s="290" t="n"/>
      <c r="D840" s="291" t="n"/>
      <c r="E840" s="290" t="n"/>
      <c r="F840" s="290" t="n"/>
    </row>
    <row r="841" ht="13" customHeight="1" s="189">
      <c r="B841" s="290" t="n"/>
      <c r="C841" s="290" t="n"/>
      <c r="D841" s="291" t="n"/>
      <c r="E841" s="290" t="n"/>
      <c r="F841" s="290" t="n"/>
    </row>
    <row r="842" ht="13" customHeight="1" s="189">
      <c r="B842" s="290" t="n"/>
      <c r="C842" s="290" t="n"/>
      <c r="D842" s="291" t="n"/>
      <c r="E842" s="290" t="n"/>
      <c r="F842" s="290" t="n"/>
    </row>
    <row r="843" ht="13" customHeight="1" s="189">
      <c r="B843" s="290" t="n"/>
      <c r="C843" s="290" t="n"/>
      <c r="D843" s="291" t="n"/>
      <c r="E843" s="290" t="n"/>
      <c r="F843" s="290" t="n"/>
    </row>
    <row r="844" ht="13" customHeight="1" s="189">
      <c r="B844" s="290" t="n"/>
      <c r="C844" s="290" t="n"/>
      <c r="D844" s="291" t="n"/>
      <c r="E844" s="290" t="n"/>
      <c r="F844" s="290" t="n"/>
    </row>
    <row r="845" ht="13" customHeight="1" s="189">
      <c r="B845" s="290" t="n"/>
      <c r="C845" s="290" t="n"/>
      <c r="D845" s="291" t="n"/>
      <c r="E845" s="290" t="n"/>
      <c r="F845" s="290" t="n"/>
    </row>
    <row r="846" ht="13" customHeight="1" s="189">
      <c r="B846" s="290" t="n"/>
      <c r="C846" s="290" t="n"/>
      <c r="D846" s="291" t="n"/>
      <c r="E846" s="290" t="n"/>
      <c r="F846" s="290" t="n"/>
    </row>
    <row r="847" ht="13" customHeight="1" s="189">
      <c r="B847" s="290" t="n"/>
      <c r="C847" s="290" t="n"/>
      <c r="D847" s="291" t="n"/>
      <c r="E847" s="290" t="n"/>
      <c r="F847" s="290" t="n"/>
    </row>
    <row r="848" ht="13" customHeight="1" s="189">
      <c r="B848" s="290" t="n"/>
      <c r="C848" s="290" t="n"/>
      <c r="D848" s="291" t="n"/>
      <c r="E848" s="290" t="n"/>
      <c r="F848" s="290" t="n"/>
    </row>
    <row r="849" ht="13" customHeight="1" s="189">
      <c r="B849" s="290" t="n"/>
      <c r="C849" s="290" t="n"/>
      <c r="D849" s="291" t="n"/>
      <c r="E849" s="290" t="n"/>
      <c r="F849" s="290" t="n"/>
    </row>
    <row r="850" ht="13" customHeight="1" s="189">
      <c r="B850" s="290" t="n"/>
      <c r="C850" s="290" t="n"/>
      <c r="D850" s="291" t="n"/>
      <c r="E850" s="290" t="n"/>
      <c r="F850" s="290" t="n"/>
    </row>
    <row r="851" ht="13" customHeight="1" s="189">
      <c r="B851" s="290" t="n"/>
      <c r="C851" s="290" t="n"/>
      <c r="D851" s="291" t="n"/>
      <c r="E851" s="290" t="n"/>
      <c r="F851" s="290" t="n"/>
    </row>
    <row r="852" ht="13" customHeight="1" s="189">
      <c r="B852" s="290" t="n"/>
      <c r="C852" s="290" t="n"/>
      <c r="D852" s="291" t="n"/>
      <c r="E852" s="290" t="n"/>
      <c r="F852" s="290" t="n"/>
    </row>
    <row r="853" ht="13" customHeight="1" s="189">
      <c r="B853" s="290" t="n"/>
      <c r="C853" s="290" t="n"/>
      <c r="D853" s="291" t="n"/>
      <c r="E853" s="290" t="n"/>
      <c r="F853" s="290" t="n"/>
    </row>
    <row r="854" ht="13" customHeight="1" s="189">
      <c r="B854" s="290" t="n"/>
      <c r="C854" s="290" t="n"/>
      <c r="D854" s="291" t="n"/>
      <c r="E854" s="290" t="n"/>
      <c r="F854" s="290" t="n"/>
    </row>
    <row r="855" ht="13" customHeight="1" s="189">
      <c r="B855" s="290" t="n"/>
      <c r="C855" s="290" t="n"/>
      <c r="D855" s="291" t="n"/>
      <c r="E855" s="290" t="n"/>
      <c r="F855" s="290" t="n"/>
    </row>
    <row r="856" ht="13" customHeight="1" s="189">
      <c r="B856" s="290" t="n"/>
      <c r="C856" s="290" t="n"/>
      <c r="D856" s="291" t="n"/>
      <c r="E856" s="290" t="n"/>
      <c r="F856" s="290" t="n"/>
    </row>
    <row r="857" ht="13" customHeight="1" s="189">
      <c r="B857" s="290" t="n"/>
      <c r="C857" s="290" t="n"/>
      <c r="D857" s="291" t="n"/>
      <c r="E857" s="290" t="n"/>
      <c r="F857" s="290" t="n"/>
    </row>
    <row r="858" ht="13" customHeight="1" s="189">
      <c r="B858" s="290" t="n"/>
      <c r="C858" s="290" t="n"/>
      <c r="D858" s="291" t="n"/>
      <c r="E858" s="290" t="n"/>
      <c r="F858" s="290" t="n"/>
    </row>
    <row r="859" ht="13" customHeight="1" s="189">
      <c r="B859" s="290" t="n"/>
      <c r="C859" s="290" t="n"/>
      <c r="D859" s="291" t="n"/>
      <c r="E859" s="290" t="n"/>
      <c r="F859" s="290" t="n"/>
    </row>
    <row r="860" ht="13" customHeight="1" s="189">
      <c r="B860" s="290" t="n"/>
      <c r="C860" s="290" t="n"/>
      <c r="D860" s="291" t="n"/>
      <c r="E860" s="290" t="n"/>
      <c r="F860" s="290" t="n"/>
    </row>
    <row r="861" ht="13" customHeight="1" s="189">
      <c r="B861" s="290" t="n"/>
      <c r="C861" s="290" t="n"/>
      <c r="D861" s="291" t="n"/>
      <c r="E861" s="290" t="n"/>
      <c r="F861" s="290" t="n"/>
    </row>
    <row r="862" ht="13" customHeight="1" s="189">
      <c r="B862" s="290" t="n"/>
      <c r="C862" s="290" t="n"/>
      <c r="D862" s="291" t="n"/>
      <c r="E862" s="290" t="n"/>
      <c r="F862" s="290" t="n"/>
    </row>
    <row r="863" ht="13" customHeight="1" s="189">
      <c r="B863" s="290" t="n"/>
      <c r="C863" s="290" t="n"/>
      <c r="D863" s="291" t="n"/>
      <c r="E863" s="290" t="n"/>
      <c r="F863" s="290" t="n"/>
    </row>
    <row r="864" ht="13" customHeight="1" s="189">
      <c r="B864" s="290" t="n"/>
      <c r="C864" s="290" t="n"/>
      <c r="D864" s="291" t="n"/>
      <c r="E864" s="290" t="n"/>
      <c r="F864" s="290" t="n"/>
    </row>
    <row r="865" ht="13" customHeight="1" s="189">
      <c r="B865" s="290" t="n"/>
      <c r="C865" s="290" t="n"/>
      <c r="D865" s="291" t="n"/>
      <c r="E865" s="290" t="n"/>
      <c r="F865" s="290" t="n"/>
    </row>
    <row r="866" ht="13" customHeight="1" s="189">
      <c r="B866" s="290" t="n"/>
      <c r="C866" s="290" t="n"/>
      <c r="D866" s="291" t="n"/>
      <c r="E866" s="290" t="n"/>
      <c r="F866" s="290" t="n"/>
    </row>
    <row r="867" ht="13" customHeight="1" s="189">
      <c r="B867" s="290" t="n"/>
      <c r="C867" s="290" t="n"/>
      <c r="D867" s="291" t="n"/>
      <c r="E867" s="290" t="n"/>
      <c r="F867" s="290" t="n"/>
    </row>
    <row r="868" ht="13" customHeight="1" s="189">
      <c r="B868" s="290" t="n"/>
      <c r="C868" s="290" t="n"/>
      <c r="D868" s="291" t="n"/>
      <c r="E868" s="290" t="n"/>
      <c r="F868" s="290" t="n"/>
    </row>
    <row r="869" ht="13" customHeight="1" s="189">
      <c r="B869" s="290" t="n"/>
      <c r="C869" s="290" t="n"/>
      <c r="D869" s="291" t="n"/>
      <c r="E869" s="290" t="n"/>
      <c r="F869" s="290" t="n"/>
    </row>
    <row r="870" ht="13" customHeight="1" s="189">
      <c r="B870" s="290" t="n"/>
      <c r="C870" s="290" t="n"/>
      <c r="D870" s="291" t="n"/>
      <c r="E870" s="290" t="n"/>
      <c r="F870" s="290" t="n"/>
    </row>
    <row r="871" ht="13" customHeight="1" s="189">
      <c r="B871" s="290" t="n"/>
      <c r="C871" s="290" t="n"/>
      <c r="D871" s="291" t="n"/>
      <c r="E871" s="290" t="n"/>
      <c r="F871" s="290" t="n"/>
    </row>
    <row r="872" ht="13" customHeight="1" s="189">
      <c r="B872" s="290" t="n"/>
      <c r="C872" s="290" t="n"/>
      <c r="D872" s="291" t="n"/>
      <c r="E872" s="290" t="n"/>
      <c r="F872" s="290" t="n"/>
    </row>
    <row r="873" ht="13" customHeight="1" s="189">
      <c r="B873" s="290" t="n"/>
      <c r="C873" s="290" t="n"/>
      <c r="D873" s="291" t="n"/>
      <c r="E873" s="290" t="n"/>
      <c r="F873" s="290" t="n"/>
    </row>
    <row r="874" ht="13" customHeight="1" s="189">
      <c r="B874" s="290" t="n"/>
      <c r="C874" s="290" t="n"/>
      <c r="D874" s="291" t="n"/>
      <c r="E874" s="290" t="n"/>
      <c r="F874" s="290" t="n"/>
    </row>
    <row r="875" ht="13" customHeight="1" s="189">
      <c r="B875" s="290" t="n"/>
      <c r="C875" s="290" t="n"/>
      <c r="D875" s="291" t="n"/>
      <c r="E875" s="290" t="n"/>
      <c r="F875" s="290" t="n"/>
    </row>
    <row r="876" ht="13" customHeight="1" s="189">
      <c r="B876" s="290" t="n"/>
      <c r="C876" s="290" t="n"/>
      <c r="D876" s="291" t="n"/>
      <c r="E876" s="290" t="n"/>
      <c r="F876" s="290" t="n"/>
    </row>
    <row r="877" ht="13" customHeight="1" s="189">
      <c r="B877" s="290" t="n"/>
      <c r="C877" s="290" t="n"/>
      <c r="D877" s="291" t="n"/>
      <c r="E877" s="290" t="n"/>
      <c r="F877" s="290" t="n"/>
    </row>
    <row r="878" ht="13" customHeight="1" s="189">
      <c r="B878" s="290" t="n"/>
      <c r="C878" s="290" t="n"/>
      <c r="D878" s="291" t="n"/>
      <c r="E878" s="290" t="n"/>
      <c r="F878" s="290" t="n"/>
    </row>
    <row r="879" ht="13" customHeight="1" s="189">
      <c r="B879" s="290" t="n"/>
      <c r="C879" s="290" t="n"/>
      <c r="D879" s="291" t="n"/>
      <c r="E879" s="290" t="n"/>
      <c r="F879" s="290" t="n"/>
    </row>
    <row r="880" ht="13" customHeight="1" s="189">
      <c r="B880" s="290" t="n"/>
      <c r="C880" s="290" t="n"/>
      <c r="D880" s="291" t="n"/>
      <c r="E880" s="290" t="n"/>
      <c r="F880" s="290" t="n"/>
    </row>
    <row r="881" ht="13" customHeight="1" s="189">
      <c r="B881" s="290" t="n"/>
      <c r="C881" s="290" t="n"/>
      <c r="D881" s="291" t="n"/>
      <c r="E881" s="290" t="n"/>
      <c r="F881" s="290" t="n"/>
    </row>
    <row r="882" ht="13" customHeight="1" s="189">
      <c r="B882" s="290" t="n"/>
      <c r="C882" s="290" t="n"/>
      <c r="D882" s="291" t="n"/>
      <c r="E882" s="290" t="n"/>
      <c r="F882" s="290" t="n"/>
    </row>
    <row r="883" ht="13" customHeight="1" s="189">
      <c r="B883" s="290" t="n"/>
      <c r="C883" s="290" t="n"/>
      <c r="D883" s="291" t="n"/>
      <c r="E883" s="290" t="n"/>
      <c r="F883" s="290" t="n"/>
    </row>
    <row r="884" ht="13" customHeight="1" s="189">
      <c r="B884" s="290" t="n"/>
      <c r="C884" s="290" t="n"/>
      <c r="D884" s="291" t="n"/>
      <c r="E884" s="290" t="n"/>
      <c r="F884" s="290" t="n"/>
    </row>
    <row r="885" ht="13" customHeight="1" s="189">
      <c r="B885" s="290" t="n"/>
      <c r="C885" s="290" t="n"/>
      <c r="D885" s="291" t="n"/>
      <c r="E885" s="290" t="n"/>
      <c r="F885" s="290" t="n"/>
    </row>
    <row r="886" ht="13" customHeight="1" s="189">
      <c r="B886" s="290" t="n"/>
      <c r="C886" s="290" t="n"/>
      <c r="D886" s="291" t="n"/>
      <c r="E886" s="290" t="n"/>
      <c r="F886" s="290" t="n"/>
    </row>
    <row r="887" ht="13" customHeight="1" s="189">
      <c r="B887" s="290" t="n"/>
      <c r="C887" s="290" t="n"/>
      <c r="D887" s="291" t="n"/>
      <c r="E887" s="290" t="n"/>
      <c r="F887" s="290" t="n"/>
    </row>
    <row r="888" ht="13" customHeight="1" s="189">
      <c r="B888" s="290" t="n"/>
      <c r="C888" s="290" t="n"/>
      <c r="D888" s="291" t="n"/>
      <c r="E888" s="290" t="n"/>
      <c r="F888" s="290" t="n"/>
    </row>
    <row r="889" ht="13" customHeight="1" s="189">
      <c r="B889" s="290" t="n"/>
      <c r="C889" s="290" t="n"/>
      <c r="D889" s="291" t="n"/>
      <c r="E889" s="290" t="n"/>
      <c r="F889" s="290" t="n"/>
    </row>
    <row r="890" ht="13" customHeight="1" s="189">
      <c r="B890" s="290" t="n"/>
      <c r="C890" s="290" t="n"/>
      <c r="D890" s="291" t="n"/>
      <c r="E890" s="290" t="n"/>
      <c r="F890" s="290" t="n"/>
    </row>
    <row r="891" ht="13" customHeight="1" s="189">
      <c r="B891" s="290" t="n"/>
      <c r="C891" s="290" t="n"/>
      <c r="D891" s="291" t="n"/>
      <c r="E891" s="290" t="n"/>
      <c r="F891" s="290" t="n"/>
    </row>
    <row r="892" ht="13" customHeight="1" s="189">
      <c r="B892" s="290" t="n"/>
      <c r="C892" s="290" t="n"/>
      <c r="D892" s="291" t="n"/>
      <c r="E892" s="290" t="n"/>
      <c r="F892" s="290" t="n"/>
    </row>
    <row r="893" ht="13" customHeight="1" s="189">
      <c r="B893" s="290" t="n"/>
      <c r="C893" s="290" t="n"/>
      <c r="D893" s="291" t="n"/>
      <c r="E893" s="290" t="n"/>
      <c r="F893" s="290" t="n"/>
    </row>
    <row r="894" ht="13" customHeight="1" s="189">
      <c r="B894" s="290" t="n"/>
      <c r="C894" s="290" t="n"/>
      <c r="D894" s="291" t="n"/>
      <c r="E894" s="290" t="n"/>
      <c r="F894" s="290" t="n"/>
    </row>
    <row r="895" ht="13" customHeight="1" s="189">
      <c r="B895" s="290" t="n"/>
      <c r="C895" s="290" t="n"/>
      <c r="D895" s="291" t="n"/>
      <c r="E895" s="290" t="n"/>
      <c r="F895" s="290" t="n"/>
    </row>
    <row r="896" ht="13" customHeight="1" s="189">
      <c r="B896" s="290" t="n"/>
      <c r="C896" s="290" t="n"/>
      <c r="D896" s="291" t="n"/>
      <c r="E896" s="290" t="n"/>
      <c r="F896" s="290" t="n"/>
    </row>
    <row r="897" ht="13" customHeight="1" s="189">
      <c r="B897" s="290" t="n"/>
      <c r="C897" s="290" t="n"/>
      <c r="D897" s="291" t="n"/>
      <c r="E897" s="290" t="n"/>
      <c r="F897" s="290" t="n"/>
    </row>
    <row r="898" ht="13" customHeight="1" s="189">
      <c r="B898" s="290" t="n"/>
      <c r="C898" s="290" t="n"/>
      <c r="D898" s="291" t="n"/>
      <c r="E898" s="290" t="n"/>
      <c r="F898" s="290" t="n"/>
    </row>
    <row r="899" ht="13" customHeight="1" s="189">
      <c r="B899" s="290" t="n"/>
      <c r="C899" s="290" t="n"/>
      <c r="D899" s="291" t="n"/>
      <c r="E899" s="290" t="n"/>
      <c r="F899" s="290" t="n"/>
    </row>
    <row r="900" ht="13" customHeight="1" s="189">
      <c r="B900" s="290" t="n"/>
      <c r="C900" s="290" t="n"/>
      <c r="D900" s="291" t="n"/>
      <c r="E900" s="290" t="n"/>
      <c r="F900" s="290" t="n"/>
    </row>
    <row r="901" ht="13" customHeight="1" s="189">
      <c r="B901" s="290" t="n"/>
      <c r="C901" s="290" t="n"/>
      <c r="D901" s="291" t="n"/>
      <c r="E901" s="290" t="n"/>
      <c r="F901" s="290" t="n"/>
    </row>
    <row r="902" ht="13" customHeight="1" s="189">
      <c r="B902" s="203" t="n"/>
      <c r="C902" s="203" t="n"/>
      <c r="D902" s="289" t="n"/>
      <c r="E902" s="203" t="n"/>
      <c r="F902" s="203" t="n"/>
    </row>
    <row r="903" ht="13" customHeight="1" s="189">
      <c r="B903" s="203" t="n"/>
      <c r="C903" s="203" t="n"/>
      <c r="D903" s="289" t="n"/>
      <c r="E903" s="203" t="n"/>
      <c r="F903" s="203" t="n"/>
    </row>
    <row r="904" ht="13" customHeight="1" s="189">
      <c r="B904" s="203" t="n"/>
      <c r="C904" s="203" t="n"/>
      <c r="D904" s="289" t="n"/>
      <c r="E904" s="203" t="n"/>
      <c r="F904" s="203" t="n"/>
    </row>
    <row r="905" ht="13" customHeight="1" s="189">
      <c r="B905" s="203" t="n"/>
      <c r="C905" s="203" t="n"/>
      <c r="D905" s="289" t="n"/>
      <c r="E905" s="203" t="n"/>
      <c r="F905" s="203" t="n"/>
    </row>
    <row r="906" ht="13" customHeight="1" s="189">
      <c r="B906" s="203" t="n"/>
      <c r="C906" s="203" t="n"/>
      <c r="D906" s="289" t="n"/>
      <c r="E906" s="203" t="n"/>
      <c r="F906" s="203" t="n"/>
    </row>
    <row r="907" ht="13" customHeight="1" s="189">
      <c r="B907" s="203" t="n"/>
      <c r="C907" s="203" t="n"/>
      <c r="D907" s="289" t="n"/>
      <c r="E907" s="203" t="n"/>
      <c r="F907" s="203" t="n"/>
    </row>
    <row r="908" ht="13" customHeight="1" s="189">
      <c r="B908" s="203" t="n"/>
      <c r="C908" s="203" t="n"/>
      <c r="D908" s="289" t="n"/>
      <c r="E908" s="203" t="n"/>
      <c r="F908" s="203" t="n"/>
    </row>
    <row r="909" ht="13" customHeight="1" s="189">
      <c r="B909" s="203" t="n"/>
      <c r="C909" s="203" t="n"/>
      <c r="D909" s="289" t="n"/>
      <c r="E909" s="203" t="n"/>
      <c r="F909" s="203" t="n"/>
    </row>
    <row r="910" ht="13" customHeight="1" s="189">
      <c r="B910" s="203" t="n"/>
      <c r="C910" s="203" t="n"/>
      <c r="D910" s="289" t="n"/>
      <c r="E910" s="203" t="n"/>
      <c r="F910" s="203" t="n"/>
    </row>
    <row r="911" ht="13" customHeight="1" s="189">
      <c r="B911" s="203" t="n"/>
      <c r="C911" s="203" t="n"/>
      <c r="D911" s="289" t="n"/>
      <c r="E911" s="203" t="n"/>
      <c r="F911" s="203" t="n"/>
    </row>
    <row r="912" ht="13" customHeight="1" s="189">
      <c r="B912" s="203" t="n"/>
      <c r="C912" s="203" t="n"/>
      <c r="D912" s="289" t="n"/>
      <c r="E912" s="203" t="n"/>
      <c r="F912" s="203" t="n"/>
    </row>
    <row r="913" ht="13" customHeight="1" s="189">
      <c r="B913" s="203" t="n"/>
      <c r="C913" s="203" t="n"/>
      <c r="D913" s="289" t="n"/>
      <c r="E913" s="203" t="n"/>
      <c r="F913" s="203" t="n"/>
    </row>
    <row r="914" ht="13" customHeight="1" s="189">
      <c r="B914" s="203" t="n"/>
      <c r="C914" s="203" t="n"/>
      <c r="D914" s="289" t="n"/>
      <c r="E914" s="203" t="n"/>
      <c r="F914" s="203" t="n"/>
    </row>
    <row r="915" ht="13" customHeight="1" s="189">
      <c r="B915" s="203" t="n"/>
      <c r="C915" s="203" t="n"/>
      <c r="D915" s="289" t="n"/>
      <c r="E915" s="203" t="n"/>
      <c r="F915" s="203" t="n"/>
    </row>
    <row r="916" ht="13" customHeight="1" s="189">
      <c r="B916" s="203" t="n"/>
      <c r="C916" s="203" t="n"/>
      <c r="D916" s="289" t="n"/>
      <c r="E916" s="203" t="n"/>
      <c r="F916" s="203" t="n"/>
    </row>
    <row r="917" ht="13" customHeight="1" s="189">
      <c r="B917" s="203" t="n"/>
      <c r="C917" s="203" t="n"/>
      <c r="D917" s="289" t="n"/>
      <c r="E917" s="203" t="n"/>
      <c r="F917" s="203" t="n"/>
    </row>
    <row r="918" ht="13" customHeight="1" s="189">
      <c r="B918" s="203" t="n"/>
      <c r="C918" s="203" t="n"/>
      <c r="D918" s="289" t="n"/>
      <c r="E918" s="203" t="n"/>
      <c r="F918" s="203" t="n"/>
    </row>
    <row r="919" ht="13" customHeight="1" s="189">
      <c r="B919" s="203" t="n"/>
      <c r="C919" s="203" t="n"/>
      <c r="D919" s="289" t="n"/>
      <c r="E919" s="203" t="n"/>
      <c r="F919" s="203" t="n"/>
    </row>
    <row r="920" ht="13" customHeight="1" s="189">
      <c r="B920" s="203" t="n"/>
      <c r="C920" s="203" t="n"/>
      <c r="D920" s="289" t="n"/>
      <c r="E920" s="203" t="n"/>
      <c r="F920" s="203" t="n"/>
    </row>
    <row r="921" ht="13" customHeight="1" s="189">
      <c r="B921" s="203" t="n"/>
      <c r="C921" s="203" t="n"/>
      <c r="D921" s="289" t="n"/>
      <c r="E921" s="203" t="n"/>
      <c r="F921" s="203" t="n"/>
    </row>
    <row r="922" ht="13" customHeight="1" s="189">
      <c r="B922" s="203" t="n"/>
      <c r="C922" s="203" t="n"/>
      <c r="D922" s="289" t="n"/>
      <c r="E922" s="203" t="n"/>
      <c r="F922" s="203" t="n"/>
    </row>
    <row r="923" ht="13" customHeight="1" s="189">
      <c r="B923" s="203" t="n"/>
      <c r="C923" s="203" t="n"/>
      <c r="D923" s="289" t="n"/>
      <c r="E923" s="203" t="n"/>
      <c r="F923" s="203" t="n"/>
    </row>
    <row r="924" ht="13" customHeight="1" s="189">
      <c r="B924" s="203" t="n"/>
      <c r="C924" s="203" t="n"/>
      <c r="D924" s="289" t="n"/>
      <c r="E924" s="203" t="n"/>
      <c r="F924" s="203" t="n"/>
    </row>
    <row r="925" ht="13" customHeight="1" s="189">
      <c r="B925" s="203" t="n"/>
      <c r="C925" s="203" t="n"/>
      <c r="D925" s="289" t="n"/>
      <c r="E925" s="203" t="n"/>
      <c r="F925" s="203" t="n"/>
    </row>
    <row r="926" ht="13" customHeight="1" s="189">
      <c r="B926" s="203" t="n"/>
      <c r="C926" s="203" t="n"/>
      <c r="D926" s="289" t="n"/>
      <c r="E926" s="203" t="n"/>
      <c r="F926" s="203" t="n"/>
    </row>
    <row r="927" ht="13" customHeight="1" s="189">
      <c r="B927" s="203" t="n"/>
      <c r="C927" s="203" t="n"/>
      <c r="D927" s="289" t="n"/>
      <c r="E927" s="203" t="n"/>
      <c r="F927" s="203" t="n"/>
    </row>
    <row r="928" ht="13" customHeight="1" s="189">
      <c r="B928" s="203" t="n"/>
      <c r="C928" s="203" t="n"/>
      <c r="D928" s="289" t="n"/>
      <c r="E928" s="203" t="n"/>
      <c r="F928" s="203" t="n"/>
    </row>
    <row r="929" ht="13" customHeight="1" s="189">
      <c r="B929" s="203" t="n"/>
      <c r="C929" s="203" t="n"/>
      <c r="D929" s="289" t="n"/>
      <c r="E929" s="203" t="n"/>
      <c r="F929" s="203" t="n"/>
    </row>
    <row r="930" ht="13" customHeight="1" s="189">
      <c r="B930" s="203" t="n"/>
      <c r="C930" s="203" t="n"/>
      <c r="D930" s="289" t="n"/>
      <c r="E930" s="203" t="n"/>
      <c r="F930" s="203" t="n"/>
    </row>
    <row r="931" ht="13" customHeight="1" s="189">
      <c r="B931" s="203" t="n"/>
      <c r="C931" s="203" t="n"/>
      <c r="D931" s="289" t="n"/>
      <c r="E931" s="203" t="n"/>
      <c r="F931" s="203" t="n"/>
    </row>
    <row r="932" ht="13" customHeight="1" s="189">
      <c r="B932" s="203" t="n"/>
      <c r="C932" s="203" t="n"/>
      <c r="D932" s="289" t="n"/>
      <c r="E932" s="203" t="n"/>
      <c r="F932" s="203" t="n"/>
    </row>
    <row r="933" ht="13" customHeight="1" s="189">
      <c r="B933" s="203" t="n"/>
      <c r="C933" s="203" t="n"/>
      <c r="D933" s="289" t="n"/>
      <c r="E933" s="203" t="n"/>
      <c r="F933" s="203" t="n"/>
    </row>
    <row r="934" ht="13" customHeight="1" s="189">
      <c r="B934" s="203" t="n"/>
      <c r="C934" s="203" t="n"/>
      <c r="D934" s="289" t="n"/>
      <c r="E934" s="203" t="n"/>
      <c r="F934" s="203" t="n"/>
    </row>
    <row r="935" ht="13" customHeight="1" s="189">
      <c r="B935" s="203" t="n"/>
      <c r="C935" s="203" t="n"/>
      <c r="D935" s="289" t="n"/>
      <c r="E935" s="203" t="n"/>
      <c r="F935" s="203" t="n"/>
    </row>
    <row r="936" ht="13" customHeight="1" s="189">
      <c r="B936" s="203" t="n"/>
      <c r="C936" s="203" t="n"/>
      <c r="D936" s="289" t="n"/>
      <c r="E936" s="203" t="n"/>
      <c r="F936" s="203" t="n"/>
    </row>
    <row r="937" ht="13" customHeight="1" s="189">
      <c r="B937" s="203" t="n"/>
      <c r="C937" s="203" t="n"/>
      <c r="D937" s="289" t="n"/>
      <c r="E937" s="203" t="n"/>
      <c r="F937" s="203" t="n"/>
    </row>
    <row r="938" ht="13" customHeight="1" s="189">
      <c r="B938" s="203" t="n"/>
      <c r="C938" s="203" t="n"/>
      <c r="D938" s="289" t="n"/>
      <c r="E938" s="203" t="n"/>
      <c r="F938" s="203" t="n"/>
    </row>
    <row r="939" ht="13" customHeight="1" s="189">
      <c r="B939" s="203" t="n"/>
      <c r="C939" s="203" t="n"/>
      <c r="D939" s="289" t="n"/>
      <c r="E939" s="203" t="n"/>
      <c r="F939" s="203" t="n"/>
    </row>
    <row r="940" ht="13" customHeight="1" s="189">
      <c r="B940" s="203" t="n"/>
      <c r="C940" s="203" t="n"/>
      <c r="D940" s="289" t="n"/>
      <c r="E940" s="203" t="n"/>
      <c r="F940" s="203" t="n"/>
    </row>
    <row r="941" ht="13" customHeight="1" s="189">
      <c r="B941" s="203" t="n"/>
      <c r="C941" s="203" t="n"/>
      <c r="D941" s="289" t="n"/>
      <c r="E941" s="203" t="n"/>
      <c r="F941" s="203" t="n"/>
    </row>
    <row r="942" ht="13" customHeight="1" s="189">
      <c r="B942" s="203" t="n"/>
      <c r="C942" s="203" t="n"/>
      <c r="D942" s="289" t="n"/>
      <c r="E942" s="203" t="n"/>
      <c r="F942" s="203" t="n"/>
    </row>
    <row r="943" ht="13" customHeight="1" s="189">
      <c r="B943" s="203" t="n"/>
      <c r="C943" s="203" t="n"/>
      <c r="D943" s="289" t="n"/>
      <c r="E943" s="203" t="n"/>
      <c r="F943" s="203" t="n"/>
    </row>
    <row r="944" ht="13" customHeight="1" s="189">
      <c r="B944" s="203" t="n"/>
      <c r="C944" s="203" t="n"/>
      <c r="D944" s="289" t="n"/>
      <c r="E944" s="203" t="n"/>
      <c r="F944" s="203" t="n"/>
    </row>
    <row r="945" ht="13" customHeight="1" s="189">
      <c r="B945" s="203" t="n"/>
      <c r="C945" s="203" t="n"/>
      <c r="D945" s="289" t="n"/>
      <c r="E945" s="203" t="n"/>
      <c r="F945" s="203" t="n"/>
    </row>
    <row r="946" ht="13" customHeight="1" s="189">
      <c r="B946" s="203" t="n"/>
      <c r="C946" s="203" t="n"/>
      <c r="D946" s="289" t="n"/>
      <c r="E946" s="203" t="n"/>
      <c r="F946" s="203" t="n"/>
    </row>
    <row r="947" ht="13" customHeight="1" s="189">
      <c r="B947" s="203" t="n"/>
      <c r="C947" s="203" t="n"/>
      <c r="D947" s="289" t="n"/>
      <c r="E947" s="203" t="n"/>
      <c r="F947" s="203" t="n"/>
    </row>
    <row r="948" ht="13" customHeight="1" s="189">
      <c r="B948" s="203" t="n"/>
      <c r="C948" s="203" t="n"/>
      <c r="D948" s="289" t="n"/>
      <c r="E948" s="203" t="n"/>
      <c r="F948" s="203" t="n"/>
    </row>
    <row r="949" ht="13" customHeight="1" s="189">
      <c r="B949" s="203" t="n"/>
      <c r="C949" s="203" t="n"/>
      <c r="D949" s="289" t="n"/>
      <c r="E949" s="203" t="n"/>
      <c r="F949" s="203" t="n"/>
    </row>
    <row r="950" ht="13" customHeight="1" s="189">
      <c r="B950" s="203" t="n"/>
      <c r="C950" s="203" t="n"/>
      <c r="D950" s="289" t="n"/>
      <c r="E950" s="203" t="n"/>
      <c r="F950" s="203" t="n"/>
    </row>
    <row r="951" ht="13" customHeight="1" s="189">
      <c r="B951" s="203" t="n"/>
      <c r="C951" s="203" t="n"/>
      <c r="D951" s="289" t="n"/>
      <c r="E951" s="203" t="n"/>
      <c r="F951" s="203" t="n"/>
    </row>
    <row r="952" ht="13" customHeight="1" s="189">
      <c r="B952" s="203" t="n"/>
      <c r="C952" s="203" t="n"/>
      <c r="D952" s="289" t="n"/>
      <c r="E952" s="203" t="n"/>
      <c r="F952" s="203" t="n"/>
    </row>
    <row r="953" ht="13" customHeight="1" s="189">
      <c r="B953" s="203" t="n"/>
      <c r="C953" s="203" t="n"/>
      <c r="D953" s="289" t="n"/>
      <c r="E953" s="203" t="n"/>
      <c r="F953" s="203" t="n"/>
    </row>
    <row r="954" ht="13" customHeight="1" s="189">
      <c r="B954" s="203" t="n"/>
      <c r="C954" s="203" t="n"/>
      <c r="D954" s="289" t="n"/>
      <c r="E954" s="203" t="n"/>
      <c r="F954" s="203" t="n"/>
    </row>
    <row r="955" ht="13" customHeight="1" s="189">
      <c r="B955" s="203" t="n"/>
      <c r="C955" s="203" t="n"/>
      <c r="D955" s="289" t="n"/>
      <c r="E955" s="203" t="n"/>
      <c r="F955" s="203" t="n"/>
    </row>
    <row r="956" ht="13" customHeight="1" s="189">
      <c r="B956" s="203" t="n"/>
      <c r="C956" s="203" t="n"/>
      <c r="D956" s="289" t="n"/>
      <c r="E956" s="203" t="n"/>
      <c r="F956" s="203" t="n"/>
    </row>
    <row r="957" ht="13" customHeight="1" s="189">
      <c r="B957" s="203" t="n"/>
      <c r="C957" s="203" t="n"/>
      <c r="D957" s="289" t="n"/>
      <c r="E957" s="203" t="n"/>
      <c r="F957" s="203" t="n"/>
    </row>
    <row r="958" ht="13" customHeight="1" s="189">
      <c r="B958" s="203" t="n"/>
      <c r="C958" s="203" t="n"/>
      <c r="D958" s="289" t="n"/>
      <c r="E958" s="203" t="n"/>
      <c r="F958" s="203" t="n"/>
    </row>
    <row r="959" ht="13" customHeight="1" s="189">
      <c r="B959" s="203" t="n"/>
      <c r="C959" s="203" t="n"/>
      <c r="D959" s="289" t="n"/>
      <c r="E959" s="203" t="n"/>
      <c r="F959" s="203" t="n"/>
    </row>
    <row r="960" ht="13" customHeight="1" s="189">
      <c r="B960" s="203" t="n"/>
      <c r="C960" s="203" t="n"/>
      <c r="D960" s="289" t="n"/>
      <c r="E960" s="203" t="n"/>
      <c r="F960" s="203" t="n"/>
    </row>
    <row r="961" ht="13" customHeight="1" s="189">
      <c r="B961" s="203" t="n"/>
      <c r="C961" s="203" t="n"/>
      <c r="D961" s="289" t="n"/>
      <c r="E961" s="203" t="n"/>
      <c r="F961" s="203" t="n"/>
    </row>
    <row r="962" ht="13" customHeight="1" s="189">
      <c r="B962" s="203" t="n"/>
      <c r="C962" s="203" t="n"/>
      <c r="D962" s="289" t="n"/>
      <c r="E962" s="203" t="n"/>
      <c r="F962" s="203" t="n"/>
    </row>
    <row r="963" ht="13" customHeight="1" s="189">
      <c r="B963" s="203" t="n"/>
      <c r="C963" s="203" t="n"/>
      <c r="D963" s="289" t="n"/>
      <c r="E963" s="203" t="n"/>
      <c r="F963" s="203" t="n"/>
    </row>
    <row r="964" ht="13" customHeight="1" s="189">
      <c r="B964" s="203" t="n"/>
      <c r="C964" s="203" t="n"/>
      <c r="D964" s="289" t="n"/>
      <c r="E964" s="203" t="n"/>
      <c r="F964" s="203" t="n"/>
    </row>
    <row r="965" ht="13" customHeight="1" s="189">
      <c r="B965" s="203" t="n"/>
      <c r="C965" s="203" t="n"/>
      <c r="D965" s="289" t="n"/>
      <c r="E965" s="203" t="n"/>
      <c r="F965" s="203" t="n"/>
    </row>
    <row r="966" ht="13" customHeight="1" s="189">
      <c r="B966" s="203" t="n"/>
      <c r="C966" s="203" t="n"/>
      <c r="D966" s="289" t="n"/>
      <c r="E966" s="203" t="n"/>
      <c r="F966" s="203" t="n"/>
    </row>
    <row r="967" ht="13" customHeight="1" s="189">
      <c r="B967" s="203" t="n"/>
      <c r="C967" s="203" t="n"/>
      <c r="D967" s="289" t="n"/>
      <c r="E967" s="203" t="n"/>
      <c r="F967" s="203" t="n"/>
    </row>
    <row r="968" ht="13" customHeight="1" s="189">
      <c r="B968" s="203" t="n"/>
      <c r="C968" s="203" t="n"/>
      <c r="D968" s="289" t="n"/>
      <c r="E968" s="203" t="n"/>
      <c r="F968" s="203" t="n"/>
    </row>
    <row r="969" ht="13" customHeight="1" s="189">
      <c r="B969" s="203" t="n"/>
      <c r="C969" s="203" t="n"/>
      <c r="D969" s="289" t="n"/>
      <c r="E969" s="203" t="n"/>
      <c r="F969" s="203" t="n"/>
    </row>
    <row r="970" ht="13" customHeight="1" s="189">
      <c r="B970" s="203" t="n"/>
      <c r="C970" s="203" t="n"/>
      <c r="D970" s="289" t="n"/>
      <c r="E970" s="203" t="n"/>
      <c r="F970" s="203" t="n"/>
    </row>
    <row r="971" ht="13" customHeight="1" s="189">
      <c r="B971" s="203" t="n"/>
      <c r="C971" s="203" t="n"/>
      <c r="D971" s="289" t="n"/>
      <c r="E971" s="203" t="n"/>
      <c r="F971" s="203" t="n"/>
    </row>
    <row r="972" ht="13" customHeight="1" s="189">
      <c r="B972" s="203" t="n"/>
      <c r="C972" s="203" t="n"/>
      <c r="D972" s="289" t="n"/>
      <c r="E972" s="203" t="n"/>
      <c r="F972" s="203" t="n"/>
    </row>
    <row r="973" ht="13" customHeight="1" s="189">
      <c r="B973" s="203" t="n"/>
      <c r="C973" s="203" t="n"/>
      <c r="D973" s="289" t="n"/>
      <c r="E973" s="203" t="n"/>
      <c r="F973" s="203" t="n"/>
    </row>
    <row r="974" ht="13" customHeight="1" s="189">
      <c r="B974" s="203" t="n"/>
      <c r="C974" s="203" t="n"/>
      <c r="D974" s="289" t="n"/>
      <c r="E974" s="203" t="n"/>
      <c r="F974" s="203" t="n"/>
    </row>
    <row r="975" ht="13" customHeight="1" s="189">
      <c r="B975" s="203" t="n"/>
      <c r="C975" s="203" t="n"/>
      <c r="D975" s="289" t="n"/>
      <c r="E975" s="203" t="n"/>
      <c r="F975" s="203" t="n"/>
    </row>
    <row r="976" ht="13" customHeight="1" s="189">
      <c r="B976" s="203" t="n"/>
      <c r="C976" s="203" t="n"/>
      <c r="D976" s="289" t="n"/>
      <c r="E976" s="203" t="n"/>
      <c r="F976" s="203" t="n"/>
    </row>
    <row r="977" ht="13" customHeight="1" s="189">
      <c r="B977" s="203" t="n"/>
      <c r="C977" s="203" t="n"/>
      <c r="D977" s="289" t="n"/>
      <c r="E977" s="203" t="n"/>
      <c r="F977" s="203" t="n"/>
    </row>
    <row r="978" ht="13" customHeight="1" s="189">
      <c r="B978" s="203" t="n"/>
      <c r="C978" s="203" t="n"/>
      <c r="D978" s="289" t="n"/>
      <c r="E978" s="203" t="n"/>
      <c r="F978" s="203" t="n"/>
    </row>
    <row r="979" ht="13" customHeight="1" s="189">
      <c r="B979" s="203" t="n"/>
      <c r="C979" s="203" t="n"/>
      <c r="D979" s="289" t="n"/>
      <c r="E979" s="203" t="n"/>
      <c r="F979" s="203" t="n"/>
    </row>
    <row r="980" ht="13" customHeight="1" s="189">
      <c r="B980" s="203" t="n"/>
      <c r="C980" s="203" t="n"/>
      <c r="D980" s="289" t="n"/>
      <c r="E980" s="203" t="n"/>
      <c r="F980" s="203" t="n"/>
    </row>
    <row r="981" ht="13" customHeight="1" s="189">
      <c r="B981" s="203" t="n"/>
      <c r="C981" s="203" t="n"/>
      <c r="D981" s="289" t="n"/>
      <c r="E981" s="203" t="n"/>
      <c r="F981" s="203" t="n"/>
    </row>
    <row r="982" ht="13" customHeight="1" s="189">
      <c r="B982" s="203" t="n"/>
      <c r="C982" s="203" t="n"/>
      <c r="D982" s="289" t="n"/>
      <c r="E982" s="203" t="n"/>
      <c r="F982" s="203" t="n"/>
    </row>
    <row r="983" ht="13" customHeight="1" s="189">
      <c r="B983" s="203" t="n"/>
      <c r="C983" s="203" t="n"/>
      <c r="D983" s="289" t="n"/>
      <c r="E983" s="203" t="n"/>
      <c r="F983" s="203" t="n"/>
    </row>
    <row r="984" ht="13" customHeight="1" s="189">
      <c r="B984" s="203" t="n"/>
      <c r="C984" s="203" t="n"/>
      <c r="D984" s="289" t="n"/>
      <c r="E984" s="203" t="n"/>
      <c r="F984" s="203" t="n"/>
    </row>
    <row r="985" ht="13" customHeight="1" s="189">
      <c r="B985" s="203" t="n"/>
      <c r="C985" s="203" t="n"/>
      <c r="D985" s="289" t="n"/>
      <c r="E985" s="203" t="n"/>
      <c r="F985" s="203" t="n"/>
    </row>
    <row r="986" ht="13" customHeight="1" s="189">
      <c r="B986" s="203" t="n"/>
      <c r="C986" s="203" t="n"/>
      <c r="D986" s="289" t="n"/>
      <c r="E986" s="203" t="n"/>
      <c r="F986" s="203" t="n"/>
    </row>
    <row r="987" ht="13" customHeight="1" s="189">
      <c r="B987" s="203" t="n"/>
      <c r="C987" s="203" t="n"/>
      <c r="D987" s="289" t="n"/>
      <c r="E987" s="203" t="n"/>
      <c r="F987" s="203" t="n"/>
    </row>
    <row r="988" ht="13" customHeight="1" s="189">
      <c r="B988" s="203" t="n"/>
      <c r="C988" s="203" t="n"/>
      <c r="D988" s="289" t="n"/>
      <c r="E988" s="203" t="n"/>
      <c r="F988" s="203" t="n"/>
    </row>
    <row r="989" ht="13" customHeight="1" s="189">
      <c r="B989" s="203" t="n"/>
      <c r="C989" s="203" t="n"/>
      <c r="D989" s="289" t="n"/>
      <c r="E989" s="203" t="n"/>
      <c r="F989" s="203" t="n"/>
    </row>
    <row r="990" ht="13" customHeight="1" s="189">
      <c r="B990" s="203" t="n"/>
      <c r="C990" s="203" t="n"/>
      <c r="D990" s="289" t="n"/>
      <c r="E990" s="203" t="n"/>
      <c r="F990" s="203" t="n"/>
    </row>
    <row r="991" ht="13" customHeight="1" s="189">
      <c r="B991" s="203" t="n"/>
      <c r="C991" s="203" t="n"/>
      <c r="D991" s="289" t="n"/>
      <c r="E991" s="203" t="n"/>
      <c r="F991" s="203" t="n"/>
    </row>
    <row r="992" ht="13" customHeight="1" s="189">
      <c r="B992" s="203" t="n"/>
      <c r="C992" s="203" t="n"/>
      <c r="D992" s="289" t="n"/>
      <c r="E992" s="203" t="n"/>
      <c r="F992" s="203" t="n"/>
    </row>
    <row r="993" ht="13" customHeight="1" s="189">
      <c r="B993" s="203" t="n"/>
      <c r="C993" s="203" t="n"/>
      <c r="D993" s="289" t="n"/>
      <c r="E993" s="203" t="n"/>
      <c r="F993" s="203" t="n"/>
    </row>
    <row r="994" ht="13" customHeight="1" s="189">
      <c r="B994" s="203" t="n"/>
      <c r="C994" s="203" t="n"/>
      <c r="D994" s="289" t="n"/>
      <c r="E994" s="203" t="n"/>
      <c r="F994" s="203" t="n"/>
    </row>
    <row r="995" ht="13" customHeight="1" s="189">
      <c r="B995" s="203" t="n"/>
      <c r="C995" s="203" t="n"/>
      <c r="D995" s="289" t="n"/>
      <c r="E995" s="203" t="n"/>
      <c r="F995" s="203" t="n"/>
    </row>
    <row r="996" ht="13" customHeight="1" s="189">
      <c r="B996" s="203" t="n"/>
      <c r="C996" s="203" t="n"/>
      <c r="D996" s="289" t="n"/>
      <c r="E996" s="203" t="n"/>
      <c r="F996" s="203" t="n"/>
    </row>
    <row r="997" ht="13" customHeight="1" s="189">
      <c r="B997" s="203" t="n"/>
      <c r="C997" s="203" t="n"/>
      <c r="D997" s="289" t="n"/>
      <c r="E997" s="203" t="n"/>
      <c r="F997" s="203" t="n"/>
    </row>
    <row r="998" ht="13" customHeight="1" s="189">
      <c r="B998" s="203" t="n"/>
      <c r="C998" s="203" t="n"/>
      <c r="D998" s="289" t="n"/>
      <c r="E998" s="203" t="n"/>
      <c r="F998" s="203" t="n"/>
    </row>
    <row r="999" ht="13" customHeight="1" s="189">
      <c r="B999" s="203" t="n"/>
      <c r="C999" s="203" t="n"/>
      <c r="D999" s="289" t="n"/>
      <c r="E999" s="203" t="n"/>
      <c r="F999" s="203" t="n"/>
    </row>
    <row r="1000" ht="13" customHeight="1" s="189">
      <c r="B1000" s="203" t="n"/>
      <c r="C1000" s="203" t="n"/>
      <c r="D1000" s="289" t="n"/>
      <c r="E1000" s="203" t="n"/>
      <c r="F1000" s="203" t="n"/>
    </row>
    <row r="1001" ht="13" customHeight="1" s="189">
      <c r="B1001" s="203" t="n"/>
      <c r="C1001" s="203" t="n"/>
      <c r="D1001" s="289" t="n"/>
      <c r="E1001" s="203" t="n"/>
      <c r="F1001" s="203" t="n"/>
    </row>
    <row r="1002" ht="13" customHeight="1" s="189">
      <c r="B1002" s="203" t="n"/>
      <c r="C1002" s="203" t="n"/>
      <c r="D1002" s="289" t="n"/>
      <c r="E1002" s="203" t="n"/>
      <c r="F1002" s="203" t="n"/>
    </row>
    <row r="1003" ht="13" customHeight="1" s="189">
      <c r="B1003" s="203" t="n"/>
      <c r="C1003" s="203" t="n"/>
      <c r="D1003" s="289" t="n"/>
      <c r="E1003" s="203" t="n"/>
      <c r="F1003" s="203" t="n"/>
    </row>
    <row r="1004" ht="13" customHeight="1" s="189">
      <c r="B1004" s="203" t="n"/>
      <c r="C1004" s="203" t="n"/>
      <c r="D1004" s="289" t="n"/>
      <c r="E1004" s="203" t="n"/>
      <c r="F1004" s="203" t="n"/>
    </row>
    <row r="1005" ht="13" customHeight="1" s="189">
      <c r="B1005" s="203" t="n"/>
      <c r="C1005" s="203" t="n"/>
      <c r="D1005" s="289" t="n"/>
      <c r="E1005" s="203" t="n"/>
      <c r="F1005" s="203" t="n"/>
    </row>
    <row r="1006" ht="13" customHeight="1" s="189">
      <c r="B1006" s="203" t="n"/>
      <c r="C1006" s="203" t="n"/>
      <c r="D1006" s="289" t="n"/>
      <c r="E1006" s="203" t="n"/>
      <c r="F1006" s="203" t="n"/>
    </row>
    <row r="1007" ht="13" customHeight="1" s="189">
      <c r="B1007" s="203" t="n"/>
      <c r="C1007" s="203" t="n"/>
      <c r="D1007" s="289" t="n"/>
      <c r="E1007" s="203" t="n"/>
      <c r="F1007" s="203" t="n"/>
    </row>
    <row r="1008" ht="13" customHeight="1" s="189">
      <c r="B1008" s="203" t="n"/>
      <c r="C1008" s="203" t="n"/>
      <c r="D1008" s="289" t="n"/>
      <c r="E1008" s="203" t="n"/>
      <c r="F1008" s="203" t="n"/>
    </row>
    <row r="1009" ht="13" customHeight="1" s="189">
      <c r="B1009" s="203" t="n"/>
      <c r="C1009" s="203" t="n"/>
      <c r="D1009" s="289" t="n"/>
      <c r="E1009" s="203" t="n"/>
      <c r="F1009" s="203" t="n"/>
    </row>
    <row r="1010" ht="13" customHeight="1" s="189">
      <c r="B1010" s="203" t="n"/>
      <c r="C1010" s="203" t="n"/>
      <c r="D1010" s="289" t="n"/>
      <c r="E1010" s="203" t="n"/>
      <c r="F1010" s="203" t="n"/>
    </row>
    <row r="1011" ht="13" customHeight="1" s="189">
      <c r="B1011" s="203" t="n"/>
      <c r="C1011" s="203" t="n"/>
      <c r="D1011" s="289" t="n"/>
      <c r="E1011" s="203" t="n"/>
      <c r="F1011" s="203" t="n"/>
    </row>
    <row r="1012" ht="13" customHeight="1" s="189">
      <c r="B1012" s="203" t="n"/>
      <c r="C1012" s="203" t="n"/>
      <c r="D1012" s="289" t="n"/>
      <c r="E1012" s="203" t="n"/>
      <c r="F1012" s="203" t="n"/>
    </row>
    <row r="1013" ht="13" customHeight="1" s="189">
      <c r="B1013" s="203" t="n"/>
      <c r="C1013" s="203" t="n"/>
      <c r="D1013" s="289" t="n"/>
      <c r="E1013" s="203" t="n"/>
      <c r="F1013" s="203" t="n"/>
    </row>
    <row r="1014" ht="13" customHeight="1" s="189">
      <c r="B1014" s="203" t="n"/>
      <c r="C1014" s="203" t="n"/>
      <c r="D1014" s="289" t="n"/>
      <c r="E1014" s="203" t="n"/>
      <c r="F1014" s="203" t="n"/>
    </row>
    <row r="1015" ht="13" customHeight="1" s="189">
      <c r="B1015" s="203" t="n"/>
      <c r="C1015" s="203" t="n"/>
      <c r="D1015" s="289" t="n"/>
      <c r="E1015" s="203" t="n"/>
      <c r="F1015" s="203" t="n"/>
    </row>
    <row r="1016" ht="13" customHeight="1" s="189">
      <c r="B1016" s="203" t="n"/>
      <c r="C1016" s="203" t="n"/>
      <c r="D1016" s="289" t="n"/>
      <c r="E1016" s="203" t="n"/>
      <c r="F1016" s="203" t="n"/>
    </row>
    <row r="1017" ht="13" customHeight="1" s="189">
      <c r="B1017" s="203" t="n"/>
      <c r="C1017" s="203" t="n"/>
      <c r="D1017" s="289" t="n"/>
      <c r="E1017" s="203" t="n"/>
      <c r="F1017" s="203" t="n"/>
    </row>
    <row r="1018" ht="13" customHeight="1" s="189">
      <c r="B1018" s="203" t="n"/>
      <c r="C1018" s="203" t="n"/>
      <c r="D1018" s="289" t="n"/>
      <c r="E1018" s="203" t="n"/>
      <c r="F1018" s="203" t="n"/>
    </row>
    <row r="1019" ht="13" customHeight="1" s="189">
      <c r="B1019" s="203" t="n"/>
      <c r="C1019" s="203" t="n"/>
      <c r="D1019" s="289" t="n"/>
      <c r="E1019" s="203" t="n"/>
      <c r="F1019" s="203" t="n"/>
    </row>
    <row r="1020" ht="13" customHeight="1" s="189">
      <c r="B1020" s="203" t="n"/>
      <c r="C1020" s="203" t="n"/>
      <c r="D1020" s="289" t="n"/>
      <c r="E1020" s="203" t="n"/>
      <c r="F1020" s="203" t="n"/>
    </row>
    <row r="1021" ht="13" customHeight="1" s="189">
      <c r="B1021" s="203" t="n"/>
      <c r="C1021" s="203" t="n"/>
      <c r="D1021" s="289" t="n"/>
      <c r="E1021" s="203" t="n"/>
      <c r="F1021" s="203" t="n"/>
    </row>
    <row r="1022" ht="13" customHeight="1" s="189">
      <c r="B1022" s="203" t="n"/>
      <c r="C1022" s="203" t="n"/>
      <c r="D1022" s="289" t="n"/>
      <c r="E1022" s="203" t="n"/>
      <c r="F1022" s="203" t="n"/>
    </row>
    <row r="1023" ht="13" customHeight="1" s="189">
      <c r="B1023" s="203" t="n"/>
      <c r="C1023" s="203" t="n"/>
      <c r="D1023" s="289" t="n"/>
      <c r="E1023" s="203" t="n"/>
      <c r="F1023" s="203" t="n"/>
    </row>
    <row r="1024" ht="13" customHeight="1" s="189">
      <c r="B1024" s="203" t="n"/>
      <c r="C1024" s="203" t="n"/>
      <c r="D1024" s="289" t="n"/>
      <c r="E1024" s="203" t="n"/>
      <c r="F1024" s="203" t="n"/>
    </row>
    <row r="1025" ht="13" customHeight="1" s="189">
      <c r="B1025" s="203" t="n"/>
      <c r="C1025" s="203" t="n"/>
      <c r="D1025" s="289" t="n"/>
      <c r="E1025" s="203" t="n"/>
      <c r="F1025" s="203" t="n"/>
    </row>
    <row r="1026" ht="13" customHeight="1" s="189">
      <c r="B1026" s="203" t="n"/>
      <c r="C1026" s="203" t="n"/>
      <c r="D1026" s="289" t="n"/>
      <c r="E1026" s="203" t="n"/>
      <c r="F1026" s="203" t="n"/>
    </row>
    <row r="1027" ht="13" customHeight="1" s="189">
      <c r="B1027" s="203" t="n"/>
      <c r="C1027" s="203" t="n"/>
      <c r="D1027" s="289" t="n"/>
      <c r="E1027" s="203" t="n"/>
      <c r="F1027" s="203" t="n"/>
    </row>
    <row r="1028" ht="13" customHeight="1" s="189">
      <c r="B1028" s="203" t="n"/>
      <c r="C1028" s="203" t="n"/>
      <c r="D1028" s="289" t="n"/>
      <c r="E1028" s="203" t="n"/>
      <c r="F1028" s="203" t="n"/>
    </row>
    <row r="1029" ht="13" customHeight="1" s="189">
      <c r="B1029" s="203" t="n"/>
      <c r="C1029" s="203" t="n"/>
      <c r="D1029" s="289" t="n"/>
      <c r="E1029" s="203" t="n"/>
      <c r="F1029" s="203" t="n"/>
    </row>
    <row r="1030" ht="13" customHeight="1" s="189">
      <c r="B1030" s="203" t="n"/>
      <c r="C1030" s="203" t="n"/>
      <c r="D1030" s="289" t="n"/>
      <c r="E1030" s="203" t="n"/>
      <c r="F1030" s="203" t="n"/>
    </row>
    <row r="1031" ht="13" customHeight="1" s="189">
      <c r="B1031" s="203" t="n"/>
      <c r="C1031" s="203" t="n"/>
      <c r="D1031" s="289" t="n"/>
      <c r="E1031" s="203" t="n"/>
      <c r="F1031" s="203" t="n"/>
    </row>
    <row r="1032" ht="13" customHeight="1" s="189">
      <c r="B1032" s="203" t="n"/>
      <c r="C1032" s="203" t="n"/>
      <c r="D1032" s="289" t="n"/>
      <c r="E1032" s="203" t="n"/>
      <c r="F1032" s="203" t="n"/>
    </row>
    <row r="1033" ht="13" customHeight="1" s="189">
      <c r="B1033" s="203" t="n"/>
      <c r="C1033" s="203" t="n"/>
      <c r="D1033" s="289" t="n"/>
      <c r="E1033" s="203" t="n"/>
      <c r="F1033" s="203" t="n"/>
    </row>
    <row r="1034" ht="13" customHeight="1" s="189">
      <c r="B1034" s="203" t="n"/>
      <c r="C1034" s="203" t="n"/>
      <c r="D1034" s="289" t="n"/>
      <c r="E1034" s="203" t="n"/>
      <c r="F1034" s="203" t="n"/>
    </row>
    <row r="1035" ht="13" customHeight="1" s="189">
      <c r="B1035" s="203" t="n"/>
      <c r="C1035" s="203" t="n"/>
      <c r="D1035" s="289" t="n"/>
      <c r="E1035" s="203" t="n"/>
      <c r="F1035" s="203" t="n"/>
    </row>
    <row r="1036" ht="13" customHeight="1" s="189">
      <c r="B1036" s="203" t="n"/>
      <c r="C1036" s="203" t="n"/>
      <c r="D1036" s="289" t="n"/>
      <c r="E1036" s="203" t="n"/>
      <c r="F1036" s="203" t="n"/>
    </row>
    <row r="1037" ht="13" customHeight="1" s="189">
      <c r="B1037" s="203" t="n"/>
      <c r="C1037" s="203" t="n"/>
      <c r="D1037" s="289" t="n"/>
      <c r="E1037" s="203" t="n"/>
      <c r="F1037" s="203" t="n"/>
    </row>
    <row r="1038" ht="13" customHeight="1" s="189">
      <c r="B1038" s="203" t="n"/>
      <c r="C1038" s="203" t="n"/>
      <c r="D1038" s="289" t="n"/>
      <c r="E1038" s="203" t="n"/>
      <c r="F1038" s="203" t="n"/>
    </row>
    <row r="1039" ht="13" customHeight="1" s="189">
      <c r="B1039" s="203" t="n"/>
      <c r="C1039" s="203" t="n"/>
      <c r="D1039" s="289" t="n"/>
      <c r="E1039" s="203" t="n"/>
      <c r="F1039" s="203" t="n"/>
    </row>
    <row r="1040" ht="13" customHeight="1" s="189"/>
    <row r="1041" ht="13" customHeight="1" s="189"/>
    <row r="1042" ht="13" customHeight="1" s="189"/>
    <row r="1043" ht="13" customHeight="1" s="189"/>
    <row r="1044" ht="13" customHeight="1" s="189"/>
    <row r="1045" ht="13" customHeight="1" s="189"/>
    <row r="1046" ht="13" customHeight="1" s="189"/>
    <row r="1047" ht="13" customHeight="1" s="189"/>
    <row r="1048" ht="13" customHeight="1" s="189"/>
    <row r="1049" ht="13" customHeight="1" s="189"/>
    <row r="1050" ht="13" customHeight="1" s="189"/>
    <row r="1051" ht="13" customHeight="1" s="189"/>
    <row r="1052" ht="13" customHeight="1" s="189"/>
    <row r="1053" ht="13" customHeight="1" s="189"/>
    <row r="1054" ht="13" customHeight="1" s="189"/>
    <row r="1055" ht="13" customHeight="1" s="189"/>
    <row r="1056" ht="13" customHeight="1" s="189"/>
    <row r="1057" ht="13" customHeight="1" s="189"/>
    <row r="1058" ht="13" customHeight="1" s="189"/>
    <row r="1059" ht="13" customHeight="1" s="189"/>
    <row r="1060" ht="13" customHeight="1" s="189"/>
    <row r="1061" ht="13" customHeight="1" s="189"/>
    <row r="1062" ht="13" customHeight="1" s="189"/>
    <row r="1063" ht="13" customHeight="1" s="189"/>
    <row r="1064" ht="13" customHeight="1" s="189"/>
    <row r="1065" ht="13" customHeight="1" s="189"/>
    <row r="1066" ht="13" customHeight="1" s="189"/>
    <row r="1067" ht="13" customHeight="1" s="189"/>
    <row r="1068" ht="13" customHeight="1" s="189"/>
    <row r="1069" ht="13" customHeight="1" s="189"/>
    <row r="1070" ht="13" customHeight="1" s="189"/>
    <row r="1071" ht="13" customHeight="1" s="189"/>
    <row r="1072" ht="13" customHeight="1" s="189"/>
    <row r="1073" ht="13" customHeight="1" s="189"/>
    <row r="1074" ht="13" customHeight="1" s="189"/>
    <row r="1075" ht="13" customHeight="1" s="189"/>
    <row r="1076" ht="13" customHeight="1" s="189"/>
    <row r="1077" ht="13" customHeight="1" s="189"/>
    <row r="1078" ht="13" customHeight="1" s="189"/>
    <row r="1079" ht="13" customHeight="1" s="189"/>
    <row r="1080" ht="13" customHeight="1" s="189"/>
    <row r="1081" ht="13" customHeight="1" s="189"/>
    <row r="1082" ht="13" customHeight="1" s="189"/>
    <row r="1083" ht="13" customHeight="1" s="189"/>
    <row r="1084" ht="13" customHeight="1" s="189"/>
    <row r="1085" ht="13" customHeight="1" s="189"/>
    <row r="1086" ht="13" customHeight="1" s="189"/>
    <row r="1087" ht="13" customHeight="1" s="189"/>
    <row r="1088" ht="13" customHeight="1" s="189"/>
    <row r="1089" ht="13" customHeight="1" s="189"/>
    <row r="1090" ht="13" customHeight="1" s="189"/>
    <row r="1091" ht="13" customHeight="1" s="189"/>
    <row r="1092" ht="13" customHeight="1" s="189"/>
    <row r="1093" ht="13" customHeight="1" s="189"/>
    <row r="1094" ht="13" customHeight="1" s="189"/>
    <row r="1095" ht="13" customHeight="1" s="189"/>
    <row r="1096" ht="13" customHeight="1" s="189"/>
    <row r="1097" ht="13" customHeight="1" s="189"/>
    <row r="1098" ht="13" customHeight="1" s="189"/>
    <row r="1099" ht="13" customHeight="1" s="189"/>
    <row r="1100" ht="13" customHeight="1" s="189"/>
    <row r="1101" ht="13" customHeight="1" s="189"/>
    <row r="1102" ht="13" customHeight="1" s="189"/>
    <row r="1103" ht="13" customHeight="1" s="189"/>
    <row r="1104" ht="13" customHeight="1" s="189"/>
    <row r="1105" ht="13" customHeight="1" s="189"/>
    <row r="1106" ht="13" customHeight="1" s="189"/>
    <row r="1107" ht="13" customHeight="1" s="189"/>
    <row r="1108" ht="13" customHeight="1" s="189"/>
    <row r="1109" ht="13" customHeight="1" s="189"/>
    <row r="1110" ht="13" customHeight="1" s="189"/>
    <row r="1111" ht="13" customHeight="1" s="189"/>
    <row r="1112" ht="13" customHeight="1" s="189"/>
    <row r="1113" ht="13" customHeight="1" s="189"/>
    <row r="1114" ht="13" customHeight="1" s="189"/>
    <row r="1115" ht="13" customHeight="1" s="189"/>
    <row r="1116" ht="13" customHeight="1" s="189"/>
    <row r="1117" ht="13" customHeight="1" s="189"/>
    <row r="1118" ht="13" customHeight="1" s="189"/>
    <row r="1119" ht="13" customHeight="1" s="189"/>
    <row r="1120" ht="13" customHeight="1" s="189"/>
    <row r="1121" ht="13" customHeight="1" s="189"/>
    <row r="1122" ht="13" customHeight="1" s="189"/>
    <row r="1123" ht="13" customHeight="1" s="189"/>
    <row r="1124" ht="13" customHeight="1" s="189"/>
    <row r="1125" ht="13" customHeight="1" s="189"/>
    <row r="1126" ht="13" customHeight="1" s="189"/>
    <row r="1127" ht="13" customHeight="1" s="189"/>
    <row r="1128" ht="13" customHeight="1" s="189"/>
    <row r="1129" ht="13" customHeight="1" s="189"/>
    <row r="1130" ht="13" customHeight="1" s="189"/>
    <row r="1131" ht="13" customHeight="1" s="189"/>
    <row r="1132" ht="13" customHeight="1" s="189"/>
    <row r="1133" ht="13" customHeight="1" s="189"/>
    <row r="1134" ht="13" customHeight="1" s="189"/>
    <row r="1135" ht="13" customHeight="1" s="189"/>
    <row r="1136" ht="13" customHeight="1" s="189"/>
    <row r="1137" ht="13" customHeight="1" s="189"/>
    <row r="1138" ht="13" customHeight="1" s="189"/>
    <row r="1139" ht="13" customHeight="1" s="189"/>
    <row r="1140" ht="13" customHeight="1" s="189"/>
    <row r="1141" ht="13" customHeight="1" s="189"/>
    <row r="1142" ht="13" customHeight="1" s="189"/>
    <row r="1143" ht="13" customHeight="1" s="189"/>
    <row r="1144" ht="13" customHeight="1" s="189"/>
    <row r="1145" ht="13" customHeight="1" s="189"/>
    <row r="1146" ht="13" customHeight="1" s="189"/>
    <row r="1147" ht="13" customHeight="1" s="189"/>
    <row r="1148" ht="13" customHeight="1" s="189"/>
    <row r="1149" ht="13" customHeight="1" s="189"/>
    <row r="1150" ht="13" customHeight="1" s="189"/>
    <row r="1151" ht="13" customHeight="1" s="189"/>
    <row r="1152" ht="13" customHeight="1" s="189"/>
    <row r="1153" ht="13" customHeight="1" s="189"/>
    <row r="1154" ht="13" customHeight="1" s="189"/>
    <row r="1155" ht="13" customHeight="1" s="189"/>
    <row r="1156" ht="13" customHeight="1" s="189"/>
    <row r="1157" ht="13" customHeight="1" s="189"/>
    <row r="1158" ht="13" customHeight="1" s="189"/>
    <row r="1159" ht="13" customHeight="1" s="189"/>
    <row r="1160" ht="13" customHeight="1" s="189"/>
    <row r="1161" ht="13" customHeight="1" s="189"/>
    <row r="1162" ht="13" customHeight="1" s="189"/>
    <row r="1163" ht="13" customHeight="1" s="189"/>
    <row r="1164" ht="13" customHeight="1" s="189"/>
    <row r="1165" ht="13" customHeight="1" s="189"/>
    <row r="1166" ht="13" customHeight="1" s="189"/>
    <row r="1167" ht="13" customHeight="1" s="189"/>
    <row r="1168" ht="13" customHeight="1" s="189"/>
    <row r="1169" ht="13" customHeight="1" s="189"/>
    <row r="1170" ht="13" customHeight="1" s="189"/>
    <row r="1171" ht="13" customHeight="1" s="189"/>
    <row r="1172" ht="13" customHeight="1" s="189"/>
    <row r="1173" ht="13" customHeight="1" s="189"/>
    <row r="1174" ht="13" customHeight="1" s="189"/>
    <row r="1175" ht="13" customHeight="1" s="189"/>
    <row r="1176" ht="13" customHeight="1" s="189"/>
    <row r="1177" ht="13" customHeight="1" s="189"/>
    <row r="1178" ht="13" customHeight="1" s="189"/>
    <row r="1179" ht="13" customHeight="1" s="189"/>
    <row r="1180" ht="13" customHeight="1" s="189"/>
    <row r="1181" ht="13" customHeight="1" s="189"/>
    <row r="1182" ht="13" customHeight="1" s="189"/>
  </sheetData>
  <mergeCells count="12">
    <mergeCell ref="B4:F4"/>
    <mergeCell ref="G4:H4"/>
    <mergeCell ref="B2:F2"/>
    <mergeCell ref="I2:N2"/>
    <mergeCell ref="G2:H2"/>
    <mergeCell ref="B3:F3"/>
    <mergeCell ref="I3:N3"/>
    <mergeCell ref="A5:N5"/>
    <mergeCell ref="B6:N6"/>
    <mergeCell ref="I4:N4"/>
    <mergeCell ref="G3:H3"/>
    <mergeCell ref="A1:N1"/>
  </mergeCells>
  <printOptions horizontalCentered="0" verticalCentered="0" headings="0" gridLines="1"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N1040"/>
  <sheetViews>
    <sheetView showFormulas="0" showGridLines="1" showRowColHeaders="1" showZeros="1" rightToLeft="0" tabSelected="0" showOutlineSymbols="1" defaultGridColor="1" view="normal" topLeftCell="A13" colorId="64" zoomScale="100" zoomScaleNormal="100" zoomScalePageLayoutView="100" workbookViewId="0">
      <selection pane="topLeft" activeCell="N40" activeCellId="0" sqref="N40"/>
    </sheetView>
  </sheetViews>
  <sheetFormatPr baseColWidth="8" defaultColWidth="9.0546875" defaultRowHeight="12.5" zeroHeight="0" outlineLevelRow="0"/>
  <cols>
    <col width="20.72" customWidth="1" style="188" min="1" max="1"/>
    <col width="7.72" customWidth="1" style="188" min="2" max="3"/>
    <col width="7.72" customWidth="1" style="293" min="4" max="4"/>
    <col width="7.72" customWidth="1" style="188" min="5" max="14"/>
  </cols>
  <sheetData>
    <row r="1" ht="15.5" customHeight="1" s="189">
      <c r="A1" s="243" t="inlineStr">
        <is>
          <t>Timesheet</t>
        </is>
      </c>
      <c r="B1" s="213" t="n"/>
      <c r="C1" s="213" t="n"/>
      <c r="D1" s="213" t="n"/>
      <c r="E1" s="213" t="n"/>
      <c r="F1" s="213" t="n"/>
      <c r="G1" s="213" t="n"/>
      <c r="H1" s="213" t="n"/>
      <c r="I1" s="213" t="n"/>
      <c r="J1" s="213" t="n"/>
      <c r="K1" s="213" t="n"/>
      <c r="L1" s="213" t="n"/>
      <c r="M1" s="213" t="n"/>
      <c r="N1" s="214" t="n"/>
    </row>
    <row r="2" ht="13" customHeight="1" s="189">
      <c r="A2" s="266" t="inlineStr">
        <is>
          <t>Project</t>
        </is>
      </c>
      <c r="B2" s="208">
        <f>Data!B1</f>
        <v/>
      </c>
      <c r="C2" s="213" t="n"/>
      <c r="D2" s="213" t="n"/>
      <c r="E2" s="213" t="n"/>
      <c r="F2" s="214" t="n"/>
      <c r="G2" s="266" t="inlineStr">
        <is>
          <t>Project #</t>
        </is>
      </c>
      <c r="H2" s="214" t="n"/>
      <c r="I2" s="208">
        <f>Data!B2</f>
        <v/>
      </c>
      <c r="J2" s="213" t="n"/>
      <c r="K2" s="213" t="n"/>
      <c r="L2" s="213" t="n"/>
      <c r="M2" s="213" t="n"/>
      <c r="N2" s="214" t="n"/>
    </row>
    <row r="3" ht="13" customHeight="1" s="189">
      <c r="A3" s="266" t="inlineStr">
        <is>
          <t>Project manager</t>
        </is>
      </c>
      <c r="B3" s="208">
        <f>Data!B3</f>
        <v/>
      </c>
      <c r="C3" s="213" t="n"/>
      <c r="D3" s="213" t="n"/>
      <c r="E3" s="213" t="n"/>
      <c r="F3" s="214" t="n"/>
      <c r="G3" s="266" t="inlineStr">
        <is>
          <t>Sponsor</t>
        </is>
      </c>
      <c r="H3" s="214" t="n"/>
      <c r="I3" s="208">
        <f>Data!B4</f>
        <v/>
      </c>
      <c r="J3" s="213" t="n"/>
      <c r="K3" s="213" t="n"/>
      <c r="L3" s="213" t="n"/>
      <c r="M3" s="213" t="n"/>
      <c r="N3" s="214" t="n"/>
    </row>
    <row r="4" ht="13" customHeight="1" s="189">
      <c r="A4" s="266" t="inlineStr">
        <is>
          <t>Project artifacts</t>
        </is>
      </c>
      <c r="B4" s="208">
        <f>Data!B5</f>
        <v/>
      </c>
      <c r="C4" s="213" t="n"/>
      <c r="D4" s="213" t="n"/>
      <c r="E4" s="213" t="n"/>
      <c r="F4" s="214" t="n"/>
      <c r="G4" s="266" t="inlineStr">
        <is>
          <t>Updated</t>
        </is>
      </c>
      <c r="H4" s="214" t="n"/>
      <c r="I4" s="208">
        <f>Data!B6</f>
        <v/>
      </c>
      <c r="J4" s="213" t="n"/>
      <c r="K4" s="213" t="n"/>
      <c r="L4" s="213" t="n"/>
      <c r="M4" s="213" t="n"/>
      <c r="N4" s="214" t="n"/>
    </row>
    <row r="5" ht="12.5" customHeight="1" s="189">
      <c r="A5" s="308" t="n"/>
      <c r="B5" s="213" t="n"/>
      <c r="C5" s="213" t="n"/>
      <c r="D5" s="213" t="n"/>
      <c r="E5" s="213" t="n"/>
      <c r="F5" s="213" t="n"/>
      <c r="G5" s="213" t="n"/>
      <c r="H5" s="213" t="n"/>
      <c r="I5" s="213" t="n"/>
      <c r="J5" s="213" t="n"/>
      <c r="K5" s="213" t="n"/>
      <c r="L5" s="213" t="n"/>
      <c r="M5" s="213" t="n"/>
      <c r="N5" s="213" t="n"/>
    </row>
    <row r="6" ht="13" customHeight="1" s="189">
      <c r="A6" s="266" t="inlineStr">
        <is>
          <t>Name</t>
        </is>
      </c>
      <c r="B6" s="284" t="inlineStr">
        <is>
          <t>Insert name here</t>
        </is>
      </c>
      <c r="C6" s="213" t="n"/>
      <c r="D6" s="213" t="n"/>
      <c r="E6" s="213" t="n"/>
      <c r="F6" s="213" t="n"/>
      <c r="G6" s="213" t="n"/>
      <c r="H6" s="213" t="n"/>
      <c r="I6" s="213" t="n"/>
      <c r="J6" s="213" t="n"/>
      <c r="K6" s="213" t="n"/>
      <c r="L6" s="213" t="n"/>
      <c r="M6" s="213" t="n"/>
      <c r="N6" s="214" t="n"/>
    </row>
    <row r="7" ht="12.5" customHeight="1" s="189">
      <c r="A7" s="266" t="n"/>
      <c r="B7" s="281" t="inlineStr">
        <is>
          <t>Effort Hours Spent</t>
        </is>
      </c>
      <c r="C7" s="213" t="n"/>
      <c r="D7" s="213" t="n"/>
      <c r="E7" s="213" t="n"/>
      <c r="F7" s="213" t="n"/>
      <c r="G7" s="213" t="n"/>
      <c r="H7" s="213" t="n"/>
      <c r="I7" s="213" t="n"/>
      <c r="J7" s="213" t="n"/>
      <c r="K7" s="213" t="n"/>
      <c r="L7" s="213" t="n"/>
      <c r="M7" s="213" t="n"/>
      <c r="N7" s="214" t="n"/>
    </row>
    <row r="8" ht="12.5" customHeight="1" s="189">
      <c r="A8" s="220" t="inlineStr">
        <is>
          <t>Task</t>
        </is>
      </c>
      <c r="B8" s="220" t="inlineStr">
        <is>
          <t>Jan</t>
        </is>
      </c>
      <c r="C8" s="220" t="inlineStr">
        <is>
          <t>Feb</t>
        </is>
      </c>
      <c r="D8" s="220" t="inlineStr">
        <is>
          <t>Mar</t>
        </is>
      </c>
      <c r="E8" s="220" t="inlineStr">
        <is>
          <t>Apr</t>
        </is>
      </c>
      <c r="F8" s="220" t="inlineStr">
        <is>
          <t>May</t>
        </is>
      </c>
      <c r="G8" s="220" t="inlineStr">
        <is>
          <t>June</t>
        </is>
      </c>
      <c r="H8" s="220" t="inlineStr">
        <is>
          <t>July</t>
        </is>
      </c>
      <c r="I8" s="220" t="inlineStr">
        <is>
          <t>Aug</t>
        </is>
      </c>
      <c r="J8" s="220" t="inlineStr">
        <is>
          <t>Sept</t>
        </is>
      </c>
      <c r="K8" s="220" t="inlineStr">
        <is>
          <t>Oct</t>
        </is>
      </c>
      <c r="L8" s="220" t="inlineStr">
        <is>
          <t>Nov</t>
        </is>
      </c>
      <c r="M8" s="313" t="inlineStr">
        <is>
          <t>Dec</t>
        </is>
      </c>
      <c r="N8" s="220" t="inlineStr">
        <is>
          <t>Total</t>
        </is>
      </c>
    </row>
    <row r="9" ht="13" customHeight="1" s="189">
      <c r="A9" s="266" t="n"/>
      <c r="B9" s="272" t="n"/>
      <c r="C9" s="272" t="n"/>
      <c r="D9" s="272" t="n"/>
      <c r="E9" s="272" t="n"/>
      <c r="F9" s="222" t="n"/>
      <c r="G9" s="272" t="n"/>
      <c r="H9" s="272" t="n"/>
      <c r="I9" s="272" t="n"/>
      <c r="J9" s="272" t="n"/>
      <c r="K9" s="272" t="n"/>
      <c r="L9" s="272" t="n"/>
      <c r="M9" s="272" t="n"/>
      <c r="N9" s="314">
        <f>SUM(B9:M9)</f>
        <v/>
      </c>
    </row>
    <row r="10" ht="13" customHeight="1" s="189">
      <c r="A10" s="266" t="n"/>
      <c r="B10" s="272" t="n"/>
      <c r="C10" s="272" t="n"/>
      <c r="D10" s="272" t="n"/>
      <c r="E10" s="272" t="n"/>
      <c r="F10" s="222" t="n"/>
      <c r="G10" s="272" t="n"/>
      <c r="H10" s="272" t="n"/>
      <c r="I10" s="272" t="n"/>
      <c r="J10" s="272" t="n"/>
      <c r="K10" s="272" t="n"/>
      <c r="L10" s="272" t="n"/>
      <c r="M10" s="272" t="n"/>
      <c r="N10" s="314">
        <f>SUM(B10:M10)</f>
        <v/>
      </c>
    </row>
    <row r="11" ht="13" customHeight="1" s="189">
      <c r="A11" s="266" t="n"/>
      <c r="B11" s="272" t="n"/>
      <c r="C11" s="272" t="n"/>
      <c r="D11" s="272" t="n"/>
      <c r="E11" s="272" t="n"/>
      <c r="F11" s="222" t="n"/>
      <c r="G11" s="272" t="n"/>
      <c r="H11" s="272" t="n"/>
      <c r="I11" s="272" t="n"/>
      <c r="J11" s="272" t="n"/>
      <c r="K11" s="272" t="n"/>
      <c r="L11" s="272" t="n"/>
      <c r="M11" s="272" t="n"/>
      <c r="N11" s="314">
        <f>SUM(B11:M11)</f>
        <v/>
      </c>
    </row>
    <row r="12" ht="13" customHeight="1" s="189">
      <c r="A12" s="266" t="n"/>
      <c r="B12" s="272" t="n"/>
      <c r="C12" s="272" t="n"/>
      <c r="D12" s="272" t="n"/>
      <c r="E12" s="272" t="n"/>
      <c r="F12" s="222" t="n"/>
      <c r="G12" s="272" t="n"/>
      <c r="H12" s="272" t="n"/>
      <c r="I12" s="272" t="n"/>
      <c r="J12" s="272" t="n"/>
      <c r="K12" s="272" t="n"/>
      <c r="L12" s="272" t="n"/>
      <c r="M12" s="272" t="n"/>
      <c r="N12" s="314">
        <f>SUM(B12:M12)</f>
        <v/>
      </c>
    </row>
    <row r="13" ht="13" customHeight="1" s="189">
      <c r="A13" s="266" t="n"/>
      <c r="B13" s="272" t="n"/>
      <c r="C13" s="272" t="n"/>
      <c r="D13" s="272" t="n"/>
      <c r="E13" s="272" t="n"/>
      <c r="F13" s="222" t="n"/>
      <c r="G13" s="272" t="n"/>
      <c r="H13" s="272" t="n"/>
      <c r="I13" s="272" t="n"/>
      <c r="J13" s="272" t="n"/>
      <c r="K13" s="272" t="n"/>
      <c r="L13" s="272" t="n"/>
      <c r="M13" s="272" t="n"/>
      <c r="N13" s="314">
        <f>SUM(B13:M13)</f>
        <v/>
      </c>
    </row>
    <row r="14" ht="13" customHeight="1" s="189">
      <c r="A14" s="266" t="n"/>
      <c r="B14" s="272" t="n"/>
      <c r="C14" s="272" t="n"/>
      <c r="D14" s="272" t="n"/>
      <c r="E14" s="272" t="n"/>
      <c r="F14" s="222" t="n"/>
      <c r="G14" s="272" t="n"/>
      <c r="H14" s="272" t="n"/>
      <c r="I14" s="272" t="n"/>
      <c r="J14" s="272" t="n"/>
      <c r="K14" s="272" t="n"/>
      <c r="L14" s="272" t="n"/>
      <c r="M14" s="272" t="n"/>
      <c r="N14" s="314">
        <f>SUM(B14:M14)</f>
        <v/>
      </c>
    </row>
    <row r="15" ht="13" customHeight="1" s="189">
      <c r="A15" s="266" t="n"/>
      <c r="B15" s="272" t="n"/>
      <c r="C15" s="272" t="n"/>
      <c r="D15" s="272" t="n"/>
      <c r="E15" s="272" t="n"/>
      <c r="F15" s="222" t="n"/>
      <c r="G15" s="272" t="n"/>
      <c r="H15" s="272" t="n"/>
      <c r="I15" s="272" t="n"/>
      <c r="J15" s="272" t="n"/>
      <c r="K15" s="272" t="n"/>
      <c r="L15" s="272" t="n"/>
      <c r="M15" s="272" t="n"/>
      <c r="N15" s="314">
        <f>SUM(B15:M15)</f>
        <v/>
      </c>
    </row>
    <row r="16" ht="13" customHeight="1" s="189">
      <c r="A16" s="266" t="n"/>
      <c r="B16" s="272" t="n"/>
      <c r="C16" s="272" t="n"/>
      <c r="D16" s="272" t="n"/>
      <c r="E16" s="272" t="n"/>
      <c r="F16" s="222" t="n"/>
      <c r="G16" s="272" t="n"/>
      <c r="H16" s="272" t="n"/>
      <c r="I16" s="272" t="n"/>
      <c r="J16" s="272" t="n"/>
      <c r="K16" s="272" t="n"/>
      <c r="L16" s="272" t="n"/>
      <c r="M16" s="272" t="n"/>
      <c r="N16" s="314">
        <f>SUM(B16:M16)</f>
        <v/>
      </c>
    </row>
    <row r="17" ht="13" customHeight="1" s="189">
      <c r="A17" s="266" t="n"/>
      <c r="B17" s="272" t="n"/>
      <c r="C17" s="272" t="n"/>
      <c r="D17" s="272" t="n"/>
      <c r="E17" s="272" t="n"/>
      <c r="F17" s="222" t="n"/>
      <c r="G17" s="272" t="n"/>
      <c r="H17" s="272" t="n"/>
      <c r="I17" s="272" t="n"/>
      <c r="J17" s="272" t="n"/>
      <c r="K17" s="272" t="n"/>
      <c r="L17" s="272" t="n"/>
      <c r="M17" s="272" t="n"/>
      <c r="N17" s="314">
        <f>SUM(B17:M17)</f>
        <v/>
      </c>
    </row>
    <row r="18" ht="13" customHeight="1" s="189">
      <c r="A18" s="266" t="n"/>
      <c r="B18" s="272" t="n"/>
      <c r="C18" s="272" t="n"/>
      <c r="D18" s="272" t="n"/>
      <c r="E18" s="272" t="n"/>
      <c r="F18" s="222" t="n"/>
      <c r="G18" s="272" t="n"/>
      <c r="H18" s="272" t="n"/>
      <c r="I18" s="272" t="n"/>
      <c r="J18" s="272" t="n"/>
      <c r="K18" s="272" t="n"/>
      <c r="L18" s="272" t="n"/>
      <c r="M18" s="272" t="n"/>
      <c r="N18" s="314">
        <f>SUM(B18:M18)</f>
        <v/>
      </c>
    </row>
    <row r="19" ht="13" customHeight="1" s="189">
      <c r="A19" s="266" t="n"/>
      <c r="B19" s="272" t="n"/>
      <c r="C19" s="272" t="n"/>
      <c r="D19" s="272" t="n"/>
      <c r="E19" s="272" t="n"/>
      <c r="F19" s="222" t="n"/>
      <c r="G19" s="272" t="n"/>
      <c r="H19" s="272" t="n"/>
      <c r="I19" s="272" t="n"/>
      <c r="J19" s="272" t="n"/>
      <c r="K19" s="272" t="n"/>
      <c r="L19" s="272" t="n"/>
      <c r="M19" s="272" t="n"/>
      <c r="N19" s="314">
        <f>SUM(B19:M19)</f>
        <v/>
      </c>
    </row>
    <row r="20" ht="13" customHeight="1" s="189">
      <c r="A20" s="266" t="n"/>
      <c r="B20" s="272" t="n"/>
      <c r="C20" s="272" t="n"/>
      <c r="D20" s="272" t="n"/>
      <c r="E20" s="272" t="n"/>
      <c r="F20" s="222" t="n"/>
      <c r="G20" s="272" t="n"/>
      <c r="H20" s="272" t="n"/>
      <c r="I20" s="272" t="n"/>
      <c r="J20" s="272" t="n"/>
      <c r="K20" s="272" t="n"/>
      <c r="L20" s="272" t="n"/>
      <c r="M20" s="272" t="n"/>
      <c r="N20" s="314">
        <f>SUM(B20:M20)</f>
        <v/>
      </c>
    </row>
    <row r="21" ht="13" customHeight="1" s="189">
      <c r="A21" s="266" t="n"/>
      <c r="B21" s="272" t="n"/>
      <c r="C21" s="272" t="n"/>
      <c r="D21" s="272" t="n"/>
      <c r="E21" s="272" t="n"/>
      <c r="F21" s="222" t="n"/>
      <c r="G21" s="272" t="n"/>
      <c r="H21" s="272" t="n"/>
      <c r="I21" s="272" t="n"/>
      <c r="J21" s="272" t="n"/>
      <c r="K21" s="272" t="n"/>
      <c r="L21" s="272" t="n"/>
      <c r="M21" s="272" t="n"/>
      <c r="N21" s="314">
        <f>SUM(B21:M21)</f>
        <v/>
      </c>
    </row>
    <row r="22" ht="13" customHeight="1" s="189">
      <c r="A22" s="266" t="n"/>
      <c r="B22" s="272" t="n"/>
      <c r="C22" s="272" t="n"/>
      <c r="D22" s="272" t="n"/>
      <c r="E22" s="272" t="n"/>
      <c r="F22" s="222" t="n"/>
      <c r="G22" s="272" t="n"/>
      <c r="H22" s="272" t="n"/>
      <c r="I22" s="272" t="n"/>
      <c r="J22" s="272" t="n"/>
      <c r="K22" s="272" t="n"/>
      <c r="L22" s="272" t="n"/>
      <c r="M22" s="272" t="n"/>
      <c r="N22" s="314">
        <f>SUM(B22:M22)</f>
        <v/>
      </c>
    </row>
    <row r="23" ht="13" customHeight="1" s="189">
      <c r="A23" s="266" t="n"/>
      <c r="B23" s="272" t="n"/>
      <c r="C23" s="272" t="n"/>
      <c r="D23" s="272" t="n"/>
      <c r="E23" s="272" t="n"/>
      <c r="F23" s="222" t="n"/>
      <c r="G23" s="272" t="n"/>
      <c r="H23" s="272" t="n"/>
      <c r="I23" s="272" t="n"/>
      <c r="J23" s="272" t="n"/>
      <c r="K23" s="272" t="n"/>
      <c r="L23" s="272" t="n"/>
      <c r="M23" s="272" t="n"/>
      <c r="N23" s="314">
        <f>SUM(B23:M23)</f>
        <v/>
      </c>
    </row>
    <row r="24" ht="13" customHeight="1" s="189">
      <c r="A24" s="266" t="n"/>
      <c r="B24" s="272" t="n"/>
      <c r="C24" s="272" t="n"/>
      <c r="D24" s="272" t="n"/>
      <c r="E24" s="272" t="n"/>
      <c r="F24" s="222" t="n"/>
      <c r="G24" s="272" t="n"/>
      <c r="H24" s="272" t="n"/>
      <c r="I24" s="272" t="n"/>
      <c r="J24" s="272" t="n"/>
      <c r="K24" s="272" t="n"/>
      <c r="L24" s="272" t="n"/>
      <c r="M24" s="272" t="n"/>
      <c r="N24" s="314">
        <f>SUM(B24:M24)</f>
        <v/>
      </c>
    </row>
    <row r="25" ht="13" customHeight="1" s="189">
      <c r="A25" s="266" t="n"/>
      <c r="B25" s="272" t="n"/>
      <c r="C25" s="272" t="n"/>
      <c r="D25" s="272" t="n"/>
      <c r="E25" s="272" t="n"/>
      <c r="F25" s="222" t="n"/>
      <c r="G25" s="272" t="n"/>
      <c r="H25" s="272" t="n"/>
      <c r="I25" s="272" t="n"/>
      <c r="J25" s="272" t="n"/>
      <c r="K25" s="272" t="n"/>
      <c r="L25" s="272" t="n"/>
      <c r="M25" s="272" t="n"/>
      <c r="N25" s="314">
        <f>SUM(B25:M25)</f>
        <v/>
      </c>
    </row>
    <row r="26" ht="13" customHeight="1" s="189">
      <c r="A26" s="266" t="n"/>
      <c r="B26" s="272" t="n"/>
      <c r="C26" s="272" t="n"/>
      <c r="D26" s="272" t="n"/>
      <c r="E26" s="272" t="n"/>
      <c r="F26" s="222" t="n"/>
      <c r="G26" s="272" t="n"/>
      <c r="H26" s="272" t="n"/>
      <c r="I26" s="272" t="n"/>
      <c r="J26" s="272" t="n"/>
      <c r="K26" s="272" t="n"/>
      <c r="L26" s="272" t="n"/>
      <c r="M26" s="272" t="n"/>
      <c r="N26" s="314">
        <f>SUM(B26:M26)</f>
        <v/>
      </c>
    </row>
    <row r="27" ht="13" customHeight="1" s="189">
      <c r="A27" s="266" t="n"/>
      <c r="B27" s="272" t="n"/>
      <c r="C27" s="272" t="n"/>
      <c r="D27" s="272" t="n"/>
      <c r="E27" s="272" t="n"/>
      <c r="F27" s="222" t="n"/>
      <c r="G27" s="272" t="n"/>
      <c r="H27" s="272" t="n"/>
      <c r="I27" s="272" t="n"/>
      <c r="J27" s="272" t="n"/>
      <c r="K27" s="272" t="n"/>
      <c r="L27" s="272" t="n"/>
      <c r="M27" s="272" t="n"/>
      <c r="N27" s="314">
        <f>SUM(B27:M27)</f>
        <v/>
      </c>
    </row>
    <row r="28" ht="13" customHeight="1" s="189">
      <c r="A28" s="266" t="n"/>
      <c r="B28" s="272" t="n"/>
      <c r="C28" s="272" t="n"/>
      <c r="D28" s="272" t="n"/>
      <c r="E28" s="272" t="n"/>
      <c r="F28" s="222" t="n"/>
      <c r="G28" s="272" t="n"/>
      <c r="H28" s="272" t="n"/>
      <c r="I28" s="272" t="n"/>
      <c r="J28" s="272" t="n"/>
      <c r="K28" s="272" t="n"/>
      <c r="L28" s="272" t="n"/>
      <c r="M28" s="272" t="n"/>
      <c r="N28" s="314">
        <f>SUM(B28:M28)</f>
        <v/>
      </c>
    </row>
    <row r="29" ht="13" customHeight="1" s="189">
      <c r="A29" s="266" t="n"/>
      <c r="B29" s="272" t="n"/>
      <c r="C29" s="272" t="n"/>
      <c r="D29" s="272" t="n"/>
      <c r="E29" s="272" t="n"/>
      <c r="F29" s="222" t="n"/>
      <c r="G29" s="272" t="n"/>
      <c r="H29" s="272" t="n"/>
      <c r="I29" s="272" t="n"/>
      <c r="J29" s="272" t="n"/>
      <c r="K29" s="272" t="n"/>
      <c r="L29" s="272" t="n"/>
      <c r="M29" s="272" t="n"/>
      <c r="N29" s="314">
        <f>SUM(B29:M29)</f>
        <v/>
      </c>
    </row>
    <row r="30" ht="13" customHeight="1" s="189">
      <c r="A30" s="266" t="n"/>
      <c r="B30" s="272" t="n"/>
      <c r="C30" s="272" t="n"/>
      <c r="D30" s="272" t="n"/>
      <c r="E30" s="272" t="n"/>
      <c r="F30" s="222" t="n"/>
      <c r="G30" s="272" t="n"/>
      <c r="H30" s="272" t="n"/>
      <c r="I30" s="272" t="n"/>
      <c r="J30" s="272" t="n"/>
      <c r="K30" s="272" t="n"/>
      <c r="L30" s="272" t="n"/>
      <c r="M30" s="272" t="n"/>
      <c r="N30" s="314">
        <f>SUM(B30:M30)</f>
        <v/>
      </c>
    </row>
    <row r="31" ht="13" customHeight="1" s="189">
      <c r="A31" s="266" t="n"/>
      <c r="B31" s="272" t="n"/>
      <c r="C31" s="272" t="n"/>
      <c r="D31" s="272" t="n"/>
      <c r="E31" s="272" t="n"/>
      <c r="F31" s="222" t="n"/>
      <c r="G31" s="272" t="n"/>
      <c r="H31" s="272" t="n"/>
      <c r="I31" s="272" t="n"/>
      <c r="J31" s="272" t="n"/>
      <c r="K31" s="272" t="n"/>
      <c r="L31" s="272" t="n"/>
      <c r="M31" s="272" t="n"/>
      <c r="N31" s="314">
        <f>SUM(B31:M31)</f>
        <v/>
      </c>
    </row>
    <row r="32" ht="13" customHeight="1" s="189">
      <c r="A32" s="266" t="n"/>
      <c r="B32" s="272" t="n"/>
      <c r="C32" s="272" t="n"/>
      <c r="D32" s="272" t="n"/>
      <c r="E32" s="272" t="n"/>
      <c r="F32" s="222" t="n"/>
      <c r="G32" s="272" t="n"/>
      <c r="H32" s="272" t="n"/>
      <c r="I32" s="272" t="n"/>
      <c r="J32" s="272" t="n"/>
      <c r="K32" s="272" t="n"/>
      <c r="L32" s="272" t="n"/>
      <c r="M32" s="272" t="n"/>
      <c r="N32" s="314">
        <f>SUM(B32:M32)</f>
        <v/>
      </c>
    </row>
    <row r="33" ht="13" customHeight="1" s="189">
      <c r="A33" s="266" t="n"/>
      <c r="B33" s="272" t="n"/>
      <c r="C33" s="272" t="n"/>
      <c r="D33" s="272" t="n"/>
      <c r="E33" s="272" t="n"/>
      <c r="F33" s="222" t="n"/>
      <c r="G33" s="272" t="n"/>
      <c r="H33" s="272" t="n"/>
      <c r="I33" s="272" t="n"/>
      <c r="J33" s="272" t="n"/>
      <c r="K33" s="272" t="n"/>
      <c r="L33" s="272" t="n"/>
      <c r="M33" s="272" t="n"/>
      <c r="N33" s="314">
        <f>SUM(B33:M33)</f>
        <v/>
      </c>
    </row>
    <row r="34" ht="13" customHeight="1" s="189">
      <c r="A34" s="266" t="n"/>
      <c r="B34" s="272" t="n"/>
      <c r="C34" s="272" t="n"/>
      <c r="D34" s="272" t="n"/>
      <c r="E34" s="272" t="n"/>
      <c r="F34" s="222" t="n"/>
      <c r="G34" s="272" t="n"/>
      <c r="H34" s="272" t="n"/>
      <c r="I34" s="272" t="n"/>
      <c r="J34" s="272" t="n"/>
      <c r="K34" s="272" t="n"/>
      <c r="L34" s="272" t="n"/>
      <c r="M34" s="272" t="n"/>
      <c r="N34" s="314">
        <f>SUM(B34:M34)</f>
        <v/>
      </c>
    </row>
    <row r="35" ht="13" customHeight="1" s="189">
      <c r="A35" s="266" t="n"/>
      <c r="B35" s="272" t="n"/>
      <c r="C35" s="272" t="n"/>
      <c r="D35" s="272" t="n"/>
      <c r="E35" s="272" t="n"/>
      <c r="F35" s="222" t="n"/>
      <c r="G35" s="272" t="n"/>
      <c r="H35" s="272" t="n"/>
      <c r="I35" s="272" t="n"/>
      <c r="J35" s="272" t="n"/>
      <c r="K35" s="272" t="n"/>
      <c r="L35" s="272" t="n"/>
      <c r="M35" s="272" t="n"/>
      <c r="N35" s="314">
        <f>SUM(B35:M35)</f>
        <v/>
      </c>
    </row>
    <row r="36" ht="13" customHeight="1" s="189">
      <c r="A36" s="266" t="n"/>
      <c r="B36" s="272" t="n"/>
      <c r="C36" s="272" t="n"/>
      <c r="D36" s="272" t="n"/>
      <c r="E36" s="272" t="n"/>
      <c r="F36" s="222" t="n"/>
      <c r="G36" s="272" t="n"/>
      <c r="H36" s="272" t="n"/>
      <c r="I36" s="272" t="n"/>
      <c r="J36" s="272" t="n"/>
      <c r="K36" s="272" t="n"/>
      <c r="L36" s="272" t="n"/>
      <c r="M36" s="272" t="n"/>
      <c r="N36" s="314">
        <f>SUM(B36:M36)</f>
        <v/>
      </c>
    </row>
    <row r="37" ht="13" customHeight="1" s="189">
      <c r="A37" s="266" t="n"/>
      <c r="B37" s="272" t="n"/>
      <c r="C37" s="272" t="n"/>
      <c r="D37" s="272" t="n"/>
      <c r="E37" s="272" t="n"/>
      <c r="F37" s="222" t="n"/>
      <c r="G37" s="272" t="n"/>
      <c r="H37" s="272" t="n"/>
      <c r="I37" s="272" t="n"/>
      <c r="J37" s="272" t="n"/>
      <c r="K37" s="272" t="n"/>
      <c r="L37" s="272" t="n"/>
      <c r="M37" s="272" t="n"/>
      <c r="N37" s="314">
        <f>SUM(B37:M37)</f>
        <v/>
      </c>
    </row>
    <row r="38" ht="13" customHeight="1" s="189">
      <c r="A38" s="266" t="inlineStr">
        <is>
          <t>Total</t>
        </is>
      </c>
      <c r="B38" s="272">
        <f>SUM(B9:B37)</f>
        <v/>
      </c>
      <c r="C38" s="272">
        <f>SUM(C9:C37)</f>
        <v/>
      </c>
      <c r="D38" s="272">
        <f>SUM(D9:D37)</f>
        <v/>
      </c>
      <c r="E38" s="272">
        <f>SUM(E9:E37)</f>
        <v/>
      </c>
      <c r="F38" s="272">
        <f>SUM(F9:F37)</f>
        <v/>
      </c>
      <c r="G38" s="272">
        <f>SUM(G9:G37)</f>
        <v/>
      </c>
      <c r="H38" s="272">
        <f>SUM(H9:H37)</f>
        <v/>
      </c>
      <c r="I38" s="272">
        <f>SUM(I9:I37)</f>
        <v/>
      </c>
      <c r="J38" s="272">
        <f>SUM(J9:J37)</f>
        <v/>
      </c>
      <c r="K38" s="272">
        <f>SUM(K9:K37)</f>
        <v/>
      </c>
      <c r="L38" s="272">
        <f>SUM(L9:L37)</f>
        <v/>
      </c>
      <c r="M38" s="272">
        <f>SUM(M9:M37)</f>
        <v/>
      </c>
      <c r="N38" s="314">
        <f>SUM(B38:M38)</f>
        <v/>
      </c>
    </row>
    <row r="39" ht="13" customHeight="1" s="189">
      <c r="B39" s="290" t="n"/>
      <c r="C39" s="290" t="n"/>
      <c r="D39" s="291" t="n"/>
      <c r="E39" s="290" t="n"/>
      <c r="F39" s="290" t="n"/>
    </row>
    <row r="40" ht="13" customHeight="1" s="189">
      <c r="B40" s="290" t="n"/>
      <c r="C40" s="290" t="n"/>
      <c r="D40" s="291" t="n"/>
      <c r="E40" s="290" t="n"/>
      <c r="F40" s="290" t="n"/>
      <c r="N40" s="201" t="inlineStr">
        <is>
          <t>© Global Knowledge Training LLC</t>
        </is>
      </c>
    </row>
    <row r="41" ht="13" customHeight="1" s="189">
      <c r="B41" s="290" t="n"/>
      <c r="C41" s="290" t="n"/>
      <c r="D41" s="291" t="n"/>
      <c r="E41" s="290" t="n"/>
      <c r="F41" s="290" t="n"/>
    </row>
    <row r="42" ht="13" customHeight="1" s="189">
      <c r="B42" s="290" t="n"/>
      <c r="C42" s="290" t="n"/>
      <c r="D42" s="291" t="n"/>
      <c r="E42" s="290" t="n"/>
      <c r="F42" s="290" t="n"/>
    </row>
    <row r="43" ht="13" customHeight="1" s="189">
      <c r="B43" s="290" t="n"/>
      <c r="C43" s="290" t="n"/>
      <c r="D43" s="291" t="n"/>
      <c r="E43" s="290" t="n"/>
      <c r="F43" s="290" t="n"/>
    </row>
    <row r="44" ht="13" customHeight="1" s="189">
      <c r="B44" s="290" t="n"/>
      <c r="C44" s="290" t="n"/>
      <c r="D44" s="291" t="n"/>
      <c r="E44" s="290" t="n"/>
      <c r="F44" s="290" t="n"/>
    </row>
    <row r="45" ht="13" customHeight="1" s="189">
      <c r="B45" s="290" t="n"/>
      <c r="C45" s="290" t="n"/>
      <c r="D45" s="291" t="n"/>
      <c r="E45" s="290" t="n"/>
      <c r="F45" s="290" t="n"/>
    </row>
    <row r="46" ht="13" customHeight="1" s="189">
      <c r="B46" s="290" t="n"/>
      <c r="C46" s="290" t="n"/>
      <c r="D46" s="291" t="n"/>
      <c r="E46" s="290" t="n"/>
      <c r="F46" s="290" t="n"/>
    </row>
    <row r="47" ht="13" customHeight="1" s="189">
      <c r="B47" s="290" t="n"/>
      <c r="C47" s="290" t="n"/>
      <c r="D47" s="291" t="n"/>
      <c r="E47" s="290" t="n"/>
      <c r="F47" s="290" t="n"/>
    </row>
    <row r="48" ht="13" customHeight="1" s="189">
      <c r="B48" s="290" t="n"/>
      <c r="C48" s="290" t="n"/>
      <c r="D48" s="291" t="n"/>
      <c r="E48" s="290" t="n"/>
      <c r="F48" s="290" t="n"/>
    </row>
    <row r="49" ht="13" customHeight="1" s="189">
      <c r="B49" s="290" t="n"/>
      <c r="C49" s="290" t="n"/>
      <c r="D49" s="291" t="n"/>
      <c r="E49" s="290" t="n"/>
      <c r="F49" s="290" t="n"/>
    </row>
    <row r="50" ht="13" customHeight="1" s="189">
      <c r="B50" s="290" t="n"/>
      <c r="C50" s="290" t="n"/>
      <c r="D50" s="291" t="n"/>
      <c r="E50" s="290" t="n"/>
      <c r="F50" s="290" t="n"/>
    </row>
    <row r="51" ht="13" customHeight="1" s="189">
      <c r="B51" s="290" t="n"/>
      <c r="C51" s="290" t="n"/>
      <c r="D51" s="291" t="n"/>
      <c r="E51" s="290" t="n"/>
      <c r="F51" s="290" t="n"/>
    </row>
    <row r="52" ht="13" customHeight="1" s="189">
      <c r="B52" s="290" t="n"/>
      <c r="C52" s="290" t="n"/>
      <c r="D52" s="291" t="n"/>
      <c r="E52" s="290" t="n"/>
      <c r="F52" s="290" t="n"/>
    </row>
    <row r="53" ht="13" customHeight="1" s="189">
      <c r="B53" s="290" t="n"/>
      <c r="C53" s="290" t="n"/>
      <c r="D53" s="291" t="n"/>
      <c r="E53" s="290" t="n"/>
      <c r="F53" s="290" t="n"/>
    </row>
    <row r="54" ht="13" customHeight="1" s="189">
      <c r="B54" s="290" t="n"/>
      <c r="C54" s="290" t="n"/>
      <c r="D54" s="291" t="n"/>
      <c r="E54" s="290" t="n"/>
      <c r="F54" s="290" t="n"/>
    </row>
    <row r="55" ht="13" customHeight="1" s="189">
      <c r="B55" s="290" t="n"/>
      <c r="C55" s="290" t="n"/>
      <c r="D55" s="291" t="n"/>
      <c r="E55" s="290" t="n"/>
      <c r="F55" s="290" t="n"/>
    </row>
    <row r="56" ht="13" customHeight="1" s="189">
      <c r="B56" s="290" t="n"/>
      <c r="C56" s="290" t="n"/>
      <c r="D56" s="291" t="n"/>
      <c r="E56" s="290" t="n"/>
      <c r="F56" s="290" t="n"/>
    </row>
    <row r="57" ht="13" customHeight="1" s="189">
      <c r="B57" s="290" t="n"/>
      <c r="C57" s="290" t="n"/>
      <c r="D57" s="291" t="n"/>
      <c r="E57" s="290" t="n"/>
      <c r="F57" s="290" t="n"/>
    </row>
    <row r="58" ht="13" customHeight="1" s="189">
      <c r="B58" s="290" t="n"/>
      <c r="C58" s="290" t="n"/>
      <c r="D58" s="291" t="n"/>
      <c r="E58" s="290" t="n"/>
      <c r="F58" s="290" t="n"/>
    </row>
    <row r="59" ht="13" customHeight="1" s="189">
      <c r="B59" s="290" t="n"/>
      <c r="C59" s="290" t="n"/>
      <c r="D59" s="291" t="n"/>
      <c r="E59" s="290" t="n"/>
      <c r="F59" s="290" t="n"/>
    </row>
    <row r="60" ht="13" customHeight="1" s="189">
      <c r="B60" s="290" t="n"/>
      <c r="C60" s="290" t="n"/>
      <c r="D60" s="291" t="n"/>
      <c r="E60" s="290" t="n"/>
      <c r="F60" s="290" t="n"/>
    </row>
    <row r="61" ht="13" customHeight="1" s="189">
      <c r="B61" s="290" t="n"/>
      <c r="C61" s="290" t="n"/>
      <c r="D61" s="291" t="n"/>
      <c r="E61" s="290" t="n"/>
      <c r="F61" s="290" t="n"/>
    </row>
    <row r="62" ht="13" customHeight="1" s="189">
      <c r="B62" s="290" t="n"/>
      <c r="C62" s="290" t="n"/>
      <c r="D62" s="291" t="n"/>
      <c r="E62" s="290" t="n"/>
      <c r="F62" s="290" t="n"/>
    </row>
    <row r="63" ht="13" customHeight="1" s="189">
      <c r="B63" s="290" t="n"/>
      <c r="C63" s="290" t="n"/>
      <c r="D63" s="291" t="n"/>
      <c r="E63" s="290" t="n"/>
      <c r="F63" s="290" t="n"/>
    </row>
    <row r="64" ht="13" customHeight="1" s="189">
      <c r="B64" s="290" t="n"/>
      <c r="C64" s="290" t="n"/>
      <c r="D64" s="291" t="n"/>
      <c r="E64" s="290" t="n"/>
      <c r="F64" s="290" t="n"/>
    </row>
    <row r="65" ht="13" customHeight="1" s="189">
      <c r="B65" s="290" t="n"/>
      <c r="C65" s="290" t="n"/>
      <c r="D65" s="291" t="n"/>
      <c r="E65" s="290" t="n"/>
      <c r="F65" s="290" t="n"/>
    </row>
    <row r="66" ht="13" customHeight="1" s="189">
      <c r="B66" s="290" t="n"/>
      <c r="C66" s="290" t="n"/>
      <c r="D66" s="291" t="n"/>
      <c r="E66" s="290" t="n"/>
      <c r="F66" s="290" t="n"/>
    </row>
    <row r="67" ht="13" customHeight="1" s="189">
      <c r="B67" s="290" t="n"/>
      <c r="C67" s="290" t="n"/>
      <c r="D67" s="291" t="n"/>
      <c r="E67" s="290" t="n"/>
      <c r="F67" s="290" t="n"/>
    </row>
    <row r="68" ht="13" customHeight="1" s="189">
      <c r="B68" s="290" t="n"/>
      <c r="C68" s="290" t="n"/>
      <c r="D68" s="291" t="n"/>
      <c r="E68" s="290" t="n"/>
      <c r="F68" s="290" t="n"/>
    </row>
    <row r="69" ht="13" customHeight="1" s="189">
      <c r="B69" s="290" t="n"/>
      <c r="C69" s="290" t="n"/>
      <c r="D69" s="291" t="n"/>
      <c r="E69" s="290" t="n"/>
      <c r="F69" s="290" t="n"/>
    </row>
    <row r="70" ht="13" customHeight="1" s="189">
      <c r="B70" s="290" t="n"/>
      <c r="C70" s="290" t="n"/>
      <c r="D70" s="291" t="n"/>
      <c r="E70" s="290" t="n"/>
      <c r="F70" s="290" t="n"/>
    </row>
    <row r="71" ht="13" customHeight="1" s="189">
      <c r="B71" s="290" t="n"/>
      <c r="C71" s="290" t="n"/>
      <c r="D71" s="291" t="n"/>
      <c r="E71" s="290" t="n"/>
      <c r="F71" s="290" t="n"/>
    </row>
    <row r="72" ht="13" customHeight="1" s="189">
      <c r="B72" s="290" t="n"/>
      <c r="C72" s="290" t="n"/>
      <c r="D72" s="291" t="n"/>
      <c r="E72" s="290" t="n"/>
      <c r="F72" s="290" t="n"/>
    </row>
    <row r="73" ht="13" customHeight="1" s="189">
      <c r="B73" s="290" t="n"/>
      <c r="C73" s="290" t="n"/>
      <c r="D73" s="291" t="n"/>
      <c r="E73" s="290" t="n"/>
      <c r="F73" s="290" t="n"/>
    </row>
    <row r="74" ht="13" customHeight="1" s="189">
      <c r="B74" s="290" t="n"/>
      <c r="C74" s="290" t="n"/>
      <c r="D74" s="291" t="n"/>
      <c r="E74" s="290" t="n"/>
      <c r="F74" s="290" t="n"/>
    </row>
    <row r="75" ht="13" customHeight="1" s="189">
      <c r="B75" s="290" t="n"/>
      <c r="C75" s="290" t="n"/>
      <c r="D75" s="291" t="n"/>
      <c r="E75" s="290" t="n"/>
      <c r="F75" s="290" t="n"/>
    </row>
    <row r="76" ht="13" customHeight="1" s="189">
      <c r="B76" s="290" t="n"/>
      <c r="C76" s="290" t="n"/>
      <c r="D76" s="291" t="n"/>
      <c r="E76" s="290" t="n"/>
      <c r="F76" s="290" t="n"/>
    </row>
    <row r="77" ht="13" customHeight="1" s="189">
      <c r="B77" s="290" t="n"/>
      <c r="C77" s="290" t="n"/>
      <c r="D77" s="291" t="n"/>
      <c r="E77" s="290" t="n"/>
      <c r="F77" s="290" t="n"/>
    </row>
    <row r="78" ht="13" customHeight="1" s="189">
      <c r="B78" s="290" t="n"/>
      <c r="C78" s="290" t="n"/>
      <c r="D78" s="291" t="n"/>
      <c r="E78" s="290" t="n"/>
      <c r="F78" s="290" t="n"/>
    </row>
    <row r="79" ht="13" customHeight="1" s="189">
      <c r="B79" s="290" t="n"/>
      <c r="C79" s="290" t="n"/>
      <c r="D79" s="291" t="n"/>
      <c r="E79" s="290" t="n"/>
      <c r="F79" s="290" t="n"/>
    </row>
    <row r="80" ht="13" customHeight="1" s="189">
      <c r="B80" s="290" t="n"/>
      <c r="C80" s="290" t="n"/>
      <c r="D80" s="291" t="n"/>
      <c r="E80" s="290" t="n"/>
      <c r="F80" s="290" t="n"/>
    </row>
    <row r="81" ht="13" customHeight="1" s="189">
      <c r="B81" s="290" t="n"/>
      <c r="C81" s="290" t="n"/>
      <c r="D81" s="291" t="n"/>
      <c r="E81" s="290" t="n"/>
      <c r="F81" s="290" t="n"/>
    </row>
    <row r="82" ht="13" customHeight="1" s="189">
      <c r="B82" s="290" t="n"/>
      <c r="C82" s="290" t="n"/>
      <c r="D82" s="291" t="n"/>
      <c r="E82" s="290" t="n"/>
      <c r="F82" s="290" t="n"/>
    </row>
    <row r="83" ht="13" customHeight="1" s="189">
      <c r="B83" s="290" t="n"/>
      <c r="C83" s="290" t="n"/>
      <c r="D83" s="291" t="n"/>
      <c r="E83" s="290" t="n"/>
      <c r="F83" s="290" t="n"/>
    </row>
    <row r="84" ht="13" customHeight="1" s="189">
      <c r="B84" s="290" t="n"/>
      <c r="C84" s="290" t="n"/>
      <c r="D84" s="291" t="n"/>
      <c r="E84" s="290" t="n"/>
      <c r="F84" s="290" t="n"/>
    </row>
    <row r="85" ht="13" customHeight="1" s="189">
      <c r="B85" s="290" t="n"/>
      <c r="C85" s="290" t="n"/>
      <c r="D85" s="291" t="n"/>
      <c r="E85" s="290" t="n"/>
      <c r="F85" s="290" t="n"/>
    </row>
    <row r="86" ht="13" customHeight="1" s="189">
      <c r="B86" s="290" t="n"/>
      <c r="C86" s="290" t="n"/>
      <c r="D86" s="291" t="n"/>
      <c r="E86" s="290" t="n"/>
      <c r="F86" s="290" t="n"/>
    </row>
    <row r="87" ht="13" customHeight="1" s="189">
      <c r="B87" s="290" t="n"/>
      <c r="C87" s="290" t="n"/>
      <c r="D87" s="291" t="n"/>
      <c r="E87" s="290" t="n"/>
      <c r="F87" s="290" t="n"/>
    </row>
    <row r="88" ht="13" customHeight="1" s="189">
      <c r="B88" s="290" t="n"/>
      <c r="C88" s="290" t="n"/>
      <c r="D88" s="291" t="n"/>
      <c r="E88" s="290" t="n"/>
      <c r="F88" s="290" t="n"/>
    </row>
    <row r="89" ht="13" customHeight="1" s="189">
      <c r="B89" s="290" t="n"/>
      <c r="C89" s="290" t="n"/>
      <c r="D89" s="291" t="n"/>
      <c r="E89" s="290" t="n"/>
      <c r="F89" s="290" t="n"/>
    </row>
    <row r="90" ht="13" customHeight="1" s="189">
      <c r="B90" s="290" t="n"/>
      <c r="C90" s="290" t="n"/>
      <c r="D90" s="291" t="n"/>
      <c r="E90" s="290" t="n"/>
      <c r="F90" s="290" t="n"/>
    </row>
    <row r="91" ht="13" customHeight="1" s="189">
      <c r="B91" s="290" t="n"/>
      <c r="C91" s="290" t="n"/>
      <c r="D91" s="291" t="n"/>
      <c r="E91" s="290" t="n"/>
      <c r="F91" s="290" t="n"/>
    </row>
    <row r="92" ht="13" customHeight="1" s="189">
      <c r="B92" s="290" t="n"/>
      <c r="C92" s="290" t="n"/>
      <c r="D92" s="291" t="n"/>
      <c r="E92" s="290" t="n"/>
      <c r="F92" s="290" t="n"/>
    </row>
    <row r="93" ht="13" customHeight="1" s="189">
      <c r="B93" s="290" t="n"/>
      <c r="C93" s="290" t="n"/>
      <c r="D93" s="291" t="n"/>
      <c r="E93" s="290" t="n"/>
      <c r="F93" s="290" t="n"/>
    </row>
    <row r="94" ht="13" customHeight="1" s="189">
      <c r="B94" s="290" t="n"/>
      <c r="C94" s="290" t="n"/>
      <c r="D94" s="291" t="n"/>
      <c r="E94" s="290" t="n"/>
      <c r="F94" s="290" t="n"/>
    </row>
    <row r="95" ht="13" customHeight="1" s="189">
      <c r="B95" s="290" t="n"/>
      <c r="C95" s="290" t="n"/>
      <c r="D95" s="291" t="n"/>
      <c r="E95" s="290" t="n"/>
      <c r="F95" s="290" t="n"/>
    </row>
    <row r="96" ht="13" customHeight="1" s="189">
      <c r="B96" s="290" t="n"/>
      <c r="C96" s="290" t="n"/>
      <c r="D96" s="291" t="n"/>
      <c r="E96" s="290" t="n"/>
      <c r="F96" s="290" t="n"/>
    </row>
    <row r="97" ht="13" customHeight="1" s="189">
      <c r="B97" s="290" t="n"/>
      <c r="C97" s="290" t="n"/>
      <c r="D97" s="291" t="n"/>
      <c r="E97" s="290" t="n"/>
      <c r="F97" s="290" t="n"/>
    </row>
    <row r="98" ht="13" customHeight="1" s="189">
      <c r="B98" s="290" t="n"/>
      <c r="C98" s="290" t="n"/>
      <c r="D98" s="291" t="n"/>
      <c r="E98" s="290" t="n"/>
      <c r="F98" s="290" t="n"/>
    </row>
    <row r="99" ht="13" customHeight="1" s="189">
      <c r="B99" s="290" t="n"/>
      <c r="C99" s="290" t="n"/>
      <c r="D99" s="291" t="n"/>
      <c r="E99" s="290" t="n"/>
      <c r="F99" s="290" t="n"/>
    </row>
    <row r="100" ht="13" customHeight="1" s="189">
      <c r="B100" s="290" t="n"/>
      <c r="C100" s="290" t="n"/>
      <c r="D100" s="291" t="n"/>
      <c r="E100" s="290" t="n"/>
      <c r="F100" s="290" t="n"/>
    </row>
    <row r="101" ht="13" customHeight="1" s="189">
      <c r="B101" s="290" t="n"/>
      <c r="C101" s="290" t="n"/>
      <c r="D101" s="291" t="n"/>
      <c r="E101" s="290" t="n"/>
      <c r="F101" s="290" t="n"/>
    </row>
    <row r="102" ht="13" customHeight="1" s="189">
      <c r="B102" s="290" t="n"/>
      <c r="C102" s="290" t="n"/>
      <c r="D102" s="291" t="n"/>
      <c r="E102" s="290" t="n"/>
      <c r="F102" s="290" t="n"/>
    </row>
    <row r="103" ht="13" customHeight="1" s="189">
      <c r="B103" s="290" t="n"/>
      <c r="C103" s="290" t="n"/>
      <c r="D103" s="291" t="n"/>
      <c r="E103" s="290" t="n"/>
      <c r="F103" s="290" t="n"/>
    </row>
    <row r="104" ht="13" customHeight="1" s="189">
      <c r="B104" s="290" t="n"/>
      <c r="C104" s="290" t="n"/>
      <c r="D104" s="291" t="n"/>
      <c r="E104" s="290" t="n"/>
      <c r="F104" s="290" t="n"/>
    </row>
    <row r="105" ht="13" customHeight="1" s="189">
      <c r="B105" s="290" t="n"/>
      <c r="C105" s="290" t="n"/>
      <c r="D105" s="291" t="n"/>
      <c r="E105" s="290" t="n"/>
      <c r="F105" s="290" t="n"/>
    </row>
    <row r="106" ht="13" customHeight="1" s="189">
      <c r="B106" s="290" t="n"/>
      <c r="C106" s="290" t="n"/>
      <c r="D106" s="291" t="n"/>
      <c r="E106" s="290" t="n"/>
      <c r="F106" s="290" t="n"/>
    </row>
    <row r="107" ht="13" customHeight="1" s="189">
      <c r="B107" s="290" t="n"/>
      <c r="C107" s="290" t="n"/>
      <c r="D107" s="291" t="n"/>
      <c r="E107" s="290" t="n"/>
      <c r="F107" s="290" t="n"/>
    </row>
    <row r="108" ht="13" customHeight="1" s="189">
      <c r="B108" s="290" t="n"/>
      <c r="C108" s="290" t="n"/>
      <c r="D108" s="291" t="n"/>
      <c r="E108" s="290" t="n"/>
      <c r="F108" s="290" t="n"/>
    </row>
    <row r="109" ht="13" customHeight="1" s="189">
      <c r="B109" s="290" t="n"/>
      <c r="C109" s="290" t="n"/>
      <c r="D109" s="291" t="n"/>
      <c r="E109" s="290" t="n"/>
      <c r="F109" s="290" t="n"/>
    </row>
    <row r="110" ht="13" customHeight="1" s="189">
      <c r="B110" s="290" t="n"/>
      <c r="C110" s="290" t="n"/>
      <c r="D110" s="291" t="n"/>
      <c r="E110" s="290" t="n"/>
      <c r="F110" s="290" t="n"/>
    </row>
    <row r="111" ht="13" customHeight="1" s="189">
      <c r="B111" s="290" t="n"/>
      <c r="C111" s="290" t="n"/>
      <c r="D111" s="291" t="n"/>
      <c r="E111" s="290" t="n"/>
      <c r="F111" s="290" t="n"/>
    </row>
    <row r="112" ht="13" customHeight="1" s="189">
      <c r="B112" s="290" t="n"/>
      <c r="C112" s="290" t="n"/>
      <c r="D112" s="291" t="n"/>
      <c r="E112" s="290" t="n"/>
      <c r="F112" s="290" t="n"/>
    </row>
    <row r="113" ht="13" customHeight="1" s="189">
      <c r="B113" s="290" t="n"/>
      <c r="C113" s="290" t="n"/>
      <c r="D113" s="291" t="n"/>
      <c r="E113" s="290" t="n"/>
      <c r="F113" s="290" t="n"/>
    </row>
    <row r="114" ht="13" customHeight="1" s="189">
      <c r="B114" s="290" t="n"/>
      <c r="C114" s="290" t="n"/>
      <c r="D114" s="291" t="n"/>
      <c r="E114" s="290" t="n"/>
      <c r="F114" s="290" t="n"/>
    </row>
    <row r="115" ht="13" customHeight="1" s="189">
      <c r="B115" s="290" t="n"/>
      <c r="C115" s="290" t="n"/>
      <c r="D115" s="291" t="n"/>
      <c r="E115" s="290" t="n"/>
      <c r="F115" s="290" t="n"/>
    </row>
    <row r="116" ht="13" customHeight="1" s="189">
      <c r="B116" s="290" t="n"/>
      <c r="C116" s="290" t="n"/>
      <c r="D116" s="291" t="n"/>
      <c r="E116" s="290" t="n"/>
      <c r="F116" s="290" t="n"/>
    </row>
    <row r="117" ht="13" customHeight="1" s="189">
      <c r="B117" s="290" t="n"/>
      <c r="C117" s="290" t="n"/>
      <c r="D117" s="291" t="n"/>
      <c r="E117" s="290" t="n"/>
      <c r="F117" s="290" t="n"/>
    </row>
    <row r="118" ht="13" customHeight="1" s="189">
      <c r="B118" s="290" t="n"/>
      <c r="C118" s="290" t="n"/>
      <c r="D118" s="291" t="n"/>
      <c r="E118" s="290" t="n"/>
      <c r="F118" s="290" t="n"/>
    </row>
    <row r="119" ht="13" customHeight="1" s="189">
      <c r="B119" s="290" t="n"/>
      <c r="C119" s="290" t="n"/>
      <c r="D119" s="291" t="n"/>
      <c r="E119" s="290" t="n"/>
      <c r="F119" s="290" t="n"/>
    </row>
    <row r="120" ht="13" customHeight="1" s="189">
      <c r="B120" s="290" t="n"/>
      <c r="C120" s="290" t="n"/>
      <c r="D120" s="291" t="n"/>
      <c r="E120" s="290" t="n"/>
      <c r="F120" s="290" t="n"/>
    </row>
    <row r="121" ht="13" customHeight="1" s="189">
      <c r="B121" s="290" t="n"/>
      <c r="C121" s="290" t="n"/>
      <c r="D121" s="291" t="n"/>
      <c r="E121" s="290" t="n"/>
      <c r="F121" s="290" t="n"/>
    </row>
    <row r="122" ht="13" customHeight="1" s="189">
      <c r="B122" s="290" t="n"/>
      <c r="C122" s="290" t="n"/>
      <c r="D122" s="291" t="n"/>
      <c r="E122" s="290" t="n"/>
      <c r="F122" s="290" t="n"/>
    </row>
    <row r="123" ht="13" customHeight="1" s="189">
      <c r="B123" s="290" t="n"/>
      <c r="C123" s="290" t="n"/>
      <c r="D123" s="291" t="n"/>
      <c r="E123" s="290" t="n"/>
      <c r="F123" s="290" t="n"/>
    </row>
    <row r="124" ht="13" customHeight="1" s="189">
      <c r="B124" s="290" t="n"/>
      <c r="C124" s="290" t="n"/>
      <c r="D124" s="291" t="n"/>
      <c r="E124" s="290" t="n"/>
      <c r="F124" s="290" t="n"/>
    </row>
    <row r="125" ht="13" customHeight="1" s="189">
      <c r="B125" s="290" t="n"/>
      <c r="C125" s="290" t="n"/>
      <c r="D125" s="291" t="n"/>
      <c r="E125" s="290" t="n"/>
      <c r="F125" s="290" t="n"/>
    </row>
    <row r="126" ht="13" customHeight="1" s="189">
      <c r="B126" s="290" t="n"/>
      <c r="C126" s="290" t="n"/>
      <c r="D126" s="291" t="n"/>
      <c r="E126" s="290" t="n"/>
      <c r="F126" s="290" t="n"/>
    </row>
    <row r="127" ht="13" customHeight="1" s="189">
      <c r="B127" s="290" t="n"/>
      <c r="C127" s="290" t="n"/>
      <c r="D127" s="291" t="n"/>
      <c r="E127" s="290" t="n"/>
      <c r="F127" s="290" t="n"/>
    </row>
    <row r="128" ht="13" customHeight="1" s="189">
      <c r="B128" s="290" t="n"/>
      <c r="C128" s="290" t="n"/>
      <c r="D128" s="291" t="n"/>
      <c r="E128" s="290" t="n"/>
      <c r="F128" s="290" t="n"/>
    </row>
    <row r="129" ht="13" customHeight="1" s="189">
      <c r="B129" s="290" t="n"/>
      <c r="C129" s="290" t="n"/>
      <c r="D129" s="291" t="n"/>
      <c r="E129" s="290" t="n"/>
      <c r="F129" s="290" t="n"/>
    </row>
    <row r="130" ht="13" customHeight="1" s="189">
      <c r="B130" s="290" t="n"/>
      <c r="C130" s="290" t="n"/>
      <c r="D130" s="291" t="n"/>
      <c r="E130" s="290" t="n"/>
      <c r="F130" s="290" t="n"/>
    </row>
    <row r="131" ht="13" customHeight="1" s="189">
      <c r="B131" s="290" t="n"/>
      <c r="C131" s="290" t="n"/>
      <c r="D131" s="291" t="n"/>
      <c r="E131" s="290" t="n"/>
      <c r="F131" s="290" t="n"/>
    </row>
    <row r="132" ht="13" customHeight="1" s="189">
      <c r="B132" s="290" t="n"/>
      <c r="C132" s="290" t="n"/>
      <c r="D132" s="291" t="n"/>
      <c r="E132" s="290" t="n"/>
      <c r="F132" s="290" t="n"/>
    </row>
    <row r="133" ht="13" customHeight="1" s="189">
      <c r="B133" s="290" t="n"/>
      <c r="C133" s="290" t="n"/>
      <c r="D133" s="291" t="n"/>
      <c r="E133" s="290" t="n"/>
      <c r="F133" s="290" t="n"/>
    </row>
    <row r="134" ht="13" customHeight="1" s="189">
      <c r="B134" s="290" t="n"/>
      <c r="C134" s="290" t="n"/>
      <c r="D134" s="291" t="n"/>
      <c r="E134" s="290" t="n"/>
      <c r="F134" s="290" t="n"/>
    </row>
    <row r="135" ht="13" customHeight="1" s="189">
      <c r="B135" s="290" t="n"/>
      <c r="C135" s="290" t="n"/>
      <c r="D135" s="291" t="n"/>
      <c r="E135" s="290" t="n"/>
      <c r="F135" s="290" t="n"/>
    </row>
    <row r="136" ht="13" customHeight="1" s="189">
      <c r="B136" s="290" t="n"/>
      <c r="C136" s="290" t="n"/>
      <c r="D136" s="291" t="n"/>
      <c r="E136" s="290" t="n"/>
      <c r="F136" s="290" t="n"/>
    </row>
    <row r="137" ht="13" customHeight="1" s="189">
      <c r="B137" s="290" t="n"/>
      <c r="C137" s="290" t="n"/>
      <c r="D137" s="291" t="n"/>
      <c r="E137" s="290" t="n"/>
      <c r="F137" s="290" t="n"/>
    </row>
    <row r="138" ht="13" customHeight="1" s="189">
      <c r="B138" s="290" t="n"/>
      <c r="C138" s="290" t="n"/>
      <c r="D138" s="291" t="n"/>
      <c r="E138" s="290" t="n"/>
      <c r="F138" s="290" t="n"/>
    </row>
    <row r="139" ht="13" customHeight="1" s="189">
      <c r="B139" s="290" t="n"/>
      <c r="C139" s="290" t="n"/>
      <c r="D139" s="291" t="n"/>
      <c r="E139" s="290" t="n"/>
      <c r="F139" s="290" t="n"/>
    </row>
    <row r="140" ht="13" customHeight="1" s="189">
      <c r="B140" s="290" t="n"/>
      <c r="C140" s="290" t="n"/>
      <c r="D140" s="291" t="n"/>
      <c r="E140" s="290" t="n"/>
      <c r="F140" s="290" t="n"/>
    </row>
    <row r="141" ht="13" customHeight="1" s="189">
      <c r="B141" s="290" t="n"/>
      <c r="C141" s="290" t="n"/>
      <c r="D141" s="291" t="n"/>
      <c r="E141" s="290" t="n"/>
      <c r="F141" s="290" t="n"/>
    </row>
    <row r="142" ht="13" customHeight="1" s="189">
      <c r="B142" s="290" t="n"/>
      <c r="C142" s="290" t="n"/>
      <c r="D142" s="291" t="n"/>
      <c r="E142" s="290" t="n"/>
      <c r="F142" s="290" t="n"/>
    </row>
    <row r="143" ht="13" customHeight="1" s="189">
      <c r="B143" s="290" t="n"/>
      <c r="C143" s="290" t="n"/>
      <c r="D143" s="291" t="n"/>
      <c r="E143" s="290" t="n"/>
      <c r="F143" s="290" t="n"/>
    </row>
    <row r="144" ht="13" customHeight="1" s="189">
      <c r="B144" s="290" t="n"/>
      <c r="C144" s="290" t="n"/>
      <c r="D144" s="291" t="n"/>
      <c r="E144" s="290" t="n"/>
      <c r="F144" s="290" t="n"/>
    </row>
    <row r="145" ht="13" customHeight="1" s="189">
      <c r="B145" s="290" t="n"/>
      <c r="C145" s="290" t="n"/>
      <c r="D145" s="291" t="n"/>
      <c r="E145" s="290" t="n"/>
      <c r="F145" s="290" t="n"/>
    </row>
    <row r="146" ht="13" customHeight="1" s="189">
      <c r="B146" s="290" t="n"/>
      <c r="C146" s="290" t="n"/>
      <c r="D146" s="291" t="n"/>
      <c r="E146" s="290" t="n"/>
      <c r="F146" s="290" t="n"/>
    </row>
    <row r="147" ht="13" customHeight="1" s="189">
      <c r="B147" s="290" t="n"/>
      <c r="C147" s="290" t="n"/>
      <c r="D147" s="291" t="n"/>
      <c r="E147" s="290" t="n"/>
      <c r="F147" s="290" t="n"/>
    </row>
    <row r="148" ht="13" customHeight="1" s="189">
      <c r="B148" s="290" t="n"/>
      <c r="C148" s="290" t="n"/>
      <c r="D148" s="291" t="n"/>
      <c r="E148" s="290" t="n"/>
      <c r="F148" s="290" t="n"/>
    </row>
    <row r="149" ht="13" customHeight="1" s="189">
      <c r="B149" s="290" t="n"/>
      <c r="C149" s="290" t="n"/>
      <c r="D149" s="291" t="n"/>
      <c r="E149" s="290" t="n"/>
      <c r="F149" s="290" t="n"/>
    </row>
    <row r="150" ht="13" customHeight="1" s="189">
      <c r="B150" s="290" t="n"/>
      <c r="C150" s="290" t="n"/>
      <c r="D150" s="291" t="n"/>
      <c r="E150" s="290" t="n"/>
      <c r="F150" s="290" t="n"/>
    </row>
    <row r="151" ht="13" customHeight="1" s="189">
      <c r="B151" s="290" t="n"/>
      <c r="C151" s="290" t="n"/>
      <c r="D151" s="291" t="n"/>
      <c r="E151" s="290" t="n"/>
      <c r="F151" s="290" t="n"/>
    </row>
    <row r="152" ht="13" customHeight="1" s="189">
      <c r="B152" s="290" t="n"/>
      <c r="C152" s="290" t="n"/>
      <c r="D152" s="291" t="n"/>
      <c r="E152" s="290" t="n"/>
      <c r="F152" s="290" t="n"/>
    </row>
    <row r="153" ht="13" customHeight="1" s="189">
      <c r="B153" s="290" t="n"/>
      <c r="C153" s="290" t="n"/>
      <c r="D153" s="291" t="n"/>
      <c r="E153" s="290" t="n"/>
      <c r="F153" s="290" t="n"/>
    </row>
    <row r="154" ht="13" customHeight="1" s="189">
      <c r="B154" s="290" t="n"/>
      <c r="C154" s="290" t="n"/>
      <c r="D154" s="291" t="n"/>
      <c r="E154" s="290" t="n"/>
      <c r="F154" s="290" t="n"/>
    </row>
    <row r="155" ht="13" customHeight="1" s="189">
      <c r="B155" s="290" t="n"/>
      <c r="C155" s="290" t="n"/>
      <c r="D155" s="291" t="n"/>
      <c r="E155" s="290" t="n"/>
      <c r="F155" s="290" t="n"/>
    </row>
    <row r="156" ht="13" customHeight="1" s="189">
      <c r="B156" s="290" t="n"/>
      <c r="C156" s="290" t="n"/>
      <c r="D156" s="291" t="n"/>
      <c r="E156" s="290" t="n"/>
      <c r="F156" s="290" t="n"/>
    </row>
    <row r="157" ht="13" customHeight="1" s="189">
      <c r="B157" s="290" t="n"/>
      <c r="C157" s="290" t="n"/>
      <c r="D157" s="291" t="n"/>
      <c r="E157" s="290" t="n"/>
      <c r="F157" s="290" t="n"/>
    </row>
    <row r="158" ht="13" customHeight="1" s="189">
      <c r="B158" s="290" t="n"/>
      <c r="C158" s="290" t="n"/>
      <c r="D158" s="291" t="n"/>
      <c r="E158" s="290" t="n"/>
      <c r="F158" s="290" t="n"/>
    </row>
    <row r="159" ht="13" customHeight="1" s="189">
      <c r="B159" s="290" t="n"/>
      <c r="C159" s="290" t="n"/>
      <c r="D159" s="291" t="n"/>
      <c r="E159" s="290" t="n"/>
      <c r="F159" s="290" t="n"/>
    </row>
    <row r="160" ht="13" customHeight="1" s="189">
      <c r="B160" s="290" t="n"/>
      <c r="C160" s="290" t="n"/>
      <c r="D160" s="291" t="n"/>
      <c r="E160" s="290" t="n"/>
      <c r="F160" s="290" t="n"/>
    </row>
    <row r="161" ht="13" customHeight="1" s="189">
      <c r="B161" s="290" t="n"/>
      <c r="C161" s="290" t="n"/>
      <c r="D161" s="291" t="n"/>
      <c r="E161" s="290" t="n"/>
      <c r="F161" s="290" t="n"/>
    </row>
    <row r="162" ht="13" customHeight="1" s="189">
      <c r="B162" s="290" t="n"/>
      <c r="C162" s="290" t="n"/>
      <c r="D162" s="291" t="n"/>
      <c r="E162" s="290" t="n"/>
      <c r="F162" s="290" t="n"/>
    </row>
    <row r="163" ht="13" customHeight="1" s="189">
      <c r="B163" s="290" t="n"/>
      <c r="C163" s="290" t="n"/>
      <c r="D163" s="291" t="n"/>
      <c r="E163" s="290" t="n"/>
      <c r="F163" s="290" t="n"/>
    </row>
    <row r="164" ht="13" customHeight="1" s="189">
      <c r="B164" s="290" t="n"/>
      <c r="C164" s="290" t="n"/>
      <c r="D164" s="291" t="n"/>
      <c r="E164" s="290" t="n"/>
      <c r="F164" s="290" t="n"/>
    </row>
    <row r="165" ht="13" customHeight="1" s="189">
      <c r="B165" s="290" t="n"/>
      <c r="C165" s="290" t="n"/>
      <c r="D165" s="291" t="n"/>
      <c r="E165" s="290" t="n"/>
      <c r="F165" s="290" t="n"/>
    </row>
    <row r="166" ht="13" customHeight="1" s="189">
      <c r="B166" s="290" t="n"/>
      <c r="C166" s="290" t="n"/>
      <c r="D166" s="291" t="n"/>
      <c r="E166" s="290" t="n"/>
      <c r="F166" s="290" t="n"/>
    </row>
    <row r="167" ht="13" customHeight="1" s="189">
      <c r="B167" s="290" t="n"/>
      <c r="C167" s="290" t="n"/>
      <c r="D167" s="291" t="n"/>
      <c r="E167" s="290" t="n"/>
      <c r="F167" s="290" t="n"/>
    </row>
    <row r="168" ht="13" customHeight="1" s="189">
      <c r="B168" s="290" t="n"/>
      <c r="C168" s="290" t="n"/>
      <c r="D168" s="291" t="n"/>
      <c r="E168" s="290" t="n"/>
      <c r="F168" s="290" t="n"/>
    </row>
    <row r="169" ht="13" customHeight="1" s="189">
      <c r="B169" s="290" t="n"/>
      <c r="C169" s="290" t="n"/>
      <c r="D169" s="291" t="n"/>
      <c r="E169" s="290" t="n"/>
      <c r="F169" s="290" t="n"/>
    </row>
    <row r="170" ht="13" customHeight="1" s="189">
      <c r="B170" s="290" t="n"/>
      <c r="C170" s="290" t="n"/>
      <c r="D170" s="291" t="n"/>
      <c r="E170" s="290" t="n"/>
      <c r="F170" s="290" t="n"/>
    </row>
    <row r="171" ht="13" customHeight="1" s="189">
      <c r="B171" s="290" t="n"/>
      <c r="C171" s="290" t="n"/>
      <c r="D171" s="291" t="n"/>
      <c r="E171" s="290" t="n"/>
      <c r="F171" s="290" t="n"/>
    </row>
    <row r="172" ht="13" customHeight="1" s="189">
      <c r="B172" s="290" t="n"/>
      <c r="C172" s="290" t="n"/>
      <c r="D172" s="291" t="n"/>
      <c r="E172" s="290" t="n"/>
      <c r="F172" s="290" t="n"/>
    </row>
    <row r="173" ht="13" customHeight="1" s="189">
      <c r="B173" s="290" t="n"/>
      <c r="C173" s="290" t="n"/>
      <c r="D173" s="291" t="n"/>
      <c r="E173" s="290" t="n"/>
      <c r="F173" s="290" t="n"/>
    </row>
    <row r="174" ht="13" customHeight="1" s="189">
      <c r="B174" s="290" t="n"/>
      <c r="C174" s="290" t="n"/>
      <c r="D174" s="291" t="n"/>
      <c r="E174" s="290" t="n"/>
      <c r="F174" s="290" t="n"/>
    </row>
    <row r="175" ht="13" customHeight="1" s="189">
      <c r="B175" s="290" t="n"/>
      <c r="C175" s="290" t="n"/>
      <c r="D175" s="291" t="n"/>
      <c r="E175" s="290" t="n"/>
      <c r="F175" s="290" t="n"/>
    </row>
    <row r="176" ht="13" customHeight="1" s="189">
      <c r="B176" s="290" t="n"/>
      <c r="C176" s="290" t="n"/>
      <c r="D176" s="291" t="n"/>
      <c r="E176" s="290" t="n"/>
      <c r="F176" s="290" t="n"/>
    </row>
    <row r="177" ht="13" customHeight="1" s="189">
      <c r="B177" s="290" t="n"/>
      <c r="C177" s="290" t="n"/>
      <c r="D177" s="291" t="n"/>
      <c r="E177" s="290" t="n"/>
      <c r="F177" s="290" t="n"/>
    </row>
    <row r="178" ht="13" customHeight="1" s="189">
      <c r="B178" s="290" t="n"/>
      <c r="C178" s="290" t="n"/>
      <c r="D178" s="291" t="n"/>
      <c r="E178" s="290" t="n"/>
      <c r="F178" s="290" t="n"/>
    </row>
    <row r="179" ht="13" customHeight="1" s="189">
      <c r="B179" s="290" t="n"/>
      <c r="C179" s="290" t="n"/>
      <c r="D179" s="291" t="n"/>
      <c r="E179" s="290" t="n"/>
      <c r="F179" s="290" t="n"/>
    </row>
    <row r="180" ht="13" customHeight="1" s="189">
      <c r="B180" s="290" t="n"/>
      <c r="C180" s="290" t="n"/>
      <c r="D180" s="291" t="n"/>
      <c r="E180" s="290" t="n"/>
      <c r="F180" s="290" t="n"/>
    </row>
    <row r="181" ht="13" customHeight="1" s="189">
      <c r="B181" s="290" t="n"/>
      <c r="C181" s="290" t="n"/>
      <c r="D181" s="291" t="n"/>
      <c r="E181" s="290" t="n"/>
      <c r="F181" s="290" t="n"/>
    </row>
    <row r="182" ht="13" customHeight="1" s="189">
      <c r="B182" s="290" t="n"/>
      <c r="C182" s="290" t="n"/>
      <c r="D182" s="291" t="n"/>
      <c r="E182" s="290" t="n"/>
      <c r="F182" s="290" t="n"/>
    </row>
    <row r="183" ht="13" customHeight="1" s="189">
      <c r="B183" s="290" t="n"/>
      <c r="C183" s="290" t="n"/>
      <c r="D183" s="291" t="n"/>
      <c r="E183" s="290" t="n"/>
      <c r="F183" s="290" t="n"/>
    </row>
    <row r="184" ht="13" customHeight="1" s="189">
      <c r="B184" s="290" t="n"/>
      <c r="C184" s="290" t="n"/>
      <c r="D184" s="291" t="n"/>
      <c r="E184" s="290" t="n"/>
      <c r="F184" s="290" t="n"/>
    </row>
    <row r="185" ht="13" customHeight="1" s="189">
      <c r="B185" s="290" t="n"/>
      <c r="C185" s="290" t="n"/>
      <c r="D185" s="291" t="n"/>
      <c r="E185" s="290" t="n"/>
      <c r="F185" s="290" t="n"/>
    </row>
    <row r="186" ht="13" customHeight="1" s="189">
      <c r="B186" s="290" t="n"/>
      <c r="C186" s="290" t="n"/>
      <c r="D186" s="291" t="n"/>
      <c r="E186" s="290" t="n"/>
      <c r="F186" s="290" t="n"/>
    </row>
    <row r="187" ht="13" customHeight="1" s="189">
      <c r="B187" s="290" t="n"/>
      <c r="C187" s="290" t="n"/>
      <c r="D187" s="291" t="n"/>
      <c r="E187" s="290" t="n"/>
      <c r="F187" s="290" t="n"/>
    </row>
    <row r="188" ht="13" customHeight="1" s="189">
      <c r="B188" s="290" t="n"/>
      <c r="C188" s="290" t="n"/>
      <c r="D188" s="291" t="n"/>
      <c r="E188" s="290" t="n"/>
      <c r="F188" s="290" t="n"/>
    </row>
    <row r="189" ht="13" customHeight="1" s="189">
      <c r="B189" s="290" t="n"/>
      <c r="C189" s="290" t="n"/>
      <c r="D189" s="291" t="n"/>
      <c r="E189" s="290" t="n"/>
      <c r="F189" s="290" t="n"/>
    </row>
    <row r="190" ht="13" customHeight="1" s="189">
      <c r="B190" s="290" t="n"/>
      <c r="C190" s="290" t="n"/>
      <c r="D190" s="291" t="n"/>
      <c r="E190" s="290" t="n"/>
      <c r="F190" s="290" t="n"/>
    </row>
    <row r="191" ht="13" customHeight="1" s="189">
      <c r="B191" s="290" t="n"/>
      <c r="C191" s="290" t="n"/>
      <c r="D191" s="291" t="n"/>
      <c r="E191" s="290" t="n"/>
      <c r="F191" s="290" t="n"/>
    </row>
    <row r="192" ht="13" customHeight="1" s="189">
      <c r="B192" s="290" t="n"/>
      <c r="C192" s="290" t="n"/>
      <c r="D192" s="291" t="n"/>
      <c r="E192" s="290" t="n"/>
      <c r="F192" s="290" t="n"/>
    </row>
    <row r="193" ht="13" customHeight="1" s="189">
      <c r="B193" s="290" t="n"/>
      <c r="C193" s="290" t="n"/>
      <c r="D193" s="291" t="n"/>
      <c r="E193" s="290" t="n"/>
      <c r="F193" s="290" t="n"/>
    </row>
    <row r="194" ht="13" customHeight="1" s="189">
      <c r="B194" s="290" t="n"/>
      <c r="C194" s="290" t="n"/>
      <c r="D194" s="291" t="n"/>
      <c r="E194" s="290" t="n"/>
      <c r="F194" s="290" t="n"/>
    </row>
    <row r="195" ht="13" customHeight="1" s="189">
      <c r="B195" s="290" t="n"/>
      <c r="C195" s="290" t="n"/>
      <c r="D195" s="291" t="n"/>
      <c r="E195" s="290" t="n"/>
      <c r="F195" s="290" t="n"/>
    </row>
    <row r="196" ht="13" customHeight="1" s="189">
      <c r="B196" s="290" t="n"/>
      <c r="C196" s="290" t="n"/>
      <c r="D196" s="291" t="n"/>
      <c r="E196" s="290" t="n"/>
      <c r="F196" s="290" t="n"/>
    </row>
    <row r="197" ht="13" customHeight="1" s="189">
      <c r="B197" s="290" t="n"/>
      <c r="C197" s="290" t="n"/>
      <c r="D197" s="291" t="n"/>
      <c r="E197" s="290" t="n"/>
      <c r="F197" s="290" t="n"/>
    </row>
    <row r="198" ht="13" customHeight="1" s="189">
      <c r="B198" s="290" t="n"/>
      <c r="C198" s="290" t="n"/>
      <c r="D198" s="291" t="n"/>
      <c r="E198" s="290" t="n"/>
      <c r="F198" s="290" t="n"/>
    </row>
    <row r="199" ht="13" customHeight="1" s="189">
      <c r="B199" s="290" t="n"/>
      <c r="C199" s="290" t="n"/>
      <c r="D199" s="291" t="n"/>
      <c r="E199" s="290" t="n"/>
      <c r="F199" s="290" t="n"/>
    </row>
    <row r="200" ht="13" customHeight="1" s="189">
      <c r="B200" s="290" t="n"/>
      <c r="C200" s="290" t="n"/>
      <c r="D200" s="291" t="n"/>
      <c r="E200" s="290" t="n"/>
      <c r="F200" s="290" t="n"/>
    </row>
    <row r="201" ht="13" customHeight="1" s="189">
      <c r="B201" s="290" t="n"/>
      <c r="C201" s="290" t="n"/>
      <c r="D201" s="291" t="n"/>
      <c r="E201" s="290" t="n"/>
      <c r="F201" s="290" t="n"/>
    </row>
    <row r="202" ht="13" customHeight="1" s="189">
      <c r="B202" s="290" t="n"/>
      <c r="C202" s="290" t="n"/>
      <c r="D202" s="291" t="n"/>
      <c r="E202" s="290" t="n"/>
      <c r="F202" s="290" t="n"/>
    </row>
    <row r="203" ht="13" customHeight="1" s="189">
      <c r="B203" s="290" t="n"/>
      <c r="C203" s="290" t="n"/>
      <c r="D203" s="291" t="n"/>
      <c r="E203" s="290" t="n"/>
      <c r="F203" s="290" t="n"/>
    </row>
    <row r="204" ht="13" customHeight="1" s="189">
      <c r="B204" s="290" t="n"/>
      <c r="C204" s="290" t="n"/>
      <c r="D204" s="291" t="n"/>
      <c r="E204" s="290" t="n"/>
      <c r="F204" s="290" t="n"/>
    </row>
    <row r="205" ht="13" customHeight="1" s="189">
      <c r="B205" s="290" t="n"/>
      <c r="C205" s="290" t="n"/>
      <c r="D205" s="291" t="n"/>
      <c r="E205" s="290" t="n"/>
      <c r="F205" s="290" t="n"/>
    </row>
    <row r="206" ht="13" customHeight="1" s="189">
      <c r="B206" s="290" t="n"/>
      <c r="C206" s="290" t="n"/>
      <c r="D206" s="291" t="n"/>
      <c r="E206" s="290" t="n"/>
      <c r="F206" s="290" t="n"/>
    </row>
    <row r="207" ht="13" customHeight="1" s="189">
      <c r="B207" s="290" t="n"/>
      <c r="C207" s="290" t="n"/>
      <c r="D207" s="291" t="n"/>
      <c r="E207" s="290" t="n"/>
      <c r="F207" s="290" t="n"/>
    </row>
    <row r="208" ht="13" customHeight="1" s="189">
      <c r="B208" s="290" t="n"/>
      <c r="C208" s="290" t="n"/>
      <c r="D208" s="291" t="n"/>
      <c r="E208" s="290" t="n"/>
      <c r="F208" s="290" t="n"/>
    </row>
    <row r="209" ht="13" customHeight="1" s="189">
      <c r="B209" s="290" t="n"/>
      <c r="C209" s="290" t="n"/>
      <c r="D209" s="291" t="n"/>
      <c r="E209" s="290" t="n"/>
      <c r="F209" s="290" t="n"/>
    </row>
    <row r="210" ht="13" customHeight="1" s="189">
      <c r="B210" s="290" t="n"/>
      <c r="C210" s="290" t="n"/>
      <c r="D210" s="291" t="n"/>
      <c r="E210" s="290" t="n"/>
      <c r="F210" s="290" t="n"/>
    </row>
    <row r="211" ht="13" customHeight="1" s="189">
      <c r="B211" s="290" t="n"/>
      <c r="C211" s="290" t="n"/>
      <c r="D211" s="291" t="n"/>
      <c r="E211" s="290" t="n"/>
      <c r="F211" s="290" t="n"/>
    </row>
    <row r="212" ht="13" customHeight="1" s="189">
      <c r="B212" s="290" t="n"/>
      <c r="C212" s="290" t="n"/>
      <c r="D212" s="291" t="n"/>
      <c r="E212" s="290" t="n"/>
      <c r="F212" s="290" t="n"/>
    </row>
    <row r="213" ht="13" customHeight="1" s="189">
      <c r="B213" s="290" t="n"/>
      <c r="C213" s="290" t="n"/>
      <c r="D213" s="291" t="n"/>
      <c r="E213" s="290" t="n"/>
      <c r="F213" s="290" t="n"/>
    </row>
    <row r="214" ht="13" customHeight="1" s="189">
      <c r="B214" s="290" t="n"/>
      <c r="C214" s="290" t="n"/>
      <c r="D214" s="291" t="n"/>
      <c r="E214" s="290" t="n"/>
      <c r="F214" s="290" t="n"/>
    </row>
    <row r="215" ht="13" customHeight="1" s="189">
      <c r="B215" s="290" t="n"/>
      <c r="C215" s="290" t="n"/>
      <c r="D215" s="291" t="n"/>
      <c r="E215" s="290" t="n"/>
      <c r="F215" s="290" t="n"/>
    </row>
    <row r="216" ht="13" customHeight="1" s="189">
      <c r="B216" s="290" t="n"/>
      <c r="C216" s="290" t="n"/>
      <c r="D216" s="291" t="n"/>
      <c r="E216" s="290" t="n"/>
      <c r="F216" s="290" t="n"/>
    </row>
    <row r="217" ht="13" customHeight="1" s="189">
      <c r="B217" s="290" t="n"/>
      <c r="C217" s="290" t="n"/>
      <c r="D217" s="291" t="n"/>
      <c r="E217" s="290" t="n"/>
      <c r="F217" s="290" t="n"/>
    </row>
    <row r="218" ht="13" customHeight="1" s="189">
      <c r="B218" s="290" t="n"/>
      <c r="C218" s="290" t="n"/>
      <c r="D218" s="291" t="n"/>
      <c r="E218" s="290" t="n"/>
      <c r="F218" s="290" t="n"/>
    </row>
    <row r="219" ht="13" customHeight="1" s="189">
      <c r="B219" s="290" t="n"/>
      <c r="C219" s="290" t="n"/>
      <c r="D219" s="291" t="n"/>
      <c r="E219" s="290" t="n"/>
      <c r="F219" s="290" t="n"/>
    </row>
    <row r="220" ht="13" customHeight="1" s="189">
      <c r="B220" s="290" t="n"/>
      <c r="C220" s="290" t="n"/>
      <c r="D220" s="291" t="n"/>
      <c r="E220" s="290" t="n"/>
      <c r="F220" s="290" t="n"/>
    </row>
    <row r="221" ht="13" customHeight="1" s="189">
      <c r="B221" s="290" t="n"/>
      <c r="C221" s="290" t="n"/>
      <c r="D221" s="291" t="n"/>
      <c r="E221" s="290" t="n"/>
      <c r="F221" s="290" t="n"/>
    </row>
    <row r="222" ht="13" customHeight="1" s="189">
      <c r="B222" s="290" t="n"/>
      <c r="C222" s="290" t="n"/>
      <c r="D222" s="291" t="n"/>
      <c r="E222" s="290" t="n"/>
      <c r="F222" s="290" t="n"/>
    </row>
    <row r="223" ht="13" customHeight="1" s="189">
      <c r="B223" s="290" t="n"/>
      <c r="C223" s="290" t="n"/>
      <c r="D223" s="291" t="n"/>
      <c r="E223" s="290" t="n"/>
      <c r="F223" s="290" t="n"/>
    </row>
    <row r="224" ht="13" customHeight="1" s="189">
      <c r="B224" s="290" t="n"/>
      <c r="C224" s="290" t="n"/>
      <c r="D224" s="291" t="n"/>
      <c r="E224" s="290" t="n"/>
      <c r="F224" s="290" t="n"/>
    </row>
    <row r="225" ht="13" customHeight="1" s="189">
      <c r="B225" s="290" t="n"/>
      <c r="C225" s="290" t="n"/>
      <c r="D225" s="291" t="n"/>
      <c r="E225" s="290" t="n"/>
      <c r="F225" s="290" t="n"/>
    </row>
    <row r="226" ht="13" customHeight="1" s="189">
      <c r="B226" s="290" t="n"/>
      <c r="C226" s="290" t="n"/>
      <c r="D226" s="291" t="n"/>
      <c r="E226" s="290" t="n"/>
      <c r="F226" s="290" t="n"/>
    </row>
    <row r="227" ht="13" customHeight="1" s="189">
      <c r="B227" s="290" t="n"/>
      <c r="C227" s="290" t="n"/>
      <c r="D227" s="291" t="n"/>
      <c r="E227" s="290" t="n"/>
      <c r="F227" s="290" t="n"/>
    </row>
    <row r="228" ht="13" customHeight="1" s="189">
      <c r="B228" s="290" t="n"/>
      <c r="C228" s="290" t="n"/>
      <c r="D228" s="291" t="n"/>
      <c r="E228" s="290" t="n"/>
      <c r="F228" s="290" t="n"/>
    </row>
    <row r="229" ht="13" customHeight="1" s="189">
      <c r="B229" s="290" t="n"/>
      <c r="C229" s="290" t="n"/>
      <c r="D229" s="291" t="n"/>
      <c r="E229" s="290" t="n"/>
      <c r="F229" s="290" t="n"/>
    </row>
    <row r="230" ht="13" customHeight="1" s="189">
      <c r="B230" s="290" t="n"/>
      <c r="C230" s="290" t="n"/>
      <c r="D230" s="291" t="n"/>
      <c r="E230" s="290" t="n"/>
      <c r="F230" s="290" t="n"/>
    </row>
    <row r="231" ht="13" customHeight="1" s="189">
      <c r="B231" s="290" t="n"/>
      <c r="C231" s="290" t="n"/>
      <c r="D231" s="291" t="n"/>
      <c r="E231" s="290" t="n"/>
      <c r="F231" s="290" t="n"/>
    </row>
    <row r="232" ht="13" customHeight="1" s="189">
      <c r="B232" s="290" t="n"/>
      <c r="C232" s="290" t="n"/>
      <c r="D232" s="291" t="n"/>
      <c r="E232" s="290" t="n"/>
      <c r="F232" s="290" t="n"/>
    </row>
    <row r="233" ht="13" customHeight="1" s="189">
      <c r="B233" s="290" t="n"/>
      <c r="C233" s="290" t="n"/>
      <c r="D233" s="291" t="n"/>
      <c r="E233" s="290" t="n"/>
      <c r="F233" s="290" t="n"/>
    </row>
    <row r="234" ht="13" customHeight="1" s="189">
      <c r="B234" s="290" t="n"/>
      <c r="C234" s="290" t="n"/>
      <c r="D234" s="291" t="n"/>
      <c r="E234" s="290" t="n"/>
      <c r="F234" s="290" t="n"/>
    </row>
    <row r="235" ht="13" customHeight="1" s="189">
      <c r="B235" s="290" t="n"/>
      <c r="C235" s="290" t="n"/>
      <c r="D235" s="291" t="n"/>
      <c r="E235" s="290" t="n"/>
      <c r="F235" s="290" t="n"/>
    </row>
    <row r="236" ht="13" customHeight="1" s="189">
      <c r="B236" s="290" t="n"/>
      <c r="C236" s="290" t="n"/>
      <c r="D236" s="291" t="n"/>
      <c r="E236" s="290" t="n"/>
      <c r="F236" s="290" t="n"/>
    </row>
    <row r="237" ht="13" customHeight="1" s="189">
      <c r="B237" s="290" t="n"/>
      <c r="C237" s="290" t="n"/>
      <c r="D237" s="291" t="n"/>
      <c r="E237" s="290" t="n"/>
      <c r="F237" s="290" t="n"/>
    </row>
    <row r="238" ht="13" customHeight="1" s="189">
      <c r="B238" s="290" t="n"/>
      <c r="C238" s="290" t="n"/>
      <c r="D238" s="291" t="n"/>
      <c r="E238" s="290" t="n"/>
      <c r="F238" s="290" t="n"/>
    </row>
    <row r="239" ht="13" customHeight="1" s="189">
      <c r="B239" s="290" t="n"/>
      <c r="C239" s="290" t="n"/>
      <c r="D239" s="291" t="n"/>
      <c r="E239" s="290" t="n"/>
      <c r="F239" s="290" t="n"/>
    </row>
    <row r="240" ht="13" customHeight="1" s="189">
      <c r="B240" s="290" t="n"/>
      <c r="C240" s="290" t="n"/>
      <c r="D240" s="291" t="n"/>
      <c r="E240" s="290" t="n"/>
      <c r="F240" s="290" t="n"/>
    </row>
    <row r="241" ht="13" customHeight="1" s="189">
      <c r="B241" s="290" t="n"/>
      <c r="C241" s="290" t="n"/>
      <c r="D241" s="291" t="n"/>
      <c r="E241" s="290" t="n"/>
      <c r="F241" s="290" t="n"/>
    </row>
    <row r="242" ht="13" customHeight="1" s="189">
      <c r="B242" s="290" t="n"/>
      <c r="C242" s="290" t="n"/>
      <c r="D242" s="291" t="n"/>
      <c r="E242" s="290" t="n"/>
      <c r="F242" s="290" t="n"/>
    </row>
    <row r="243" ht="13" customHeight="1" s="189">
      <c r="B243" s="290" t="n"/>
      <c r="C243" s="290" t="n"/>
      <c r="D243" s="291" t="n"/>
      <c r="E243" s="290" t="n"/>
      <c r="F243" s="290" t="n"/>
    </row>
    <row r="244" ht="13" customHeight="1" s="189">
      <c r="B244" s="290" t="n"/>
      <c r="C244" s="290" t="n"/>
      <c r="D244" s="291" t="n"/>
      <c r="E244" s="290" t="n"/>
      <c r="F244" s="290" t="n"/>
    </row>
    <row r="245" ht="13" customHeight="1" s="189">
      <c r="B245" s="290" t="n"/>
      <c r="C245" s="290" t="n"/>
      <c r="D245" s="291" t="n"/>
      <c r="E245" s="290" t="n"/>
      <c r="F245" s="290" t="n"/>
    </row>
    <row r="246" ht="13" customHeight="1" s="189">
      <c r="B246" s="290" t="n"/>
      <c r="C246" s="290" t="n"/>
      <c r="D246" s="291" t="n"/>
      <c r="E246" s="290" t="n"/>
      <c r="F246" s="290" t="n"/>
    </row>
    <row r="247" ht="13" customHeight="1" s="189">
      <c r="B247" s="290" t="n"/>
      <c r="C247" s="290" t="n"/>
      <c r="D247" s="291" t="n"/>
      <c r="E247" s="290" t="n"/>
      <c r="F247" s="290" t="n"/>
    </row>
    <row r="248" ht="13" customHeight="1" s="189">
      <c r="B248" s="290" t="n"/>
      <c r="C248" s="290" t="n"/>
      <c r="D248" s="291" t="n"/>
      <c r="E248" s="290" t="n"/>
      <c r="F248" s="290" t="n"/>
    </row>
    <row r="249" ht="13" customHeight="1" s="189">
      <c r="B249" s="290" t="n"/>
      <c r="C249" s="290" t="n"/>
      <c r="D249" s="291" t="n"/>
      <c r="E249" s="290" t="n"/>
      <c r="F249" s="290" t="n"/>
    </row>
    <row r="250" ht="13" customHeight="1" s="189">
      <c r="B250" s="290" t="n"/>
      <c r="C250" s="290" t="n"/>
      <c r="D250" s="291" t="n"/>
      <c r="E250" s="290" t="n"/>
      <c r="F250" s="290" t="n"/>
    </row>
    <row r="251" ht="13" customHeight="1" s="189">
      <c r="B251" s="290" t="n"/>
      <c r="C251" s="290" t="n"/>
      <c r="D251" s="291" t="n"/>
      <c r="E251" s="290" t="n"/>
      <c r="F251" s="290" t="n"/>
    </row>
    <row r="252" ht="13" customHeight="1" s="189">
      <c r="B252" s="290" t="n"/>
      <c r="C252" s="290" t="n"/>
      <c r="D252" s="291" t="n"/>
      <c r="E252" s="290" t="n"/>
      <c r="F252" s="290" t="n"/>
    </row>
    <row r="253" ht="13" customHeight="1" s="189">
      <c r="B253" s="290" t="n"/>
      <c r="C253" s="290" t="n"/>
      <c r="D253" s="291" t="n"/>
      <c r="E253" s="290" t="n"/>
      <c r="F253" s="290" t="n"/>
    </row>
    <row r="254" ht="13" customHeight="1" s="189">
      <c r="B254" s="290" t="n"/>
      <c r="C254" s="290" t="n"/>
      <c r="D254" s="291" t="n"/>
      <c r="E254" s="290" t="n"/>
      <c r="F254" s="290" t="n"/>
    </row>
    <row r="255" ht="13" customHeight="1" s="189">
      <c r="B255" s="290" t="n"/>
      <c r="C255" s="290" t="n"/>
      <c r="D255" s="291" t="n"/>
      <c r="E255" s="290" t="n"/>
      <c r="F255" s="290" t="n"/>
    </row>
    <row r="256" ht="13" customHeight="1" s="189">
      <c r="B256" s="290" t="n"/>
      <c r="C256" s="290" t="n"/>
      <c r="D256" s="291" t="n"/>
      <c r="E256" s="290" t="n"/>
      <c r="F256" s="290" t="n"/>
    </row>
    <row r="257" ht="13" customHeight="1" s="189">
      <c r="B257" s="290" t="n"/>
      <c r="C257" s="290" t="n"/>
      <c r="D257" s="291" t="n"/>
      <c r="E257" s="290" t="n"/>
      <c r="F257" s="290" t="n"/>
    </row>
    <row r="258" ht="13" customHeight="1" s="189">
      <c r="B258" s="290" t="n"/>
      <c r="C258" s="290" t="n"/>
      <c r="D258" s="291" t="n"/>
      <c r="E258" s="290" t="n"/>
      <c r="F258" s="290" t="n"/>
    </row>
    <row r="259" ht="13" customHeight="1" s="189">
      <c r="B259" s="290" t="n"/>
      <c r="C259" s="290" t="n"/>
      <c r="D259" s="291" t="n"/>
      <c r="E259" s="290" t="n"/>
      <c r="F259" s="290" t="n"/>
    </row>
    <row r="260" ht="13" customHeight="1" s="189">
      <c r="B260" s="290" t="n"/>
      <c r="C260" s="290" t="n"/>
      <c r="D260" s="291" t="n"/>
      <c r="E260" s="290" t="n"/>
      <c r="F260" s="290" t="n"/>
    </row>
    <row r="261" ht="13" customHeight="1" s="189">
      <c r="B261" s="290" t="n"/>
      <c r="C261" s="290" t="n"/>
      <c r="D261" s="291" t="n"/>
      <c r="E261" s="290" t="n"/>
      <c r="F261" s="290" t="n"/>
    </row>
    <row r="262" ht="13" customHeight="1" s="189">
      <c r="B262" s="290" t="n"/>
      <c r="C262" s="290" t="n"/>
      <c r="D262" s="291" t="n"/>
      <c r="E262" s="290" t="n"/>
      <c r="F262" s="290" t="n"/>
    </row>
    <row r="263" ht="13" customHeight="1" s="189">
      <c r="B263" s="290" t="n"/>
      <c r="C263" s="290" t="n"/>
      <c r="D263" s="291" t="n"/>
      <c r="E263" s="290" t="n"/>
      <c r="F263" s="290" t="n"/>
    </row>
    <row r="264" ht="13" customHeight="1" s="189">
      <c r="B264" s="290" t="n"/>
      <c r="C264" s="290" t="n"/>
      <c r="D264" s="291" t="n"/>
      <c r="E264" s="290" t="n"/>
      <c r="F264" s="290" t="n"/>
    </row>
    <row r="265" ht="13" customHeight="1" s="189">
      <c r="B265" s="290" t="n"/>
      <c r="C265" s="290" t="n"/>
      <c r="D265" s="291" t="n"/>
      <c r="E265" s="290" t="n"/>
      <c r="F265" s="290" t="n"/>
    </row>
    <row r="266" ht="13" customHeight="1" s="189">
      <c r="B266" s="290" t="n"/>
      <c r="C266" s="290" t="n"/>
      <c r="D266" s="291" t="n"/>
      <c r="E266" s="290" t="n"/>
      <c r="F266" s="290" t="n"/>
    </row>
    <row r="267" ht="13" customHeight="1" s="189">
      <c r="B267" s="290" t="n"/>
      <c r="C267" s="290" t="n"/>
      <c r="D267" s="291" t="n"/>
      <c r="E267" s="290" t="n"/>
      <c r="F267" s="290" t="n"/>
    </row>
    <row r="268" ht="13" customHeight="1" s="189">
      <c r="B268" s="290" t="n"/>
      <c r="C268" s="290" t="n"/>
      <c r="D268" s="291" t="n"/>
      <c r="E268" s="290" t="n"/>
      <c r="F268" s="290" t="n"/>
    </row>
    <row r="269" ht="13" customHeight="1" s="189">
      <c r="B269" s="290" t="n"/>
      <c r="C269" s="290" t="n"/>
      <c r="D269" s="291" t="n"/>
      <c r="E269" s="290" t="n"/>
      <c r="F269" s="290" t="n"/>
    </row>
    <row r="270" ht="13" customHeight="1" s="189">
      <c r="B270" s="290" t="n"/>
      <c r="C270" s="290" t="n"/>
      <c r="D270" s="291" t="n"/>
      <c r="E270" s="290" t="n"/>
      <c r="F270" s="290" t="n"/>
    </row>
    <row r="271" ht="13" customHeight="1" s="189">
      <c r="B271" s="290" t="n"/>
      <c r="C271" s="290" t="n"/>
      <c r="D271" s="291" t="n"/>
      <c r="E271" s="290" t="n"/>
      <c r="F271" s="290" t="n"/>
    </row>
    <row r="272" ht="13" customHeight="1" s="189">
      <c r="B272" s="290" t="n"/>
      <c r="C272" s="290" t="n"/>
      <c r="D272" s="291" t="n"/>
      <c r="E272" s="290" t="n"/>
      <c r="F272" s="290" t="n"/>
    </row>
    <row r="273" ht="13" customHeight="1" s="189">
      <c r="B273" s="290" t="n"/>
      <c r="C273" s="290" t="n"/>
      <c r="D273" s="291" t="n"/>
      <c r="E273" s="290" t="n"/>
      <c r="F273" s="290" t="n"/>
    </row>
    <row r="274" ht="13" customHeight="1" s="189">
      <c r="B274" s="290" t="n"/>
      <c r="C274" s="290" t="n"/>
      <c r="D274" s="291" t="n"/>
      <c r="E274" s="290" t="n"/>
      <c r="F274" s="290" t="n"/>
    </row>
    <row r="275" ht="13" customHeight="1" s="189">
      <c r="B275" s="290" t="n"/>
      <c r="C275" s="290" t="n"/>
      <c r="D275" s="291" t="n"/>
      <c r="E275" s="290" t="n"/>
      <c r="F275" s="290" t="n"/>
    </row>
    <row r="276" ht="13" customHeight="1" s="189">
      <c r="B276" s="290" t="n"/>
      <c r="C276" s="290" t="n"/>
      <c r="D276" s="291" t="n"/>
      <c r="E276" s="290" t="n"/>
      <c r="F276" s="290" t="n"/>
    </row>
    <row r="277" ht="13" customHeight="1" s="189">
      <c r="B277" s="290" t="n"/>
      <c r="C277" s="290" t="n"/>
      <c r="D277" s="291" t="n"/>
      <c r="E277" s="290" t="n"/>
      <c r="F277" s="290" t="n"/>
    </row>
    <row r="278" ht="13" customHeight="1" s="189">
      <c r="B278" s="290" t="n"/>
      <c r="C278" s="290" t="n"/>
      <c r="D278" s="291" t="n"/>
      <c r="E278" s="290" t="n"/>
      <c r="F278" s="290" t="n"/>
    </row>
    <row r="279" ht="13" customHeight="1" s="189">
      <c r="B279" s="290" t="n"/>
      <c r="C279" s="290" t="n"/>
      <c r="D279" s="291" t="n"/>
      <c r="E279" s="290" t="n"/>
      <c r="F279" s="290" t="n"/>
    </row>
    <row r="280" ht="13" customHeight="1" s="189">
      <c r="B280" s="290" t="n"/>
      <c r="C280" s="290" t="n"/>
      <c r="D280" s="291" t="n"/>
      <c r="E280" s="290" t="n"/>
      <c r="F280" s="290" t="n"/>
    </row>
    <row r="281" ht="13" customHeight="1" s="189">
      <c r="B281" s="290" t="n"/>
      <c r="C281" s="290" t="n"/>
      <c r="D281" s="291" t="n"/>
      <c r="E281" s="290" t="n"/>
      <c r="F281" s="290" t="n"/>
    </row>
    <row r="282" ht="13" customHeight="1" s="189">
      <c r="B282" s="290" t="n"/>
      <c r="C282" s="290" t="n"/>
      <c r="D282" s="291" t="n"/>
      <c r="E282" s="290" t="n"/>
      <c r="F282" s="290" t="n"/>
    </row>
    <row r="283" ht="13" customHeight="1" s="189">
      <c r="B283" s="290" t="n"/>
      <c r="C283" s="290" t="n"/>
      <c r="D283" s="291" t="n"/>
      <c r="E283" s="290" t="n"/>
      <c r="F283" s="290" t="n"/>
    </row>
    <row r="284" ht="13" customHeight="1" s="189">
      <c r="B284" s="290" t="n"/>
      <c r="C284" s="290" t="n"/>
      <c r="D284" s="291" t="n"/>
      <c r="E284" s="290" t="n"/>
      <c r="F284" s="290" t="n"/>
    </row>
    <row r="285" ht="13" customHeight="1" s="189">
      <c r="B285" s="290" t="n"/>
      <c r="C285" s="290" t="n"/>
      <c r="D285" s="291" t="n"/>
      <c r="E285" s="290" t="n"/>
      <c r="F285" s="290" t="n"/>
    </row>
    <row r="286" ht="13" customHeight="1" s="189">
      <c r="B286" s="290" t="n"/>
      <c r="C286" s="290" t="n"/>
      <c r="D286" s="291" t="n"/>
      <c r="E286" s="290" t="n"/>
      <c r="F286" s="290" t="n"/>
    </row>
    <row r="287" ht="13" customHeight="1" s="189">
      <c r="B287" s="290" t="n"/>
      <c r="C287" s="290" t="n"/>
      <c r="D287" s="291" t="n"/>
      <c r="E287" s="290" t="n"/>
      <c r="F287" s="290" t="n"/>
    </row>
    <row r="288" ht="13" customHeight="1" s="189">
      <c r="B288" s="290" t="n"/>
      <c r="C288" s="290" t="n"/>
      <c r="D288" s="291" t="n"/>
      <c r="E288" s="290" t="n"/>
      <c r="F288" s="290" t="n"/>
    </row>
    <row r="289" ht="13" customHeight="1" s="189">
      <c r="B289" s="290" t="n"/>
      <c r="C289" s="290" t="n"/>
      <c r="D289" s="291" t="n"/>
      <c r="E289" s="290" t="n"/>
      <c r="F289" s="290" t="n"/>
    </row>
    <row r="290" ht="13" customHeight="1" s="189">
      <c r="B290" s="290" t="n"/>
      <c r="C290" s="290" t="n"/>
      <c r="D290" s="291" t="n"/>
      <c r="E290" s="290" t="n"/>
      <c r="F290" s="290" t="n"/>
    </row>
    <row r="291" ht="13" customHeight="1" s="189">
      <c r="B291" s="290" t="n"/>
      <c r="C291" s="290" t="n"/>
      <c r="D291" s="291" t="n"/>
      <c r="E291" s="290" t="n"/>
      <c r="F291" s="290" t="n"/>
    </row>
    <row r="292" ht="13" customHeight="1" s="189">
      <c r="B292" s="290" t="n"/>
      <c r="C292" s="290" t="n"/>
      <c r="D292" s="291" t="n"/>
      <c r="E292" s="290" t="n"/>
      <c r="F292" s="290" t="n"/>
    </row>
    <row r="293" ht="13" customHeight="1" s="189">
      <c r="B293" s="290" t="n"/>
      <c r="C293" s="290" t="n"/>
      <c r="D293" s="291" t="n"/>
      <c r="E293" s="290" t="n"/>
      <c r="F293" s="290" t="n"/>
    </row>
    <row r="294" ht="13" customHeight="1" s="189">
      <c r="B294" s="290" t="n"/>
      <c r="C294" s="290" t="n"/>
      <c r="D294" s="291" t="n"/>
      <c r="E294" s="290" t="n"/>
      <c r="F294" s="290" t="n"/>
    </row>
    <row r="295" ht="13" customHeight="1" s="189">
      <c r="B295" s="290" t="n"/>
      <c r="C295" s="290" t="n"/>
      <c r="D295" s="291" t="n"/>
      <c r="E295" s="290" t="n"/>
      <c r="F295" s="290" t="n"/>
    </row>
    <row r="296" ht="13" customHeight="1" s="189">
      <c r="B296" s="290" t="n"/>
      <c r="C296" s="290" t="n"/>
      <c r="D296" s="291" t="n"/>
      <c r="E296" s="290" t="n"/>
      <c r="F296" s="290" t="n"/>
    </row>
    <row r="297" ht="13" customHeight="1" s="189">
      <c r="B297" s="290" t="n"/>
      <c r="C297" s="290" t="n"/>
      <c r="D297" s="291" t="n"/>
      <c r="E297" s="290" t="n"/>
      <c r="F297" s="290" t="n"/>
    </row>
    <row r="298" ht="13" customHeight="1" s="189">
      <c r="B298" s="290" t="n"/>
      <c r="C298" s="290" t="n"/>
      <c r="D298" s="291" t="n"/>
      <c r="E298" s="290" t="n"/>
      <c r="F298" s="290" t="n"/>
    </row>
    <row r="299" ht="13" customHeight="1" s="189">
      <c r="B299" s="290" t="n"/>
      <c r="C299" s="290" t="n"/>
      <c r="D299" s="291" t="n"/>
      <c r="E299" s="290" t="n"/>
      <c r="F299" s="290" t="n"/>
    </row>
    <row r="300" ht="13" customHeight="1" s="189">
      <c r="B300" s="290" t="n"/>
      <c r="C300" s="290" t="n"/>
      <c r="D300" s="291" t="n"/>
      <c r="E300" s="290" t="n"/>
      <c r="F300" s="290" t="n"/>
    </row>
    <row r="301" ht="13" customHeight="1" s="189">
      <c r="B301" s="290" t="n"/>
      <c r="C301" s="290" t="n"/>
      <c r="D301" s="291" t="n"/>
      <c r="E301" s="290" t="n"/>
      <c r="F301" s="290" t="n"/>
    </row>
    <row r="302" ht="13" customHeight="1" s="189">
      <c r="B302" s="290" t="n"/>
      <c r="C302" s="290" t="n"/>
      <c r="D302" s="291" t="n"/>
      <c r="E302" s="290" t="n"/>
      <c r="F302" s="290" t="n"/>
    </row>
    <row r="303" ht="13" customHeight="1" s="189">
      <c r="B303" s="290" t="n"/>
      <c r="C303" s="290" t="n"/>
      <c r="D303" s="291" t="n"/>
      <c r="E303" s="290" t="n"/>
      <c r="F303" s="290" t="n"/>
    </row>
    <row r="304" ht="13" customHeight="1" s="189">
      <c r="B304" s="290" t="n"/>
      <c r="C304" s="290" t="n"/>
      <c r="D304" s="291" t="n"/>
      <c r="E304" s="290" t="n"/>
      <c r="F304" s="290" t="n"/>
    </row>
    <row r="305" ht="13" customHeight="1" s="189">
      <c r="B305" s="290" t="n"/>
      <c r="C305" s="290" t="n"/>
      <c r="D305" s="291" t="n"/>
      <c r="E305" s="290" t="n"/>
      <c r="F305" s="290" t="n"/>
    </row>
    <row r="306" ht="13" customHeight="1" s="189">
      <c r="B306" s="290" t="n"/>
      <c r="C306" s="290" t="n"/>
      <c r="D306" s="291" t="n"/>
      <c r="E306" s="290" t="n"/>
      <c r="F306" s="290" t="n"/>
    </row>
    <row r="307" ht="13" customHeight="1" s="189">
      <c r="B307" s="290" t="n"/>
      <c r="C307" s="290" t="n"/>
      <c r="D307" s="291" t="n"/>
      <c r="E307" s="290" t="n"/>
      <c r="F307" s="290" t="n"/>
    </row>
    <row r="308" ht="13" customHeight="1" s="189">
      <c r="B308" s="290" t="n"/>
      <c r="C308" s="290" t="n"/>
      <c r="D308" s="291" t="n"/>
      <c r="E308" s="290" t="n"/>
      <c r="F308" s="290" t="n"/>
    </row>
    <row r="309" ht="13" customHeight="1" s="189">
      <c r="B309" s="290" t="n"/>
      <c r="C309" s="290" t="n"/>
      <c r="D309" s="291" t="n"/>
      <c r="E309" s="290" t="n"/>
      <c r="F309" s="290" t="n"/>
    </row>
    <row r="310" ht="13" customHeight="1" s="189">
      <c r="B310" s="290" t="n"/>
      <c r="C310" s="290" t="n"/>
      <c r="D310" s="291" t="n"/>
      <c r="E310" s="290" t="n"/>
      <c r="F310" s="290" t="n"/>
    </row>
    <row r="311" ht="13" customHeight="1" s="189">
      <c r="B311" s="290" t="n"/>
      <c r="C311" s="290" t="n"/>
      <c r="D311" s="291" t="n"/>
      <c r="E311" s="290" t="n"/>
      <c r="F311" s="290" t="n"/>
    </row>
    <row r="312" ht="13" customHeight="1" s="189">
      <c r="B312" s="290" t="n"/>
      <c r="C312" s="290" t="n"/>
      <c r="D312" s="291" t="n"/>
      <c r="E312" s="290" t="n"/>
      <c r="F312" s="290" t="n"/>
    </row>
    <row r="313" ht="13" customHeight="1" s="189">
      <c r="B313" s="290" t="n"/>
      <c r="C313" s="290" t="n"/>
      <c r="D313" s="291" t="n"/>
      <c r="E313" s="290" t="n"/>
      <c r="F313" s="290" t="n"/>
    </row>
    <row r="314" ht="13" customHeight="1" s="189">
      <c r="B314" s="290" t="n"/>
      <c r="C314" s="290" t="n"/>
      <c r="D314" s="291" t="n"/>
      <c r="E314" s="290" t="n"/>
      <c r="F314" s="290" t="n"/>
    </row>
    <row r="315" ht="13" customHeight="1" s="189">
      <c r="B315" s="290" t="n"/>
      <c r="C315" s="290" t="n"/>
      <c r="D315" s="291" t="n"/>
      <c r="E315" s="290" t="n"/>
      <c r="F315" s="290" t="n"/>
    </row>
    <row r="316" ht="13" customHeight="1" s="189">
      <c r="B316" s="290" t="n"/>
      <c r="C316" s="290" t="n"/>
      <c r="D316" s="291" t="n"/>
      <c r="E316" s="290" t="n"/>
      <c r="F316" s="290" t="n"/>
    </row>
    <row r="317" ht="13" customHeight="1" s="189">
      <c r="B317" s="290" t="n"/>
      <c r="C317" s="290" t="n"/>
      <c r="D317" s="291" t="n"/>
      <c r="E317" s="290" t="n"/>
      <c r="F317" s="290" t="n"/>
    </row>
    <row r="318" ht="13" customHeight="1" s="189">
      <c r="B318" s="290" t="n"/>
      <c r="C318" s="290" t="n"/>
      <c r="D318" s="291" t="n"/>
      <c r="E318" s="290" t="n"/>
      <c r="F318" s="290" t="n"/>
    </row>
    <row r="319" ht="13" customHeight="1" s="189">
      <c r="B319" s="290" t="n"/>
      <c r="C319" s="290" t="n"/>
      <c r="D319" s="291" t="n"/>
      <c r="E319" s="290" t="n"/>
      <c r="F319" s="290" t="n"/>
    </row>
    <row r="320" ht="13" customHeight="1" s="189">
      <c r="B320" s="290" t="n"/>
      <c r="C320" s="290" t="n"/>
      <c r="D320" s="291" t="n"/>
      <c r="E320" s="290" t="n"/>
      <c r="F320" s="290" t="n"/>
    </row>
    <row r="321" ht="13" customHeight="1" s="189">
      <c r="B321" s="290" t="n"/>
      <c r="C321" s="290" t="n"/>
      <c r="D321" s="291" t="n"/>
      <c r="E321" s="290" t="n"/>
      <c r="F321" s="290" t="n"/>
    </row>
    <row r="322" ht="13" customHeight="1" s="189">
      <c r="B322" s="290" t="n"/>
      <c r="C322" s="290" t="n"/>
      <c r="D322" s="291" t="n"/>
      <c r="E322" s="290" t="n"/>
      <c r="F322" s="290" t="n"/>
    </row>
    <row r="323" ht="13" customHeight="1" s="189">
      <c r="B323" s="290" t="n"/>
      <c r="C323" s="290" t="n"/>
      <c r="D323" s="291" t="n"/>
      <c r="E323" s="290" t="n"/>
      <c r="F323" s="290" t="n"/>
    </row>
    <row r="324" ht="13" customHeight="1" s="189">
      <c r="B324" s="290" t="n"/>
      <c r="C324" s="290" t="n"/>
      <c r="D324" s="291" t="n"/>
      <c r="E324" s="290" t="n"/>
      <c r="F324" s="290" t="n"/>
    </row>
    <row r="325" ht="13" customHeight="1" s="189">
      <c r="B325" s="290" t="n"/>
      <c r="C325" s="290" t="n"/>
      <c r="D325" s="291" t="n"/>
      <c r="E325" s="290" t="n"/>
      <c r="F325" s="290" t="n"/>
    </row>
    <row r="326" ht="13" customHeight="1" s="189">
      <c r="B326" s="290" t="n"/>
      <c r="C326" s="290" t="n"/>
      <c r="D326" s="291" t="n"/>
      <c r="E326" s="290" t="n"/>
      <c r="F326" s="290" t="n"/>
    </row>
    <row r="327" ht="13" customHeight="1" s="189">
      <c r="B327" s="290" t="n"/>
      <c r="C327" s="290" t="n"/>
      <c r="D327" s="291" t="n"/>
      <c r="E327" s="290" t="n"/>
      <c r="F327" s="290" t="n"/>
    </row>
    <row r="328" ht="13" customHeight="1" s="189">
      <c r="B328" s="290" t="n"/>
      <c r="C328" s="290" t="n"/>
      <c r="D328" s="291" t="n"/>
      <c r="E328" s="290" t="n"/>
      <c r="F328" s="290" t="n"/>
    </row>
    <row r="329" ht="13" customHeight="1" s="189">
      <c r="B329" s="290" t="n"/>
      <c r="C329" s="290" t="n"/>
      <c r="D329" s="291" t="n"/>
      <c r="E329" s="290" t="n"/>
      <c r="F329" s="290" t="n"/>
    </row>
    <row r="330" ht="13" customHeight="1" s="189">
      <c r="B330" s="290" t="n"/>
      <c r="C330" s="290" t="n"/>
      <c r="D330" s="291" t="n"/>
      <c r="E330" s="290" t="n"/>
      <c r="F330" s="290" t="n"/>
    </row>
    <row r="331" ht="13" customHeight="1" s="189">
      <c r="B331" s="290" t="n"/>
      <c r="C331" s="290" t="n"/>
      <c r="D331" s="291" t="n"/>
      <c r="E331" s="290" t="n"/>
      <c r="F331" s="290" t="n"/>
    </row>
    <row r="332" ht="13" customHeight="1" s="189">
      <c r="B332" s="290" t="n"/>
      <c r="C332" s="290" t="n"/>
      <c r="D332" s="291" t="n"/>
      <c r="E332" s="290" t="n"/>
      <c r="F332" s="290" t="n"/>
    </row>
    <row r="333" ht="13" customHeight="1" s="189">
      <c r="B333" s="290" t="n"/>
      <c r="C333" s="290" t="n"/>
      <c r="D333" s="291" t="n"/>
      <c r="E333" s="290" t="n"/>
      <c r="F333" s="290" t="n"/>
    </row>
    <row r="334" ht="13" customHeight="1" s="189">
      <c r="B334" s="290" t="n"/>
      <c r="C334" s="290" t="n"/>
      <c r="D334" s="291" t="n"/>
      <c r="E334" s="290" t="n"/>
      <c r="F334" s="290" t="n"/>
    </row>
    <row r="335" ht="13" customHeight="1" s="189">
      <c r="B335" s="290" t="n"/>
      <c r="C335" s="290" t="n"/>
      <c r="D335" s="291" t="n"/>
      <c r="E335" s="290" t="n"/>
      <c r="F335" s="290" t="n"/>
    </row>
    <row r="336" ht="13" customHeight="1" s="189">
      <c r="B336" s="290" t="n"/>
      <c r="C336" s="290" t="n"/>
      <c r="D336" s="291" t="n"/>
      <c r="E336" s="290" t="n"/>
      <c r="F336" s="290" t="n"/>
    </row>
    <row r="337" ht="13" customHeight="1" s="189">
      <c r="B337" s="290" t="n"/>
      <c r="C337" s="290" t="n"/>
      <c r="D337" s="291" t="n"/>
      <c r="E337" s="290" t="n"/>
      <c r="F337" s="290" t="n"/>
    </row>
    <row r="338" ht="13" customHeight="1" s="189">
      <c r="B338" s="290" t="n"/>
      <c r="C338" s="290" t="n"/>
      <c r="D338" s="291" t="n"/>
      <c r="E338" s="290" t="n"/>
      <c r="F338" s="290" t="n"/>
    </row>
    <row r="339" ht="13" customHeight="1" s="189">
      <c r="B339" s="290" t="n"/>
      <c r="C339" s="290" t="n"/>
      <c r="D339" s="291" t="n"/>
      <c r="E339" s="290" t="n"/>
      <c r="F339" s="290" t="n"/>
    </row>
    <row r="340" ht="13" customHeight="1" s="189">
      <c r="B340" s="290" t="n"/>
      <c r="C340" s="290" t="n"/>
      <c r="D340" s="291" t="n"/>
      <c r="E340" s="290" t="n"/>
      <c r="F340" s="290" t="n"/>
    </row>
    <row r="341" ht="13" customHeight="1" s="189">
      <c r="B341" s="290" t="n"/>
      <c r="C341" s="290" t="n"/>
      <c r="D341" s="291" t="n"/>
      <c r="E341" s="290" t="n"/>
      <c r="F341" s="290" t="n"/>
    </row>
    <row r="342" ht="13" customHeight="1" s="189">
      <c r="B342" s="290" t="n"/>
      <c r="C342" s="290" t="n"/>
      <c r="D342" s="291" t="n"/>
      <c r="E342" s="290" t="n"/>
      <c r="F342" s="290" t="n"/>
    </row>
    <row r="343" ht="13" customHeight="1" s="189">
      <c r="B343" s="290" t="n"/>
      <c r="C343" s="290" t="n"/>
      <c r="D343" s="291" t="n"/>
      <c r="E343" s="290" t="n"/>
      <c r="F343" s="290" t="n"/>
    </row>
    <row r="344" ht="13" customHeight="1" s="189">
      <c r="B344" s="290" t="n"/>
      <c r="C344" s="290" t="n"/>
      <c r="D344" s="291" t="n"/>
      <c r="E344" s="290" t="n"/>
      <c r="F344" s="290" t="n"/>
    </row>
    <row r="345" ht="13" customHeight="1" s="189">
      <c r="B345" s="290" t="n"/>
      <c r="C345" s="290" t="n"/>
      <c r="D345" s="291" t="n"/>
      <c r="E345" s="290" t="n"/>
      <c r="F345" s="290" t="n"/>
    </row>
    <row r="346" ht="13" customHeight="1" s="189">
      <c r="B346" s="290" t="n"/>
      <c r="C346" s="290" t="n"/>
      <c r="D346" s="291" t="n"/>
      <c r="E346" s="290" t="n"/>
      <c r="F346" s="290" t="n"/>
    </row>
    <row r="347" ht="13" customHeight="1" s="189">
      <c r="B347" s="290" t="n"/>
      <c r="C347" s="290" t="n"/>
      <c r="D347" s="291" t="n"/>
      <c r="E347" s="290" t="n"/>
      <c r="F347" s="290" t="n"/>
    </row>
    <row r="348" ht="13" customHeight="1" s="189">
      <c r="B348" s="290" t="n"/>
      <c r="C348" s="290" t="n"/>
      <c r="D348" s="291" t="n"/>
      <c r="E348" s="290" t="n"/>
      <c r="F348" s="290" t="n"/>
    </row>
    <row r="349" ht="13" customHeight="1" s="189">
      <c r="B349" s="290" t="n"/>
      <c r="C349" s="290" t="n"/>
      <c r="D349" s="291" t="n"/>
      <c r="E349" s="290" t="n"/>
      <c r="F349" s="290" t="n"/>
    </row>
    <row r="350" ht="13" customHeight="1" s="189">
      <c r="B350" s="290" t="n"/>
      <c r="C350" s="290" t="n"/>
      <c r="D350" s="291" t="n"/>
      <c r="E350" s="290" t="n"/>
      <c r="F350" s="290" t="n"/>
    </row>
    <row r="351" ht="13" customHeight="1" s="189">
      <c r="B351" s="290" t="n"/>
      <c r="C351" s="290" t="n"/>
      <c r="D351" s="291" t="n"/>
      <c r="E351" s="290" t="n"/>
      <c r="F351" s="290" t="n"/>
    </row>
    <row r="352" ht="13" customHeight="1" s="189">
      <c r="B352" s="290" t="n"/>
      <c r="C352" s="290" t="n"/>
      <c r="D352" s="291" t="n"/>
      <c r="E352" s="290" t="n"/>
      <c r="F352" s="290" t="n"/>
    </row>
    <row r="353" ht="13" customHeight="1" s="189">
      <c r="B353" s="290" t="n"/>
      <c r="C353" s="290" t="n"/>
      <c r="D353" s="291" t="n"/>
      <c r="E353" s="290" t="n"/>
      <c r="F353" s="290" t="n"/>
    </row>
    <row r="354" ht="13" customHeight="1" s="189">
      <c r="B354" s="290" t="n"/>
      <c r="C354" s="290" t="n"/>
      <c r="D354" s="291" t="n"/>
      <c r="E354" s="290" t="n"/>
      <c r="F354" s="290" t="n"/>
    </row>
    <row r="355" ht="13" customHeight="1" s="189">
      <c r="B355" s="290" t="n"/>
      <c r="C355" s="290" t="n"/>
      <c r="D355" s="291" t="n"/>
      <c r="E355" s="290" t="n"/>
      <c r="F355" s="290" t="n"/>
    </row>
    <row r="356" ht="13" customHeight="1" s="189">
      <c r="B356" s="290" t="n"/>
      <c r="C356" s="290" t="n"/>
      <c r="D356" s="291" t="n"/>
      <c r="E356" s="290" t="n"/>
      <c r="F356" s="290" t="n"/>
    </row>
    <row r="357" ht="13" customHeight="1" s="189">
      <c r="B357" s="290" t="n"/>
      <c r="C357" s="290" t="n"/>
      <c r="D357" s="291" t="n"/>
      <c r="E357" s="290" t="n"/>
      <c r="F357" s="290" t="n"/>
    </row>
    <row r="358" ht="13" customHeight="1" s="189">
      <c r="B358" s="290" t="n"/>
      <c r="C358" s="290" t="n"/>
      <c r="D358" s="291" t="n"/>
      <c r="E358" s="290" t="n"/>
      <c r="F358" s="290" t="n"/>
    </row>
    <row r="359" ht="13" customHeight="1" s="189">
      <c r="B359" s="290" t="n"/>
      <c r="C359" s="290" t="n"/>
      <c r="D359" s="291" t="n"/>
      <c r="E359" s="290" t="n"/>
      <c r="F359" s="290" t="n"/>
    </row>
    <row r="360" ht="13" customHeight="1" s="189">
      <c r="B360" s="290" t="n"/>
      <c r="C360" s="290" t="n"/>
      <c r="D360" s="291" t="n"/>
      <c r="E360" s="290" t="n"/>
      <c r="F360" s="290" t="n"/>
    </row>
    <row r="361" ht="13" customHeight="1" s="189">
      <c r="B361" s="290" t="n"/>
      <c r="C361" s="290" t="n"/>
      <c r="D361" s="291" t="n"/>
      <c r="E361" s="290" t="n"/>
      <c r="F361" s="290" t="n"/>
    </row>
    <row r="362" ht="13" customHeight="1" s="189">
      <c r="B362" s="290" t="n"/>
      <c r="C362" s="290" t="n"/>
      <c r="D362" s="291" t="n"/>
      <c r="E362" s="290" t="n"/>
      <c r="F362" s="290" t="n"/>
    </row>
    <row r="363" ht="13" customHeight="1" s="189">
      <c r="B363" s="290" t="n"/>
      <c r="C363" s="290" t="n"/>
      <c r="D363" s="291" t="n"/>
      <c r="E363" s="290" t="n"/>
      <c r="F363" s="290" t="n"/>
    </row>
    <row r="364" ht="13" customHeight="1" s="189">
      <c r="B364" s="290" t="n"/>
      <c r="C364" s="290" t="n"/>
      <c r="D364" s="291" t="n"/>
      <c r="E364" s="290" t="n"/>
      <c r="F364" s="290" t="n"/>
    </row>
    <row r="365" ht="13" customHeight="1" s="189">
      <c r="B365" s="290" t="n"/>
      <c r="C365" s="290" t="n"/>
      <c r="D365" s="291" t="n"/>
      <c r="E365" s="290" t="n"/>
      <c r="F365" s="290" t="n"/>
    </row>
    <row r="366" ht="13" customHeight="1" s="189">
      <c r="B366" s="290" t="n"/>
      <c r="C366" s="290" t="n"/>
      <c r="D366" s="291" t="n"/>
      <c r="E366" s="290" t="n"/>
      <c r="F366" s="290" t="n"/>
    </row>
    <row r="367" ht="13" customHeight="1" s="189">
      <c r="B367" s="290" t="n"/>
      <c r="C367" s="290" t="n"/>
      <c r="D367" s="291" t="n"/>
      <c r="E367" s="290" t="n"/>
      <c r="F367" s="290" t="n"/>
    </row>
    <row r="368" ht="13" customHeight="1" s="189">
      <c r="B368" s="290" t="n"/>
      <c r="C368" s="290" t="n"/>
      <c r="D368" s="291" t="n"/>
      <c r="E368" s="290" t="n"/>
      <c r="F368" s="290" t="n"/>
    </row>
    <row r="369" ht="13" customHeight="1" s="189">
      <c r="B369" s="290" t="n"/>
      <c r="C369" s="290" t="n"/>
      <c r="D369" s="291" t="n"/>
      <c r="E369" s="290" t="n"/>
      <c r="F369" s="290" t="n"/>
    </row>
    <row r="370" ht="13" customHeight="1" s="189">
      <c r="B370" s="290" t="n"/>
      <c r="C370" s="290" t="n"/>
      <c r="D370" s="291" t="n"/>
      <c r="E370" s="290" t="n"/>
      <c r="F370" s="290" t="n"/>
    </row>
    <row r="371" ht="13" customHeight="1" s="189">
      <c r="B371" s="290" t="n"/>
      <c r="C371" s="290" t="n"/>
      <c r="D371" s="291" t="n"/>
      <c r="E371" s="290" t="n"/>
      <c r="F371" s="290" t="n"/>
    </row>
    <row r="372" ht="13" customHeight="1" s="189">
      <c r="B372" s="290" t="n"/>
      <c r="C372" s="290" t="n"/>
      <c r="D372" s="291" t="n"/>
      <c r="E372" s="290" t="n"/>
      <c r="F372" s="290" t="n"/>
    </row>
    <row r="373" ht="13" customHeight="1" s="189">
      <c r="B373" s="290" t="n"/>
      <c r="C373" s="290" t="n"/>
      <c r="D373" s="291" t="n"/>
      <c r="E373" s="290" t="n"/>
      <c r="F373" s="290" t="n"/>
    </row>
    <row r="374" ht="13" customHeight="1" s="189">
      <c r="B374" s="290" t="n"/>
      <c r="C374" s="290" t="n"/>
      <c r="D374" s="291" t="n"/>
      <c r="E374" s="290" t="n"/>
      <c r="F374" s="290" t="n"/>
    </row>
    <row r="375" ht="13" customHeight="1" s="189">
      <c r="B375" s="290" t="n"/>
      <c r="C375" s="290" t="n"/>
      <c r="D375" s="291" t="n"/>
      <c r="E375" s="290" t="n"/>
      <c r="F375" s="290" t="n"/>
    </row>
    <row r="376" ht="13" customHeight="1" s="189">
      <c r="B376" s="290" t="n"/>
      <c r="C376" s="290" t="n"/>
      <c r="D376" s="291" t="n"/>
      <c r="E376" s="290" t="n"/>
      <c r="F376" s="290" t="n"/>
    </row>
    <row r="377" ht="13" customHeight="1" s="189">
      <c r="B377" s="290" t="n"/>
      <c r="C377" s="290" t="n"/>
      <c r="D377" s="291" t="n"/>
      <c r="E377" s="290" t="n"/>
      <c r="F377" s="290" t="n"/>
    </row>
    <row r="378" ht="13" customHeight="1" s="189">
      <c r="B378" s="290" t="n"/>
      <c r="C378" s="290" t="n"/>
      <c r="D378" s="291" t="n"/>
      <c r="E378" s="290" t="n"/>
      <c r="F378" s="290" t="n"/>
    </row>
    <row r="379" ht="13" customHeight="1" s="189">
      <c r="B379" s="290" t="n"/>
      <c r="C379" s="290" t="n"/>
      <c r="D379" s="291" t="n"/>
      <c r="E379" s="290" t="n"/>
      <c r="F379" s="290" t="n"/>
    </row>
    <row r="380" ht="13" customHeight="1" s="189">
      <c r="B380" s="290" t="n"/>
      <c r="C380" s="290" t="n"/>
      <c r="D380" s="291" t="n"/>
      <c r="E380" s="290" t="n"/>
      <c r="F380" s="290" t="n"/>
    </row>
    <row r="381" ht="13" customHeight="1" s="189">
      <c r="B381" s="290" t="n"/>
      <c r="C381" s="290" t="n"/>
      <c r="D381" s="291" t="n"/>
      <c r="E381" s="290" t="n"/>
      <c r="F381" s="290" t="n"/>
    </row>
    <row r="382" ht="13" customHeight="1" s="189">
      <c r="B382" s="290" t="n"/>
      <c r="C382" s="290" t="n"/>
      <c r="D382" s="291" t="n"/>
      <c r="E382" s="290" t="n"/>
      <c r="F382" s="290" t="n"/>
    </row>
    <row r="383" ht="13" customHeight="1" s="189">
      <c r="B383" s="290" t="n"/>
      <c r="C383" s="290" t="n"/>
      <c r="D383" s="291" t="n"/>
      <c r="E383" s="290" t="n"/>
      <c r="F383" s="290" t="n"/>
    </row>
    <row r="384" ht="13" customHeight="1" s="189">
      <c r="B384" s="290" t="n"/>
      <c r="C384" s="290" t="n"/>
      <c r="D384" s="291" t="n"/>
      <c r="E384" s="290" t="n"/>
      <c r="F384" s="290" t="n"/>
    </row>
    <row r="385" ht="13" customHeight="1" s="189">
      <c r="B385" s="290" t="n"/>
      <c r="C385" s="290" t="n"/>
      <c r="D385" s="291" t="n"/>
      <c r="E385" s="290" t="n"/>
      <c r="F385" s="290" t="n"/>
    </row>
    <row r="386" ht="13" customHeight="1" s="189">
      <c r="B386" s="290" t="n"/>
      <c r="C386" s="290" t="n"/>
      <c r="D386" s="291" t="n"/>
      <c r="E386" s="290" t="n"/>
      <c r="F386" s="290" t="n"/>
    </row>
    <row r="387" ht="13" customHeight="1" s="189">
      <c r="B387" s="290" t="n"/>
      <c r="C387" s="290" t="n"/>
      <c r="D387" s="291" t="n"/>
      <c r="E387" s="290" t="n"/>
      <c r="F387" s="290" t="n"/>
    </row>
    <row r="388" ht="13" customHeight="1" s="189">
      <c r="B388" s="290" t="n"/>
      <c r="C388" s="290" t="n"/>
      <c r="D388" s="291" t="n"/>
      <c r="E388" s="290" t="n"/>
      <c r="F388" s="290" t="n"/>
    </row>
    <row r="389" ht="13" customHeight="1" s="189">
      <c r="B389" s="290" t="n"/>
      <c r="C389" s="290" t="n"/>
      <c r="D389" s="291" t="n"/>
      <c r="E389" s="290" t="n"/>
      <c r="F389" s="290" t="n"/>
    </row>
    <row r="390" ht="13" customHeight="1" s="189">
      <c r="B390" s="290" t="n"/>
      <c r="C390" s="290" t="n"/>
      <c r="D390" s="291" t="n"/>
      <c r="E390" s="290" t="n"/>
      <c r="F390" s="290" t="n"/>
    </row>
    <row r="391" ht="13" customHeight="1" s="189">
      <c r="B391" s="290" t="n"/>
      <c r="C391" s="290" t="n"/>
      <c r="D391" s="291" t="n"/>
      <c r="E391" s="290" t="n"/>
      <c r="F391" s="290" t="n"/>
    </row>
    <row r="392" ht="13" customHeight="1" s="189">
      <c r="B392" s="290" t="n"/>
      <c r="C392" s="290" t="n"/>
      <c r="D392" s="291" t="n"/>
      <c r="E392" s="290" t="n"/>
      <c r="F392" s="290" t="n"/>
    </row>
    <row r="393" ht="13" customHeight="1" s="189">
      <c r="B393" s="290" t="n"/>
      <c r="C393" s="290" t="n"/>
      <c r="D393" s="291" t="n"/>
      <c r="E393" s="290" t="n"/>
      <c r="F393" s="290" t="n"/>
    </row>
    <row r="394" ht="13" customHeight="1" s="189">
      <c r="B394" s="290" t="n"/>
      <c r="C394" s="290" t="n"/>
      <c r="D394" s="291" t="n"/>
      <c r="E394" s="290" t="n"/>
      <c r="F394" s="290" t="n"/>
    </row>
    <row r="395" ht="13" customHeight="1" s="189">
      <c r="B395" s="290" t="n"/>
      <c r="C395" s="290" t="n"/>
      <c r="D395" s="291" t="n"/>
      <c r="E395" s="290" t="n"/>
      <c r="F395" s="290" t="n"/>
    </row>
    <row r="396" ht="13" customHeight="1" s="189">
      <c r="B396" s="290" t="n"/>
      <c r="C396" s="290" t="n"/>
      <c r="D396" s="291" t="n"/>
      <c r="E396" s="290" t="n"/>
      <c r="F396" s="290" t="n"/>
    </row>
    <row r="397" ht="13" customHeight="1" s="189">
      <c r="B397" s="290" t="n"/>
      <c r="C397" s="290" t="n"/>
      <c r="D397" s="291" t="n"/>
      <c r="E397" s="290" t="n"/>
      <c r="F397" s="290" t="n"/>
    </row>
    <row r="398" ht="13" customHeight="1" s="189">
      <c r="B398" s="290" t="n"/>
      <c r="C398" s="290" t="n"/>
      <c r="D398" s="291" t="n"/>
      <c r="E398" s="290" t="n"/>
      <c r="F398" s="290" t="n"/>
    </row>
    <row r="399" ht="13" customHeight="1" s="189">
      <c r="B399" s="290" t="n"/>
      <c r="C399" s="290" t="n"/>
      <c r="D399" s="291" t="n"/>
      <c r="E399" s="290" t="n"/>
      <c r="F399" s="290" t="n"/>
    </row>
    <row r="400" ht="13" customHeight="1" s="189">
      <c r="B400" s="290" t="n"/>
      <c r="C400" s="290" t="n"/>
      <c r="D400" s="291" t="n"/>
      <c r="E400" s="290" t="n"/>
      <c r="F400" s="290" t="n"/>
    </row>
    <row r="401" ht="13" customHeight="1" s="189">
      <c r="B401" s="290" t="n"/>
      <c r="C401" s="290" t="n"/>
      <c r="D401" s="291" t="n"/>
      <c r="E401" s="290" t="n"/>
      <c r="F401" s="290" t="n"/>
    </row>
    <row r="402" ht="13" customHeight="1" s="189">
      <c r="B402" s="290" t="n"/>
      <c r="C402" s="290" t="n"/>
      <c r="D402" s="291" t="n"/>
      <c r="E402" s="290" t="n"/>
      <c r="F402" s="290" t="n"/>
    </row>
    <row r="403" ht="13" customHeight="1" s="189">
      <c r="B403" s="290" t="n"/>
      <c r="C403" s="290" t="n"/>
      <c r="D403" s="291" t="n"/>
      <c r="E403" s="290" t="n"/>
      <c r="F403" s="290" t="n"/>
    </row>
    <row r="404" ht="13" customHeight="1" s="189">
      <c r="B404" s="290" t="n"/>
      <c r="C404" s="290" t="n"/>
      <c r="D404" s="291" t="n"/>
      <c r="E404" s="290" t="n"/>
      <c r="F404" s="290" t="n"/>
    </row>
    <row r="405" ht="13" customHeight="1" s="189">
      <c r="B405" s="290" t="n"/>
      <c r="C405" s="290" t="n"/>
      <c r="D405" s="291" t="n"/>
      <c r="E405" s="290" t="n"/>
      <c r="F405" s="290" t="n"/>
    </row>
    <row r="406" ht="13" customHeight="1" s="189">
      <c r="B406" s="290" t="n"/>
      <c r="C406" s="290" t="n"/>
      <c r="D406" s="291" t="n"/>
      <c r="E406" s="290" t="n"/>
      <c r="F406" s="290" t="n"/>
    </row>
    <row r="407" ht="13" customHeight="1" s="189">
      <c r="B407" s="290" t="n"/>
      <c r="C407" s="290" t="n"/>
      <c r="D407" s="291" t="n"/>
      <c r="E407" s="290" t="n"/>
      <c r="F407" s="290" t="n"/>
    </row>
    <row r="408" ht="13" customHeight="1" s="189">
      <c r="B408" s="290" t="n"/>
      <c r="C408" s="290" t="n"/>
      <c r="D408" s="291" t="n"/>
      <c r="E408" s="290" t="n"/>
      <c r="F408" s="290" t="n"/>
    </row>
    <row r="409" ht="13" customHeight="1" s="189">
      <c r="B409" s="290" t="n"/>
      <c r="C409" s="290" t="n"/>
      <c r="D409" s="291" t="n"/>
      <c r="E409" s="290" t="n"/>
      <c r="F409" s="290" t="n"/>
    </row>
    <row r="410" ht="13" customHeight="1" s="189">
      <c r="B410" s="290" t="n"/>
      <c r="C410" s="290" t="n"/>
      <c r="D410" s="291" t="n"/>
      <c r="E410" s="290" t="n"/>
      <c r="F410" s="290" t="n"/>
    </row>
    <row r="411" ht="13" customHeight="1" s="189">
      <c r="B411" s="290" t="n"/>
      <c r="C411" s="290" t="n"/>
      <c r="D411" s="291" t="n"/>
      <c r="E411" s="290" t="n"/>
      <c r="F411" s="290" t="n"/>
    </row>
    <row r="412" ht="13" customHeight="1" s="189">
      <c r="B412" s="290" t="n"/>
      <c r="C412" s="290" t="n"/>
      <c r="D412" s="291" t="n"/>
      <c r="E412" s="290" t="n"/>
      <c r="F412" s="290" t="n"/>
    </row>
    <row r="413" ht="13" customHeight="1" s="189">
      <c r="B413" s="290" t="n"/>
      <c r="C413" s="290" t="n"/>
      <c r="D413" s="291" t="n"/>
      <c r="E413" s="290" t="n"/>
      <c r="F413" s="290" t="n"/>
    </row>
    <row r="414" ht="13" customHeight="1" s="189">
      <c r="B414" s="290" t="n"/>
      <c r="C414" s="290" t="n"/>
      <c r="D414" s="291" t="n"/>
      <c r="E414" s="290" t="n"/>
      <c r="F414" s="290" t="n"/>
    </row>
    <row r="415" ht="13" customHeight="1" s="189">
      <c r="B415" s="290" t="n"/>
      <c r="C415" s="290" t="n"/>
      <c r="D415" s="291" t="n"/>
      <c r="E415" s="290" t="n"/>
      <c r="F415" s="290" t="n"/>
    </row>
    <row r="416" ht="13" customHeight="1" s="189">
      <c r="B416" s="290" t="n"/>
      <c r="C416" s="290" t="n"/>
      <c r="D416" s="291" t="n"/>
      <c r="E416" s="290" t="n"/>
      <c r="F416" s="290" t="n"/>
    </row>
    <row r="417" ht="13" customHeight="1" s="189">
      <c r="B417" s="290" t="n"/>
      <c r="C417" s="290" t="n"/>
      <c r="D417" s="291" t="n"/>
      <c r="E417" s="290" t="n"/>
      <c r="F417" s="290" t="n"/>
    </row>
    <row r="418" ht="13" customHeight="1" s="189">
      <c r="B418" s="290" t="n"/>
      <c r="C418" s="290" t="n"/>
      <c r="D418" s="291" t="n"/>
      <c r="E418" s="290" t="n"/>
      <c r="F418" s="290" t="n"/>
    </row>
    <row r="419" ht="13" customHeight="1" s="189">
      <c r="B419" s="290" t="n"/>
      <c r="C419" s="290" t="n"/>
      <c r="D419" s="291" t="n"/>
      <c r="E419" s="290" t="n"/>
      <c r="F419" s="290" t="n"/>
    </row>
    <row r="420" ht="13" customHeight="1" s="189">
      <c r="B420" s="290" t="n"/>
      <c r="C420" s="290" t="n"/>
      <c r="D420" s="291" t="n"/>
      <c r="E420" s="290" t="n"/>
      <c r="F420" s="290" t="n"/>
    </row>
    <row r="421" ht="13" customHeight="1" s="189">
      <c r="B421" s="290" t="n"/>
      <c r="C421" s="290" t="n"/>
      <c r="D421" s="291" t="n"/>
      <c r="E421" s="290" t="n"/>
      <c r="F421" s="290" t="n"/>
    </row>
    <row r="422" ht="13" customHeight="1" s="189">
      <c r="B422" s="290" t="n"/>
      <c r="C422" s="290" t="n"/>
      <c r="D422" s="291" t="n"/>
      <c r="E422" s="290" t="n"/>
      <c r="F422" s="290" t="n"/>
    </row>
    <row r="423" ht="13" customHeight="1" s="189">
      <c r="B423" s="290" t="n"/>
      <c r="C423" s="290" t="n"/>
      <c r="D423" s="291" t="n"/>
      <c r="E423" s="290" t="n"/>
      <c r="F423" s="290" t="n"/>
    </row>
    <row r="424" ht="13" customHeight="1" s="189">
      <c r="B424" s="290" t="n"/>
      <c r="C424" s="290" t="n"/>
      <c r="D424" s="291" t="n"/>
      <c r="E424" s="290" t="n"/>
      <c r="F424" s="290" t="n"/>
    </row>
    <row r="425" ht="13" customHeight="1" s="189">
      <c r="B425" s="290" t="n"/>
      <c r="C425" s="290" t="n"/>
      <c r="D425" s="291" t="n"/>
      <c r="E425" s="290" t="n"/>
      <c r="F425" s="290" t="n"/>
    </row>
    <row r="426" ht="13" customHeight="1" s="189">
      <c r="B426" s="290" t="n"/>
      <c r="C426" s="290" t="n"/>
      <c r="D426" s="291" t="n"/>
      <c r="E426" s="290" t="n"/>
      <c r="F426" s="290" t="n"/>
    </row>
    <row r="427" ht="13" customHeight="1" s="189">
      <c r="B427" s="290" t="n"/>
      <c r="C427" s="290" t="n"/>
      <c r="D427" s="291" t="n"/>
      <c r="E427" s="290" t="n"/>
      <c r="F427" s="290" t="n"/>
    </row>
    <row r="428" ht="13" customHeight="1" s="189">
      <c r="B428" s="290" t="n"/>
      <c r="C428" s="290" t="n"/>
      <c r="D428" s="291" t="n"/>
      <c r="E428" s="290" t="n"/>
      <c r="F428" s="290" t="n"/>
    </row>
    <row r="429" ht="13" customHeight="1" s="189">
      <c r="B429" s="290" t="n"/>
      <c r="C429" s="290" t="n"/>
      <c r="D429" s="291" t="n"/>
      <c r="E429" s="290" t="n"/>
      <c r="F429" s="290" t="n"/>
    </row>
    <row r="430" ht="13" customHeight="1" s="189">
      <c r="B430" s="290" t="n"/>
      <c r="C430" s="290" t="n"/>
      <c r="D430" s="291" t="n"/>
      <c r="E430" s="290" t="n"/>
      <c r="F430" s="290" t="n"/>
    </row>
    <row r="431" ht="13" customHeight="1" s="189">
      <c r="B431" s="290" t="n"/>
      <c r="C431" s="290" t="n"/>
      <c r="D431" s="291" t="n"/>
      <c r="E431" s="290" t="n"/>
      <c r="F431" s="290" t="n"/>
    </row>
    <row r="432" ht="13" customHeight="1" s="189">
      <c r="B432" s="290" t="n"/>
      <c r="C432" s="290" t="n"/>
      <c r="D432" s="291" t="n"/>
      <c r="E432" s="290" t="n"/>
      <c r="F432" s="290" t="n"/>
    </row>
    <row r="433" ht="13" customHeight="1" s="189">
      <c r="B433" s="290" t="n"/>
      <c r="C433" s="290" t="n"/>
      <c r="D433" s="291" t="n"/>
      <c r="E433" s="290" t="n"/>
      <c r="F433" s="290" t="n"/>
    </row>
    <row r="434" ht="13" customHeight="1" s="189">
      <c r="B434" s="290" t="n"/>
      <c r="C434" s="290" t="n"/>
      <c r="D434" s="291" t="n"/>
      <c r="E434" s="290" t="n"/>
      <c r="F434" s="290" t="n"/>
    </row>
    <row r="435" ht="13" customHeight="1" s="189">
      <c r="B435" s="290" t="n"/>
      <c r="C435" s="290" t="n"/>
      <c r="D435" s="291" t="n"/>
      <c r="E435" s="290" t="n"/>
      <c r="F435" s="290" t="n"/>
    </row>
    <row r="436" ht="13" customHeight="1" s="189">
      <c r="B436" s="290" t="n"/>
      <c r="C436" s="290" t="n"/>
      <c r="D436" s="291" t="n"/>
      <c r="E436" s="290" t="n"/>
      <c r="F436" s="290" t="n"/>
    </row>
    <row r="437" ht="13" customHeight="1" s="189">
      <c r="B437" s="290" t="n"/>
      <c r="C437" s="290" t="n"/>
      <c r="D437" s="291" t="n"/>
      <c r="E437" s="290" t="n"/>
      <c r="F437" s="290" t="n"/>
    </row>
    <row r="438" ht="13" customHeight="1" s="189">
      <c r="B438" s="290" t="n"/>
      <c r="C438" s="290" t="n"/>
      <c r="D438" s="291" t="n"/>
      <c r="E438" s="290" t="n"/>
      <c r="F438" s="290" t="n"/>
    </row>
    <row r="439" ht="13" customHeight="1" s="189">
      <c r="B439" s="290" t="n"/>
      <c r="C439" s="290" t="n"/>
      <c r="D439" s="291" t="n"/>
      <c r="E439" s="290" t="n"/>
      <c r="F439" s="290" t="n"/>
    </row>
    <row r="440" ht="13" customHeight="1" s="189">
      <c r="B440" s="290" t="n"/>
      <c r="C440" s="290" t="n"/>
      <c r="D440" s="291" t="n"/>
      <c r="E440" s="290" t="n"/>
      <c r="F440" s="290" t="n"/>
    </row>
    <row r="441" ht="13" customHeight="1" s="189">
      <c r="B441" s="290" t="n"/>
      <c r="C441" s="290" t="n"/>
      <c r="D441" s="291" t="n"/>
      <c r="E441" s="290" t="n"/>
      <c r="F441" s="290" t="n"/>
    </row>
    <row r="442" ht="13" customHeight="1" s="189">
      <c r="B442" s="290" t="n"/>
      <c r="C442" s="290" t="n"/>
      <c r="D442" s="291" t="n"/>
      <c r="E442" s="290" t="n"/>
      <c r="F442" s="290" t="n"/>
    </row>
    <row r="443" ht="13" customHeight="1" s="189">
      <c r="B443" s="290" t="n"/>
      <c r="C443" s="290" t="n"/>
      <c r="D443" s="291" t="n"/>
      <c r="E443" s="290" t="n"/>
      <c r="F443" s="290" t="n"/>
    </row>
    <row r="444" ht="13" customHeight="1" s="189">
      <c r="B444" s="290" t="n"/>
      <c r="C444" s="290" t="n"/>
      <c r="D444" s="291" t="n"/>
      <c r="E444" s="290" t="n"/>
      <c r="F444" s="290" t="n"/>
    </row>
    <row r="445" ht="13" customHeight="1" s="189">
      <c r="B445" s="290" t="n"/>
      <c r="C445" s="290" t="n"/>
      <c r="D445" s="291" t="n"/>
      <c r="E445" s="290" t="n"/>
      <c r="F445" s="290" t="n"/>
    </row>
    <row r="446" ht="13" customHeight="1" s="189">
      <c r="B446" s="290" t="n"/>
      <c r="C446" s="290" t="n"/>
      <c r="D446" s="291" t="n"/>
      <c r="E446" s="290" t="n"/>
      <c r="F446" s="290" t="n"/>
    </row>
    <row r="447" ht="13" customHeight="1" s="189">
      <c r="B447" s="290" t="n"/>
      <c r="C447" s="290" t="n"/>
      <c r="D447" s="291" t="n"/>
      <c r="E447" s="290" t="n"/>
      <c r="F447" s="290" t="n"/>
    </row>
    <row r="448" ht="13" customHeight="1" s="189">
      <c r="B448" s="290" t="n"/>
      <c r="C448" s="290" t="n"/>
      <c r="D448" s="291" t="n"/>
      <c r="E448" s="290" t="n"/>
      <c r="F448" s="290" t="n"/>
    </row>
    <row r="449" ht="13" customHeight="1" s="189">
      <c r="B449" s="290" t="n"/>
      <c r="C449" s="290" t="n"/>
      <c r="D449" s="291" t="n"/>
      <c r="E449" s="290" t="n"/>
      <c r="F449" s="290" t="n"/>
    </row>
    <row r="450" ht="13" customHeight="1" s="189">
      <c r="B450" s="290" t="n"/>
      <c r="C450" s="290" t="n"/>
      <c r="D450" s="291" t="n"/>
      <c r="E450" s="290" t="n"/>
      <c r="F450" s="290" t="n"/>
    </row>
    <row r="451" ht="13" customHeight="1" s="189">
      <c r="B451" s="290" t="n"/>
      <c r="C451" s="290" t="n"/>
      <c r="D451" s="291" t="n"/>
      <c r="E451" s="290" t="n"/>
      <c r="F451" s="290" t="n"/>
    </row>
    <row r="452" ht="13" customHeight="1" s="189">
      <c r="B452" s="290" t="n"/>
      <c r="C452" s="290" t="n"/>
      <c r="D452" s="291" t="n"/>
      <c r="E452" s="290" t="n"/>
      <c r="F452" s="290" t="n"/>
    </row>
    <row r="453" ht="13" customHeight="1" s="189">
      <c r="B453" s="290" t="n"/>
      <c r="C453" s="290" t="n"/>
      <c r="D453" s="291" t="n"/>
      <c r="E453" s="290" t="n"/>
      <c r="F453" s="290" t="n"/>
    </row>
    <row r="454" ht="13" customHeight="1" s="189">
      <c r="B454" s="290" t="n"/>
      <c r="C454" s="290" t="n"/>
      <c r="D454" s="291" t="n"/>
      <c r="E454" s="290" t="n"/>
      <c r="F454" s="290" t="n"/>
    </row>
    <row r="455" ht="13" customHeight="1" s="189">
      <c r="B455" s="290" t="n"/>
      <c r="C455" s="290" t="n"/>
      <c r="D455" s="291" t="n"/>
      <c r="E455" s="290" t="n"/>
      <c r="F455" s="290" t="n"/>
    </row>
    <row r="456" ht="13" customHeight="1" s="189">
      <c r="B456" s="290" t="n"/>
      <c r="C456" s="290" t="n"/>
      <c r="D456" s="291" t="n"/>
      <c r="E456" s="290" t="n"/>
      <c r="F456" s="290" t="n"/>
    </row>
    <row r="457" ht="13" customHeight="1" s="189">
      <c r="B457" s="290" t="n"/>
      <c r="C457" s="290" t="n"/>
      <c r="D457" s="291" t="n"/>
      <c r="E457" s="290" t="n"/>
      <c r="F457" s="290" t="n"/>
    </row>
    <row r="458" ht="13" customHeight="1" s="189">
      <c r="B458" s="290" t="n"/>
      <c r="C458" s="290" t="n"/>
      <c r="D458" s="291" t="n"/>
      <c r="E458" s="290" t="n"/>
      <c r="F458" s="290" t="n"/>
    </row>
    <row r="459" ht="13" customHeight="1" s="189">
      <c r="B459" s="290" t="n"/>
      <c r="C459" s="290" t="n"/>
      <c r="D459" s="291" t="n"/>
      <c r="E459" s="290" t="n"/>
      <c r="F459" s="290" t="n"/>
    </row>
    <row r="460" ht="13" customHeight="1" s="189">
      <c r="B460" s="290" t="n"/>
      <c r="C460" s="290" t="n"/>
      <c r="D460" s="291" t="n"/>
      <c r="E460" s="290" t="n"/>
      <c r="F460" s="290" t="n"/>
    </row>
    <row r="461" ht="13" customHeight="1" s="189">
      <c r="B461" s="290" t="n"/>
      <c r="C461" s="290" t="n"/>
      <c r="D461" s="291" t="n"/>
      <c r="E461" s="290" t="n"/>
      <c r="F461" s="290" t="n"/>
    </row>
    <row r="462" ht="13" customHeight="1" s="189">
      <c r="B462" s="290" t="n"/>
      <c r="C462" s="290" t="n"/>
      <c r="D462" s="291" t="n"/>
      <c r="E462" s="290" t="n"/>
      <c r="F462" s="290" t="n"/>
    </row>
    <row r="463" ht="13" customHeight="1" s="189">
      <c r="B463" s="290" t="n"/>
      <c r="C463" s="290" t="n"/>
      <c r="D463" s="291" t="n"/>
      <c r="E463" s="290" t="n"/>
      <c r="F463" s="290" t="n"/>
    </row>
    <row r="464" ht="13" customHeight="1" s="189">
      <c r="B464" s="290" t="n"/>
      <c r="C464" s="290" t="n"/>
      <c r="D464" s="291" t="n"/>
      <c r="E464" s="290" t="n"/>
      <c r="F464" s="290" t="n"/>
    </row>
    <row r="465" ht="13" customHeight="1" s="189">
      <c r="B465" s="290" t="n"/>
      <c r="C465" s="290" t="n"/>
      <c r="D465" s="291" t="n"/>
      <c r="E465" s="290" t="n"/>
      <c r="F465" s="290" t="n"/>
    </row>
    <row r="466" ht="13" customHeight="1" s="189">
      <c r="B466" s="290" t="n"/>
      <c r="C466" s="290" t="n"/>
      <c r="D466" s="291" t="n"/>
      <c r="E466" s="290" t="n"/>
      <c r="F466" s="290" t="n"/>
    </row>
    <row r="467" ht="13" customHeight="1" s="189">
      <c r="B467" s="290" t="n"/>
      <c r="C467" s="290" t="n"/>
      <c r="D467" s="291" t="n"/>
      <c r="E467" s="290" t="n"/>
      <c r="F467" s="290" t="n"/>
    </row>
    <row r="468" ht="13" customHeight="1" s="189">
      <c r="B468" s="290" t="n"/>
      <c r="C468" s="290" t="n"/>
      <c r="D468" s="291" t="n"/>
      <c r="E468" s="290" t="n"/>
      <c r="F468" s="290" t="n"/>
    </row>
    <row r="469" ht="13" customHeight="1" s="189">
      <c r="B469" s="290" t="n"/>
      <c r="C469" s="290" t="n"/>
      <c r="D469" s="291" t="n"/>
      <c r="E469" s="290" t="n"/>
      <c r="F469" s="290" t="n"/>
    </row>
    <row r="470" ht="13" customHeight="1" s="189">
      <c r="B470" s="290" t="n"/>
      <c r="C470" s="290" t="n"/>
      <c r="D470" s="291" t="n"/>
      <c r="E470" s="290" t="n"/>
      <c r="F470" s="290" t="n"/>
    </row>
    <row r="471" ht="13" customHeight="1" s="189">
      <c r="B471" s="290" t="n"/>
      <c r="C471" s="290" t="n"/>
      <c r="D471" s="291" t="n"/>
      <c r="E471" s="290" t="n"/>
      <c r="F471" s="290" t="n"/>
    </row>
    <row r="472" ht="13" customHeight="1" s="189">
      <c r="B472" s="290" t="n"/>
      <c r="C472" s="290" t="n"/>
      <c r="D472" s="291" t="n"/>
      <c r="E472" s="290" t="n"/>
      <c r="F472" s="290" t="n"/>
    </row>
    <row r="473" ht="13" customHeight="1" s="189">
      <c r="B473" s="290" t="n"/>
      <c r="C473" s="290" t="n"/>
      <c r="D473" s="291" t="n"/>
      <c r="E473" s="290" t="n"/>
      <c r="F473" s="290" t="n"/>
    </row>
    <row r="474" ht="13" customHeight="1" s="189">
      <c r="B474" s="290" t="n"/>
      <c r="C474" s="290" t="n"/>
      <c r="D474" s="291" t="n"/>
      <c r="E474" s="290" t="n"/>
      <c r="F474" s="290" t="n"/>
    </row>
    <row r="475" ht="13" customHeight="1" s="189">
      <c r="B475" s="290" t="n"/>
      <c r="C475" s="290" t="n"/>
      <c r="D475" s="291" t="n"/>
      <c r="E475" s="290" t="n"/>
      <c r="F475" s="290" t="n"/>
    </row>
    <row r="476" ht="13" customHeight="1" s="189">
      <c r="B476" s="290" t="n"/>
      <c r="C476" s="290" t="n"/>
      <c r="D476" s="291" t="n"/>
      <c r="E476" s="290" t="n"/>
      <c r="F476" s="290" t="n"/>
    </row>
    <row r="477" ht="13" customHeight="1" s="189">
      <c r="B477" s="290" t="n"/>
      <c r="C477" s="290" t="n"/>
      <c r="D477" s="291" t="n"/>
      <c r="E477" s="290" t="n"/>
      <c r="F477" s="290" t="n"/>
    </row>
    <row r="478" ht="13" customHeight="1" s="189">
      <c r="B478" s="290" t="n"/>
      <c r="C478" s="290" t="n"/>
      <c r="D478" s="291" t="n"/>
      <c r="E478" s="290" t="n"/>
      <c r="F478" s="290" t="n"/>
    </row>
    <row r="479" ht="13" customHeight="1" s="189">
      <c r="B479" s="290" t="n"/>
      <c r="C479" s="290" t="n"/>
      <c r="D479" s="291" t="n"/>
      <c r="E479" s="290" t="n"/>
      <c r="F479" s="290" t="n"/>
    </row>
    <row r="480" ht="13" customHeight="1" s="189">
      <c r="B480" s="290" t="n"/>
      <c r="C480" s="290" t="n"/>
      <c r="D480" s="291" t="n"/>
      <c r="E480" s="290" t="n"/>
      <c r="F480" s="290" t="n"/>
    </row>
    <row r="481" ht="13" customHeight="1" s="189">
      <c r="B481" s="290" t="n"/>
      <c r="C481" s="290" t="n"/>
      <c r="D481" s="291" t="n"/>
      <c r="E481" s="290" t="n"/>
      <c r="F481" s="290" t="n"/>
    </row>
    <row r="482" ht="13" customHeight="1" s="189">
      <c r="B482" s="290" t="n"/>
      <c r="C482" s="290" t="n"/>
      <c r="D482" s="291" t="n"/>
      <c r="E482" s="290" t="n"/>
      <c r="F482" s="290" t="n"/>
    </row>
    <row r="483" ht="13" customHeight="1" s="189">
      <c r="B483" s="290" t="n"/>
      <c r="C483" s="290" t="n"/>
      <c r="D483" s="291" t="n"/>
      <c r="E483" s="290" t="n"/>
      <c r="F483" s="290" t="n"/>
    </row>
    <row r="484" ht="13" customHeight="1" s="189">
      <c r="B484" s="290" t="n"/>
      <c r="C484" s="290" t="n"/>
      <c r="D484" s="291" t="n"/>
      <c r="E484" s="290" t="n"/>
      <c r="F484" s="290" t="n"/>
    </row>
    <row r="485" ht="13" customHeight="1" s="189">
      <c r="B485" s="290" t="n"/>
      <c r="C485" s="290" t="n"/>
      <c r="D485" s="291" t="n"/>
      <c r="E485" s="290" t="n"/>
      <c r="F485" s="290" t="n"/>
    </row>
    <row r="486" ht="13" customHeight="1" s="189">
      <c r="B486" s="290" t="n"/>
      <c r="C486" s="290" t="n"/>
      <c r="D486" s="291" t="n"/>
      <c r="E486" s="290" t="n"/>
      <c r="F486" s="290" t="n"/>
    </row>
    <row r="487" ht="13" customHeight="1" s="189">
      <c r="B487" s="290" t="n"/>
      <c r="C487" s="290" t="n"/>
      <c r="D487" s="291" t="n"/>
      <c r="E487" s="290" t="n"/>
      <c r="F487" s="290" t="n"/>
    </row>
    <row r="488" ht="13" customHeight="1" s="189">
      <c r="B488" s="290" t="n"/>
      <c r="C488" s="290" t="n"/>
      <c r="D488" s="291" t="n"/>
      <c r="E488" s="290" t="n"/>
      <c r="F488" s="290" t="n"/>
    </row>
    <row r="489" ht="13" customHeight="1" s="189">
      <c r="B489" s="290" t="n"/>
      <c r="C489" s="290" t="n"/>
      <c r="D489" s="291" t="n"/>
      <c r="E489" s="290" t="n"/>
      <c r="F489" s="290" t="n"/>
    </row>
    <row r="490" ht="13" customHeight="1" s="189">
      <c r="B490" s="290" t="n"/>
      <c r="C490" s="290" t="n"/>
      <c r="D490" s="291" t="n"/>
      <c r="E490" s="290" t="n"/>
      <c r="F490" s="290" t="n"/>
    </row>
    <row r="491" ht="13" customHeight="1" s="189">
      <c r="B491" s="290" t="n"/>
      <c r="C491" s="290" t="n"/>
      <c r="D491" s="291" t="n"/>
      <c r="E491" s="290" t="n"/>
      <c r="F491" s="290" t="n"/>
    </row>
    <row r="492" ht="13" customHeight="1" s="189">
      <c r="B492" s="290" t="n"/>
      <c r="C492" s="290" t="n"/>
      <c r="D492" s="291" t="n"/>
      <c r="E492" s="290" t="n"/>
      <c r="F492" s="290" t="n"/>
    </row>
    <row r="493" ht="13" customHeight="1" s="189">
      <c r="B493" s="290" t="n"/>
      <c r="C493" s="290" t="n"/>
      <c r="D493" s="291" t="n"/>
      <c r="E493" s="290" t="n"/>
      <c r="F493" s="290" t="n"/>
    </row>
    <row r="494" ht="13" customHeight="1" s="189">
      <c r="B494" s="290" t="n"/>
      <c r="C494" s="290" t="n"/>
      <c r="D494" s="291" t="n"/>
      <c r="E494" s="290" t="n"/>
      <c r="F494" s="290" t="n"/>
    </row>
    <row r="495" ht="13" customHeight="1" s="189">
      <c r="B495" s="290" t="n"/>
      <c r="C495" s="290" t="n"/>
      <c r="D495" s="291" t="n"/>
      <c r="E495" s="290" t="n"/>
      <c r="F495" s="290" t="n"/>
    </row>
    <row r="496" ht="13" customHeight="1" s="189">
      <c r="B496" s="290" t="n"/>
      <c r="C496" s="290" t="n"/>
      <c r="D496" s="291" t="n"/>
      <c r="E496" s="290" t="n"/>
      <c r="F496" s="290" t="n"/>
    </row>
    <row r="497" ht="13" customHeight="1" s="189">
      <c r="B497" s="290" t="n"/>
      <c r="C497" s="290" t="n"/>
      <c r="D497" s="291" t="n"/>
      <c r="E497" s="290" t="n"/>
      <c r="F497" s="290" t="n"/>
    </row>
    <row r="498" ht="13" customHeight="1" s="189">
      <c r="B498" s="290" t="n"/>
      <c r="C498" s="290" t="n"/>
      <c r="D498" s="291" t="n"/>
      <c r="E498" s="290" t="n"/>
      <c r="F498" s="290" t="n"/>
    </row>
    <row r="499" ht="13" customHeight="1" s="189">
      <c r="B499" s="290" t="n"/>
      <c r="C499" s="290" t="n"/>
      <c r="D499" s="291" t="n"/>
      <c r="E499" s="290" t="n"/>
      <c r="F499" s="290" t="n"/>
    </row>
    <row r="500" ht="13" customHeight="1" s="189">
      <c r="B500" s="290" t="n"/>
      <c r="C500" s="290" t="n"/>
      <c r="D500" s="291" t="n"/>
      <c r="E500" s="290" t="n"/>
      <c r="F500" s="290" t="n"/>
    </row>
    <row r="501" ht="13" customHeight="1" s="189">
      <c r="B501" s="290" t="n"/>
      <c r="C501" s="290" t="n"/>
      <c r="D501" s="291" t="n"/>
      <c r="E501" s="290" t="n"/>
      <c r="F501" s="290" t="n"/>
    </row>
    <row r="502" ht="13" customHeight="1" s="189">
      <c r="B502" s="290" t="n"/>
      <c r="C502" s="290" t="n"/>
      <c r="D502" s="291" t="n"/>
      <c r="E502" s="290" t="n"/>
      <c r="F502" s="290" t="n"/>
    </row>
    <row r="503" ht="13" customHeight="1" s="189">
      <c r="B503" s="290" t="n"/>
      <c r="C503" s="290" t="n"/>
      <c r="D503" s="291" t="n"/>
      <c r="E503" s="290" t="n"/>
      <c r="F503" s="290" t="n"/>
    </row>
    <row r="504" ht="13" customHeight="1" s="189">
      <c r="B504" s="290" t="n"/>
      <c r="C504" s="290" t="n"/>
      <c r="D504" s="291" t="n"/>
      <c r="E504" s="290" t="n"/>
      <c r="F504" s="290" t="n"/>
    </row>
    <row r="505" ht="13" customHeight="1" s="189">
      <c r="B505" s="290" t="n"/>
      <c r="C505" s="290" t="n"/>
      <c r="D505" s="291" t="n"/>
      <c r="E505" s="290" t="n"/>
      <c r="F505" s="290" t="n"/>
    </row>
    <row r="506" ht="13" customHeight="1" s="189">
      <c r="B506" s="290" t="n"/>
      <c r="C506" s="290" t="n"/>
      <c r="D506" s="291" t="n"/>
      <c r="E506" s="290" t="n"/>
      <c r="F506" s="290" t="n"/>
    </row>
    <row r="507" ht="13" customHeight="1" s="189">
      <c r="B507" s="290" t="n"/>
      <c r="C507" s="290" t="n"/>
      <c r="D507" s="291" t="n"/>
      <c r="E507" s="290" t="n"/>
      <c r="F507" s="290" t="n"/>
    </row>
    <row r="508" ht="13" customHeight="1" s="189">
      <c r="B508" s="290" t="n"/>
      <c r="C508" s="290" t="n"/>
      <c r="D508" s="291" t="n"/>
      <c r="E508" s="290" t="n"/>
      <c r="F508" s="290" t="n"/>
    </row>
    <row r="509" ht="13" customHeight="1" s="189">
      <c r="B509" s="290" t="n"/>
      <c r="C509" s="290" t="n"/>
      <c r="D509" s="291" t="n"/>
      <c r="E509" s="290" t="n"/>
      <c r="F509" s="290" t="n"/>
    </row>
    <row r="510" ht="13" customHeight="1" s="189">
      <c r="B510" s="290" t="n"/>
      <c r="C510" s="290" t="n"/>
      <c r="D510" s="291" t="n"/>
      <c r="E510" s="290" t="n"/>
      <c r="F510" s="290" t="n"/>
    </row>
    <row r="511" ht="13" customHeight="1" s="189">
      <c r="B511" s="290" t="n"/>
      <c r="C511" s="290" t="n"/>
      <c r="D511" s="291" t="n"/>
      <c r="E511" s="290" t="n"/>
      <c r="F511" s="290" t="n"/>
    </row>
    <row r="512" ht="13" customHeight="1" s="189">
      <c r="B512" s="290" t="n"/>
      <c r="C512" s="290" t="n"/>
      <c r="D512" s="291" t="n"/>
      <c r="E512" s="290" t="n"/>
      <c r="F512" s="290" t="n"/>
    </row>
    <row r="513" ht="13" customHeight="1" s="189">
      <c r="B513" s="290" t="n"/>
      <c r="C513" s="290" t="n"/>
      <c r="D513" s="291" t="n"/>
      <c r="E513" s="290" t="n"/>
      <c r="F513" s="290" t="n"/>
    </row>
    <row r="514" ht="13" customHeight="1" s="189">
      <c r="B514" s="290" t="n"/>
      <c r="C514" s="290" t="n"/>
      <c r="D514" s="291" t="n"/>
      <c r="E514" s="290" t="n"/>
      <c r="F514" s="290" t="n"/>
    </row>
    <row r="515" ht="13" customHeight="1" s="189">
      <c r="B515" s="290" t="n"/>
      <c r="C515" s="290" t="n"/>
      <c r="D515" s="291" t="n"/>
      <c r="E515" s="290" t="n"/>
      <c r="F515" s="290" t="n"/>
    </row>
    <row r="516" ht="13" customHeight="1" s="189">
      <c r="B516" s="290" t="n"/>
      <c r="C516" s="290" t="n"/>
      <c r="D516" s="291" t="n"/>
      <c r="E516" s="290" t="n"/>
      <c r="F516" s="290" t="n"/>
    </row>
    <row r="517" ht="13" customHeight="1" s="189">
      <c r="B517" s="290" t="n"/>
      <c r="C517" s="290" t="n"/>
      <c r="D517" s="291" t="n"/>
      <c r="E517" s="290" t="n"/>
      <c r="F517" s="290" t="n"/>
    </row>
    <row r="518" ht="13" customHeight="1" s="189">
      <c r="B518" s="290" t="n"/>
      <c r="C518" s="290" t="n"/>
      <c r="D518" s="291" t="n"/>
      <c r="E518" s="290" t="n"/>
      <c r="F518" s="290" t="n"/>
    </row>
    <row r="519" ht="13" customHeight="1" s="189">
      <c r="B519" s="290" t="n"/>
      <c r="C519" s="290" t="n"/>
      <c r="D519" s="291" t="n"/>
      <c r="E519" s="290" t="n"/>
      <c r="F519" s="290" t="n"/>
    </row>
    <row r="520" ht="13" customHeight="1" s="189">
      <c r="B520" s="290" t="n"/>
      <c r="C520" s="290" t="n"/>
      <c r="D520" s="291" t="n"/>
      <c r="E520" s="290" t="n"/>
      <c r="F520" s="290" t="n"/>
    </row>
    <row r="521" ht="13" customHeight="1" s="189">
      <c r="B521" s="290" t="n"/>
      <c r="C521" s="290" t="n"/>
      <c r="D521" s="291" t="n"/>
      <c r="E521" s="290" t="n"/>
      <c r="F521" s="290" t="n"/>
    </row>
    <row r="522" ht="13" customHeight="1" s="189">
      <c r="B522" s="290" t="n"/>
      <c r="C522" s="290" t="n"/>
      <c r="D522" s="291" t="n"/>
      <c r="E522" s="290" t="n"/>
      <c r="F522" s="290" t="n"/>
    </row>
    <row r="523" ht="13" customHeight="1" s="189">
      <c r="B523" s="290" t="n"/>
      <c r="C523" s="290" t="n"/>
      <c r="D523" s="291" t="n"/>
      <c r="E523" s="290" t="n"/>
      <c r="F523" s="290" t="n"/>
    </row>
    <row r="524" ht="13" customHeight="1" s="189">
      <c r="B524" s="290" t="n"/>
      <c r="C524" s="290" t="n"/>
      <c r="D524" s="291" t="n"/>
      <c r="E524" s="290" t="n"/>
      <c r="F524" s="290" t="n"/>
    </row>
    <row r="525" ht="13" customHeight="1" s="189">
      <c r="B525" s="290" t="n"/>
      <c r="C525" s="290" t="n"/>
      <c r="D525" s="291" t="n"/>
      <c r="E525" s="290" t="n"/>
      <c r="F525" s="290" t="n"/>
    </row>
    <row r="526" ht="13" customHeight="1" s="189">
      <c r="B526" s="290" t="n"/>
      <c r="C526" s="290" t="n"/>
      <c r="D526" s="291" t="n"/>
      <c r="E526" s="290" t="n"/>
      <c r="F526" s="290" t="n"/>
    </row>
    <row r="527" ht="13" customHeight="1" s="189">
      <c r="B527" s="290" t="n"/>
      <c r="C527" s="290" t="n"/>
      <c r="D527" s="291" t="n"/>
      <c r="E527" s="290" t="n"/>
      <c r="F527" s="290" t="n"/>
    </row>
    <row r="528" ht="13" customHeight="1" s="189">
      <c r="B528" s="290" t="n"/>
      <c r="C528" s="290" t="n"/>
      <c r="D528" s="291" t="n"/>
      <c r="E528" s="290" t="n"/>
      <c r="F528" s="290" t="n"/>
    </row>
    <row r="529" ht="13" customHeight="1" s="189">
      <c r="B529" s="290" t="n"/>
      <c r="C529" s="290" t="n"/>
      <c r="D529" s="291" t="n"/>
      <c r="E529" s="290" t="n"/>
      <c r="F529" s="290" t="n"/>
    </row>
    <row r="530" ht="13" customHeight="1" s="189">
      <c r="B530" s="290" t="n"/>
      <c r="C530" s="290" t="n"/>
      <c r="D530" s="291" t="n"/>
      <c r="E530" s="290" t="n"/>
      <c r="F530" s="290" t="n"/>
    </row>
    <row r="531" ht="13" customHeight="1" s="189">
      <c r="B531" s="290" t="n"/>
      <c r="C531" s="290" t="n"/>
      <c r="D531" s="291" t="n"/>
      <c r="E531" s="290" t="n"/>
      <c r="F531" s="290" t="n"/>
    </row>
    <row r="532" ht="13" customHeight="1" s="189">
      <c r="B532" s="290" t="n"/>
      <c r="C532" s="290" t="n"/>
      <c r="D532" s="291" t="n"/>
      <c r="E532" s="290" t="n"/>
      <c r="F532" s="290" t="n"/>
    </row>
    <row r="533" ht="13" customHeight="1" s="189">
      <c r="B533" s="290" t="n"/>
      <c r="C533" s="290" t="n"/>
      <c r="D533" s="291" t="n"/>
      <c r="E533" s="290" t="n"/>
      <c r="F533" s="290" t="n"/>
    </row>
    <row r="534" ht="13" customHeight="1" s="189">
      <c r="B534" s="290" t="n"/>
      <c r="C534" s="290" t="n"/>
      <c r="D534" s="291" t="n"/>
      <c r="E534" s="290" t="n"/>
      <c r="F534" s="290" t="n"/>
    </row>
    <row r="535" ht="13" customHeight="1" s="189">
      <c r="B535" s="290" t="n"/>
      <c r="C535" s="290" t="n"/>
      <c r="D535" s="291" t="n"/>
      <c r="E535" s="290" t="n"/>
      <c r="F535" s="290" t="n"/>
    </row>
    <row r="536" ht="13" customHeight="1" s="189">
      <c r="B536" s="290" t="n"/>
      <c r="C536" s="290" t="n"/>
      <c r="D536" s="291" t="n"/>
      <c r="E536" s="290" t="n"/>
      <c r="F536" s="290" t="n"/>
    </row>
    <row r="537" ht="13" customHeight="1" s="189">
      <c r="B537" s="290" t="n"/>
      <c r="C537" s="290" t="n"/>
      <c r="D537" s="291" t="n"/>
      <c r="E537" s="290" t="n"/>
      <c r="F537" s="290" t="n"/>
    </row>
    <row r="538" ht="13" customHeight="1" s="189">
      <c r="B538" s="290" t="n"/>
      <c r="C538" s="290" t="n"/>
      <c r="D538" s="291" t="n"/>
      <c r="E538" s="290" t="n"/>
      <c r="F538" s="290" t="n"/>
    </row>
    <row r="539" ht="13" customHeight="1" s="189">
      <c r="B539" s="290" t="n"/>
      <c r="C539" s="290" t="n"/>
      <c r="D539" s="291" t="n"/>
      <c r="E539" s="290" t="n"/>
      <c r="F539" s="290" t="n"/>
    </row>
    <row r="540" ht="13" customHeight="1" s="189">
      <c r="B540" s="290" t="n"/>
      <c r="C540" s="290" t="n"/>
      <c r="D540" s="291" t="n"/>
      <c r="E540" s="290" t="n"/>
      <c r="F540" s="290" t="n"/>
    </row>
    <row r="541" ht="13" customHeight="1" s="189">
      <c r="B541" s="290" t="n"/>
      <c r="C541" s="290" t="n"/>
      <c r="D541" s="291" t="n"/>
      <c r="E541" s="290" t="n"/>
      <c r="F541" s="290" t="n"/>
    </row>
    <row r="542" ht="13" customHeight="1" s="189">
      <c r="B542" s="290" t="n"/>
      <c r="C542" s="290" t="n"/>
      <c r="D542" s="291" t="n"/>
      <c r="E542" s="290" t="n"/>
      <c r="F542" s="290" t="n"/>
    </row>
    <row r="543" ht="13" customHeight="1" s="189">
      <c r="B543" s="290" t="n"/>
      <c r="C543" s="290" t="n"/>
      <c r="D543" s="291" t="n"/>
      <c r="E543" s="290" t="n"/>
      <c r="F543" s="290" t="n"/>
    </row>
    <row r="544" ht="13" customHeight="1" s="189">
      <c r="B544" s="290" t="n"/>
      <c r="C544" s="290" t="n"/>
      <c r="D544" s="291" t="n"/>
      <c r="E544" s="290" t="n"/>
      <c r="F544" s="290" t="n"/>
    </row>
    <row r="545" ht="13" customHeight="1" s="189">
      <c r="B545" s="290" t="n"/>
      <c r="C545" s="290" t="n"/>
      <c r="D545" s="291" t="n"/>
      <c r="E545" s="290" t="n"/>
      <c r="F545" s="290" t="n"/>
    </row>
    <row r="546" ht="13" customHeight="1" s="189">
      <c r="B546" s="290" t="n"/>
      <c r="C546" s="290" t="n"/>
      <c r="D546" s="291" t="n"/>
      <c r="E546" s="290" t="n"/>
      <c r="F546" s="290" t="n"/>
    </row>
    <row r="547" ht="13" customHeight="1" s="189">
      <c r="B547" s="290" t="n"/>
      <c r="C547" s="290" t="n"/>
      <c r="D547" s="291" t="n"/>
      <c r="E547" s="290" t="n"/>
      <c r="F547" s="290" t="n"/>
    </row>
    <row r="548" ht="13" customHeight="1" s="189">
      <c r="B548" s="290" t="n"/>
      <c r="C548" s="290" t="n"/>
      <c r="D548" s="291" t="n"/>
      <c r="E548" s="290" t="n"/>
      <c r="F548" s="290" t="n"/>
    </row>
    <row r="549" ht="13" customHeight="1" s="189">
      <c r="B549" s="290" t="n"/>
      <c r="C549" s="290" t="n"/>
      <c r="D549" s="291" t="n"/>
      <c r="E549" s="290" t="n"/>
      <c r="F549" s="290" t="n"/>
    </row>
    <row r="550" ht="13" customHeight="1" s="189">
      <c r="B550" s="290" t="n"/>
      <c r="C550" s="290" t="n"/>
      <c r="D550" s="291" t="n"/>
      <c r="E550" s="290" t="n"/>
      <c r="F550" s="290" t="n"/>
    </row>
    <row r="551" ht="13" customHeight="1" s="189">
      <c r="B551" s="290" t="n"/>
      <c r="C551" s="290" t="n"/>
      <c r="D551" s="291" t="n"/>
      <c r="E551" s="290" t="n"/>
      <c r="F551" s="290" t="n"/>
    </row>
    <row r="552" ht="13" customHeight="1" s="189">
      <c r="B552" s="290" t="n"/>
      <c r="C552" s="290" t="n"/>
      <c r="D552" s="291" t="n"/>
      <c r="E552" s="290" t="n"/>
      <c r="F552" s="290" t="n"/>
    </row>
    <row r="553" ht="13" customHeight="1" s="189">
      <c r="B553" s="290" t="n"/>
      <c r="C553" s="290" t="n"/>
      <c r="D553" s="291" t="n"/>
      <c r="E553" s="290" t="n"/>
      <c r="F553" s="290" t="n"/>
    </row>
    <row r="554" ht="13" customHeight="1" s="189">
      <c r="B554" s="290" t="n"/>
      <c r="C554" s="290" t="n"/>
      <c r="D554" s="291" t="n"/>
      <c r="E554" s="290" t="n"/>
      <c r="F554" s="290" t="n"/>
    </row>
    <row r="555" ht="13" customHeight="1" s="189">
      <c r="B555" s="290" t="n"/>
      <c r="C555" s="290" t="n"/>
      <c r="D555" s="291" t="n"/>
      <c r="E555" s="290" t="n"/>
      <c r="F555" s="290" t="n"/>
    </row>
    <row r="556" ht="13" customHeight="1" s="189">
      <c r="B556" s="290" t="n"/>
      <c r="C556" s="290" t="n"/>
      <c r="D556" s="291" t="n"/>
      <c r="E556" s="290" t="n"/>
      <c r="F556" s="290" t="n"/>
    </row>
    <row r="557" ht="13" customHeight="1" s="189">
      <c r="B557" s="290" t="n"/>
      <c r="C557" s="290" t="n"/>
      <c r="D557" s="291" t="n"/>
      <c r="E557" s="290" t="n"/>
      <c r="F557" s="290" t="n"/>
    </row>
    <row r="558" ht="13" customHeight="1" s="189">
      <c r="B558" s="290" t="n"/>
      <c r="C558" s="290" t="n"/>
      <c r="D558" s="291" t="n"/>
      <c r="E558" s="290" t="n"/>
      <c r="F558" s="290" t="n"/>
    </row>
    <row r="559" ht="13" customHeight="1" s="189">
      <c r="B559" s="290" t="n"/>
      <c r="C559" s="290" t="n"/>
      <c r="D559" s="291" t="n"/>
      <c r="E559" s="290" t="n"/>
      <c r="F559" s="290" t="n"/>
    </row>
    <row r="560" ht="13" customHeight="1" s="189">
      <c r="B560" s="290" t="n"/>
      <c r="C560" s="290" t="n"/>
      <c r="D560" s="291" t="n"/>
      <c r="E560" s="290" t="n"/>
      <c r="F560" s="290" t="n"/>
    </row>
    <row r="561" ht="13" customHeight="1" s="189">
      <c r="B561" s="290" t="n"/>
      <c r="C561" s="290" t="n"/>
      <c r="D561" s="291" t="n"/>
      <c r="E561" s="290" t="n"/>
      <c r="F561" s="290" t="n"/>
    </row>
    <row r="562" ht="13" customHeight="1" s="189">
      <c r="B562" s="290" t="n"/>
      <c r="C562" s="290" t="n"/>
      <c r="D562" s="291" t="n"/>
      <c r="E562" s="290" t="n"/>
      <c r="F562" s="290" t="n"/>
    </row>
    <row r="563" ht="13" customHeight="1" s="189">
      <c r="B563" s="290" t="n"/>
      <c r="C563" s="290" t="n"/>
      <c r="D563" s="291" t="n"/>
      <c r="E563" s="290" t="n"/>
      <c r="F563" s="290" t="n"/>
    </row>
    <row r="564" ht="13" customHeight="1" s="189">
      <c r="B564" s="290" t="n"/>
      <c r="C564" s="290" t="n"/>
      <c r="D564" s="291" t="n"/>
      <c r="E564" s="290" t="n"/>
      <c r="F564" s="290" t="n"/>
    </row>
    <row r="565" ht="13" customHeight="1" s="189">
      <c r="B565" s="290" t="n"/>
      <c r="C565" s="290" t="n"/>
      <c r="D565" s="291" t="n"/>
      <c r="E565" s="290" t="n"/>
      <c r="F565" s="290" t="n"/>
    </row>
    <row r="566" ht="13" customHeight="1" s="189">
      <c r="B566" s="290" t="n"/>
      <c r="C566" s="290" t="n"/>
      <c r="D566" s="291" t="n"/>
      <c r="E566" s="290" t="n"/>
      <c r="F566" s="290" t="n"/>
    </row>
    <row r="567" ht="13" customHeight="1" s="189">
      <c r="B567" s="290" t="n"/>
      <c r="C567" s="290" t="n"/>
      <c r="D567" s="291" t="n"/>
      <c r="E567" s="290" t="n"/>
      <c r="F567" s="290" t="n"/>
    </row>
    <row r="568" ht="13" customHeight="1" s="189">
      <c r="B568" s="290" t="n"/>
      <c r="C568" s="290" t="n"/>
      <c r="D568" s="291" t="n"/>
      <c r="E568" s="290" t="n"/>
      <c r="F568" s="290" t="n"/>
    </row>
    <row r="569" ht="13" customHeight="1" s="189">
      <c r="B569" s="290" t="n"/>
      <c r="C569" s="290" t="n"/>
      <c r="D569" s="291" t="n"/>
      <c r="E569" s="290" t="n"/>
      <c r="F569" s="290" t="n"/>
    </row>
    <row r="570" ht="13" customHeight="1" s="189">
      <c r="B570" s="290" t="n"/>
      <c r="C570" s="290" t="n"/>
      <c r="D570" s="291" t="n"/>
      <c r="E570" s="290" t="n"/>
      <c r="F570" s="290" t="n"/>
    </row>
    <row r="571" ht="13" customHeight="1" s="189">
      <c r="B571" s="290" t="n"/>
      <c r="C571" s="290" t="n"/>
      <c r="D571" s="291" t="n"/>
      <c r="E571" s="290" t="n"/>
      <c r="F571" s="290" t="n"/>
    </row>
    <row r="572" ht="13" customHeight="1" s="189">
      <c r="B572" s="290" t="n"/>
      <c r="C572" s="290" t="n"/>
      <c r="D572" s="291" t="n"/>
      <c r="E572" s="290" t="n"/>
      <c r="F572" s="290" t="n"/>
    </row>
    <row r="573" ht="13" customHeight="1" s="189">
      <c r="B573" s="290" t="n"/>
      <c r="C573" s="290" t="n"/>
      <c r="D573" s="291" t="n"/>
      <c r="E573" s="290" t="n"/>
      <c r="F573" s="290" t="n"/>
    </row>
    <row r="574" ht="13" customHeight="1" s="189">
      <c r="B574" s="290" t="n"/>
      <c r="C574" s="290" t="n"/>
      <c r="D574" s="291" t="n"/>
      <c r="E574" s="290" t="n"/>
      <c r="F574" s="290" t="n"/>
    </row>
    <row r="575" ht="13" customHeight="1" s="189">
      <c r="B575" s="290" t="n"/>
      <c r="C575" s="290" t="n"/>
      <c r="D575" s="291" t="n"/>
      <c r="E575" s="290" t="n"/>
      <c r="F575" s="290" t="n"/>
    </row>
    <row r="576" ht="13" customHeight="1" s="189">
      <c r="B576" s="290" t="n"/>
      <c r="C576" s="290" t="n"/>
      <c r="D576" s="291" t="n"/>
      <c r="E576" s="290" t="n"/>
      <c r="F576" s="290" t="n"/>
    </row>
    <row r="577" ht="13" customHeight="1" s="189">
      <c r="B577" s="290" t="n"/>
      <c r="C577" s="290" t="n"/>
      <c r="D577" s="291" t="n"/>
      <c r="E577" s="290" t="n"/>
      <c r="F577" s="290" t="n"/>
    </row>
    <row r="578" ht="13" customHeight="1" s="189">
      <c r="B578" s="290" t="n"/>
      <c r="C578" s="290" t="n"/>
      <c r="D578" s="291" t="n"/>
      <c r="E578" s="290" t="n"/>
      <c r="F578" s="290" t="n"/>
    </row>
    <row r="579" ht="13" customHeight="1" s="189">
      <c r="B579" s="290" t="n"/>
      <c r="C579" s="290" t="n"/>
      <c r="D579" s="291" t="n"/>
      <c r="E579" s="290" t="n"/>
      <c r="F579" s="290" t="n"/>
    </row>
    <row r="580" ht="13" customHeight="1" s="189">
      <c r="B580" s="290" t="n"/>
      <c r="C580" s="290" t="n"/>
      <c r="D580" s="291" t="n"/>
      <c r="E580" s="290" t="n"/>
      <c r="F580" s="290" t="n"/>
    </row>
    <row r="581" ht="13" customHeight="1" s="189">
      <c r="B581" s="290" t="n"/>
      <c r="C581" s="290" t="n"/>
      <c r="D581" s="291" t="n"/>
      <c r="E581" s="290" t="n"/>
      <c r="F581" s="290" t="n"/>
    </row>
    <row r="582" ht="13" customHeight="1" s="189">
      <c r="B582" s="290" t="n"/>
      <c r="C582" s="290" t="n"/>
      <c r="D582" s="291" t="n"/>
      <c r="E582" s="290" t="n"/>
      <c r="F582" s="290" t="n"/>
    </row>
    <row r="583" ht="13" customHeight="1" s="189">
      <c r="B583" s="290" t="n"/>
      <c r="C583" s="290" t="n"/>
      <c r="D583" s="291" t="n"/>
      <c r="E583" s="290" t="n"/>
      <c r="F583" s="290" t="n"/>
    </row>
    <row r="584" ht="13" customHeight="1" s="189">
      <c r="B584" s="290" t="n"/>
      <c r="C584" s="290" t="n"/>
      <c r="D584" s="291" t="n"/>
      <c r="E584" s="290" t="n"/>
      <c r="F584" s="290" t="n"/>
    </row>
    <row r="585" ht="13" customHeight="1" s="189">
      <c r="B585" s="290" t="n"/>
      <c r="C585" s="290" t="n"/>
      <c r="D585" s="291" t="n"/>
      <c r="E585" s="290" t="n"/>
      <c r="F585" s="290" t="n"/>
    </row>
    <row r="586" ht="13" customHeight="1" s="189">
      <c r="B586" s="290" t="n"/>
      <c r="C586" s="290" t="n"/>
      <c r="D586" s="291" t="n"/>
      <c r="E586" s="290" t="n"/>
      <c r="F586" s="290" t="n"/>
    </row>
    <row r="587" ht="13" customHeight="1" s="189">
      <c r="B587" s="290" t="n"/>
      <c r="C587" s="290" t="n"/>
      <c r="D587" s="291" t="n"/>
      <c r="E587" s="290" t="n"/>
      <c r="F587" s="290" t="n"/>
    </row>
    <row r="588" ht="13" customHeight="1" s="189">
      <c r="B588" s="290" t="n"/>
      <c r="C588" s="290" t="n"/>
      <c r="D588" s="291" t="n"/>
      <c r="E588" s="290" t="n"/>
      <c r="F588" s="290" t="n"/>
    </row>
    <row r="589" ht="13" customHeight="1" s="189">
      <c r="B589" s="290" t="n"/>
      <c r="C589" s="290" t="n"/>
      <c r="D589" s="291" t="n"/>
      <c r="E589" s="290" t="n"/>
      <c r="F589" s="290" t="n"/>
    </row>
    <row r="590" ht="13" customHeight="1" s="189">
      <c r="B590" s="290" t="n"/>
      <c r="C590" s="290" t="n"/>
      <c r="D590" s="291" t="n"/>
      <c r="E590" s="290" t="n"/>
      <c r="F590" s="290" t="n"/>
    </row>
    <row r="591" ht="13" customHeight="1" s="189">
      <c r="B591" s="290" t="n"/>
      <c r="C591" s="290" t="n"/>
      <c r="D591" s="291" t="n"/>
      <c r="E591" s="290" t="n"/>
      <c r="F591" s="290" t="n"/>
    </row>
    <row r="592" ht="13" customHeight="1" s="189">
      <c r="B592" s="290" t="n"/>
      <c r="C592" s="290" t="n"/>
      <c r="D592" s="291" t="n"/>
      <c r="E592" s="290" t="n"/>
      <c r="F592" s="290" t="n"/>
    </row>
    <row r="593" ht="13" customHeight="1" s="189">
      <c r="B593" s="290" t="n"/>
      <c r="C593" s="290" t="n"/>
      <c r="D593" s="291" t="n"/>
      <c r="E593" s="290" t="n"/>
      <c r="F593" s="290" t="n"/>
    </row>
    <row r="594" ht="13" customHeight="1" s="189">
      <c r="B594" s="290" t="n"/>
      <c r="C594" s="290" t="n"/>
      <c r="D594" s="291" t="n"/>
      <c r="E594" s="290" t="n"/>
      <c r="F594" s="290" t="n"/>
    </row>
    <row r="595" ht="13" customHeight="1" s="189">
      <c r="B595" s="290" t="n"/>
      <c r="C595" s="290" t="n"/>
      <c r="D595" s="291" t="n"/>
      <c r="E595" s="290" t="n"/>
      <c r="F595" s="290" t="n"/>
    </row>
    <row r="596" ht="13" customHeight="1" s="189">
      <c r="B596" s="290" t="n"/>
      <c r="C596" s="290" t="n"/>
      <c r="D596" s="291" t="n"/>
      <c r="E596" s="290" t="n"/>
      <c r="F596" s="290" t="n"/>
    </row>
    <row r="597" ht="13" customHeight="1" s="189">
      <c r="B597" s="290" t="n"/>
      <c r="C597" s="290" t="n"/>
      <c r="D597" s="291" t="n"/>
      <c r="E597" s="290" t="n"/>
      <c r="F597" s="290" t="n"/>
    </row>
    <row r="598" ht="13" customHeight="1" s="189">
      <c r="B598" s="290" t="n"/>
      <c r="C598" s="290" t="n"/>
      <c r="D598" s="291" t="n"/>
      <c r="E598" s="290" t="n"/>
      <c r="F598" s="290" t="n"/>
    </row>
    <row r="599" ht="13" customHeight="1" s="189">
      <c r="B599" s="290" t="n"/>
      <c r="C599" s="290" t="n"/>
      <c r="D599" s="291" t="n"/>
      <c r="E599" s="290" t="n"/>
      <c r="F599" s="290" t="n"/>
    </row>
    <row r="600" ht="13" customHeight="1" s="189">
      <c r="B600" s="290" t="n"/>
      <c r="C600" s="290" t="n"/>
      <c r="D600" s="291" t="n"/>
      <c r="E600" s="290" t="n"/>
      <c r="F600" s="290" t="n"/>
    </row>
    <row r="601" ht="13" customHeight="1" s="189">
      <c r="B601" s="290" t="n"/>
      <c r="C601" s="290" t="n"/>
      <c r="D601" s="291" t="n"/>
      <c r="E601" s="290" t="n"/>
      <c r="F601" s="290" t="n"/>
    </row>
    <row r="602" ht="13" customHeight="1" s="189">
      <c r="B602" s="290" t="n"/>
      <c r="C602" s="290" t="n"/>
      <c r="D602" s="291" t="n"/>
      <c r="E602" s="290" t="n"/>
      <c r="F602" s="290" t="n"/>
    </row>
    <row r="603" ht="13" customHeight="1" s="189">
      <c r="B603" s="290" t="n"/>
      <c r="C603" s="290" t="n"/>
      <c r="D603" s="291" t="n"/>
      <c r="E603" s="290" t="n"/>
      <c r="F603" s="290" t="n"/>
    </row>
    <row r="604" ht="13" customHeight="1" s="189">
      <c r="B604" s="290" t="n"/>
      <c r="C604" s="290" t="n"/>
      <c r="D604" s="291" t="n"/>
      <c r="E604" s="290" t="n"/>
      <c r="F604" s="290" t="n"/>
    </row>
    <row r="605" ht="13" customHeight="1" s="189">
      <c r="B605" s="290" t="n"/>
      <c r="C605" s="290" t="n"/>
      <c r="D605" s="291" t="n"/>
      <c r="E605" s="290" t="n"/>
      <c r="F605" s="290" t="n"/>
    </row>
    <row r="606" ht="13" customHeight="1" s="189">
      <c r="B606" s="290" t="n"/>
      <c r="C606" s="290" t="n"/>
      <c r="D606" s="291" t="n"/>
      <c r="E606" s="290" t="n"/>
      <c r="F606" s="290" t="n"/>
    </row>
    <row r="607" ht="13" customHeight="1" s="189">
      <c r="B607" s="290" t="n"/>
      <c r="C607" s="290" t="n"/>
      <c r="D607" s="291" t="n"/>
      <c r="E607" s="290" t="n"/>
      <c r="F607" s="290" t="n"/>
    </row>
    <row r="608" ht="13" customHeight="1" s="189">
      <c r="B608" s="290" t="n"/>
      <c r="C608" s="290" t="n"/>
      <c r="D608" s="291" t="n"/>
      <c r="E608" s="290" t="n"/>
      <c r="F608" s="290" t="n"/>
    </row>
    <row r="609" ht="13" customHeight="1" s="189">
      <c r="B609" s="290" t="n"/>
      <c r="C609" s="290" t="n"/>
      <c r="D609" s="291" t="n"/>
      <c r="E609" s="290" t="n"/>
      <c r="F609" s="290" t="n"/>
    </row>
    <row r="610" ht="13" customHeight="1" s="189">
      <c r="B610" s="290" t="n"/>
      <c r="C610" s="290" t="n"/>
      <c r="D610" s="291" t="n"/>
      <c r="E610" s="290" t="n"/>
      <c r="F610" s="290" t="n"/>
    </row>
    <row r="611" ht="13" customHeight="1" s="189">
      <c r="B611" s="290" t="n"/>
      <c r="C611" s="290" t="n"/>
      <c r="D611" s="291" t="n"/>
      <c r="E611" s="290" t="n"/>
      <c r="F611" s="290" t="n"/>
    </row>
    <row r="612" ht="13" customHeight="1" s="189">
      <c r="B612" s="290" t="n"/>
      <c r="C612" s="290" t="n"/>
      <c r="D612" s="291" t="n"/>
      <c r="E612" s="290" t="n"/>
      <c r="F612" s="290" t="n"/>
    </row>
    <row r="613" ht="13" customHeight="1" s="189">
      <c r="B613" s="290" t="n"/>
      <c r="C613" s="290" t="n"/>
      <c r="D613" s="291" t="n"/>
      <c r="E613" s="290" t="n"/>
      <c r="F613" s="290" t="n"/>
    </row>
    <row r="614" ht="13" customHeight="1" s="189">
      <c r="B614" s="290" t="n"/>
      <c r="C614" s="290" t="n"/>
      <c r="D614" s="291" t="n"/>
      <c r="E614" s="290" t="n"/>
      <c r="F614" s="290" t="n"/>
    </row>
    <row r="615" ht="13" customHeight="1" s="189">
      <c r="B615" s="290" t="n"/>
      <c r="C615" s="290" t="n"/>
      <c r="D615" s="291" t="n"/>
      <c r="E615" s="290" t="n"/>
      <c r="F615" s="290" t="n"/>
    </row>
    <row r="616" ht="13" customHeight="1" s="189">
      <c r="B616" s="290" t="n"/>
      <c r="C616" s="290" t="n"/>
      <c r="D616" s="291" t="n"/>
      <c r="E616" s="290" t="n"/>
      <c r="F616" s="290" t="n"/>
    </row>
    <row r="617" ht="13" customHeight="1" s="189">
      <c r="B617" s="290" t="n"/>
      <c r="C617" s="290" t="n"/>
      <c r="D617" s="291" t="n"/>
      <c r="E617" s="290" t="n"/>
      <c r="F617" s="290" t="n"/>
    </row>
    <row r="618" ht="13" customHeight="1" s="189">
      <c r="B618" s="290" t="n"/>
      <c r="C618" s="290" t="n"/>
      <c r="D618" s="291" t="n"/>
      <c r="E618" s="290" t="n"/>
      <c r="F618" s="290" t="n"/>
    </row>
    <row r="619" ht="13" customHeight="1" s="189">
      <c r="B619" s="290" t="n"/>
      <c r="C619" s="290" t="n"/>
      <c r="D619" s="291" t="n"/>
      <c r="E619" s="290" t="n"/>
      <c r="F619" s="290" t="n"/>
    </row>
    <row r="620" ht="13" customHeight="1" s="189">
      <c r="B620" s="290" t="n"/>
      <c r="C620" s="290" t="n"/>
      <c r="D620" s="291" t="n"/>
      <c r="E620" s="290" t="n"/>
      <c r="F620" s="290" t="n"/>
    </row>
    <row r="621" ht="13" customHeight="1" s="189">
      <c r="B621" s="290" t="n"/>
      <c r="C621" s="290" t="n"/>
      <c r="D621" s="291" t="n"/>
      <c r="E621" s="290" t="n"/>
      <c r="F621" s="290" t="n"/>
    </row>
    <row r="622" ht="13" customHeight="1" s="189">
      <c r="B622" s="290" t="n"/>
      <c r="C622" s="290" t="n"/>
      <c r="D622" s="291" t="n"/>
      <c r="E622" s="290" t="n"/>
      <c r="F622" s="290" t="n"/>
    </row>
    <row r="623" ht="13" customHeight="1" s="189">
      <c r="B623" s="290" t="n"/>
      <c r="C623" s="290" t="n"/>
      <c r="D623" s="291" t="n"/>
      <c r="E623" s="290" t="n"/>
      <c r="F623" s="290" t="n"/>
    </row>
    <row r="624" ht="13" customHeight="1" s="189">
      <c r="B624" s="290" t="n"/>
      <c r="C624" s="290" t="n"/>
      <c r="D624" s="291" t="n"/>
      <c r="E624" s="290" t="n"/>
      <c r="F624" s="290" t="n"/>
    </row>
    <row r="625" ht="13" customHeight="1" s="189">
      <c r="B625" s="290" t="n"/>
      <c r="C625" s="290" t="n"/>
      <c r="D625" s="291" t="n"/>
      <c r="E625" s="290" t="n"/>
      <c r="F625" s="290" t="n"/>
    </row>
    <row r="626" ht="13" customHeight="1" s="189">
      <c r="B626" s="290" t="n"/>
      <c r="C626" s="290" t="n"/>
      <c r="D626" s="291" t="n"/>
      <c r="E626" s="290" t="n"/>
      <c r="F626" s="290" t="n"/>
    </row>
    <row r="627" ht="13" customHeight="1" s="189">
      <c r="B627" s="290" t="n"/>
      <c r="C627" s="290" t="n"/>
      <c r="D627" s="291" t="n"/>
      <c r="E627" s="290" t="n"/>
      <c r="F627" s="290" t="n"/>
    </row>
    <row r="628" ht="13" customHeight="1" s="189">
      <c r="B628" s="290" t="n"/>
      <c r="C628" s="290" t="n"/>
      <c r="D628" s="291" t="n"/>
      <c r="E628" s="290" t="n"/>
      <c r="F628" s="290" t="n"/>
    </row>
    <row r="629" ht="13" customHeight="1" s="189">
      <c r="B629" s="290" t="n"/>
      <c r="C629" s="290" t="n"/>
      <c r="D629" s="291" t="n"/>
      <c r="E629" s="290" t="n"/>
      <c r="F629" s="290" t="n"/>
    </row>
    <row r="630" ht="13" customHeight="1" s="189">
      <c r="B630" s="290" t="n"/>
      <c r="C630" s="290" t="n"/>
      <c r="D630" s="291" t="n"/>
      <c r="E630" s="290" t="n"/>
      <c r="F630" s="290" t="n"/>
    </row>
    <row r="631" ht="13" customHeight="1" s="189">
      <c r="B631" s="290" t="n"/>
      <c r="C631" s="290" t="n"/>
      <c r="D631" s="291" t="n"/>
      <c r="E631" s="290" t="n"/>
      <c r="F631" s="290" t="n"/>
    </row>
    <row r="632" ht="13" customHeight="1" s="189">
      <c r="B632" s="290" t="n"/>
      <c r="C632" s="290" t="n"/>
      <c r="D632" s="291" t="n"/>
      <c r="E632" s="290" t="n"/>
      <c r="F632" s="290" t="n"/>
    </row>
    <row r="633" ht="13" customHeight="1" s="189">
      <c r="B633" s="290" t="n"/>
      <c r="C633" s="290" t="n"/>
      <c r="D633" s="291" t="n"/>
      <c r="E633" s="290" t="n"/>
      <c r="F633" s="290" t="n"/>
    </row>
    <row r="634" ht="13" customHeight="1" s="189">
      <c r="B634" s="290" t="n"/>
      <c r="C634" s="290" t="n"/>
      <c r="D634" s="291" t="n"/>
      <c r="E634" s="290" t="n"/>
      <c r="F634" s="290" t="n"/>
    </row>
    <row r="635" ht="13" customHeight="1" s="189">
      <c r="B635" s="290" t="n"/>
      <c r="C635" s="290" t="n"/>
      <c r="D635" s="291" t="n"/>
      <c r="E635" s="290" t="n"/>
      <c r="F635" s="290" t="n"/>
    </row>
    <row r="636" ht="13" customHeight="1" s="189">
      <c r="B636" s="290" t="n"/>
      <c r="C636" s="290" t="n"/>
      <c r="D636" s="291" t="n"/>
      <c r="E636" s="290" t="n"/>
      <c r="F636" s="290" t="n"/>
    </row>
    <row r="637" ht="13" customHeight="1" s="189">
      <c r="B637" s="290" t="n"/>
      <c r="C637" s="290" t="n"/>
      <c r="D637" s="291" t="n"/>
      <c r="E637" s="290" t="n"/>
      <c r="F637" s="290" t="n"/>
    </row>
    <row r="638" ht="13" customHeight="1" s="189">
      <c r="B638" s="290" t="n"/>
      <c r="C638" s="290" t="n"/>
      <c r="D638" s="291" t="n"/>
      <c r="E638" s="290" t="n"/>
      <c r="F638" s="290" t="n"/>
    </row>
    <row r="639" ht="13" customHeight="1" s="189">
      <c r="B639" s="290" t="n"/>
      <c r="C639" s="290" t="n"/>
      <c r="D639" s="291" t="n"/>
      <c r="E639" s="290" t="n"/>
      <c r="F639" s="290" t="n"/>
    </row>
    <row r="640" ht="13" customHeight="1" s="189">
      <c r="B640" s="290" t="n"/>
      <c r="C640" s="290" t="n"/>
      <c r="D640" s="291" t="n"/>
      <c r="E640" s="290" t="n"/>
      <c r="F640" s="290" t="n"/>
    </row>
    <row r="641" ht="13" customHeight="1" s="189">
      <c r="B641" s="290" t="n"/>
      <c r="C641" s="290" t="n"/>
      <c r="D641" s="291" t="n"/>
      <c r="E641" s="290" t="n"/>
      <c r="F641" s="290" t="n"/>
    </row>
    <row r="642" ht="13" customHeight="1" s="189">
      <c r="B642" s="290" t="n"/>
      <c r="C642" s="290" t="n"/>
      <c r="D642" s="291" t="n"/>
      <c r="E642" s="290" t="n"/>
      <c r="F642" s="290" t="n"/>
    </row>
    <row r="643" ht="13" customHeight="1" s="189">
      <c r="B643" s="290" t="n"/>
      <c r="C643" s="290" t="n"/>
      <c r="D643" s="291" t="n"/>
      <c r="E643" s="290" t="n"/>
      <c r="F643" s="290" t="n"/>
    </row>
    <row r="644" ht="13" customHeight="1" s="189">
      <c r="B644" s="290" t="n"/>
      <c r="C644" s="290" t="n"/>
      <c r="D644" s="291" t="n"/>
      <c r="E644" s="290" t="n"/>
      <c r="F644" s="290" t="n"/>
    </row>
    <row r="645" ht="13" customHeight="1" s="189">
      <c r="B645" s="290" t="n"/>
      <c r="C645" s="290" t="n"/>
      <c r="D645" s="291" t="n"/>
      <c r="E645" s="290" t="n"/>
      <c r="F645" s="290" t="n"/>
    </row>
    <row r="646" ht="13" customHeight="1" s="189">
      <c r="B646" s="290" t="n"/>
      <c r="C646" s="290" t="n"/>
      <c r="D646" s="291" t="n"/>
      <c r="E646" s="290" t="n"/>
      <c r="F646" s="290" t="n"/>
    </row>
    <row r="647" ht="13" customHeight="1" s="189">
      <c r="B647" s="290" t="n"/>
      <c r="C647" s="290" t="n"/>
      <c r="D647" s="291" t="n"/>
      <c r="E647" s="290" t="n"/>
      <c r="F647" s="290" t="n"/>
    </row>
    <row r="648" ht="13" customHeight="1" s="189">
      <c r="B648" s="290" t="n"/>
      <c r="C648" s="290" t="n"/>
      <c r="D648" s="291" t="n"/>
      <c r="E648" s="290" t="n"/>
      <c r="F648" s="290" t="n"/>
    </row>
    <row r="649" ht="13" customHeight="1" s="189">
      <c r="B649" s="290" t="n"/>
      <c r="C649" s="290" t="n"/>
      <c r="D649" s="291" t="n"/>
      <c r="E649" s="290" t="n"/>
      <c r="F649" s="290" t="n"/>
    </row>
    <row r="650" ht="13" customHeight="1" s="189">
      <c r="B650" s="290" t="n"/>
      <c r="C650" s="290" t="n"/>
      <c r="D650" s="291" t="n"/>
      <c r="E650" s="290" t="n"/>
      <c r="F650" s="290" t="n"/>
    </row>
    <row r="651" ht="13" customHeight="1" s="189">
      <c r="B651" s="290" t="n"/>
      <c r="C651" s="290" t="n"/>
      <c r="D651" s="291" t="n"/>
      <c r="E651" s="290" t="n"/>
      <c r="F651" s="290" t="n"/>
    </row>
    <row r="652" ht="13" customHeight="1" s="189">
      <c r="B652" s="290" t="n"/>
      <c r="C652" s="290" t="n"/>
      <c r="D652" s="291" t="n"/>
      <c r="E652" s="290" t="n"/>
      <c r="F652" s="290" t="n"/>
    </row>
    <row r="653" ht="13" customHeight="1" s="189">
      <c r="B653" s="290" t="n"/>
      <c r="C653" s="290" t="n"/>
      <c r="D653" s="291" t="n"/>
      <c r="E653" s="290" t="n"/>
      <c r="F653" s="290" t="n"/>
    </row>
    <row r="654" ht="13" customHeight="1" s="189">
      <c r="B654" s="290" t="n"/>
      <c r="C654" s="290" t="n"/>
      <c r="D654" s="291" t="n"/>
      <c r="E654" s="290" t="n"/>
      <c r="F654" s="290" t="n"/>
    </row>
    <row r="655" ht="13" customHeight="1" s="189">
      <c r="B655" s="290" t="n"/>
      <c r="C655" s="290" t="n"/>
      <c r="D655" s="291" t="n"/>
      <c r="E655" s="290" t="n"/>
      <c r="F655" s="290" t="n"/>
    </row>
    <row r="656" ht="13" customHeight="1" s="189">
      <c r="B656" s="290" t="n"/>
      <c r="C656" s="290" t="n"/>
      <c r="D656" s="291" t="n"/>
      <c r="E656" s="290" t="n"/>
      <c r="F656" s="290" t="n"/>
    </row>
    <row r="657" ht="13" customHeight="1" s="189">
      <c r="B657" s="290" t="n"/>
      <c r="C657" s="290" t="n"/>
      <c r="D657" s="291" t="n"/>
      <c r="E657" s="290" t="n"/>
      <c r="F657" s="290" t="n"/>
    </row>
    <row r="658" ht="13" customHeight="1" s="189">
      <c r="B658" s="290" t="n"/>
      <c r="C658" s="290" t="n"/>
      <c r="D658" s="291" t="n"/>
      <c r="E658" s="290" t="n"/>
      <c r="F658" s="290" t="n"/>
    </row>
    <row r="659" ht="13" customHeight="1" s="189">
      <c r="B659" s="290" t="n"/>
      <c r="C659" s="290" t="n"/>
      <c r="D659" s="291" t="n"/>
      <c r="E659" s="290" t="n"/>
      <c r="F659" s="290" t="n"/>
    </row>
    <row r="660" ht="13" customHeight="1" s="189">
      <c r="B660" s="290" t="n"/>
      <c r="C660" s="290" t="n"/>
      <c r="D660" s="291" t="n"/>
      <c r="E660" s="290" t="n"/>
      <c r="F660" s="290" t="n"/>
    </row>
    <row r="661" ht="13" customHeight="1" s="189">
      <c r="B661" s="290" t="n"/>
      <c r="C661" s="290" t="n"/>
      <c r="D661" s="291" t="n"/>
      <c r="E661" s="290" t="n"/>
      <c r="F661" s="290" t="n"/>
    </row>
    <row r="662" ht="13" customHeight="1" s="189">
      <c r="B662" s="290" t="n"/>
      <c r="C662" s="290" t="n"/>
      <c r="D662" s="291" t="n"/>
      <c r="E662" s="290" t="n"/>
      <c r="F662" s="290" t="n"/>
    </row>
    <row r="663" ht="13" customHeight="1" s="189">
      <c r="B663" s="290" t="n"/>
      <c r="C663" s="290" t="n"/>
      <c r="D663" s="291" t="n"/>
      <c r="E663" s="290" t="n"/>
      <c r="F663" s="290" t="n"/>
    </row>
    <row r="664" ht="13" customHeight="1" s="189">
      <c r="B664" s="290" t="n"/>
      <c r="C664" s="290" t="n"/>
      <c r="D664" s="291" t="n"/>
      <c r="E664" s="290" t="n"/>
      <c r="F664" s="290" t="n"/>
    </row>
    <row r="665" ht="13" customHeight="1" s="189">
      <c r="B665" s="290" t="n"/>
      <c r="C665" s="290" t="n"/>
      <c r="D665" s="291" t="n"/>
      <c r="E665" s="290" t="n"/>
      <c r="F665" s="290" t="n"/>
    </row>
    <row r="666" ht="13" customHeight="1" s="189">
      <c r="B666" s="290" t="n"/>
      <c r="C666" s="290" t="n"/>
      <c r="D666" s="291" t="n"/>
      <c r="E666" s="290" t="n"/>
      <c r="F666" s="290" t="n"/>
    </row>
    <row r="667" ht="13" customHeight="1" s="189">
      <c r="B667" s="290" t="n"/>
      <c r="C667" s="290" t="n"/>
      <c r="D667" s="291" t="n"/>
      <c r="E667" s="290" t="n"/>
      <c r="F667" s="290" t="n"/>
    </row>
    <row r="668" ht="13" customHeight="1" s="189">
      <c r="B668" s="290" t="n"/>
      <c r="C668" s="290" t="n"/>
      <c r="D668" s="291" t="n"/>
      <c r="E668" s="290" t="n"/>
      <c r="F668" s="290" t="n"/>
    </row>
    <row r="669" ht="13" customHeight="1" s="189">
      <c r="B669" s="290" t="n"/>
      <c r="C669" s="290" t="n"/>
      <c r="D669" s="291" t="n"/>
      <c r="E669" s="290" t="n"/>
      <c r="F669" s="290" t="n"/>
    </row>
    <row r="670" ht="13" customHeight="1" s="189">
      <c r="B670" s="290" t="n"/>
      <c r="C670" s="290" t="n"/>
      <c r="D670" s="291" t="n"/>
      <c r="E670" s="290" t="n"/>
      <c r="F670" s="290" t="n"/>
    </row>
    <row r="671" ht="13" customHeight="1" s="189">
      <c r="B671" s="290" t="n"/>
      <c r="C671" s="290" t="n"/>
      <c r="D671" s="291" t="n"/>
      <c r="E671" s="290" t="n"/>
      <c r="F671" s="290" t="n"/>
    </row>
    <row r="672" ht="13" customHeight="1" s="189">
      <c r="B672" s="290" t="n"/>
      <c r="C672" s="290" t="n"/>
      <c r="D672" s="291" t="n"/>
      <c r="E672" s="290" t="n"/>
      <c r="F672" s="290" t="n"/>
    </row>
    <row r="673" ht="13" customHeight="1" s="189">
      <c r="B673" s="290" t="n"/>
      <c r="C673" s="290" t="n"/>
      <c r="D673" s="291" t="n"/>
      <c r="E673" s="290" t="n"/>
      <c r="F673" s="290" t="n"/>
    </row>
    <row r="674" ht="13" customHeight="1" s="189">
      <c r="B674" s="290" t="n"/>
      <c r="C674" s="290" t="n"/>
      <c r="D674" s="291" t="n"/>
      <c r="E674" s="290" t="n"/>
      <c r="F674" s="290" t="n"/>
    </row>
    <row r="675" ht="13" customHeight="1" s="189">
      <c r="B675" s="290" t="n"/>
      <c r="C675" s="290" t="n"/>
      <c r="D675" s="291" t="n"/>
      <c r="E675" s="290" t="n"/>
      <c r="F675" s="290" t="n"/>
    </row>
    <row r="676" ht="13" customHeight="1" s="189">
      <c r="B676" s="290" t="n"/>
      <c r="C676" s="290" t="n"/>
      <c r="D676" s="291" t="n"/>
      <c r="E676" s="290" t="n"/>
      <c r="F676" s="290" t="n"/>
    </row>
    <row r="677" ht="13" customHeight="1" s="189">
      <c r="B677" s="290" t="n"/>
      <c r="C677" s="290" t="n"/>
      <c r="D677" s="291" t="n"/>
      <c r="E677" s="290" t="n"/>
      <c r="F677" s="290" t="n"/>
    </row>
    <row r="678" ht="13" customHeight="1" s="189">
      <c r="B678" s="290" t="n"/>
      <c r="C678" s="290" t="n"/>
      <c r="D678" s="291" t="n"/>
      <c r="E678" s="290" t="n"/>
      <c r="F678" s="290" t="n"/>
    </row>
    <row r="679" ht="13" customHeight="1" s="189">
      <c r="B679" s="290" t="n"/>
      <c r="C679" s="290" t="n"/>
      <c r="D679" s="291" t="n"/>
      <c r="E679" s="290" t="n"/>
      <c r="F679" s="290" t="n"/>
    </row>
    <row r="680" ht="13" customHeight="1" s="189">
      <c r="B680" s="290" t="n"/>
      <c r="C680" s="290" t="n"/>
      <c r="D680" s="291" t="n"/>
      <c r="E680" s="290" t="n"/>
      <c r="F680" s="290" t="n"/>
    </row>
    <row r="681" ht="13" customHeight="1" s="189">
      <c r="B681" s="290" t="n"/>
      <c r="C681" s="290" t="n"/>
      <c r="D681" s="291" t="n"/>
      <c r="E681" s="290" t="n"/>
      <c r="F681" s="290" t="n"/>
    </row>
    <row r="682" ht="13" customHeight="1" s="189">
      <c r="B682" s="290" t="n"/>
      <c r="C682" s="290" t="n"/>
      <c r="D682" s="291" t="n"/>
      <c r="E682" s="290" t="n"/>
      <c r="F682" s="290" t="n"/>
    </row>
    <row r="683" ht="13" customHeight="1" s="189">
      <c r="B683" s="290" t="n"/>
      <c r="C683" s="290" t="n"/>
      <c r="D683" s="291" t="n"/>
      <c r="E683" s="290" t="n"/>
      <c r="F683" s="290" t="n"/>
    </row>
    <row r="684" ht="13" customHeight="1" s="189">
      <c r="B684" s="290" t="n"/>
      <c r="C684" s="290" t="n"/>
      <c r="D684" s="291" t="n"/>
      <c r="E684" s="290" t="n"/>
      <c r="F684" s="290" t="n"/>
    </row>
    <row r="685" ht="13" customHeight="1" s="189">
      <c r="B685" s="290" t="n"/>
      <c r="C685" s="290" t="n"/>
      <c r="D685" s="291" t="n"/>
      <c r="E685" s="290" t="n"/>
      <c r="F685" s="290" t="n"/>
    </row>
    <row r="686" ht="13" customHeight="1" s="189">
      <c r="B686" s="290" t="n"/>
      <c r="C686" s="290" t="n"/>
      <c r="D686" s="291" t="n"/>
      <c r="E686" s="290" t="n"/>
      <c r="F686" s="290" t="n"/>
    </row>
    <row r="687" ht="13" customHeight="1" s="189">
      <c r="B687" s="290" t="n"/>
      <c r="C687" s="290" t="n"/>
      <c r="D687" s="291" t="n"/>
      <c r="E687" s="290" t="n"/>
      <c r="F687" s="290" t="n"/>
    </row>
    <row r="688" ht="13" customHeight="1" s="189">
      <c r="B688" s="290" t="n"/>
      <c r="C688" s="290" t="n"/>
      <c r="D688" s="291" t="n"/>
      <c r="E688" s="290" t="n"/>
      <c r="F688" s="290" t="n"/>
    </row>
    <row r="689" ht="13" customHeight="1" s="189">
      <c r="B689" s="290" t="n"/>
      <c r="C689" s="290" t="n"/>
      <c r="D689" s="291" t="n"/>
      <c r="E689" s="290" t="n"/>
      <c r="F689" s="290" t="n"/>
    </row>
    <row r="690" ht="13" customHeight="1" s="189">
      <c r="B690" s="290" t="n"/>
      <c r="C690" s="290" t="n"/>
      <c r="D690" s="291" t="n"/>
      <c r="E690" s="290" t="n"/>
      <c r="F690" s="290" t="n"/>
    </row>
    <row r="691" ht="13" customHeight="1" s="189">
      <c r="B691" s="290" t="n"/>
      <c r="C691" s="290" t="n"/>
      <c r="D691" s="291" t="n"/>
      <c r="E691" s="290" t="n"/>
      <c r="F691" s="290" t="n"/>
    </row>
    <row r="692" ht="13" customHeight="1" s="189">
      <c r="B692" s="290" t="n"/>
      <c r="C692" s="290" t="n"/>
      <c r="D692" s="291" t="n"/>
      <c r="E692" s="290" t="n"/>
      <c r="F692" s="290" t="n"/>
    </row>
    <row r="693" ht="13" customHeight="1" s="189">
      <c r="B693" s="290" t="n"/>
      <c r="C693" s="290" t="n"/>
      <c r="D693" s="291" t="n"/>
      <c r="E693" s="290" t="n"/>
      <c r="F693" s="290" t="n"/>
    </row>
    <row r="694" ht="13" customHeight="1" s="189">
      <c r="B694" s="290" t="n"/>
      <c r="C694" s="290" t="n"/>
      <c r="D694" s="291" t="n"/>
      <c r="E694" s="290" t="n"/>
      <c r="F694" s="290" t="n"/>
    </row>
    <row r="695" ht="13" customHeight="1" s="189">
      <c r="B695" s="290" t="n"/>
      <c r="C695" s="290" t="n"/>
      <c r="D695" s="291" t="n"/>
      <c r="E695" s="290" t="n"/>
      <c r="F695" s="290" t="n"/>
    </row>
    <row r="696" ht="13" customHeight="1" s="189">
      <c r="B696" s="290" t="n"/>
      <c r="C696" s="290" t="n"/>
      <c r="D696" s="291" t="n"/>
      <c r="E696" s="290" t="n"/>
      <c r="F696" s="290" t="n"/>
    </row>
    <row r="697" ht="13" customHeight="1" s="189">
      <c r="B697" s="290" t="n"/>
      <c r="C697" s="290" t="n"/>
      <c r="D697" s="291" t="n"/>
      <c r="E697" s="290" t="n"/>
      <c r="F697" s="290" t="n"/>
    </row>
    <row r="698" ht="13" customHeight="1" s="189">
      <c r="B698" s="290" t="n"/>
      <c r="C698" s="290" t="n"/>
      <c r="D698" s="291" t="n"/>
      <c r="E698" s="290" t="n"/>
      <c r="F698" s="290" t="n"/>
    </row>
    <row r="699" ht="13" customHeight="1" s="189">
      <c r="B699" s="290" t="n"/>
      <c r="C699" s="290" t="n"/>
      <c r="D699" s="291" t="n"/>
      <c r="E699" s="290" t="n"/>
      <c r="F699" s="290" t="n"/>
    </row>
    <row r="700" ht="13" customHeight="1" s="189">
      <c r="B700" s="290" t="n"/>
      <c r="C700" s="290" t="n"/>
      <c r="D700" s="291" t="n"/>
      <c r="E700" s="290" t="n"/>
      <c r="F700" s="290" t="n"/>
    </row>
    <row r="701" ht="13" customHeight="1" s="189">
      <c r="B701" s="290" t="n"/>
      <c r="C701" s="290" t="n"/>
      <c r="D701" s="291" t="n"/>
      <c r="E701" s="290" t="n"/>
      <c r="F701" s="290" t="n"/>
    </row>
    <row r="702" ht="13" customHeight="1" s="189">
      <c r="B702" s="290" t="n"/>
      <c r="C702" s="290" t="n"/>
      <c r="D702" s="291" t="n"/>
      <c r="E702" s="290" t="n"/>
      <c r="F702" s="290" t="n"/>
    </row>
    <row r="703" ht="13" customHeight="1" s="189">
      <c r="B703" s="290" t="n"/>
      <c r="C703" s="290" t="n"/>
      <c r="D703" s="291" t="n"/>
      <c r="E703" s="290" t="n"/>
      <c r="F703" s="290" t="n"/>
    </row>
    <row r="704" ht="13" customHeight="1" s="189">
      <c r="B704" s="290" t="n"/>
      <c r="C704" s="290" t="n"/>
      <c r="D704" s="291" t="n"/>
      <c r="E704" s="290" t="n"/>
      <c r="F704" s="290" t="n"/>
    </row>
    <row r="705" ht="13" customHeight="1" s="189">
      <c r="B705" s="290" t="n"/>
      <c r="C705" s="290" t="n"/>
      <c r="D705" s="291" t="n"/>
      <c r="E705" s="290" t="n"/>
      <c r="F705" s="290" t="n"/>
    </row>
    <row r="706" ht="13" customHeight="1" s="189">
      <c r="B706" s="290" t="n"/>
      <c r="C706" s="290" t="n"/>
      <c r="D706" s="291" t="n"/>
      <c r="E706" s="290" t="n"/>
      <c r="F706" s="290" t="n"/>
    </row>
    <row r="707" ht="13" customHeight="1" s="189">
      <c r="B707" s="290" t="n"/>
      <c r="C707" s="290" t="n"/>
      <c r="D707" s="291" t="n"/>
      <c r="E707" s="290" t="n"/>
      <c r="F707" s="290" t="n"/>
    </row>
    <row r="708" ht="13" customHeight="1" s="189">
      <c r="B708" s="290" t="n"/>
      <c r="C708" s="290" t="n"/>
      <c r="D708" s="291" t="n"/>
      <c r="E708" s="290" t="n"/>
      <c r="F708" s="290" t="n"/>
    </row>
    <row r="709" ht="13" customHeight="1" s="189">
      <c r="B709" s="290" t="n"/>
      <c r="C709" s="290" t="n"/>
      <c r="D709" s="291" t="n"/>
      <c r="E709" s="290" t="n"/>
      <c r="F709" s="290" t="n"/>
    </row>
    <row r="710" ht="13" customHeight="1" s="189">
      <c r="B710" s="290" t="n"/>
      <c r="C710" s="290" t="n"/>
      <c r="D710" s="291" t="n"/>
      <c r="E710" s="290" t="n"/>
      <c r="F710" s="290" t="n"/>
    </row>
    <row r="711" ht="13" customHeight="1" s="189">
      <c r="B711" s="290" t="n"/>
      <c r="C711" s="290" t="n"/>
      <c r="D711" s="291" t="n"/>
      <c r="E711" s="290" t="n"/>
      <c r="F711" s="290" t="n"/>
    </row>
    <row r="712" ht="13" customHeight="1" s="189">
      <c r="B712" s="290" t="n"/>
      <c r="C712" s="290" t="n"/>
      <c r="D712" s="291" t="n"/>
      <c r="E712" s="290" t="n"/>
      <c r="F712" s="290" t="n"/>
    </row>
    <row r="713" ht="13" customHeight="1" s="189">
      <c r="B713" s="290" t="n"/>
      <c r="C713" s="290" t="n"/>
      <c r="D713" s="291" t="n"/>
      <c r="E713" s="290" t="n"/>
      <c r="F713" s="290" t="n"/>
    </row>
    <row r="714" ht="13" customHeight="1" s="189">
      <c r="B714" s="290" t="n"/>
      <c r="C714" s="290" t="n"/>
      <c r="D714" s="291" t="n"/>
      <c r="E714" s="290" t="n"/>
      <c r="F714" s="290" t="n"/>
    </row>
    <row r="715" ht="13" customHeight="1" s="189">
      <c r="B715" s="290" t="n"/>
      <c r="C715" s="290" t="n"/>
      <c r="D715" s="291" t="n"/>
      <c r="E715" s="290" t="n"/>
      <c r="F715" s="290" t="n"/>
    </row>
    <row r="716" ht="13" customHeight="1" s="189">
      <c r="B716" s="290" t="n"/>
      <c r="C716" s="290" t="n"/>
      <c r="D716" s="291" t="n"/>
      <c r="E716" s="290" t="n"/>
      <c r="F716" s="290" t="n"/>
    </row>
    <row r="717" ht="13" customHeight="1" s="189">
      <c r="B717" s="290" t="n"/>
      <c r="C717" s="290" t="n"/>
      <c r="D717" s="291" t="n"/>
      <c r="E717" s="290" t="n"/>
      <c r="F717" s="290" t="n"/>
    </row>
    <row r="718" ht="13" customHeight="1" s="189">
      <c r="B718" s="290" t="n"/>
      <c r="C718" s="290" t="n"/>
      <c r="D718" s="291" t="n"/>
      <c r="E718" s="290" t="n"/>
      <c r="F718" s="290" t="n"/>
    </row>
    <row r="719" ht="13" customHeight="1" s="189">
      <c r="B719" s="290" t="n"/>
      <c r="C719" s="290" t="n"/>
      <c r="D719" s="291" t="n"/>
      <c r="E719" s="290" t="n"/>
      <c r="F719" s="290" t="n"/>
    </row>
    <row r="720" ht="13" customHeight="1" s="189">
      <c r="B720" s="290" t="n"/>
      <c r="C720" s="290" t="n"/>
      <c r="D720" s="291" t="n"/>
      <c r="E720" s="290" t="n"/>
      <c r="F720" s="290" t="n"/>
    </row>
    <row r="721" ht="13" customHeight="1" s="189">
      <c r="B721" s="290" t="n"/>
      <c r="C721" s="290" t="n"/>
      <c r="D721" s="291" t="n"/>
      <c r="E721" s="290" t="n"/>
      <c r="F721" s="290" t="n"/>
    </row>
    <row r="722" ht="13" customHeight="1" s="189">
      <c r="B722" s="290" t="n"/>
      <c r="C722" s="290" t="n"/>
      <c r="D722" s="291" t="n"/>
      <c r="E722" s="290" t="n"/>
      <c r="F722" s="290" t="n"/>
    </row>
    <row r="723" ht="13" customHeight="1" s="189">
      <c r="B723" s="290" t="n"/>
      <c r="C723" s="290" t="n"/>
      <c r="D723" s="291" t="n"/>
      <c r="E723" s="290" t="n"/>
      <c r="F723" s="290" t="n"/>
    </row>
    <row r="724" ht="13" customHeight="1" s="189">
      <c r="B724" s="290" t="n"/>
      <c r="C724" s="290" t="n"/>
      <c r="D724" s="291" t="n"/>
      <c r="E724" s="290" t="n"/>
      <c r="F724" s="290" t="n"/>
    </row>
    <row r="725" ht="13" customHeight="1" s="189">
      <c r="B725" s="290" t="n"/>
      <c r="C725" s="290" t="n"/>
      <c r="D725" s="291" t="n"/>
      <c r="E725" s="290" t="n"/>
      <c r="F725" s="290" t="n"/>
    </row>
    <row r="726" ht="13" customHeight="1" s="189">
      <c r="B726" s="290" t="n"/>
      <c r="C726" s="290" t="n"/>
      <c r="D726" s="291" t="n"/>
      <c r="E726" s="290" t="n"/>
      <c r="F726" s="290" t="n"/>
    </row>
    <row r="727" ht="13" customHeight="1" s="189">
      <c r="B727" s="290" t="n"/>
      <c r="C727" s="290" t="n"/>
      <c r="D727" s="291" t="n"/>
      <c r="E727" s="290" t="n"/>
      <c r="F727" s="290" t="n"/>
    </row>
    <row r="728" ht="13" customHeight="1" s="189">
      <c r="B728" s="290" t="n"/>
      <c r="C728" s="290" t="n"/>
      <c r="D728" s="291" t="n"/>
      <c r="E728" s="290" t="n"/>
      <c r="F728" s="290" t="n"/>
    </row>
    <row r="729" ht="13" customHeight="1" s="189">
      <c r="B729" s="290" t="n"/>
      <c r="C729" s="290" t="n"/>
      <c r="D729" s="291" t="n"/>
      <c r="E729" s="290" t="n"/>
      <c r="F729" s="290" t="n"/>
    </row>
    <row r="730" ht="13" customHeight="1" s="189">
      <c r="B730" s="290" t="n"/>
      <c r="C730" s="290" t="n"/>
      <c r="D730" s="291" t="n"/>
      <c r="E730" s="290" t="n"/>
      <c r="F730" s="290" t="n"/>
    </row>
    <row r="731" ht="13" customHeight="1" s="189">
      <c r="B731" s="290" t="n"/>
      <c r="C731" s="290" t="n"/>
      <c r="D731" s="291" t="n"/>
      <c r="E731" s="290" t="n"/>
      <c r="F731" s="290" t="n"/>
    </row>
    <row r="732" ht="13" customHeight="1" s="189">
      <c r="B732" s="290" t="n"/>
      <c r="C732" s="290" t="n"/>
      <c r="D732" s="291" t="n"/>
      <c r="E732" s="290" t="n"/>
      <c r="F732" s="290" t="n"/>
    </row>
    <row r="733" ht="13" customHeight="1" s="189">
      <c r="B733" s="290" t="n"/>
      <c r="C733" s="290" t="n"/>
      <c r="D733" s="291" t="n"/>
      <c r="E733" s="290" t="n"/>
      <c r="F733" s="290" t="n"/>
    </row>
    <row r="734" ht="13" customHeight="1" s="189">
      <c r="B734" s="290" t="n"/>
      <c r="C734" s="290" t="n"/>
      <c r="D734" s="291" t="n"/>
      <c r="E734" s="290" t="n"/>
      <c r="F734" s="290" t="n"/>
    </row>
    <row r="735" ht="13" customHeight="1" s="189">
      <c r="B735" s="290" t="n"/>
      <c r="C735" s="290" t="n"/>
      <c r="D735" s="291" t="n"/>
      <c r="E735" s="290" t="n"/>
      <c r="F735" s="290" t="n"/>
    </row>
    <row r="736" ht="13" customHeight="1" s="189">
      <c r="B736" s="290" t="n"/>
      <c r="C736" s="290" t="n"/>
      <c r="D736" s="291" t="n"/>
      <c r="E736" s="290" t="n"/>
      <c r="F736" s="290" t="n"/>
    </row>
    <row r="737" ht="13" customHeight="1" s="189">
      <c r="B737" s="290" t="n"/>
      <c r="C737" s="290" t="n"/>
      <c r="D737" s="291" t="n"/>
      <c r="E737" s="290" t="n"/>
      <c r="F737" s="290" t="n"/>
    </row>
    <row r="738" ht="13" customHeight="1" s="189">
      <c r="B738" s="290" t="n"/>
      <c r="C738" s="290" t="n"/>
      <c r="D738" s="291" t="n"/>
      <c r="E738" s="290" t="n"/>
      <c r="F738" s="290" t="n"/>
    </row>
    <row r="739" ht="13" customHeight="1" s="189">
      <c r="B739" s="290" t="n"/>
      <c r="C739" s="290" t="n"/>
      <c r="D739" s="291" t="n"/>
      <c r="E739" s="290" t="n"/>
      <c r="F739" s="290" t="n"/>
    </row>
    <row r="740" ht="13" customHeight="1" s="189">
      <c r="B740" s="290" t="n"/>
      <c r="C740" s="290" t="n"/>
      <c r="D740" s="291" t="n"/>
      <c r="E740" s="290" t="n"/>
      <c r="F740" s="290" t="n"/>
    </row>
    <row r="741" ht="13" customHeight="1" s="189">
      <c r="B741" s="290" t="n"/>
      <c r="C741" s="290" t="n"/>
      <c r="D741" s="291" t="n"/>
      <c r="E741" s="290" t="n"/>
      <c r="F741" s="290" t="n"/>
    </row>
    <row r="742" ht="13" customHeight="1" s="189">
      <c r="B742" s="290" t="n"/>
      <c r="C742" s="290" t="n"/>
      <c r="D742" s="291" t="n"/>
      <c r="E742" s="290" t="n"/>
      <c r="F742" s="290" t="n"/>
    </row>
    <row r="743" ht="13" customHeight="1" s="189">
      <c r="B743" s="290" t="n"/>
      <c r="C743" s="290" t="n"/>
      <c r="D743" s="291" t="n"/>
      <c r="E743" s="290" t="n"/>
      <c r="F743" s="290" t="n"/>
    </row>
    <row r="744" ht="13" customHeight="1" s="189">
      <c r="B744" s="290" t="n"/>
      <c r="C744" s="290" t="n"/>
      <c r="D744" s="291" t="n"/>
      <c r="E744" s="290" t="n"/>
      <c r="F744" s="290" t="n"/>
    </row>
    <row r="745" ht="13" customHeight="1" s="189">
      <c r="B745" s="290" t="n"/>
      <c r="C745" s="290" t="n"/>
      <c r="D745" s="291" t="n"/>
      <c r="E745" s="290" t="n"/>
      <c r="F745" s="290" t="n"/>
    </row>
    <row r="746" ht="13" customHeight="1" s="189">
      <c r="B746" s="290" t="n"/>
      <c r="C746" s="290" t="n"/>
      <c r="D746" s="291" t="n"/>
      <c r="E746" s="290" t="n"/>
      <c r="F746" s="290" t="n"/>
    </row>
    <row r="747" ht="13" customHeight="1" s="189">
      <c r="B747" s="290" t="n"/>
      <c r="C747" s="290" t="n"/>
      <c r="D747" s="291" t="n"/>
      <c r="E747" s="290" t="n"/>
      <c r="F747" s="290" t="n"/>
    </row>
    <row r="748" ht="13" customHeight="1" s="189">
      <c r="B748" s="290" t="n"/>
      <c r="C748" s="290" t="n"/>
      <c r="D748" s="291" t="n"/>
      <c r="E748" s="290" t="n"/>
      <c r="F748" s="290" t="n"/>
    </row>
    <row r="749" ht="13" customHeight="1" s="189">
      <c r="B749" s="290" t="n"/>
      <c r="C749" s="290" t="n"/>
      <c r="D749" s="291" t="n"/>
      <c r="E749" s="290" t="n"/>
      <c r="F749" s="290" t="n"/>
    </row>
    <row r="750" ht="13" customHeight="1" s="189">
      <c r="B750" s="290" t="n"/>
      <c r="C750" s="290" t="n"/>
      <c r="D750" s="291" t="n"/>
      <c r="E750" s="290" t="n"/>
      <c r="F750" s="290" t="n"/>
    </row>
    <row r="751" ht="13" customHeight="1" s="189">
      <c r="B751" s="290" t="n"/>
      <c r="C751" s="290" t="n"/>
      <c r="D751" s="291" t="n"/>
      <c r="E751" s="290" t="n"/>
      <c r="F751" s="290" t="n"/>
    </row>
    <row r="752" ht="13" customHeight="1" s="189">
      <c r="B752" s="290" t="n"/>
      <c r="C752" s="290" t="n"/>
      <c r="D752" s="291" t="n"/>
      <c r="E752" s="290" t="n"/>
      <c r="F752" s="290" t="n"/>
    </row>
    <row r="753" ht="13" customHeight="1" s="189">
      <c r="B753" s="290" t="n"/>
      <c r="C753" s="290" t="n"/>
      <c r="D753" s="291" t="n"/>
      <c r="E753" s="290" t="n"/>
      <c r="F753" s="290" t="n"/>
    </row>
    <row r="754" ht="13" customHeight="1" s="189">
      <c r="B754" s="290" t="n"/>
      <c r="C754" s="290" t="n"/>
      <c r="D754" s="291" t="n"/>
      <c r="E754" s="290" t="n"/>
      <c r="F754" s="290" t="n"/>
    </row>
    <row r="755" ht="13" customHeight="1" s="189">
      <c r="B755" s="290" t="n"/>
      <c r="C755" s="290" t="n"/>
      <c r="D755" s="291" t="n"/>
      <c r="E755" s="290" t="n"/>
      <c r="F755" s="290" t="n"/>
    </row>
    <row r="756" ht="13" customHeight="1" s="189">
      <c r="B756" s="290" t="n"/>
      <c r="C756" s="290" t="n"/>
      <c r="D756" s="291" t="n"/>
      <c r="E756" s="290" t="n"/>
      <c r="F756" s="290" t="n"/>
    </row>
    <row r="757" ht="13" customHeight="1" s="189">
      <c r="B757" s="290" t="n"/>
      <c r="C757" s="290" t="n"/>
      <c r="D757" s="291" t="n"/>
      <c r="E757" s="290" t="n"/>
      <c r="F757" s="290" t="n"/>
    </row>
    <row r="758" ht="13" customHeight="1" s="189">
      <c r="B758" s="290" t="n"/>
      <c r="C758" s="290" t="n"/>
      <c r="D758" s="291" t="n"/>
      <c r="E758" s="290" t="n"/>
      <c r="F758" s="290" t="n"/>
    </row>
    <row r="759" ht="13" customHeight="1" s="189">
      <c r="B759" s="290" t="n"/>
      <c r="C759" s="290" t="n"/>
      <c r="D759" s="291" t="n"/>
      <c r="E759" s="290" t="n"/>
      <c r="F759" s="290" t="n"/>
    </row>
    <row r="760" ht="13" customHeight="1" s="189">
      <c r="B760" s="290" t="n"/>
      <c r="C760" s="290" t="n"/>
      <c r="D760" s="291" t="n"/>
      <c r="E760" s="290" t="n"/>
      <c r="F760" s="290" t="n"/>
    </row>
    <row r="761" ht="13" customHeight="1" s="189">
      <c r="B761" s="290" t="n"/>
      <c r="C761" s="290" t="n"/>
      <c r="D761" s="291" t="n"/>
      <c r="E761" s="290" t="n"/>
      <c r="F761" s="290" t="n"/>
    </row>
    <row r="762" ht="13" customHeight="1" s="189">
      <c r="B762" s="290" t="n"/>
      <c r="C762" s="290" t="n"/>
      <c r="D762" s="291" t="n"/>
      <c r="E762" s="290" t="n"/>
      <c r="F762" s="290" t="n"/>
    </row>
    <row r="763" ht="13" customHeight="1" s="189">
      <c r="B763" s="290" t="n"/>
      <c r="C763" s="290" t="n"/>
      <c r="D763" s="291" t="n"/>
      <c r="E763" s="290" t="n"/>
      <c r="F763" s="290" t="n"/>
    </row>
    <row r="764" ht="13" customHeight="1" s="189">
      <c r="B764" s="290" t="n"/>
      <c r="C764" s="290" t="n"/>
      <c r="D764" s="291" t="n"/>
      <c r="E764" s="290" t="n"/>
      <c r="F764" s="290" t="n"/>
    </row>
    <row r="765" ht="13" customHeight="1" s="189">
      <c r="B765" s="290" t="n"/>
      <c r="C765" s="290" t="n"/>
      <c r="D765" s="291" t="n"/>
      <c r="E765" s="290" t="n"/>
      <c r="F765" s="290" t="n"/>
    </row>
    <row r="766" ht="13" customHeight="1" s="189">
      <c r="B766" s="290" t="n"/>
      <c r="C766" s="290" t="n"/>
      <c r="D766" s="291" t="n"/>
      <c r="E766" s="290" t="n"/>
      <c r="F766" s="290" t="n"/>
    </row>
    <row r="767" ht="13" customHeight="1" s="189">
      <c r="B767" s="290" t="n"/>
      <c r="C767" s="290" t="n"/>
      <c r="D767" s="291" t="n"/>
      <c r="E767" s="290" t="n"/>
      <c r="F767" s="290" t="n"/>
    </row>
    <row r="768" ht="13" customHeight="1" s="189">
      <c r="B768" s="290" t="n"/>
      <c r="C768" s="290" t="n"/>
      <c r="D768" s="291" t="n"/>
      <c r="E768" s="290" t="n"/>
      <c r="F768" s="290" t="n"/>
    </row>
    <row r="769" ht="13" customHeight="1" s="189">
      <c r="B769" s="290" t="n"/>
      <c r="C769" s="290" t="n"/>
      <c r="D769" s="291" t="n"/>
      <c r="E769" s="290" t="n"/>
      <c r="F769" s="290" t="n"/>
    </row>
    <row r="770" ht="13" customHeight="1" s="189">
      <c r="B770" s="290" t="n"/>
      <c r="C770" s="290" t="n"/>
      <c r="D770" s="291" t="n"/>
      <c r="E770" s="290" t="n"/>
      <c r="F770" s="290" t="n"/>
    </row>
    <row r="771" ht="13" customHeight="1" s="189">
      <c r="B771" s="290" t="n"/>
      <c r="C771" s="290" t="n"/>
      <c r="D771" s="291" t="n"/>
      <c r="E771" s="290" t="n"/>
      <c r="F771" s="290" t="n"/>
    </row>
    <row r="772" ht="13" customHeight="1" s="189">
      <c r="B772" s="290" t="n"/>
      <c r="C772" s="290" t="n"/>
      <c r="D772" s="291" t="n"/>
      <c r="E772" s="290" t="n"/>
      <c r="F772" s="290" t="n"/>
    </row>
    <row r="773" ht="13" customHeight="1" s="189">
      <c r="B773" s="290" t="n"/>
      <c r="C773" s="290" t="n"/>
      <c r="D773" s="291" t="n"/>
      <c r="E773" s="290" t="n"/>
      <c r="F773" s="290" t="n"/>
    </row>
    <row r="774" ht="13" customHeight="1" s="189">
      <c r="B774" s="290" t="n"/>
      <c r="C774" s="290" t="n"/>
      <c r="D774" s="291" t="n"/>
      <c r="E774" s="290" t="n"/>
      <c r="F774" s="290" t="n"/>
    </row>
    <row r="775" ht="13" customHeight="1" s="189">
      <c r="B775" s="290" t="n"/>
      <c r="C775" s="290" t="n"/>
      <c r="D775" s="291" t="n"/>
      <c r="E775" s="290" t="n"/>
      <c r="F775" s="290" t="n"/>
    </row>
    <row r="776" ht="13" customHeight="1" s="189">
      <c r="B776" s="290" t="n"/>
      <c r="C776" s="290" t="n"/>
      <c r="D776" s="291" t="n"/>
      <c r="E776" s="290" t="n"/>
      <c r="F776" s="290" t="n"/>
    </row>
    <row r="777" ht="13" customHeight="1" s="189">
      <c r="B777" s="290" t="n"/>
      <c r="C777" s="290" t="n"/>
      <c r="D777" s="291" t="n"/>
      <c r="E777" s="290" t="n"/>
      <c r="F777" s="290" t="n"/>
    </row>
    <row r="778" ht="13" customHeight="1" s="189">
      <c r="B778" s="290" t="n"/>
      <c r="C778" s="290" t="n"/>
      <c r="D778" s="291" t="n"/>
      <c r="E778" s="290" t="n"/>
      <c r="F778" s="290" t="n"/>
    </row>
    <row r="779" ht="13" customHeight="1" s="189">
      <c r="B779" s="290" t="n"/>
      <c r="C779" s="290" t="n"/>
      <c r="D779" s="291" t="n"/>
      <c r="E779" s="290" t="n"/>
      <c r="F779" s="290" t="n"/>
    </row>
    <row r="780" ht="13" customHeight="1" s="189">
      <c r="B780" s="290" t="n"/>
      <c r="C780" s="290" t="n"/>
      <c r="D780" s="291" t="n"/>
      <c r="E780" s="290" t="n"/>
      <c r="F780" s="290" t="n"/>
    </row>
    <row r="781" ht="13" customHeight="1" s="189">
      <c r="B781" s="290" t="n"/>
      <c r="C781" s="290" t="n"/>
      <c r="D781" s="291" t="n"/>
      <c r="E781" s="290" t="n"/>
      <c r="F781" s="290" t="n"/>
    </row>
    <row r="782" ht="13" customHeight="1" s="189">
      <c r="B782" s="290" t="n"/>
      <c r="C782" s="290" t="n"/>
      <c r="D782" s="291" t="n"/>
      <c r="E782" s="290" t="n"/>
      <c r="F782" s="290" t="n"/>
    </row>
    <row r="783" ht="13" customHeight="1" s="189">
      <c r="B783" s="290" t="n"/>
      <c r="C783" s="290" t="n"/>
      <c r="D783" s="291" t="n"/>
      <c r="E783" s="290" t="n"/>
      <c r="F783" s="290" t="n"/>
    </row>
    <row r="784" ht="13" customHeight="1" s="189">
      <c r="B784" s="290" t="n"/>
      <c r="C784" s="290" t="n"/>
      <c r="D784" s="291" t="n"/>
      <c r="E784" s="290" t="n"/>
      <c r="F784" s="290" t="n"/>
    </row>
    <row r="785" ht="13" customHeight="1" s="189">
      <c r="B785" s="290" t="n"/>
      <c r="C785" s="290" t="n"/>
      <c r="D785" s="291" t="n"/>
      <c r="E785" s="290" t="n"/>
      <c r="F785" s="290" t="n"/>
    </row>
    <row r="786" ht="13" customHeight="1" s="189">
      <c r="B786" s="290" t="n"/>
      <c r="C786" s="290" t="n"/>
      <c r="D786" s="291" t="n"/>
      <c r="E786" s="290" t="n"/>
      <c r="F786" s="290" t="n"/>
    </row>
    <row r="787" ht="13" customHeight="1" s="189">
      <c r="B787" s="290" t="n"/>
      <c r="C787" s="290" t="n"/>
      <c r="D787" s="291" t="n"/>
      <c r="E787" s="290" t="n"/>
      <c r="F787" s="290" t="n"/>
    </row>
    <row r="788" ht="13" customHeight="1" s="189">
      <c r="B788" s="290" t="n"/>
      <c r="C788" s="290" t="n"/>
      <c r="D788" s="291" t="n"/>
      <c r="E788" s="290" t="n"/>
      <c r="F788" s="290" t="n"/>
    </row>
    <row r="789" ht="13" customHeight="1" s="189">
      <c r="B789" s="290" t="n"/>
      <c r="C789" s="290" t="n"/>
      <c r="D789" s="291" t="n"/>
      <c r="E789" s="290" t="n"/>
      <c r="F789" s="290" t="n"/>
    </row>
    <row r="790" ht="13" customHeight="1" s="189">
      <c r="B790" s="290" t="n"/>
      <c r="C790" s="290" t="n"/>
      <c r="D790" s="291" t="n"/>
      <c r="E790" s="290" t="n"/>
      <c r="F790" s="290" t="n"/>
    </row>
    <row r="791" ht="13" customHeight="1" s="189">
      <c r="B791" s="290" t="n"/>
      <c r="C791" s="290" t="n"/>
      <c r="D791" s="291" t="n"/>
      <c r="E791" s="290" t="n"/>
      <c r="F791" s="290" t="n"/>
    </row>
    <row r="792" ht="13" customHeight="1" s="189">
      <c r="B792" s="290" t="n"/>
      <c r="C792" s="290" t="n"/>
      <c r="D792" s="291" t="n"/>
      <c r="E792" s="290" t="n"/>
      <c r="F792" s="290" t="n"/>
    </row>
    <row r="793" ht="13" customHeight="1" s="189">
      <c r="B793" s="290" t="n"/>
      <c r="C793" s="290" t="n"/>
      <c r="D793" s="291" t="n"/>
      <c r="E793" s="290" t="n"/>
      <c r="F793" s="290" t="n"/>
    </row>
    <row r="794" ht="13" customHeight="1" s="189">
      <c r="B794" s="290" t="n"/>
      <c r="C794" s="290" t="n"/>
      <c r="D794" s="291" t="n"/>
      <c r="E794" s="290" t="n"/>
      <c r="F794" s="290" t="n"/>
    </row>
    <row r="795" ht="13" customHeight="1" s="189">
      <c r="B795" s="290" t="n"/>
      <c r="C795" s="290" t="n"/>
      <c r="D795" s="291" t="n"/>
      <c r="E795" s="290" t="n"/>
      <c r="F795" s="290" t="n"/>
    </row>
    <row r="796" ht="13" customHeight="1" s="189">
      <c r="B796" s="290" t="n"/>
      <c r="C796" s="290" t="n"/>
      <c r="D796" s="291" t="n"/>
      <c r="E796" s="290" t="n"/>
      <c r="F796" s="290" t="n"/>
    </row>
    <row r="797" ht="13" customHeight="1" s="189">
      <c r="B797" s="290" t="n"/>
      <c r="C797" s="290" t="n"/>
      <c r="D797" s="291" t="n"/>
      <c r="E797" s="290" t="n"/>
      <c r="F797" s="290" t="n"/>
    </row>
    <row r="798" ht="13" customHeight="1" s="189">
      <c r="B798" s="290" t="n"/>
      <c r="C798" s="290" t="n"/>
      <c r="D798" s="291" t="n"/>
      <c r="E798" s="290" t="n"/>
      <c r="F798" s="290" t="n"/>
    </row>
    <row r="799" ht="13" customHeight="1" s="189">
      <c r="B799" s="290" t="n"/>
      <c r="C799" s="290" t="n"/>
      <c r="D799" s="291" t="n"/>
      <c r="E799" s="290" t="n"/>
      <c r="F799" s="290" t="n"/>
    </row>
    <row r="800" ht="13" customHeight="1" s="189">
      <c r="B800" s="290" t="n"/>
      <c r="C800" s="290" t="n"/>
      <c r="D800" s="291" t="n"/>
      <c r="E800" s="290" t="n"/>
      <c r="F800" s="290" t="n"/>
    </row>
    <row r="801" ht="13" customHeight="1" s="189">
      <c r="B801" s="290" t="n"/>
      <c r="C801" s="290" t="n"/>
      <c r="D801" s="291" t="n"/>
      <c r="E801" s="290" t="n"/>
      <c r="F801" s="290" t="n"/>
    </row>
    <row r="802" ht="13" customHeight="1" s="189">
      <c r="B802" s="290" t="n"/>
      <c r="C802" s="290" t="n"/>
      <c r="D802" s="291" t="n"/>
      <c r="E802" s="290" t="n"/>
      <c r="F802" s="290" t="n"/>
    </row>
    <row r="803" ht="13" customHeight="1" s="189">
      <c r="B803" s="290" t="n"/>
      <c r="C803" s="290" t="n"/>
      <c r="D803" s="291" t="n"/>
      <c r="E803" s="290" t="n"/>
      <c r="F803" s="290" t="n"/>
    </row>
    <row r="804" ht="13" customHeight="1" s="189">
      <c r="B804" s="290" t="n"/>
      <c r="C804" s="290" t="n"/>
      <c r="D804" s="291" t="n"/>
      <c r="E804" s="290" t="n"/>
      <c r="F804" s="290" t="n"/>
    </row>
    <row r="805" ht="13" customHeight="1" s="189">
      <c r="B805" s="290" t="n"/>
      <c r="C805" s="290" t="n"/>
      <c r="D805" s="291" t="n"/>
      <c r="E805" s="290" t="n"/>
      <c r="F805" s="290" t="n"/>
    </row>
    <row r="806" ht="13" customHeight="1" s="189">
      <c r="B806" s="290" t="n"/>
      <c r="C806" s="290" t="n"/>
      <c r="D806" s="291" t="n"/>
      <c r="E806" s="290" t="n"/>
      <c r="F806" s="290" t="n"/>
    </row>
    <row r="807" ht="13" customHeight="1" s="189">
      <c r="B807" s="290" t="n"/>
      <c r="C807" s="290" t="n"/>
      <c r="D807" s="291" t="n"/>
      <c r="E807" s="290" t="n"/>
      <c r="F807" s="290" t="n"/>
    </row>
    <row r="808" ht="13" customHeight="1" s="189">
      <c r="B808" s="290" t="n"/>
      <c r="C808" s="290" t="n"/>
      <c r="D808" s="291" t="n"/>
      <c r="E808" s="290" t="n"/>
      <c r="F808" s="290" t="n"/>
    </row>
    <row r="809" ht="13" customHeight="1" s="189">
      <c r="B809" s="290" t="n"/>
      <c r="C809" s="290" t="n"/>
      <c r="D809" s="291" t="n"/>
      <c r="E809" s="290" t="n"/>
      <c r="F809" s="290" t="n"/>
    </row>
    <row r="810" ht="13" customHeight="1" s="189">
      <c r="B810" s="290" t="n"/>
      <c r="C810" s="290" t="n"/>
      <c r="D810" s="291" t="n"/>
      <c r="E810" s="290" t="n"/>
      <c r="F810" s="290" t="n"/>
    </row>
    <row r="811" ht="13" customHeight="1" s="189">
      <c r="B811" s="290" t="n"/>
      <c r="C811" s="290" t="n"/>
      <c r="D811" s="291" t="n"/>
      <c r="E811" s="290" t="n"/>
      <c r="F811" s="290" t="n"/>
    </row>
    <row r="812" ht="13" customHeight="1" s="189">
      <c r="B812" s="290" t="n"/>
      <c r="C812" s="290" t="n"/>
      <c r="D812" s="291" t="n"/>
      <c r="E812" s="290" t="n"/>
      <c r="F812" s="290" t="n"/>
    </row>
    <row r="813" ht="13" customHeight="1" s="189">
      <c r="B813" s="290" t="n"/>
      <c r="C813" s="290" t="n"/>
      <c r="D813" s="291" t="n"/>
      <c r="E813" s="290" t="n"/>
      <c r="F813" s="290" t="n"/>
    </row>
    <row r="814" ht="13" customHeight="1" s="189">
      <c r="B814" s="290" t="n"/>
      <c r="C814" s="290" t="n"/>
      <c r="D814" s="291" t="n"/>
      <c r="E814" s="290" t="n"/>
      <c r="F814" s="290" t="n"/>
    </row>
    <row r="815" ht="13" customHeight="1" s="189">
      <c r="B815" s="290" t="n"/>
      <c r="C815" s="290" t="n"/>
      <c r="D815" s="291" t="n"/>
      <c r="E815" s="290" t="n"/>
      <c r="F815" s="290" t="n"/>
    </row>
    <row r="816" ht="13" customHeight="1" s="189">
      <c r="B816" s="290" t="n"/>
      <c r="C816" s="290" t="n"/>
      <c r="D816" s="291" t="n"/>
      <c r="E816" s="290" t="n"/>
      <c r="F816" s="290" t="n"/>
    </row>
    <row r="817" ht="13" customHeight="1" s="189">
      <c r="B817" s="290" t="n"/>
      <c r="C817" s="290" t="n"/>
      <c r="D817" s="291" t="n"/>
      <c r="E817" s="290" t="n"/>
      <c r="F817" s="290" t="n"/>
    </row>
    <row r="818" ht="13" customHeight="1" s="189">
      <c r="B818" s="290" t="n"/>
      <c r="C818" s="290" t="n"/>
      <c r="D818" s="291" t="n"/>
      <c r="E818" s="290" t="n"/>
      <c r="F818" s="290" t="n"/>
    </row>
    <row r="819" ht="13" customHeight="1" s="189">
      <c r="B819" s="290" t="n"/>
      <c r="C819" s="290" t="n"/>
      <c r="D819" s="291" t="n"/>
      <c r="E819" s="290" t="n"/>
      <c r="F819" s="290" t="n"/>
    </row>
    <row r="820" ht="13" customHeight="1" s="189">
      <c r="B820" s="290" t="n"/>
      <c r="C820" s="290" t="n"/>
      <c r="D820" s="291" t="n"/>
      <c r="E820" s="290" t="n"/>
      <c r="F820" s="290" t="n"/>
    </row>
    <row r="821" ht="13" customHeight="1" s="189">
      <c r="B821" s="290" t="n"/>
      <c r="C821" s="290" t="n"/>
      <c r="D821" s="291" t="n"/>
      <c r="E821" s="290" t="n"/>
      <c r="F821" s="290" t="n"/>
    </row>
    <row r="822" ht="13" customHeight="1" s="189">
      <c r="B822" s="290" t="n"/>
      <c r="C822" s="290" t="n"/>
      <c r="D822" s="291" t="n"/>
      <c r="E822" s="290" t="n"/>
      <c r="F822" s="290" t="n"/>
    </row>
    <row r="823" ht="13" customHeight="1" s="189">
      <c r="B823" s="290" t="n"/>
      <c r="C823" s="290" t="n"/>
      <c r="D823" s="291" t="n"/>
      <c r="E823" s="290" t="n"/>
      <c r="F823" s="290" t="n"/>
    </row>
    <row r="824" ht="13" customHeight="1" s="189">
      <c r="B824" s="290" t="n"/>
      <c r="C824" s="290" t="n"/>
      <c r="D824" s="291" t="n"/>
      <c r="E824" s="290" t="n"/>
      <c r="F824" s="290" t="n"/>
    </row>
    <row r="825" ht="13" customHeight="1" s="189">
      <c r="B825" s="290" t="n"/>
      <c r="C825" s="290" t="n"/>
      <c r="D825" s="291" t="n"/>
      <c r="E825" s="290" t="n"/>
      <c r="F825" s="290" t="n"/>
    </row>
    <row r="826" ht="13" customHeight="1" s="189">
      <c r="B826" s="290" t="n"/>
      <c r="C826" s="290" t="n"/>
      <c r="D826" s="291" t="n"/>
      <c r="E826" s="290" t="n"/>
      <c r="F826" s="290" t="n"/>
    </row>
    <row r="827" ht="13" customHeight="1" s="189">
      <c r="B827" s="290" t="n"/>
      <c r="C827" s="290" t="n"/>
      <c r="D827" s="291" t="n"/>
      <c r="E827" s="290" t="n"/>
      <c r="F827" s="290" t="n"/>
    </row>
    <row r="828" ht="13" customHeight="1" s="189">
      <c r="B828" s="290" t="n"/>
      <c r="C828" s="290" t="n"/>
      <c r="D828" s="291" t="n"/>
      <c r="E828" s="290" t="n"/>
      <c r="F828" s="290" t="n"/>
    </row>
    <row r="829" ht="13" customHeight="1" s="189">
      <c r="B829" s="290" t="n"/>
      <c r="C829" s="290" t="n"/>
      <c r="D829" s="291" t="n"/>
      <c r="E829" s="290" t="n"/>
      <c r="F829" s="290" t="n"/>
    </row>
    <row r="830" ht="13" customHeight="1" s="189">
      <c r="B830" s="290" t="n"/>
      <c r="C830" s="290" t="n"/>
      <c r="D830" s="291" t="n"/>
      <c r="E830" s="290" t="n"/>
      <c r="F830" s="290" t="n"/>
    </row>
    <row r="831" ht="13" customHeight="1" s="189">
      <c r="B831" s="290" t="n"/>
      <c r="C831" s="290" t="n"/>
      <c r="D831" s="291" t="n"/>
      <c r="E831" s="290" t="n"/>
      <c r="F831" s="290" t="n"/>
    </row>
    <row r="832" ht="13" customHeight="1" s="189">
      <c r="B832" s="290" t="n"/>
      <c r="C832" s="290" t="n"/>
      <c r="D832" s="291" t="n"/>
      <c r="E832" s="290" t="n"/>
      <c r="F832" s="290" t="n"/>
    </row>
    <row r="833" ht="13" customHeight="1" s="189">
      <c r="B833" s="290" t="n"/>
      <c r="C833" s="290" t="n"/>
      <c r="D833" s="291" t="n"/>
      <c r="E833" s="290" t="n"/>
      <c r="F833" s="290" t="n"/>
    </row>
    <row r="834" ht="13" customHeight="1" s="189">
      <c r="B834" s="290" t="n"/>
      <c r="C834" s="290" t="n"/>
      <c r="D834" s="291" t="n"/>
      <c r="E834" s="290" t="n"/>
      <c r="F834" s="290" t="n"/>
    </row>
    <row r="835" ht="13" customHeight="1" s="189">
      <c r="B835" s="290" t="n"/>
      <c r="C835" s="290" t="n"/>
      <c r="D835" s="291" t="n"/>
      <c r="E835" s="290" t="n"/>
      <c r="F835" s="290" t="n"/>
    </row>
    <row r="836" ht="13" customHeight="1" s="189">
      <c r="B836" s="290" t="n"/>
      <c r="C836" s="290" t="n"/>
      <c r="D836" s="291" t="n"/>
      <c r="E836" s="290" t="n"/>
      <c r="F836" s="290" t="n"/>
    </row>
    <row r="837" ht="13" customHeight="1" s="189">
      <c r="B837" s="290" t="n"/>
      <c r="C837" s="290" t="n"/>
      <c r="D837" s="291" t="n"/>
      <c r="E837" s="290" t="n"/>
      <c r="F837" s="290" t="n"/>
    </row>
    <row r="838" ht="13" customHeight="1" s="189">
      <c r="B838" s="290" t="n"/>
      <c r="C838" s="290" t="n"/>
      <c r="D838" s="291" t="n"/>
      <c r="E838" s="290" t="n"/>
      <c r="F838" s="290" t="n"/>
    </row>
    <row r="839" ht="13" customHeight="1" s="189">
      <c r="B839" s="290" t="n"/>
      <c r="C839" s="290" t="n"/>
      <c r="D839" s="291" t="n"/>
      <c r="E839" s="290" t="n"/>
      <c r="F839" s="290" t="n"/>
    </row>
    <row r="840" ht="13" customHeight="1" s="189">
      <c r="B840" s="290" t="n"/>
      <c r="C840" s="290" t="n"/>
      <c r="D840" s="291" t="n"/>
      <c r="E840" s="290" t="n"/>
      <c r="F840" s="290" t="n"/>
    </row>
    <row r="841" ht="13" customHeight="1" s="189">
      <c r="B841" s="290" t="n"/>
      <c r="C841" s="290" t="n"/>
      <c r="D841" s="291" t="n"/>
      <c r="E841" s="290" t="n"/>
      <c r="F841" s="290" t="n"/>
    </row>
    <row r="842" ht="13" customHeight="1" s="189">
      <c r="B842" s="290" t="n"/>
      <c r="C842" s="290" t="n"/>
      <c r="D842" s="291" t="n"/>
      <c r="E842" s="290" t="n"/>
      <c r="F842" s="290" t="n"/>
    </row>
    <row r="843" ht="13" customHeight="1" s="189">
      <c r="B843" s="290" t="n"/>
      <c r="C843" s="290" t="n"/>
      <c r="D843" s="291" t="n"/>
      <c r="E843" s="290" t="n"/>
      <c r="F843" s="290" t="n"/>
    </row>
    <row r="844" ht="13" customHeight="1" s="189">
      <c r="B844" s="290" t="n"/>
      <c r="C844" s="290" t="n"/>
      <c r="D844" s="291" t="n"/>
      <c r="E844" s="290" t="n"/>
      <c r="F844" s="290" t="n"/>
    </row>
    <row r="845" ht="13" customHeight="1" s="189">
      <c r="B845" s="290" t="n"/>
      <c r="C845" s="290" t="n"/>
      <c r="D845" s="291" t="n"/>
      <c r="E845" s="290" t="n"/>
      <c r="F845" s="290" t="n"/>
    </row>
    <row r="846" ht="13" customHeight="1" s="189">
      <c r="B846" s="290" t="n"/>
      <c r="C846" s="290" t="n"/>
      <c r="D846" s="291" t="n"/>
      <c r="E846" s="290" t="n"/>
      <c r="F846" s="290" t="n"/>
    </row>
    <row r="847" ht="13" customHeight="1" s="189">
      <c r="B847" s="290" t="n"/>
      <c r="C847" s="290" t="n"/>
      <c r="D847" s="291" t="n"/>
      <c r="E847" s="290" t="n"/>
      <c r="F847" s="290" t="n"/>
    </row>
    <row r="848" ht="13" customHeight="1" s="189">
      <c r="B848" s="290" t="n"/>
      <c r="C848" s="290" t="n"/>
      <c r="D848" s="291" t="n"/>
      <c r="E848" s="290" t="n"/>
      <c r="F848" s="290" t="n"/>
    </row>
    <row r="849" ht="13" customHeight="1" s="189">
      <c r="B849" s="290" t="n"/>
      <c r="C849" s="290" t="n"/>
      <c r="D849" s="291" t="n"/>
      <c r="E849" s="290" t="n"/>
      <c r="F849" s="290" t="n"/>
    </row>
    <row r="850" ht="13" customHeight="1" s="189">
      <c r="B850" s="290" t="n"/>
      <c r="C850" s="290" t="n"/>
      <c r="D850" s="291" t="n"/>
      <c r="E850" s="290" t="n"/>
      <c r="F850" s="290" t="n"/>
    </row>
    <row r="851" ht="13" customHeight="1" s="189">
      <c r="B851" s="290" t="n"/>
      <c r="C851" s="290" t="n"/>
      <c r="D851" s="291" t="n"/>
      <c r="E851" s="290" t="n"/>
      <c r="F851" s="290" t="n"/>
    </row>
    <row r="852" ht="13" customHeight="1" s="189">
      <c r="B852" s="290" t="n"/>
      <c r="C852" s="290" t="n"/>
      <c r="D852" s="291" t="n"/>
      <c r="E852" s="290" t="n"/>
      <c r="F852" s="290" t="n"/>
    </row>
    <row r="853" ht="13" customHeight="1" s="189">
      <c r="B853" s="290" t="n"/>
      <c r="C853" s="290" t="n"/>
      <c r="D853" s="291" t="n"/>
      <c r="E853" s="290" t="n"/>
      <c r="F853" s="290" t="n"/>
    </row>
    <row r="854" ht="13" customHeight="1" s="189">
      <c r="B854" s="290" t="n"/>
      <c r="C854" s="290" t="n"/>
      <c r="D854" s="291" t="n"/>
      <c r="E854" s="290" t="n"/>
      <c r="F854" s="290" t="n"/>
    </row>
    <row r="855" ht="13" customHeight="1" s="189">
      <c r="B855" s="290" t="n"/>
      <c r="C855" s="290" t="n"/>
      <c r="D855" s="291" t="n"/>
      <c r="E855" s="290" t="n"/>
      <c r="F855" s="290" t="n"/>
    </row>
    <row r="856" ht="13" customHeight="1" s="189">
      <c r="B856" s="290" t="n"/>
      <c r="C856" s="290" t="n"/>
      <c r="D856" s="291" t="n"/>
      <c r="E856" s="290" t="n"/>
      <c r="F856" s="290" t="n"/>
    </row>
    <row r="857" ht="13" customHeight="1" s="189">
      <c r="B857" s="290" t="n"/>
      <c r="C857" s="290" t="n"/>
      <c r="D857" s="291" t="n"/>
      <c r="E857" s="290" t="n"/>
      <c r="F857" s="290" t="n"/>
    </row>
    <row r="858" ht="13" customHeight="1" s="189">
      <c r="B858" s="290" t="n"/>
      <c r="C858" s="290" t="n"/>
      <c r="D858" s="291" t="n"/>
      <c r="E858" s="290" t="n"/>
      <c r="F858" s="290" t="n"/>
    </row>
    <row r="859" ht="13" customHeight="1" s="189">
      <c r="B859" s="290" t="n"/>
      <c r="C859" s="290" t="n"/>
      <c r="D859" s="291" t="n"/>
      <c r="E859" s="290" t="n"/>
      <c r="F859" s="290" t="n"/>
    </row>
    <row r="860" ht="13" customHeight="1" s="189">
      <c r="B860" s="290" t="n"/>
      <c r="C860" s="290" t="n"/>
      <c r="D860" s="291" t="n"/>
      <c r="E860" s="290" t="n"/>
      <c r="F860" s="290" t="n"/>
    </row>
    <row r="861" ht="13" customHeight="1" s="189">
      <c r="B861" s="290" t="n"/>
      <c r="C861" s="290" t="n"/>
      <c r="D861" s="291" t="n"/>
      <c r="E861" s="290" t="n"/>
      <c r="F861" s="290" t="n"/>
    </row>
    <row r="862" ht="13" customHeight="1" s="189">
      <c r="B862" s="290" t="n"/>
      <c r="C862" s="290" t="n"/>
      <c r="D862" s="291" t="n"/>
      <c r="E862" s="290" t="n"/>
      <c r="F862" s="290" t="n"/>
    </row>
    <row r="863" ht="13" customHeight="1" s="189">
      <c r="B863" s="290" t="n"/>
      <c r="C863" s="290" t="n"/>
      <c r="D863" s="291" t="n"/>
      <c r="E863" s="290" t="n"/>
      <c r="F863" s="290" t="n"/>
    </row>
    <row r="864" ht="13" customHeight="1" s="189">
      <c r="B864" s="290" t="n"/>
      <c r="C864" s="290" t="n"/>
      <c r="D864" s="291" t="n"/>
      <c r="E864" s="290" t="n"/>
      <c r="F864" s="290" t="n"/>
    </row>
    <row r="865" ht="13" customHeight="1" s="189">
      <c r="B865" s="290" t="n"/>
      <c r="C865" s="290" t="n"/>
      <c r="D865" s="291" t="n"/>
      <c r="E865" s="290" t="n"/>
      <c r="F865" s="290" t="n"/>
    </row>
    <row r="866" ht="13" customHeight="1" s="189">
      <c r="B866" s="290" t="n"/>
      <c r="C866" s="290" t="n"/>
      <c r="D866" s="291" t="n"/>
      <c r="E866" s="290" t="n"/>
      <c r="F866" s="290" t="n"/>
    </row>
    <row r="867" ht="13" customHeight="1" s="189">
      <c r="B867" s="290" t="n"/>
      <c r="C867" s="290" t="n"/>
      <c r="D867" s="291" t="n"/>
      <c r="E867" s="290" t="n"/>
      <c r="F867" s="290" t="n"/>
    </row>
    <row r="868" ht="13" customHeight="1" s="189">
      <c r="B868" s="290" t="n"/>
      <c r="C868" s="290" t="n"/>
      <c r="D868" s="291" t="n"/>
      <c r="E868" s="290" t="n"/>
      <c r="F868" s="290" t="n"/>
    </row>
    <row r="869" ht="13" customHeight="1" s="189">
      <c r="B869" s="290" t="n"/>
      <c r="C869" s="290" t="n"/>
      <c r="D869" s="291" t="n"/>
      <c r="E869" s="290" t="n"/>
      <c r="F869" s="290" t="n"/>
    </row>
    <row r="870" ht="13" customHeight="1" s="189">
      <c r="B870" s="290" t="n"/>
      <c r="C870" s="290" t="n"/>
      <c r="D870" s="291" t="n"/>
      <c r="E870" s="290" t="n"/>
      <c r="F870" s="290" t="n"/>
    </row>
    <row r="871" ht="13" customHeight="1" s="189">
      <c r="B871" s="290" t="n"/>
      <c r="C871" s="290" t="n"/>
      <c r="D871" s="291" t="n"/>
      <c r="E871" s="290" t="n"/>
      <c r="F871" s="290" t="n"/>
    </row>
    <row r="872" ht="13" customHeight="1" s="189">
      <c r="B872" s="290" t="n"/>
      <c r="C872" s="290" t="n"/>
      <c r="D872" s="291" t="n"/>
      <c r="E872" s="290" t="n"/>
      <c r="F872" s="290" t="n"/>
    </row>
    <row r="873" ht="13" customHeight="1" s="189">
      <c r="B873" s="290" t="n"/>
      <c r="C873" s="290" t="n"/>
      <c r="D873" s="291" t="n"/>
      <c r="E873" s="290" t="n"/>
      <c r="F873" s="290" t="n"/>
    </row>
    <row r="874" ht="13" customHeight="1" s="189">
      <c r="B874" s="290" t="n"/>
      <c r="C874" s="290" t="n"/>
      <c r="D874" s="291" t="n"/>
      <c r="E874" s="290" t="n"/>
      <c r="F874" s="290" t="n"/>
    </row>
    <row r="875" ht="13" customHeight="1" s="189">
      <c r="B875" s="290" t="n"/>
      <c r="C875" s="290" t="n"/>
      <c r="D875" s="291" t="n"/>
      <c r="E875" s="290" t="n"/>
      <c r="F875" s="290" t="n"/>
    </row>
    <row r="876" ht="13" customHeight="1" s="189">
      <c r="B876" s="290" t="n"/>
      <c r="C876" s="290" t="n"/>
      <c r="D876" s="291" t="n"/>
      <c r="E876" s="290" t="n"/>
      <c r="F876" s="290" t="n"/>
    </row>
    <row r="877" ht="13" customHeight="1" s="189">
      <c r="B877" s="290" t="n"/>
      <c r="C877" s="290" t="n"/>
      <c r="D877" s="291" t="n"/>
      <c r="E877" s="290" t="n"/>
      <c r="F877" s="290" t="n"/>
    </row>
    <row r="878" ht="13" customHeight="1" s="189">
      <c r="B878" s="290" t="n"/>
      <c r="C878" s="290" t="n"/>
      <c r="D878" s="291" t="n"/>
      <c r="E878" s="290" t="n"/>
      <c r="F878" s="290" t="n"/>
    </row>
    <row r="879" ht="13" customHeight="1" s="189">
      <c r="B879" s="290" t="n"/>
      <c r="C879" s="290" t="n"/>
      <c r="D879" s="291" t="n"/>
      <c r="E879" s="290" t="n"/>
      <c r="F879" s="290" t="n"/>
    </row>
    <row r="880" ht="13" customHeight="1" s="189">
      <c r="B880" s="290" t="n"/>
      <c r="C880" s="290" t="n"/>
      <c r="D880" s="291" t="n"/>
      <c r="E880" s="290" t="n"/>
      <c r="F880" s="290" t="n"/>
    </row>
    <row r="881" ht="13" customHeight="1" s="189">
      <c r="B881" s="290" t="n"/>
      <c r="C881" s="290" t="n"/>
      <c r="D881" s="291" t="n"/>
      <c r="E881" s="290" t="n"/>
      <c r="F881" s="290" t="n"/>
    </row>
    <row r="882" ht="13" customHeight="1" s="189">
      <c r="B882" s="290" t="n"/>
      <c r="C882" s="290" t="n"/>
      <c r="D882" s="291" t="n"/>
      <c r="E882" s="290" t="n"/>
      <c r="F882" s="290" t="n"/>
    </row>
    <row r="883" ht="13" customHeight="1" s="189">
      <c r="B883" s="290" t="n"/>
      <c r="C883" s="290" t="n"/>
      <c r="D883" s="291" t="n"/>
      <c r="E883" s="290" t="n"/>
      <c r="F883" s="290" t="n"/>
    </row>
    <row r="884" ht="13" customHeight="1" s="189">
      <c r="B884" s="290" t="n"/>
      <c r="C884" s="290" t="n"/>
      <c r="D884" s="291" t="n"/>
      <c r="E884" s="290" t="n"/>
      <c r="F884" s="290" t="n"/>
    </row>
    <row r="885" ht="13" customHeight="1" s="189">
      <c r="B885" s="290" t="n"/>
      <c r="C885" s="290" t="n"/>
      <c r="D885" s="291" t="n"/>
      <c r="E885" s="290" t="n"/>
      <c r="F885" s="290" t="n"/>
    </row>
    <row r="886" ht="13" customHeight="1" s="189">
      <c r="B886" s="290" t="n"/>
      <c r="C886" s="290" t="n"/>
      <c r="D886" s="291" t="n"/>
      <c r="E886" s="290" t="n"/>
      <c r="F886" s="290" t="n"/>
    </row>
    <row r="887" ht="13" customHeight="1" s="189">
      <c r="B887" s="290" t="n"/>
      <c r="C887" s="290" t="n"/>
      <c r="D887" s="291" t="n"/>
      <c r="E887" s="290" t="n"/>
      <c r="F887" s="290" t="n"/>
    </row>
    <row r="888" ht="13" customHeight="1" s="189">
      <c r="B888" s="290" t="n"/>
      <c r="C888" s="290" t="n"/>
      <c r="D888" s="291" t="n"/>
      <c r="E888" s="290" t="n"/>
      <c r="F888" s="290" t="n"/>
    </row>
    <row r="889" ht="13" customHeight="1" s="189">
      <c r="B889" s="290" t="n"/>
      <c r="C889" s="290" t="n"/>
      <c r="D889" s="291" t="n"/>
      <c r="E889" s="290" t="n"/>
      <c r="F889" s="290" t="n"/>
    </row>
    <row r="890" ht="13" customHeight="1" s="189">
      <c r="B890" s="290" t="n"/>
      <c r="C890" s="290" t="n"/>
      <c r="D890" s="291" t="n"/>
      <c r="E890" s="290" t="n"/>
      <c r="F890" s="290" t="n"/>
    </row>
    <row r="891" ht="13" customHeight="1" s="189">
      <c r="B891" s="290" t="n"/>
      <c r="C891" s="290" t="n"/>
      <c r="D891" s="291" t="n"/>
      <c r="E891" s="290" t="n"/>
      <c r="F891" s="290" t="n"/>
    </row>
    <row r="892" ht="13" customHeight="1" s="189">
      <c r="B892" s="290" t="n"/>
      <c r="C892" s="290" t="n"/>
      <c r="D892" s="291" t="n"/>
      <c r="E892" s="290" t="n"/>
      <c r="F892" s="290" t="n"/>
    </row>
    <row r="893" ht="13" customHeight="1" s="189">
      <c r="B893" s="290" t="n"/>
      <c r="C893" s="290" t="n"/>
      <c r="D893" s="291" t="n"/>
      <c r="E893" s="290" t="n"/>
      <c r="F893" s="290" t="n"/>
    </row>
    <row r="894" ht="13" customHeight="1" s="189">
      <c r="B894" s="290" t="n"/>
      <c r="C894" s="290" t="n"/>
      <c r="D894" s="291" t="n"/>
      <c r="E894" s="290" t="n"/>
      <c r="F894" s="290" t="n"/>
    </row>
    <row r="895" ht="13" customHeight="1" s="189">
      <c r="B895" s="290" t="n"/>
      <c r="C895" s="290" t="n"/>
      <c r="D895" s="291" t="n"/>
      <c r="E895" s="290" t="n"/>
      <c r="F895" s="290" t="n"/>
    </row>
    <row r="896" ht="13" customHeight="1" s="189">
      <c r="B896" s="290" t="n"/>
      <c r="C896" s="290" t="n"/>
      <c r="D896" s="291" t="n"/>
      <c r="E896" s="290" t="n"/>
      <c r="F896" s="290" t="n"/>
    </row>
    <row r="897" ht="13" customHeight="1" s="189">
      <c r="B897" s="290" t="n"/>
      <c r="C897" s="290" t="n"/>
      <c r="D897" s="291" t="n"/>
      <c r="E897" s="290" t="n"/>
      <c r="F897" s="290" t="n"/>
    </row>
    <row r="898" ht="13" customHeight="1" s="189">
      <c r="B898" s="290" t="n"/>
      <c r="C898" s="290" t="n"/>
      <c r="D898" s="291" t="n"/>
      <c r="E898" s="290" t="n"/>
      <c r="F898" s="290" t="n"/>
    </row>
    <row r="899" ht="13" customHeight="1" s="189">
      <c r="B899" s="290" t="n"/>
      <c r="C899" s="290" t="n"/>
      <c r="D899" s="291" t="n"/>
      <c r="E899" s="290" t="n"/>
      <c r="F899" s="290" t="n"/>
    </row>
    <row r="900" ht="13" customHeight="1" s="189">
      <c r="B900" s="290" t="n"/>
      <c r="C900" s="290" t="n"/>
      <c r="D900" s="291" t="n"/>
      <c r="E900" s="290" t="n"/>
      <c r="F900" s="290" t="n"/>
    </row>
    <row r="901" ht="13" customHeight="1" s="189">
      <c r="B901" s="290" t="n"/>
      <c r="C901" s="290" t="n"/>
      <c r="D901" s="291" t="n"/>
      <c r="E901" s="290" t="n"/>
      <c r="F901" s="290" t="n"/>
    </row>
    <row r="902" ht="13" customHeight="1" s="189">
      <c r="B902" s="290" t="n"/>
      <c r="C902" s="290" t="n"/>
      <c r="D902" s="291" t="n"/>
      <c r="E902" s="290" t="n"/>
      <c r="F902" s="290" t="n"/>
    </row>
    <row r="903" ht="13" customHeight="1" s="189">
      <c r="B903" s="203" t="n"/>
      <c r="C903" s="203" t="n"/>
      <c r="D903" s="289" t="n"/>
      <c r="E903" s="203" t="n"/>
      <c r="F903" s="203" t="n"/>
    </row>
    <row r="904" ht="13" customHeight="1" s="189">
      <c r="B904" s="203" t="n"/>
      <c r="C904" s="203" t="n"/>
      <c r="D904" s="289" t="n"/>
      <c r="E904" s="203" t="n"/>
      <c r="F904" s="203" t="n"/>
    </row>
    <row r="905" ht="13" customHeight="1" s="189">
      <c r="B905" s="203" t="n"/>
      <c r="C905" s="203" t="n"/>
      <c r="D905" s="289" t="n"/>
      <c r="E905" s="203" t="n"/>
      <c r="F905" s="203" t="n"/>
    </row>
    <row r="906" ht="13" customHeight="1" s="189">
      <c r="B906" s="203" t="n"/>
      <c r="C906" s="203" t="n"/>
      <c r="D906" s="289" t="n"/>
      <c r="E906" s="203" t="n"/>
      <c r="F906" s="203" t="n"/>
    </row>
    <row r="907" ht="13" customHeight="1" s="189">
      <c r="B907" s="203" t="n"/>
      <c r="C907" s="203" t="n"/>
      <c r="D907" s="289" t="n"/>
      <c r="E907" s="203" t="n"/>
      <c r="F907" s="203" t="n"/>
    </row>
    <row r="908" ht="13" customHeight="1" s="189">
      <c r="B908" s="203" t="n"/>
      <c r="C908" s="203" t="n"/>
      <c r="D908" s="289" t="n"/>
      <c r="E908" s="203" t="n"/>
      <c r="F908" s="203" t="n"/>
    </row>
    <row r="909" ht="13" customHeight="1" s="189">
      <c r="B909" s="203" t="n"/>
      <c r="C909" s="203" t="n"/>
      <c r="D909" s="289" t="n"/>
      <c r="E909" s="203" t="n"/>
      <c r="F909" s="203" t="n"/>
    </row>
    <row r="910" ht="13" customHeight="1" s="189">
      <c r="B910" s="203" t="n"/>
      <c r="C910" s="203" t="n"/>
      <c r="D910" s="289" t="n"/>
      <c r="E910" s="203" t="n"/>
      <c r="F910" s="203" t="n"/>
    </row>
    <row r="911" ht="13" customHeight="1" s="189">
      <c r="B911" s="203" t="n"/>
      <c r="C911" s="203" t="n"/>
      <c r="D911" s="289" t="n"/>
      <c r="E911" s="203" t="n"/>
      <c r="F911" s="203" t="n"/>
    </row>
    <row r="912" ht="13" customHeight="1" s="189">
      <c r="B912" s="203" t="n"/>
      <c r="C912" s="203" t="n"/>
      <c r="D912" s="289" t="n"/>
      <c r="E912" s="203" t="n"/>
      <c r="F912" s="203" t="n"/>
    </row>
    <row r="913" ht="13" customHeight="1" s="189">
      <c r="B913" s="203" t="n"/>
      <c r="C913" s="203" t="n"/>
      <c r="D913" s="289" t="n"/>
      <c r="E913" s="203" t="n"/>
      <c r="F913" s="203" t="n"/>
    </row>
    <row r="914" ht="13" customHeight="1" s="189">
      <c r="B914" s="203" t="n"/>
      <c r="C914" s="203" t="n"/>
      <c r="D914" s="289" t="n"/>
      <c r="E914" s="203" t="n"/>
      <c r="F914" s="203" t="n"/>
    </row>
    <row r="915" ht="13" customHeight="1" s="189">
      <c r="B915" s="203" t="n"/>
      <c r="C915" s="203" t="n"/>
      <c r="D915" s="289" t="n"/>
      <c r="E915" s="203" t="n"/>
      <c r="F915" s="203" t="n"/>
    </row>
    <row r="916" ht="13" customHeight="1" s="189">
      <c r="B916" s="203" t="n"/>
      <c r="C916" s="203" t="n"/>
      <c r="D916" s="289" t="n"/>
      <c r="E916" s="203" t="n"/>
      <c r="F916" s="203" t="n"/>
    </row>
    <row r="917" ht="13" customHeight="1" s="189">
      <c r="B917" s="203" t="n"/>
      <c r="C917" s="203" t="n"/>
      <c r="D917" s="289" t="n"/>
      <c r="E917" s="203" t="n"/>
      <c r="F917" s="203" t="n"/>
    </row>
    <row r="918" ht="13" customHeight="1" s="189">
      <c r="B918" s="203" t="n"/>
      <c r="C918" s="203" t="n"/>
      <c r="D918" s="289" t="n"/>
      <c r="E918" s="203" t="n"/>
      <c r="F918" s="203" t="n"/>
    </row>
    <row r="919" ht="13" customHeight="1" s="189">
      <c r="B919" s="203" t="n"/>
      <c r="C919" s="203" t="n"/>
      <c r="D919" s="289" t="n"/>
      <c r="E919" s="203" t="n"/>
      <c r="F919" s="203" t="n"/>
    </row>
    <row r="920" ht="13" customHeight="1" s="189">
      <c r="B920" s="203" t="n"/>
      <c r="C920" s="203" t="n"/>
      <c r="D920" s="289" t="n"/>
      <c r="E920" s="203" t="n"/>
      <c r="F920" s="203" t="n"/>
    </row>
    <row r="921" ht="13" customHeight="1" s="189">
      <c r="B921" s="203" t="n"/>
      <c r="C921" s="203" t="n"/>
      <c r="D921" s="289" t="n"/>
      <c r="E921" s="203" t="n"/>
      <c r="F921" s="203" t="n"/>
    </row>
    <row r="922" ht="13" customHeight="1" s="189">
      <c r="B922" s="203" t="n"/>
      <c r="C922" s="203" t="n"/>
      <c r="D922" s="289" t="n"/>
      <c r="E922" s="203" t="n"/>
      <c r="F922" s="203" t="n"/>
    </row>
    <row r="923" ht="13" customHeight="1" s="189">
      <c r="B923" s="203" t="n"/>
      <c r="C923" s="203" t="n"/>
      <c r="D923" s="289" t="n"/>
      <c r="E923" s="203" t="n"/>
      <c r="F923" s="203" t="n"/>
    </row>
    <row r="924" ht="13" customHeight="1" s="189">
      <c r="B924" s="203" t="n"/>
      <c r="C924" s="203" t="n"/>
      <c r="D924" s="289" t="n"/>
      <c r="E924" s="203" t="n"/>
      <c r="F924" s="203" t="n"/>
    </row>
    <row r="925" ht="13" customHeight="1" s="189">
      <c r="B925" s="203" t="n"/>
      <c r="C925" s="203" t="n"/>
      <c r="D925" s="289" t="n"/>
      <c r="E925" s="203" t="n"/>
      <c r="F925" s="203" t="n"/>
    </row>
    <row r="926" ht="13" customHeight="1" s="189">
      <c r="B926" s="203" t="n"/>
      <c r="C926" s="203" t="n"/>
      <c r="D926" s="289" t="n"/>
      <c r="E926" s="203" t="n"/>
      <c r="F926" s="203" t="n"/>
    </row>
    <row r="927" ht="13" customHeight="1" s="189">
      <c r="B927" s="203" t="n"/>
      <c r="C927" s="203" t="n"/>
      <c r="D927" s="289" t="n"/>
      <c r="E927" s="203" t="n"/>
      <c r="F927" s="203" t="n"/>
    </row>
    <row r="928" ht="13" customHeight="1" s="189">
      <c r="B928" s="203" t="n"/>
      <c r="C928" s="203" t="n"/>
      <c r="D928" s="289" t="n"/>
      <c r="E928" s="203" t="n"/>
      <c r="F928" s="203" t="n"/>
    </row>
    <row r="929" ht="13" customHeight="1" s="189">
      <c r="B929" s="203" t="n"/>
      <c r="C929" s="203" t="n"/>
      <c r="D929" s="289" t="n"/>
      <c r="E929" s="203" t="n"/>
      <c r="F929" s="203" t="n"/>
    </row>
    <row r="930" ht="13" customHeight="1" s="189">
      <c r="B930" s="203" t="n"/>
      <c r="C930" s="203" t="n"/>
      <c r="D930" s="289" t="n"/>
      <c r="E930" s="203" t="n"/>
      <c r="F930" s="203" t="n"/>
    </row>
    <row r="931" ht="13" customHeight="1" s="189">
      <c r="B931" s="203" t="n"/>
      <c r="C931" s="203" t="n"/>
      <c r="D931" s="289" t="n"/>
      <c r="E931" s="203" t="n"/>
      <c r="F931" s="203" t="n"/>
    </row>
    <row r="932" ht="13" customHeight="1" s="189">
      <c r="B932" s="203" t="n"/>
      <c r="C932" s="203" t="n"/>
      <c r="D932" s="289" t="n"/>
      <c r="E932" s="203" t="n"/>
      <c r="F932" s="203" t="n"/>
    </row>
    <row r="933" ht="13" customHeight="1" s="189">
      <c r="B933" s="203" t="n"/>
      <c r="C933" s="203" t="n"/>
      <c r="D933" s="289" t="n"/>
      <c r="E933" s="203" t="n"/>
      <c r="F933" s="203" t="n"/>
    </row>
    <row r="934" ht="13" customHeight="1" s="189">
      <c r="B934" s="203" t="n"/>
      <c r="C934" s="203" t="n"/>
      <c r="D934" s="289" t="n"/>
      <c r="E934" s="203" t="n"/>
      <c r="F934" s="203" t="n"/>
    </row>
    <row r="935" ht="13" customHeight="1" s="189">
      <c r="B935" s="203" t="n"/>
      <c r="C935" s="203" t="n"/>
      <c r="D935" s="289" t="n"/>
      <c r="E935" s="203" t="n"/>
      <c r="F935" s="203" t="n"/>
    </row>
    <row r="936" ht="13" customHeight="1" s="189">
      <c r="B936" s="203" t="n"/>
      <c r="C936" s="203" t="n"/>
      <c r="D936" s="289" t="n"/>
      <c r="E936" s="203" t="n"/>
      <c r="F936" s="203" t="n"/>
    </row>
    <row r="937" ht="13" customHeight="1" s="189">
      <c r="B937" s="203" t="n"/>
      <c r="C937" s="203" t="n"/>
      <c r="D937" s="289" t="n"/>
      <c r="E937" s="203" t="n"/>
      <c r="F937" s="203" t="n"/>
    </row>
    <row r="938" ht="13" customHeight="1" s="189">
      <c r="B938" s="203" t="n"/>
      <c r="C938" s="203" t="n"/>
      <c r="D938" s="289" t="n"/>
      <c r="E938" s="203" t="n"/>
      <c r="F938" s="203" t="n"/>
    </row>
    <row r="939" ht="13" customHeight="1" s="189">
      <c r="B939" s="203" t="n"/>
      <c r="C939" s="203" t="n"/>
      <c r="D939" s="289" t="n"/>
      <c r="E939" s="203" t="n"/>
      <c r="F939" s="203" t="n"/>
    </row>
    <row r="940" ht="13" customHeight="1" s="189">
      <c r="B940" s="203" t="n"/>
      <c r="C940" s="203" t="n"/>
      <c r="D940" s="289" t="n"/>
      <c r="E940" s="203" t="n"/>
      <c r="F940" s="203" t="n"/>
    </row>
    <row r="941" ht="13" customHeight="1" s="189">
      <c r="B941" s="203" t="n"/>
      <c r="C941" s="203" t="n"/>
      <c r="D941" s="289" t="n"/>
      <c r="E941" s="203" t="n"/>
      <c r="F941" s="203" t="n"/>
    </row>
    <row r="942" ht="13" customHeight="1" s="189">
      <c r="B942" s="203" t="n"/>
      <c r="C942" s="203" t="n"/>
      <c r="D942" s="289" t="n"/>
      <c r="E942" s="203" t="n"/>
      <c r="F942" s="203" t="n"/>
    </row>
    <row r="943" ht="13" customHeight="1" s="189">
      <c r="B943" s="203" t="n"/>
      <c r="C943" s="203" t="n"/>
      <c r="D943" s="289" t="n"/>
      <c r="E943" s="203" t="n"/>
      <c r="F943" s="203" t="n"/>
    </row>
    <row r="944" ht="13" customHeight="1" s="189">
      <c r="B944" s="203" t="n"/>
      <c r="C944" s="203" t="n"/>
      <c r="D944" s="289" t="n"/>
      <c r="E944" s="203" t="n"/>
      <c r="F944" s="203" t="n"/>
    </row>
    <row r="945" ht="13" customHeight="1" s="189">
      <c r="B945" s="203" t="n"/>
      <c r="C945" s="203" t="n"/>
      <c r="D945" s="289" t="n"/>
      <c r="E945" s="203" t="n"/>
      <c r="F945" s="203" t="n"/>
    </row>
    <row r="946" ht="13" customHeight="1" s="189">
      <c r="B946" s="203" t="n"/>
      <c r="C946" s="203" t="n"/>
      <c r="D946" s="289" t="n"/>
      <c r="E946" s="203" t="n"/>
      <c r="F946" s="203" t="n"/>
    </row>
    <row r="947" ht="13" customHeight="1" s="189">
      <c r="B947" s="203" t="n"/>
      <c r="C947" s="203" t="n"/>
      <c r="D947" s="289" t="n"/>
      <c r="E947" s="203" t="n"/>
      <c r="F947" s="203" t="n"/>
    </row>
    <row r="948" ht="13" customHeight="1" s="189">
      <c r="B948" s="203" t="n"/>
      <c r="C948" s="203" t="n"/>
      <c r="D948" s="289" t="n"/>
      <c r="E948" s="203" t="n"/>
      <c r="F948" s="203" t="n"/>
    </row>
    <row r="949" ht="13" customHeight="1" s="189">
      <c r="B949" s="203" t="n"/>
      <c r="C949" s="203" t="n"/>
      <c r="D949" s="289" t="n"/>
      <c r="E949" s="203" t="n"/>
      <c r="F949" s="203" t="n"/>
    </row>
    <row r="950" ht="13" customHeight="1" s="189">
      <c r="B950" s="203" t="n"/>
      <c r="C950" s="203" t="n"/>
      <c r="D950" s="289" t="n"/>
      <c r="E950" s="203" t="n"/>
      <c r="F950" s="203" t="n"/>
    </row>
    <row r="951" ht="13" customHeight="1" s="189">
      <c r="B951" s="203" t="n"/>
      <c r="C951" s="203" t="n"/>
      <c r="D951" s="289" t="n"/>
      <c r="E951" s="203" t="n"/>
      <c r="F951" s="203" t="n"/>
    </row>
    <row r="952" ht="13" customHeight="1" s="189">
      <c r="B952" s="203" t="n"/>
      <c r="C952" s="203" t="n"/>
      <c r="D952" s="289" t="n"/>
      <c r="E952" s="203" t="n"/>
      <c r="F952" s="203" t="n"/>
    </row>
    <row r="953" ht="13" customHeight="1" s="189">
      <c r="B953" s="203" t="n"/>
      <c r="C953" s="203" t="n"/>
      <c r="D953" s="289" t="n"/>
      <c r="E953" s="203" t="n"/>
      <c r="F953" s="203" t="n"/>
    </row>
    <row r="954" ht="13" customHeight="1" s="189">
      <c r="B954" s="203" t="n"/>
      <c r="C954" s="203" t="n"/>
      <c r="D954" s="289" t="n"/>
      <c r="E954" s="203" t="n"/>
      <c r="F954" s="203" t="n"/>
    </row>
    <row r="955" ht="13" customHeight="1" s="189">
      <c r="B955" s="203" t="n"/>
      <c r="C955" s="203" t="n"/>
      <c r="D955" s="289" t="n"/>
      <c r="E955" s="203" t="n"/>
      <c r="F955" s="203" t="n"/>
    </row>
    <row r="956" ht="13" customHeight="1" s="189">
      <c r="B956" s="203" t="n"/>
      <c r="C956" s="203" t="n"/>
      <c r="D956" s="289" t="n"/>
      <c r="E956" s="203" t="n"/>
      <c r="F956" s="203" t="n"/>
    </row>
    <row r="957" ht="13" customHeight="1" s="189">
      <c r="B957" s="203" t="n"/>
      <c r="C957" s="203" t="n"/>
      <c r="D957" s="289" t="n"/>
      <c r="E957" s="203" t="n"/>
      <c r="F957" s="203" t="n"/>
    </row>
    <row r="958" ht="13" customHeight="1" s="189">
      <c r="B958" s="203" t="n"/>
      <c r="C958" s="203" t="n"/>
      <c r="D958" s="289" t="n"/>
      <c r="E958" s="203" t="n"/>
      <c r="F958" s="203" t="n"/>
    </row>
    <row r="959" ht="13" customHeight="1" s="189">
      <c r="B959" s="203" t="n"/>
      <c r="C959" s="203" t="n"/>
      <c r="D959" s="289" t="n"/>
      <c r="E959" s="203" t="n"/>
      <c r="F959" s="203" t="n"/>
    </row>
    <row r="960" ht="13" customHeight="1" s="189">
      <c r="B960" s="203" t="n"/>
      <c r="C960" s="203" t="n"/>
      <c r="D960" s="289" t="n"/>
      <c r="E960" s="203" t="n"/>
      <c r="F960" s="203" t="n"/>
    </row>
    <row r="961" ht="13" customHeight="1" s="189">
      <c r="B961" s="203" t="n"/>
      <c r="C961" s="203" t="n"/>
      <c r="D961" s="289" t="n"/>
      <c r="E961" s="203" t="n"/>
      <c r="F961" s="203" t="n"/>
    </row>
    <row r="962" ht="13" customHeight="1" s="189">
      <c r="B962" s="203" t="n"/>
      <c r="C962" s="203" t="n"/>
      <c r="D962" s="289" t="n"/>
      <c r="E962" s="203" t="n"/>
      <c r="F962" s="203" t="n"/>
    </row>
    <row r="963" ht="13" customHeight="1" s="189">
      <c r="B963" s="203" t="n"/>
      <c r="C963" s="203" t="n"/>
      <c r="D963" s="289" t="n"/>
      <c r="E963" s="203" t="n"/>
      <c r="F963" s="203" t="n"/>
    </row>
    <row r="964" ht="13" customHeight="1" s="189">
      <c r="B964" s="203" t="n"/>
      <c r="C964" s="203" t="n"/>
      <c r="D964" s="289" t="n"/>
      <c r="E964" s="203" t="n"/>
      <c r="F964" s="203" t="n"/>
    </row>
    <row r="965" ht="13" customHeight="1" s="189">
      <c r="B965" s="203" t="n"/>
      <c r="C965" s="203" t="n"/>
      <c r="D965" s="289" t="n"/>
      <c r="E965" s="203" t="n"/>
      <c r="F965" s="203" t="n"/>
    </row>
    <row r="966" ht="13" customHeight="1" s="189">
      <c r="B966" s="203" t="n"/>
      <c r="C966" s="203" t="n"/>
      <c r="D966" s="289" t="n"/>
      <c r="E966" s="203" t="n"/>
      <c r="F966" s="203" t="n"/>
    </row>
    <row r="967" ht="13" customHeight="1" s="189">
      <c r="B967" s="203" t="n"/>
      <c r="C967" s="203" t="n"/>
      <c r="D967" s="289" t="n"/>
      <c r="E967" s="203" t="n"/>
      <c r="F967" s="203" t="n"/>
    </row>
    <row r="968" ht="13" customHeight="1" s="189">
      <c r="B968" s="203" t="n"/>
      <c r="C968" s="203" t="n"/>
      <c r="D968" s="289" t="n"/>
      <c r="E968" s="203" t="n"/>
      <c r="F968" s="203" t="n"/>
    </row>
    <row r="969" ht="13" customHeight="1" s="189">
      <c r="B969" s="203" t="n"/>
      <c r="C969" s="203" t="n"/>
      <c r="D969" s="289" t="n"/>
      <c r="E969" s="203" t="n"/>
      <c r="F969" s="203" t="n"/>
    </row>
    <row r="970" ht="13" customHeight="1" s="189">
      <c r="B970" s="203" t="n"/>
      <c r="C970" s="203" t="n"/>
      <c r="D970" s="289" t="n"/>
      <c r="E970" s="203" t="n"/>
      <c r="F970" s="203" t="n"/>
    </row>
    <row r="971" ht="13" customHeight="1" s="189">
      <c r="B971" s="203" t="n"/>
      <c r="C971" s="203" t="n"/>
      <c r="D971" s="289" t="n"/>
      <c r="E971" s="203" t="n"/>
      <c r="F971" s="203" t="n"/>
    </row>
    <row r="972" ht="13" customHeight="1" s="189">
      <c r="B972" s="203" t="n"/>
      <c r="C972" s="203" t="n"/>
      <c r="D972" s="289" t="n"/>
      <c r="E972" s="203" t="n"/>
      <c r="F972" s="203" t="n"/>
    </row>
    <row r="973" ht="13" customHeight="1" s="189">
      <c r="B973" s="203" t="n"/>
      <c r="C973" s="203" t="n"/>
      <c r="D973" s="289" t="n"/>
      <c r="E973" s="203" t="n"/>
      <c r="F973" s="203" t="n"/>
    </row>
    <row r="974" ht="13" customHeight="1" s="189">
      <c r="B974" s="203" t="n"/>
      <c r="C974" s="203" t="n"/>
      <c r="D974" s="289" t="n"/>
      <c r="E974" s="203" t="n"/>
      <c r="F974" s="203" t="n"/>
    </row>
    <row r="975" ht="13" customHeight="1" s="189">
      <c r="B975" s="203" t="n"/>
      <c r="C975" s="203" t="n"/>
      <c r="D975" s="289" t="n"/>
      <c r="E975" s="203" t="n"/>
      <c r="F975" s="203" t="n"/>
    </row>
    <row r="976" ht="13" customHeight="1" s="189">
      <c r="B976" s="203" t="n"/>
      <c r="C976" s="203" t="n"/>
      <c r="D976" s="289" t="n"/>
      <c r="E976" s="203" t="n"/>
      <c r="F976" s="203" t="n"/>
    </row>
    <row r="977" ht="13" customHeight="1" s="189">
      <c r="B977" s="203" t="n"/>
      <c r="C977" s="203" t="n"/>
      <c r="D977" s="289" t="n"/>
      <c r="E977" s="203" t="n"/>
      <c r="F977" s="203" t="n"/>
    </row>
    <row r="978" ht="13" customHeight="1" s="189">
      <c r="B978" s="203" t="n"/>
      <c r="C978" s="203" t="n"/>
      <c r="D978" s="289" t="n"/>
      <c r="E978" s="203" t="n"/>
      <c r="F978" s="203" t="n"/>
    </row>
    <row r="979" ht="13" customHeight="1" s="189">
      <c r="B979" s="203" t="n"/>
      <c r="C979" s="203" t="n"/>
      <c r="D979" s="289" t="n"/>
      <c r="E979" s="203" t="n"/>
      <c r="F979" s="203" t="n"/>
    </row>
    <row r="980" ht="13" customHeight="1" s="189">
      <c r="B980" s="203" t="n"/>
      <c r="C980" s="203" t="n"/>
      <c r="D980" s="289" t="n"/>
      <c r="E980" s="203" t="n"/>
      <c r="F980" s="203" t="n"/>
    </row>
    <row r="981" ht="13" customHeight="1" s="189">
      <c r="B981" s="203" t="n"/>
      <c r="C981" s="203" t="n"/>
      <c r="D981" s="289" t="n"/>
      <c r="E981" s="203" t="n"/>
      <c r="F981" s="203" t="n"/>
    </row>
    <row r="982" ht="13" customHeight="1" s="189">
      <c r="B982" s="203" t="n"/>
      <c r="C982" s="203" t="n"/>
      <c r="D982" s="289" t="n"/>
      <c r="E982" s="203" t="n"/>
      <c r="F982" s="203" t="n"/>
    </row>
    <row r="983" ht="13" customHeight="1" s="189">
      <c r="B983" s="203" t="n"/>
      <c r="C983" s="203" t="n"/>
      <c r="D983" s="289" t="n"/>
      <c r="E983" s="203" t="n"/>
      <c r="F983" s="203" t="n"/>
    </row>
    <row r="984" ht="13" customHeight="1" s="189">
      <c r="B984" s="203" t="n"/>
      <c r="C984" s="203" t="n"/>
      <c r="D984" s="289" t="n"/>
      <c r="E984" s="203" t="n"/>
      <c r="F984" s="203" t="n"/>
    </row>
    <row r="985" ht="13" customHeight="1" s="189">
      <c r="B985" s="203" t="n"/>
      <c r="C985" s="203" t="n"/>
      <c r="D985" s="289" t="n"/>
      <c r="E985" s="203" t="n"/>
      <c r="F985" s="203" t="n"/>
    </row>
    <row r="986" ht="13" customHeight="1" s="189">
      <c r="B986" s="203" t="n"/>
      <c r="C986" s="203" t="n"/>
      <c r="D986" s="289" t="n"/>
      <c r="E986" s="203" t="n"/>
      <c r="F986" s="203" t="n"/>
    </row>
    <row r="987" ht="13" customHeight="1" s="189">
      <c r="B987" s="203" t="n"/>
      <c r="C987" s="203" t="n"/>
      <c r="D987" s="289" t="n"/>
      <c r="E987" s="203" t="n"/>
      <c r="F987" s="203" t="n"/>
    </row>
    <row r="988" ht="13" customHeight="1" s="189">
      <c r="B988" s="203" t="n"/>
      <c r="C988" s="203" t="n"/>
      <c r="D988" s="289" t="n"/>
      <c r="E988" s="203" t="n"/>
      <c r="F988" s="203" t="n"/>
    </row>
    <row r="989" ht="13" customHeight="1" s="189">
      <c r="B989" s="203" t="n"/>
      <c r="C989" s="203" t="n"/>
      <c r="D989" s="289" t="n"/>
      <c r="E989" s="203" t="n"/>
      <c r="F989" s="203" t="n"/>
    </row>
    <row r="990" ht="13" customHeight="1" s="189">
      <c r="B990" s="203" t="n"/>
      <c r="C990" s="203" t="n"/>
      <c r="D990" s="289" t="n"/>
      <c r="E990" s="203" t="n"/>
      <c r="F990" s="203" t="n"/>
    </row>
    <row r="991" ht="13" customHeight="1" s="189">
      <c r="B991" s="203" t="n"/>
      <c r="C991" s="203" t="n"/>
      <c r="D991" s="289" t="n"/>
      <c r="E991" s="203" t="n"/>
      <c r="F991" s="203" t="n"/>
    </row>
    <row r="992" ht="13" customHeight="1" s="189">
      <c r="B992" s="203" t="n"/>
      <c r="C992" s="203" t="n"/>
      <c r="D992" s="289" t="n"/>
      <c r="E992" s="203" t="n"/>
      <c r="F992" s="203" t="n"/>
    </row>
    <row r="993" ht="13" customHeight="1" s="189">
      <c r="B993" s="203" t="n"/>
      <c r="C993" s="203" t="n"/>
      <c r="D993" s="289" t="n"/>
      <c r="E993" s="203" t="n"/>
      <c r="F993" s="203" t="n"/>
    </row>
    <row r="994" ht="13" customHeight="1" s="189">
      <c r="B994" s="203" t="n"/>
      <c r="C994" s="203" t="n"/>
      <c r="D994" s="289" t="n"/>
      <c r="E994" s="203" t="n"/>
      <c r="F994" s="203" t="n"/>
    </row>
    <row r="995" ht="13" customHeight="1" s="189">
      <c r="B995" s="203" t="n"/>
      <c r="C995" s="203" t="n"/>
      <c r="D995" s="289" t="n"/>
      <c r="E995" s="203" t="n"/>
      <c r="F995" s="203" t="n"/>
    </row>
    <row r="996" ht="13" customHeight="1" s="189">
      <c r="B996" s="203" t="n"/>
      <c r="C996" s="203" t="n"/>
      <c r="D996" s="289" t="n"/>
      <c r="E996" s="203" t="n"/>
      <c r="F996" s="203" t="n"/>
    </row>
    <row r="997" ht="13" customHeight="1" s="189">
      <c r="B997" s="203" t="n"/>
      <c r="C997" s="203" t="n"/>
      <c r="D997" s="289" t="n"/>
      <c r="E997" s="203" t="n"/>
      <c r="F997" s="203" t="n"/>
    </row>
    <row r="998" ht="13" customHeight="1" s="189">
      <c r="B998" s="203" t="n"/>
      <c r="C998" s="203" t="n"/>
      <c r="D998" s="289" t="n"/>
      <c r="E998" s="203" t="n"/>
      <c r="F998" s="203" t="n"/>
    </row>
    <row r="999" ht="13" customHeight="1" s="189">
      <c r="B999" s="203" t="n"/>
      <c r="C999" s="203" t="n"/>
      <c r="D999" s="289" t="n"/>
      <c r="E999" s="203" t="n"/>
      <c r="F999" s="203" t="n"/>
    </row>
    <row r="1000" ht="13" customHeight="1" s="189">
      <c r="B1000" s="203" t="n"/>
      <c r="C1000" s="203" t="n"/>
      <c r="D1000" s="289" t="n"/>
      <c r="E1000" s="203" t="n"/>
      <c r="F1000" s="203" t="n"/>
    </row>
    <row r="1001" ht="13" customHeight="1" s="189">
      <c r="B1001" s="203" t="n"/>
      <c r="C1001" s="203" t="n"/>
      <c r="D1001" s="289" t="n"/>
      <c r="E1001" s="203" t="n"/>
      <c r="F1001" s="203" t="n"/>
    </row>
    <row r="1002" ht="13" customHeight="1" s="189">
      <c r="B1002" s="203" t="n"/>
      <c r="C1002" s="203" t="n"/>
      <c r="D1002" s="289" t="n"/>
      <c r="E1002" s="203" t="n"/>
      <c r="F1002" s="203" t="n"/>
    </row>
    <row r="1003" ht="13" customHeight="1" s="189">
      <c r="B1003" s="203" t="n"/>
      <c r="C1003" s="203" t="n"/>
      <c r="D1003" s="289" t="n"/>
      <c r="E1003" s="203" t="n"/>
      <c r="F1003" s="203" t="n"/>
    </row>
    <row r="1004" ht="13" customHeight="1" s="189">
      <c r="B1004" s="203" t="n"/>
      <c r="C1004" s="203" t="n"/>
      <c r="D1004" s="289" t="n"/>
      <c r="E1004" s="203" t="n"/>
      <c r="F1004" s="203" t="n"/>
    </row>
    <row r="1005" ht="13" customHeight="1" s="189">
      <c r="B1005" s="203" t="n"/>
      <c r="C1005" s="203" t="n"/>
      <c r="D1005" s="289" t="n"/>
      <c r="E1005" s="203" t="n"/>
      <c r="F1005" s="203" t="n"/>
    </row>
    <row r="1006" ht="13" customHeight="1" s="189">
      <c r="B1006" s="203" t="n"/>
      <c r="C1006" s="203" t="n"/>
      <c r="D1006" s="289" t="n"/>
      <c r="E1006" s="203" t="n"/>
      <c r="F1006" s="203" t="n"/>
    </row>
    <row r="1007" ht="13" customHeight="1" s="189">
      <c r="B1007" s="203" t="n"/>
      <c r="C1007" s="203" t="n"/>
      <c r="D1007" s="289" t="n"/>
      <c r="E1007" s="203" t="n"/>
      <c r="F1007" s="203" t="n"/>
    </row>
    <row r="1008" ht="13" customHeight="1" s="189">
      <c r="B1008" s="203" t="n"/>
      <c r="C1008" s="203" t="n"/>
      <c r="D1008" s="289" t="n"/>
      <c r="E1008" s="203" t="n"/>
      <c r="F1008" s="203" t="n"/>
    </row>
    <row r="1009" ht="13" customHeight="1" s="189">
      <c r="B1009" s="203" t="n"/>
      <c r="C1009" s="203" t="n"/>
      <c r="D1009" s="289" t="n"/>
      <c r="E1009" s="203" t="n"/>
      <c r="F1009" s="203" t="n"/>
    </row>
    <row r="1010" ht="13" customHeight="1" s="189">
      <c r="B1010" s="203" t="n"/>
      <c r="C1010" s="203" t="n"/>
      <c r="D1010" s="289" t="n"/>
      <c r="E1010" s="203" t="n"/>
      <c r="F1010" s="203" t="n"/>
    </row>
    <row r="1011" ht="13" customHeight="1" s="189">
      <c r="B1011" s="203" t="n"/>
      <c r="C1011" s="203" t="n"/>
      <c r="D1011" s="289" t="n"/>
      <c r="E1011" s="203" t="n"/>
      <c r="F1011" s="203" t="n"/>
    </row>
    <row r="1012" ht="13" customHeight="1" s="189">
      <c r="B1012" s="203" t="n"/>
      <c r="C1012" s="203" t="n"/>
      <c r="D1012" s="289" t="n"/>
      <c r="E1012" s="203" t="n"/>
      <c r="F1012" s="203" t="n"/>
    </row>
    <row r="1013" ht="13" customHeight="1" s="189">
      <c r="B1013" s="203" t="n"/>
      <c r="C1013" s="203" t="n"/>
      <c r="D1013" s="289" t="n"/>
      <c r="E1013" s="203" t="n"/>
      <c r="F1013" s="203" t="n"/>
    </row>
    <row r="1014" ht="13" customHeight="1" s="189">
      <c r="B1014" s="203" t="n"/>
      <c r="C1014" s="203" t="n"/>
      <c r="D1014" s="289" t="n"/>
      <c r="E1014" s="203" t="n"/>
      <c r="F1014" s="203" t="n"/>
    </row>
    <row r="1015" ht="13" customHeight="1" s="189">
      <c r="B1015" s="203" t="n"/>
      <c r="C1015" s="203" t="n"/>
      <c r="D1015" s="289" t="n"/>
      <c r="E1015" s="203" t="n"/>
      <c r="F1015" s="203" t="n"/>
    </row>
    <row r="1016" ht="13" customHeight="1" s="189">
      <c r="B1016" s="203" t="n"/>
      <c r="C1016" s="203" t="n"/>
      <c r="D1016" s="289" t="n"/>
      <c r="E1016" s="203" t="n"/>
      <c r="F1016" s="203" t="n"/>
    </row>
    <row r="1017" ht="13" customHeight="1" s="189">
      <c r="B1017" s="203" t="n"/>
      <c r="C1017" s="203" t="n"/>
      <c r="D1017" s="289" t="n"/>
      <c r="E1017" s="203" t="n"/>
      <c r="F1017" s="203" t="n"/>
    </row>
    <row r="1018" ht="13" customHeight="1" s="189">
      <c r="B1018" s="203" t="n"/>
      <c r="C1018" s="203" t="n"/>
      <c r="D1018" s="289" t="n"/>
      <c r="E1018" s="203" t="n"/>
      <c r="F1018" s="203" t="n"/>
    </row>
    <row r="1019" ht="13" customHeight="1" s="189">
      <c r="B1019" s="203" t="n"/>
      <c r="C1019" s="203" t="n"/>
      <c r="D1019" s="289" t="n"/>
      <c r="E1019" s="203" t="n"/>
      <c r="F1019" s="203" t="n"/>
    </row>
    <row r="1020" ht="13" customHeight="1" s="189">
      <c r="B1020" s="203" t="n"/>
      <c r="C1020" s="203" t="n"/>
      <c r="D1020" s="289" t="n"/>
      <c r="E1020" s="203" t="n"/>
      <c r="F1020" s="203" t="n"/>
    </row>
    <row r="1021" ht="13" customHeight="1" s="189">
      <c r="B1021" s="203" t="n"/>
      <c r="C1021" s="203" t="n"/>
      <c r="D1021" s="289" t="n"/>
      <c r="E1021" s="203" t="n"/>
      <c r="F1021" s="203" t="n"/>
    </row>
    <row r="1022" ht="13" customHeight="1" s="189">
      <c r="B1022" s="203" t="n"/>
      <c r="C1022" s="203" t="n"/>
      <c r="D1022" s="289" t="n"/>
      <c r="E1022" s="203" t="n"/>
      <c r="F1022" s="203" t="n"/>
    </row>
    <row r="1023" ht="13" customHeight="1" s="189">
      <c r="B1023" s="203" t="n"/>
      <c r="C1023" s="203" t="n"/>
      <c r="D1023" s="289" t="n"/>
      <c r="E1023" s="203" t="n"/>
      <c r="F1023" s="203" t="n"/>
    </row>
    <row r="1024" ht="13" customHeight="1" s="189">
      <c r="B1024" s="203" t="n"/>
      <c r="C1024" s="203" t="n"/>
      <c r="D1024" s="289" t="n"/>
      <c r="E1024" s="203" t="n"/>
      <c r="F1024" s="203" t="n"/>
    </row>
    <row r="1025" ht="13" customHeight="1" s="189">
      <c r="B1025" s="203" t="n"/>
      <c r="C1025" s="203" t="n"/>
      <c r="D1025" s="289" t="n"/>
      <c r="E1025" s="203" t="n"/>
      <c r="F1025" s="203" t="n"/>
    </row>
    <row r="1026" ht="13" customHeight="1" s="189">
      <c r="B1026" s="203" t="n"/>
      <c r="C1026" s="203" t="n"/>
      <c r="D1026" s="289" t="n"/>
      <c r="E1026" s="203" t="n"/>
      <c r="F1026" s="203" t="n"/>
    </row>
    <row r="1027" ht="13" customHeight="1" s="189">
      <c r="B1027" s="203" t="n"/>
      <c r="C1027" s="203" t="n"/>
      <c r="D1027" s="289" t="n"/>
      <c r="E1027" s="203" t="n"/>
      <c r="F1027" s="203" t="n"/>
    </row>
    <row r="1028" ht="13" customHeight="1" s="189">
      <c r="B1028" s="203" t="n"/>
      <c r="C1028" s="203" t="n"/>
      <c r="D1028" s="289" t="n"/>
      <c r="E1028" s="203" t="n"/>
      <c r="F1028" s="203" t="n"/>
    </row>
    <row r="1029" ht="13" customHeight="1" s="189">
      <c r="B1029" s="203" t="n"/>
      <c r="C1029" s="203" t="n"/>
      <c r="D1029" s="289" t="n"/>
      <c r="E1029" s="203" t="n"/>
      <c r="F1029" s="203" t="n"/>
    </row>
    <row r="1030" ht="13" customHeight="1" s="189">
      <c r="B1030" s="203" t="n"/>
      <c r="C1030" s="203" t="n"/>
      <c r="D1030" s="289" t="n"/>
      <c r="E1030" s="203" t="n"/>
      <c r="F1030" s="203" t="n"/>
    </row>
    <row r="1031" ht="13" customHeight="1" s="189">
      <c r="B1031" s="203" t="n"/>
      <c r="C1031" s="203" t="n"/>
      <c r="D1031" s="289" t="n"/>
      <c r="E1031" s="203" t="n"/>
      <c r="F1031" s="203" t="n"/>
    </row>
    <row r="1032" ht="13" customHeight="1" s="189">
      <c r="B1032" s="203" t="n"/>
      <c r="C1032" s="203" t="n"/>
      <c r="D1032" s="289" t="n"/>
      <c r="E1032" s="203" t="n"/>
      <c r="F1032" s="203" t="n"/>
    </row>
    <row r="1033" ht="13" customHeight="1" s="189">
      <c r="B1033" s="203" t="n"/>
      <c r="C1033" s="203" t="n"/>
      <c r="D1033" s="289" t="n"/>
      <c r="E1033" s="203" t="n"/>
      <c r="F1033" s="203" t="n"/>
    </row>
    <row r="1034" ht="13" customHeight="1" s="189">
      <c r="B1034" s="203" t="n"/>
      <c r="C1034" s="203" t="n"/>
      <c r="D1034" s="289" t="n"/>
      <c r="E1034" s="203" t="n"/>
      <c r="F1034" s="203" t="n"/>
    </row>
    <row r="1035" ht="13" customHeight="1" s="189">
      <c r="B1035" s="203" t="n"/>
      <c r="C1035" s="203" t="n"/>
      <c r="D1035" s="289" t="n"/>
      <c r="E1035" s="203" t="n"/>
      <c r="F1035" s="203" t="n"/>
    </row>
    <row r="1036" ht="13" customHeight="1" s="189">
      <c r="B1036" s="203" t="n"/>
      <c r="C1036" s="203" t="n"/>
      <c r="D1036" s="289" t="n"/>
      <c r="E1036" s="203" t="n"/>
      <c r="F1036" s="203" t="n"/>
    </row>
    <row r="1037" ht="13" customHeight="1" s="189">
      <c r="B1037" s="203" t="n"/>
      <c r="C1037" s="203" t="n"/>
      <c r="D1037" s="289" t="n"/>
      <c r="E1037" s="203" t="n"/>
      <c r="F1037" s="203" t="n"/>
    </row>
    <row r="1038" ht="13" customHeight="1" s="189">
      <c r="B1038" s="203" t="n"/>
      <c r="C1038" s="203" t="n"/>
      <c r="D1038" s="289" t="n"/>
      <c r="E1038" s="203" t="n"/>
      <c r="F1038" s="203" t="n"/>
    </row>
    <row r="1039" ht="13" customHeight="1" s="189">
      <c r="B1039" s="203" t="n"/>
      <c r="C1039" s="203" t="n"/>
      <c r="D1039" s="289" t="n"/>
      <c r="E1039" s="203" t="n"/>
      <c r="F1039" s="203" t="n"/>
    </row>
    <row r="1040" ht="13" customHeight="1" s="189">
      <c r="B1040" s="203" t="n"/>
      <c r="C1040" s="203" t="n"/>
      <c r="D1040" s="289" t="n"/>
      <c r="E1040" s="203" t="n"/>
      <c r="F1040" s="203" t="n"/>
    </row>
    <row r="1041" ht="13" customHeight="1" s="189"/>
    <row r="1042" ht="13" customHeight="1" s="189"/>
    <row r="1043" ht="13" customHeight="1" s="189"/>
    <row r="1044" ht="13" customHeight="1" s="189"/>
    <row r="1045" ht="13" customHeight="1" s="189"/>
    <row r="1046" ht="13" customHeight="1" s="189"/>
    <row r="1047" ht="13" customHeight="1" s="189"/>
    <row r="1048" ht="13" customHeight="1" s="189"/>
    <row r="1049" ht="13" customHeight="1" s="189"/>
    <row r="1050" ht="13" customHeight="1" s="189"/>
    <row r="1051" ht="13" customHeight="1" s="189"/>
    <row r="1052" ht="13" customHeight="1" s="189"/>
    <row r="1053" ht="13" customHeight="1" s="189"/>
    <row r="1054" ht="13" customHeight="1" s="189"/>
    <row r="1055" ht="13" customHeight="1" s="189"/>
    <row r="1056" ht="13" customHeight="1" s="189"/>
    <row r="1057" ht="13" customHeight="1" s="189"/>
    <row r="1058" ht="13" customHeight="1" s="189"/>
    <row r="1059" ht="13" customHeight="1" s="189"/>
    <row r="1060" ht="13" customHeight="1" s="189"/>
    <row r="1061" ht="13" customHeight="1" s="189"/>
    <row r="1062" ht="13" customHeight="1" s="189"/>
    <row r="1063" ht="13" customHeight="1" s="189"/>
    <row r="1064" ht="13" customHeight="1" s="189"/>
    <row r="1065" ht="13" customHeight="1" s="189"/>
    <row r="1066" ht="13" customHeight="1" s="189"/>
    <row r="1067" ht="13" customHeight="1" s="189"/>
    <row r="1068" ht="13" customHeight="1" s="189"/>
    <row r="1069" ht="13" customHeight="1" s="189"/>
    <row r="1070" ht="13" customHeight="1" s="189"/>
    <row r="1071" ht="13" customHeight="1" s="189"/>
    <row r="1072" ht="13" customHeight="1" s="189"/>
    <row r="1073" ht="13" customHeight="1" s="189"/>
    <row r="1074" ht="13" customHeight="1" s="189"/>
    <row r="1075" ht="13" customHeight="1" s="189"/>
    <row r="1076" ht="13" customHeight="1" s="189"/>
    <row r="1077" ht="13" customHeight="1" s="189"/>
    <row r="1078" ht="13" customHeight="1" s="189"/>
    <row r="1079" ht="13" customHeight="1" s="189"/>
    <row r="1080" ht="13" customHeight="1" s="189"/>
    <row r="1081" ht="13" customHeight="1" s="189"/>
    <row r="1082" ht="13" customHeight="1" s="189"/>
    <row r="1083" ht="13" customHeight="1" s="189"/>
    <row r="1084" ht="13" customHeight="1" s="189"/>
    <row r="1085" ht="13" customHeight="1" s="189"/>
    <row r="1086" ht="13" customHeight="1" s="189"/>
    <row r="1087" ht="13" customHeight="1" s="189"/>
    <row r="1088" ht="13" customHeight="1" s="189"/>
    <row r="1089" ht="13" customHeight="1" s="189"/>
    <row r="1090" ht="13" customHeight="1" s="189"/>
    <row r="1091" ht="13" customHeight="1" s="189"/>
    <row r="1092" ht="13" customHeight="1" s="189"/>
    <row r="1093" ht="13" customHeight="1" s="189"/>
    <row r="1094" ht="13" customHeight="1" s="189"/>
    <row r="1095" ht="13" customHeight="1" s="189"/>
    <row r="1096" ht="13" customHeight="1" s="189"/>
    <row r="1097" ht="13" customHeight="1" s="189"/>
    <row r="1098" ht="13" customHeight="1" s="189"/>
    <row r="1099" ht="13" customHeight="1" s="189"/>
    <row r="1100" ht="13" customHeight="1" s="189"/>
    <row r="1101" ht="13" customHeight="1" s="189"/>
    <row r="1102" ht="13" customHeight="1" s="189"/>
    <row r="1103" ht="13" customHeight="1" s="189"/>
    <row r="1104" ht="13" customHeight="1" s="189"/>
    <row r="1105" ht="13" customHeight="1" s="189"/>
    <row r="1106" ht="13" customHeight="1" s="189"/>
    <row r="1107" ht="13" customHeight="1" s="189"/>
    <row r="1108" ht="13" customHeight="1" s="189"/>
    <row r="1109" ht="13" customHeight="1" s="189"/>
    <row r="1110" ht="13" customHeight="1" s="189"/>
    <row r="1111" ht="13" customHeight="1" s="189"/>
    <row r="1112" ht="13" customHeight="1" s="189"/>
    <row r="1113" ht="13" customHeight="1" s="189"/>
    <row r="1114" ht="13" customHeight="1" s="189"/>
    <row r="1115" ht="13" customHeight="1" s="189"/>
    <row r="1116" ht="13" customHeight="1" s="189"/>
    <row r="1117" ht="13" customHeight="1" s="189"/>
    <row r="1118" ht="13" customHeight="1" s="189"/>
    <row r="1119" ht="13" customHeight="1" s="189"/>
    <row r="1120" ht="13" customHeight="1" s="189"/>
    <row r="1121" ht="13" customHeight="1" s="189"/>
    <row r="1122" ht="13" customHeight="1" s="189"/>
    <row r="1123" ht="13" customHeight="1" s="189"/>
    <row r="1124" ht="13" customHeight="1" s="189"/>
    <row r="1125" ht="13" customHeight="1" s="189"/>
    <row r="1126" ht="13" customHeight="1" s="189"/>
    <row r="1127" ht="13" customHeight="1" s="189"/>
    <row r="1128" ht="13" customHeight="1" s="189"/>
    <row r="1129" ht="13" customHeight="1" s="189"/>
    <row r="1130" ht="13" customHeight="1" s="189"/>
    <row r="1131" ht="13" customHeight="1" s="189"/>
    <row r="1132" ht="13" customHeight="1" s="189"/>
    <row r="1133" ht="13" customHeight="1" s="189"/>
    <row r="1134" ht="13" customHeight="1" s="189"/>
    <row r="1135" ht="13" customHeight="1" s="189"/>
    <row r="1136" ht="13" customHeight="1" s="189"/>
    <row r="1137" ht="13" customHeight="1" s="189"/>
    <row r="1138" ht="13" customHeight="1" s="189"/>
    <row r="1139" ht="13" customHeight="1" s="189"/>
    <row r="1140" ht="13" customHeight="1" s="189"/>
    <row r="1141" ht="13" customHeight="1" s="189"/>
    <row r="1142" ht="13" customHeight="1" s="189"/>
    <row r="1143" ht="13" customHeight="1" s="189"/>
    <row r="1144" ht="13" customHeight="1" s="189"/>
    <row r="1145" ht="13" customHeight="1" s="189"/>
    <row r="1146" ht="13" customHeight="1" s="189"/>
    <row r="1147" ht="13" customHeight="1" s="189"/>
    <row r="1148" ht="13" customHeight="1" s="189"/>
    <row r="1149" ht="13" customHeight="1" s="189"/>
    <row r="1150" ht="13" customHeight="1" s="189"/>
    <row r="1151" ht="13" customHeight="1" s="189"/>
    <row r="1152" ht="13" customHeight="1" s="189"/>
    <row r="1153" ht="13" customHeight="1" s="189"/>
    <row r="1154" ht="13" customHeight="1" s="189"/>
    <row r="1155" ht="13" customHeight="1" s="189"/>
    <row r="1156" ht="13" customHeight="1" s="189"/>
    <row r="1157" ht="13" customHeight="1" s="189"/>
    <row r="1158" ht="13" customHeight="1" s="189"/>
    <row r="1159" ht="13" customHeight="1" s="189"/>
    <row r="1160" ht="13" customHeight="1" s="189"/>
    <row r="1161" ht="13" customHeight="1" s="189"/>
    <row r="1162" ht="13" customHeight="1" s="189"/>
    <row r="1163" ht="13" customHeight="1" s="189"/>
    <row r="1164" ht="13" customHeight="1" s="189"/>
    <row r="1165" ht="13" customHeight="1" s="189"/>
    <row r="1166" ht="13" customHeight="1" s="189"/>
    <row r="1167" ht="13" customHeight="1" s="189"/>
    <row r="1168" ht="13" customHeight="1" s="189"/>
    <row r="1169" ht="13" customHeight="1" s="189"/>
    <row r="1170" ht="13" customHeight="1" s="189"/>
    <row r="1171" ht="13" customHeight="1" s="189"/>
    <row r="1172" ht="13" customHeight="1" s="189"/>
    <row r="1173" ht="13" customHeight="1" s="189"/>
    <row r="1174" ht="13" customHeight="1" s="189"/>
    <row r="1175" ht="13" customHeight="1" s="189"/>
    <row r="1176" ht="13" customHeight="1" s="189"/>
    <row r="1177" ht="13" customHeight="1" s="189"/>
    <row r="1178" ht="13" customHeight="1" s="189"/>
    <row r="1179" ht="13" customHeight="1" s="189"/>
    <row r="1180" ht="13" customHeight="1" s="189"/>
    <row r="1181" ht="13" customHeight="1" s="189"/>
    <row r="1182" ht="13" customHeight="1" s="189"/>
    <row r="1183" ht="13" customHeight="1" s="189"/>
  </sheetData>
  <mergeCells count="13">
    <mergeCell ref="B4:F4"/>
    <mergeCell ref="G4:H4"/>
    <mergeCell ref="B2:F2"/>
    <mergeCell ref="I2:N2"/>
    <mergeCell ref="G2:H2"/>
    <mergeCell ref="B3:F3"/>
    <mergeCell ref="I3:N3"/>
    <mergeCell ref="B7:N7"/>
    <mergeCell ref="A5:N5"/>
    <mergeCell ref="B6:N6"/>
    <mergeCell ref="I4:N4"/>
    <mergeCell ref="G3:H3"/>
    <mergeCell ref="A1:N1"/>
  </mergeCells>
  <printOptions horizontalCentered="0" verticalCentered="0" headings="0" gridLines="1"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E1027"/>
  <sheetViews>
    <sheetView showFormulas="0" showGridLines="1" showRowColHeaders="1" showZeros="1" rightToLeft="0" tabSelected="0" showOutlineSymbols="1" defaultGridColor="1" view="normal" topLeftCell="A10" colorId="64" zoomScale="100" zoomScaleNormal="100" zoomScalePageLayoutView="100" workbookViewId="0">
      <selection pane="topLeft" activeCell="E27" activeCellId="0" sqref="E27"/>
    </sheetView>
  </sheetViews>
  <sheetFormatPr baseColWidth="8" defaultColWidth="9.0546875" defaultRowHeight="12.5" zeroHeight="0" outlineLevelRow="0"/>
  <cols>
    <col width="13.26" customWidth="1" style="188" min="1" max="1"/>
    <col width="11.44" customWidth="1" style="293" min="2" max="2"/>
    <col width="32.72" customWidth="1" style="188" min="3" max="3"/>
    <col width="32.72" customWidth="1" style="293" min="4" max="4"/>
    <col width="32.72" customWidth="1" style="188" min="5" max="5"/>
  </cols>
  <sheetData>
    <row r="1" ht="15.5" customHeight="1" s="189">
      <c r="A1" s="324" t="inlineStr">
        <is>
          <t>Initial Project Size Estimate</t>
        </is>
      </c>
      <c r="B1" s="211" t="n"/>
      <c r="C1" s="211" t="n"/>
      <c r="D1" s="211" t="n"/>
      <c r="E1" s="211" t="n"/>
    </row>
    <row r="2" ht="13" customHeight="1" s="189">
      <c r="A2" s="266" t="inlineStr">
        <is>
          <t>Project</t>
        </is>
      </c>
      <c r="B2" s="214" t="n"/>
      <c r="C2" s="208">
        <f>Data!B1</f>
        <v/>
      </c>
      <c r="D2" s="266" t="inlineStr">
        <is>
          <t>Project #</t>
        </is>
      </c>
      <c r="E2" s="208">
        <f>Data!B2</f>
        <v/>
      </c>
    </row>
    <row r="3" ht="13" customHeight="1" s="189">
      <c r="A3" s="266" t="inlineStr">
        <is>
          <t>Project manager</t>
        </is>
      </c>
      <c r="B3" s="214" t="n"/>
      <c r="C3" s="208">
        <f>Data!B3</f>
        <v/>
      </c>
      <c r="D3" s="266" t="inlineStr">
        <is>
          <t>Sponsor</t>
        </is>
      </c>
      <c r="E3" s="208">
        <f>Data!B4</f>
        <v/>
      </c>
    </row>
    <row r="4" ht="13" customHeight="1" s="189">
      <c r="A4" s="266" t="inlineStr">
        <is>
          <t>Project artifacts</t>
        </is>
      </c>
      <c r="B4" s="214" t="n"/>
      <c r="C4" s="208">
        <f>Data!B5</f>
        <v/>
      </c>
      <c r="D4" s="266" t="inlineStr">
        <is>
          <t>Updated</t>
        </is>
      </c>
      <c r="E4" s="208">
        <f>Data!B6</f>
        <v/>
      </c>
    </row>
    <row r="5" ht="12.5" customHeight="1" s="189">
      <c r="A5" s="308" t="n"/>
      <c r="B5" s="213" t="n"/>
      <c r="C5" s="308" t="n"/>
      <c r="D5" s="308" t="n"/>
      <c r="E5" s="308" t="n"/>
    </row>
    <row r="6" ht="12.5" customHeight="1" s="189">
      <c r="A6" s="325" t="n"/>
      <c r="B6" s="326" t="n"/>
      <c r="C6" s="327" t="inlineStr">
        <is>
          <t>Scope Estimate</t>
        </is>
      </c>
      <c r="D6" s="213" t="n"/>
      <c r="E6" s="214" t="n"/>
    </row>
    <row r="7" ht="12.5" customHeight="1" s="189">
      <c r="A7" s="325" t="n"/>
      <c r="B7" s="326" t="n"/>
      <c r="C7" s="327" t="inlineStr">
        <is>
          <t>Technology Systems Impacted</t>
        </is>
      </c>
      <c r="D7" s="213" t="n"/>
      <c r="E7" s="214" t="n"/>
    </row>
    <row r="8" ht="21.75" customHeight="1" s="189">
      <c r="A8" s="325" t="n"/>
      <c r="B8" s="327" t="n"/>
      <c r="C8" s="328" t="inlineStr">
        <is>
          <t>1 to 2</t>
        </is>
      </c>
      <c r="D8" s="281" t="inlineStr">
        <is>
          <t>3 to 5</t>
        </is>
      </c>
      <c r="E8" s="281" t="inlineStr">
        <is>
          <t>6 or more</t>
        </is>
      </c>
    </row>
    <row r="9" ht="21.75" customHeight="1" s="189">
      <c r="A9" s="329" t="inlineStr">
        <is>
          <t># of Business Requirements</t>
        </is>
      </c>
      <c r="B9" s="281" t="inlineStr">
        <is>
          <t>Less than 50</t>
        </is>
      </c>
      <c r="C9" s="285" t="inlineStr">
        <is>
          <t>Automatically do; no approval needed</t>
        </is>
      </c>
      <c r="D9" s="285" t="n"/>
      <c r="E9" s="285" t="n"/>
    </row>
    <row r="10" ht="21.75" customHeight="1" s="189">
      <c r="A10" s="215" t="n"/>
      <c r="B10" s="281" t="inlineStr">
        <is>
          <t>51 - 100</t>
        </is>
      </c>
      <c r="C10" s="285" t="n"/>
      <c r="D10" s="285" t="n"/>
      <c r="E10" s="285" t="n"/>
    </row>
    <row r="11" ht="21.75" customHeight="1" s="189">
      <c r="A11" s="218" t="n"/>
      <c r="B11" s="281" t="inlineStr">
        <is>
          <t>100 or more</t>
        </is>
      </c>
      <c r="C11" s="285" t="n"/>
      <c r="D11" s="285" t="n"/>
      <c r="E11" s="285" t="inlineStr">
        <is>
          <t>Approval required</t>
        </is>
      </c>
    </row>
    <row r="12" ht="13" customHeight="1" s="189">
      <c r="B12" s="291" t="n"/>
      <c r="C12" s="291" t="n"/>
      <c r="D12" s="291" t="n"/>
      <c r="E12" s="291" t="n"/>
    </row>
    <row r="13" ht="12.5" customHeight="1" s="189">
      <c r="A13" s="325" t="n"/>
      <c r="B13" s="326" t="n"/>
      <c r="C13" s="327" t="inlineStr">
        <is>
          <t>Cost Estimate</t>
        </is>
      </c>
      <c r="D13" s="213" t="n"/>
      <c r="E13" s="214" t="n"/>
    </row>
    <row r="14" ht="12.5" customHeight="1" s="189">
      <c r="A14" s="325" t="n"/>
      <c r="B14" s="326" t="n"/>
      <c r="C14" s="327" t="inlineStr">
        <is>
          <t># of Resources Involved</t>
        </is>
      </c>
      <c r="D14" s="213" t="n"/>
      <c r="E14" s="214" t="n"/>
    </row>
    <row r="15" ht="21.75" customHeight="1" s="189">
      <c r="A15" s="325" t="n"/>
      <c r="B15" s="327" t="n"/>
      <c r="C15" s="328" t="inlineStr">
        <is>
          <t>Less than 10</t>
        </is>
      </c>
      <c r="D15" s="330" t="inlineStr">
        <is>
          <t>11 to 50</t>
        </is>
      </c>
      <c r="E15" s="281" t="inlineStr">
        <is>
          <t>51 or More</t>
        </is>
      </c>
    </row>
    <row r="16" ht="21.75" customHeight="1" s="189">
      <c r="A16" s="329" t="inlineStr">
        <is>
          <t># of Business Requirements</t>
        </is>
      </c>
      <c r="B16" s="281" t="inlineStr">
        <is>
          <t>Less than 50</t>
        </is>
      </c>
      <c r="C16" s="285" t="inlineStr">
        <is>
          <t>Automatically do; no approval needed</t>
        </is>
      </c>
      <c r="D16" s="285" t="n"/>
      <c r="E16" s="285" t="n"/>
    </row>
    <row r="17" ht="21.75" customHeight="1" s="189">
      <c r="A17" s="215" t="n"/>
      <c r="B17" s="281" t="inlineStr">
        <is>
          <t>51 - 100</t>
        </is>
      </c>
      <c r="C17" s="285" t="n"/>
      <c r="D17" s="285" t="n"/>
      <c r="E17" s="285" t="n"/>
    </row>
    <row r="18" ht="21.75" customHeight="1" s="189">
      <c r="A18" s="218" t="n"/>
      <c r="B18" s="281" t="inlineStr">
        <is>
          <t>100 or more</t>
        </is>
      </c>
      <c r="C18" s="285" t="n"/>
      <c r="D18" s="285" t="n"/>
      <c r="E18" s="285" t="inlineStr">
        <is>
          <t>Approval required</t>
        </is>
      </c>
    </row>
    <row r="19" ht="21.75" customHeight="1" s="189">
      <c r="B19" s="291" t="n"/>
      <c r="C19" s="291" t="n"/>
      <c r="D19" s="291" t="n"/>
      <c r="E19" s="291" t="n"/>
    </row>
    <row r="20" ht="12.5" customHeight="1" s="189">
      <c r="A20" s="325" t="n"/>
      <c r="B20" s="326" t="n"/>
      <c r="C20" s="327" t="inlineStr">
        <is>
          <t>Cost Estimate</t>
        </is>
      </c>
      <c r="D20" s="213" t="n"/>
      <c r="E20" s="214" t="n"/>
    </row>
    <row r="21" ht="12.5" customHeight="1" s="189">
      <c r="A21" s="325" t="n"/>
      <c r="B21" s="326" t="n"/>
      <c r="C21" s="327" t="inlineStr">
        <is>
          <t># of Resources Involved</t>
        </is>
      </c>
      <c r="D21" s="213" t="n"/>
      <c r="E21" s="214" t="n"/>
    </row>
    <row r="22" ht="21.75" customHeight="1" s="189">
      <c r="A22" s="325" t="n"/>
      <c r="B22" s="327" t="n"/>
      <c r="C22" s="328" t="inlineStr">
        <is>
          <t>Less than 10</t>
        </is>
      </c>
      <c r="D22" s="330" t="inlineStr">
        <is>
          <t>11 to 50</t>
        </is>
      </c>
      <c r="E22" s="281" t="inlineStr">
        <is>
          <t>51 or More</t>
        </is>
      </c>
    </row>
    <row r="23" ht="21.75" customHeight="1" s="189">
      <c r="A23" s="329" t="inlineStr">
        <is>
          <t>Benefit</t>
        </is>
      </c>
      <c r="B23" s="281" t="inlineStr">
        <is>
          <t>Low</t>
        </is>
      </c>
      <c r="C23" s="285" t="n"/>
      <c r="D23" s="285" t="n"/>
      <c r="E23" s="285" t="inlineStr">
        <is>
          <t>Avoid</t>
        </is>
      </c>
    </row>
    <row r="24" ht="21.75" customHeight="1" s="189">
      <c r="A24" s="215" t="n"/>
      <c r="B24" s="281" t="inlineStr">
        <is>
          <t>Medium</t>
        </is>
      </c>
      <c r="C24" s="285" t="n"/>
      <c r="D24" s="285" t="n"/>
      <c r="E24" s="285" t="n"/>
    </row>
    <row r="25" ht="21.75" customHeight="1" s="189">
      <c r="A25" s="218" t="n"/>
      <c r="B25" s="281" t="inlineStr">
        <is>
          <t>High</t>
        </is>
      </c>
      <c r="C25" s="285" t="inlineStr">
        <is>
          <t>Automatically do; no approval needed</t>
        </is>
      </c>
      <c r="D25" s="285" t="n"/>
      <c r="E25" s="285" t="n"/>
    </row>
    <row r="26" ht="21.75" customHeight="1" s="189">
      <c r="B26" s="291" t="n"/>
      <c r="C26" s="290" t="n"/>
      <c r="D26" s="291" t="n"/>
      <c r="E26" s="290" t="n"/>
    </row>
    <row r="27" ht="13" customHeight="1" s="189">
      <c r="B27" s="291" t="n"/>
      <c r="C27" s="290" t="n"/>
      <c r="D27" s="291" t="n"/>
      <c r="E27" s="201" t="inlineStr">
        <is>
          <t>© Global Knowledge Training LLC</t>
        </is>
      </c>
    </row>
    <row r="28" ht="13" customHeight="1" s="189">
      <c r="B28" s="291" t="n"/>
      <c r="C28" s="290" t="n"/>
      <c r="D28" s="291" t="n"/>
      <c r="E28" s="290" t="n"/>
    </row>
    <row r="29" ht="13" customHeight="1" s="189">
      <c r="B29" s="291" t="n"/>
      <c r="C29" s="290" t="n"/>
      <c r="D29" s="291" t="n"/>
      <c r="E29" s="290" t="n"/>
    </row>
    <row r="30" ht="13" customHeight="1" s="189">
      <c r="B30" s="291" t="n"/>
      <c r="C30" s="290" t="n"/>
      <c r="D30" s="291" t="n"/>
      <c r="E30" s="290" t="n"/>
    </row>
    <row r="31" ht="13" customHeight="1" s="189">
      <c r="B31" s="291" t="n"/>
      <c r="C31" s="290" t="n"/>
      <c r="D31" s="291" t="n"/>
      <c r="E31" s="290" t="n"/>
    </row>
    <row r="32" ht="13" customHeight="1" s="189">
      <c r="B32" s="291" t="n"/>
      <c r="C32" s="290" t="n"/>
      <c r="D32" s="291" t="n"/>
      <c r="E32" s="290" t="n"/>
    </row>
    <row r="33" ht="13" customHeight="1" s="189">
      <c r="B33" s="291" t="n"/>
      <c r="C33" s="290" t="n"/>
      <c r="D33" s="291" t="n"/>
      <c r="E33" s="290" t="n"/>
    </row>
    <row r="34" ht="13" customHeight="1" s="189">
      <c r="B34" s="291" t="n"/>
      <c r="C34" s="290" t="n"/>
      <c r="D34" s="291" t="n"/>
      <c r="E34" s="290" t="n"/>
    </row>
    <row r="35" ht="13" customHeight="1" s="189">
      <c r="B35" s="291" t="n"/>
      <c r="C35" s="290" t="n"/>
      <c r="D35" s="291" t="n"/>
      <c r="E35" s="290" t="n"/>
    </row>
    <row r="36" ht="13" customHeight="1" s="189">
      <c r="B36" s="291" t="n"/>
      <c r="C36" s="290" t="n"/>
      <c r="D36" s="291" t="n"/>
      <c r="E36" s="290" t="n"/>
    </row>
    <row r="37" ht="13" customHeight="1" s="189">
      <c r="B37" s="291" t="n"/>
      <c r="C37" s="290" t="n"/>
      <c r="D37" s="291" t="n"/>
      <c r="E37" s="290" t="n"/>
    </row>
    <row r="38" ht="13" customHeight="1" s="189">
      <c r="B38" s="291" t="n"/>
      <c r="C38" s="290" t="n"/>
      <c r="D38" s="291" t="n"/>
      <c r="E38" s="290" t="n"/>
    </row>
    <row r="39" ht="13" customHeight="1" s="189">
      <c r="B39" s="291" t="n"/>
      <c r="C39" s="290" t="n"/>
      <c r="D39" s="291" t="n"/>
      <c r="E39" s="290" t="n"/>
    </row>
    <row r="40" ht="13" customHeight="1" s="189">
      <c r="B40" s="291" t="n"/>
      <c r="C40" s="290" t="n"/>
      <c r="D40" s="291" t="n"/>
      <c r="E40" s="290" t="n"/>
    </row>
    <row r="41" ht="13" customHeight="1" s="189">
      <c r="B41" s="291" t="n"/>
      <c r="C41" s="290" t="n"/>
      <c r="D41" s="291" t="n"/>
      <c r="E41" s="290" t="n"/>
    </row>
    <row r="42" ht="13" customHeight="1" s="189">
      <c r="B42" s="291" t="n"/>
      <c r="C42" s="290" t="n"/>
      <c r="D42" s="291" t="n"/>
      <c r="E42" s="290" t="n"/>
    </row>
    <row r="43" ht="13" customHeight="1" s="189">
      <c r="B43" s="291" t="n"/>
      <c r="C43" s="290" t="n"/>
      <c r="D43" s="291" t="n"/>
      <c r="E43" s="290" t="n"/>
    </row>
    <row r="44" ht="13" customHeight="1" s="189">
      <c r="B44" s="291" t="n"/>
      <c r="C44" s="290" t="n"/>
      <c r="D44" s="291" t="n"/>
      <c r="E44" s="290" t="n"/>
    </row>
    <row r="45" ht="13" customHeight="1" s="189">
      <c r="B45" s="291" t="n"/>
      <c r="C45" s="290" t="n"/>
      <c r="D45" s="291" t="n"/>
      <c r="E45" s="290" t="n"/>
    </row>
    <row r="46" ht="13" customHeight="1" s="189">
      <c r="B46" s="291" t="n"/>
      <c r="C46" s="290" t="n"/>
      <c r="D46" s="291" t="n"/>
      <c r="E46" s="290" t="n"/>
    </row>
    <row r="47" ht="13" customHeight="1" s="189">
      <c r="B47" s="291" t="n"/>
      <c r="C47" s="290" t="n"/>
      <c r="D47" s="291" t="n"/>
      <c r="E47" s="290" t="n"/>
    </row>
    <row r="48" ht="13" customHeight="1" s="189">
      <c r="B48" s="291" t="n"/>
      <c r="C48" s="290" t="n"/>
      <c r="D48" s="291" t="n"/>
      <c r="E48" s="290" t="n"/>
    </row>
    <row r="49" ht="13" customHeight="1" s="189">
      <c r="B49" s="291" t="n"/>
      <c r="C49" s="290" t="n"/>
      <c r="D49" s="291" t="n"/>
      <c r="E49" s="290" t="n"/>
    </row>
    <row r="50" ht="13" customHeight="1" s="189">
      <c r="B50" s="291" t="n"/>
      <c r="C50" s="290" t="n"/>
      <c r="D50" s="291" t="n"/>
      <c r="E50" s="290" t="n"/>
    </row>
    <row r="51" ht="13" customHeight="1" s="189">
      <c r="B51" s="291" t="n"/>
      <c r="C51" s="290" t="n"/>
      <c r="D51" s="291" t="n"/>
      <c r="E51" s="290" t="n"/>
    </row>
    <row r="52" ht="13" customHeight="1" s="189">
      <c r="B52" s="291" t="n"/>
      <c r="C52" s="290" t="n"/>
      <c r="D52" s="291" t="n"/>
      <c r="E52" s="290" t="n"/>
    </row>
    <row r="53" ht="13" customHeight="1" s="189">
      <c r="B53" s="291" t="n"/>
      <c r="C53" s="290" t="n"/>
      <c r="D53" s="291" t="n"/>
      <c r="E53" s="290" t="n"/>
    </row>
    <row r="54" ht="13" customHeight="1" s="189">
      <c r="B54" s="291" t="n"/>
      <c r="C54" s="290" t="n"/>
      <c r="D54" s="291" t="n"/>
      <c r="E54" s="290" t="n"/>
    </row>
    <row r="55" ht="13" customHeight="1" s="189">
      <c r="B55" s="291" t="n"/>
      <c r="C55" s="290" t="n"/>
      <c r="D55" s="291" t="n"/>
      <c r="E55" s="290" t="n"/>
    </row>
    <row r="56" ht="13" customHeight="1" s="189">
      <c r="B56" s="291" t="n"/>
      <c r="C56" s="290" t="n"/>
      <c r="D56" s="291" t="n"/>
      <c r="E56" s="290" t="n"/>
    </row>
    <row r="57" ht="13" customHeight="1" s="189">
      <c r="B57" s="291" t="n"/>
      <c r="C57" s="290" t="n"/>
      <c r="D57" s="291" t="n"/>
      <c r="E57" s="290" t="n"/>
    </row>
    <row r="58" ht="13" customHeight="1" s="189">
      <c r="B58" s="291" t="n"/>
      <c r="C58" s="290" t="n"/>
      <c r="D58" s="291" t="n"/>
      <c r="E58" s="290" t="n"/>
    </row>
    <row r="59" ht="13" customHeight="1" s="189">
      <c r="B59" s="291" t="n"/>
      <c r="C59" s="290" t="n"/>
      <c r="D59" s="291" t="n"/>
      <c r="E59" s="290" t="n"/>
    </row>
    <row r="60" ht="13" customHeight="1" s="189">
      <c r="B60" s="291" t="n"/>
      <c r="C60" s="290" t="n"/>
      <c r="D60" s="291" t="n"/>
      <c r="E60" s="290" t="n"/>
    </row>
    <row r="61" ht="13" customHeight="1" s="189">
      <c r="B61" s="291" t="n"/>
      <c r="C61" s="290" t="n"/>
      <c r="D61" s="291" t="n"/>
      <c r="E61" s="290" t="n"/>
    </row>
    <row r="62" ht="13" customHeight="1" s="189">
      <c r="B62" s="291" t="n"/>
      <c r="C62" s="290" t="n"/>
      <c r="D62" s="291" t="n"/>
      <c r="E62" s="290" t="n"/>
    </row>
    <row r="63" ht="13" customHeight="1" s="189">
      <c r="B63" s="291" t="n"/>
      <c r="C63" s="290" t="n"/>
      <c r="D63" s="291" t="n"/>
      <c r="E63" s="290" t="n"/>
    </row>
    <row r="64" ht="13" customHeight="1" s="189">
      <c r="B64" s="291" t="n"/>
      <c r="C64" s="290" t="n"/>
      <c r="D64" s="291" t="n"/>
      <c r="E64" s="290" t="n"/>
    </row>
    <row r="65" ht="13" customHeight="1" s="189">
      <c r="B65" s="291" t="n"/>
      <c r="C65" s="290" t="n"/>
      <c r="D65" s="291" t="n"/>
      <c r="E65" s="290" t="n"/>
    </row>
    <row r="66" ht="13" customHeight="1" s="189">
      <c r="B66" s="291" t="n"/>
      <c r="C66" s="290" t="n"/>
      <c r="D66" s="291" t="n"/>
      <c r="E66" s="290" t="n"/>
    </row>
    <row r="67" ht="13" customHeight="1" s="189">
      <c r="B67" s="291" t="n"/>
      <c r="C67" s="290" t="n"/>
      <c r="D67" s="291" t="n"/>
      <c r="E67" s="290" t="n"/>
    </row>
    <row r="68" ht="13" customHeight="1" s="189">
      <c r="B68" s="291" t="n"/>
      <c r="C68" s="290" t="n"/>
      <c r="D68" s="291" t="n"/>
      <c r="E68" s="290" t="n"/>
    </row>
    <row r="69" ht="13" customHeight="1" s="189">
      <c r="B69" s="291" t="n"/>
      <c r="C69" s="290" t="n"/>
      <c r="D69" s="291" t="n"/>
      <c r="E69" s="290" t="n"/>
    </row>
    <row r="70" ht="13" customHeight="1" s="189">
      <c r="B70" s="291" t="n"/>
      <c r="C70" s="290" t="n"/>
      <c r="D70" s="291" t="n"/>
      <c r="E70" s="290" t="n"/>
    </row>
    <row r="71" ht="13" customHeight="1" s="189">
      <c r="B71" s="291" t="n"/>
      <c r="C71" s="290" t="n"/>
      <c r="D71" s="291" t="n"/>
      <c r="E71" s="290" t="n"/>
    </row>
    <row r="72" ht="13" customHeight="1" s="189">
      <c r="B72" s="291" t="n"/>
      <c r="C72" s="290" t="n"/>
      <c r="D72" s="291" t="n"/>
      <c r="E72" s="290" t="n"/>
    </row>
    <row r="73" ht="13" customHeight="1" s="189">
      <c r="B73" s="291" t="n"/>
      <c r="C73" s="290" t="n"/>
      <c r="D73" s="291" t="n"/>
      <c r="E73" s="290" t="n"/>
    </row>
    <row r="74" ht="13" customHeight="1" s="189">
      <c r="B74" s="291" t="n"/>
      <c r="C74" s="290" t="n"/>
      <c r="D74" s="291" t="n"/>
      <c r="E74" s="290" t="n"/>
    </row>
    <row r="75" ht="13" customHeight="1" s="189">
      <c r="B75" s="291" t="n"/>
      <c r="C75" s="290" t="n"/>
      <c r="D75" s="291" t="n"/>
      <c r="E75" s="290" t="n"/>
    </row>
    <row r="76" ht="13" customHeight="1" s="189">
      <c r="B76" s="291" t="n"/>
      <c r="C76" s="290" t="n"/>
      <c r="D76" s="291" t="n"/>
      <c r="E76" s="290" t="n"/>
    </row>
    <row r="77" ht="13" customHeight="1" s="189">
      <c r="B77" s="291" t="n"/>
      <c r="C77" s="290" t="n"/>
      <c r="D77" s="291" t="n"/>
      <c r="E77" s="290" t="n"/>
    </row>
    <row r="78" ht="13" customHeight="1" s="189">
      <c r="B78" s="291" t="n"/>
      <c r="C78" s="290" t="n"/>
      <c r="D78" s="291" t="n"/>
      <c r="E78" s="290" t="n"/>
    </row>
    <row r="79" ht="13" customHeight="1" s="189">
      <c r="B79" s="291" t="n"/>
      <c r="C79" s="290" t="n"/>
      <c r="D79" s="291" t="n"/>
      <c r="E79" s="290" t="n"/>
    </row>
    <row r="80" ht="13" customHeight="1" s="189">
      <c r="B80" s="291" t="n"/>
      <c r="C80" s="290" t="n"/>
      <c r="D80" s="291" t="n"/>
      <c r="E80" s="290" t="n"/>
    </row>
    <row r="81" ht="13" customHeight="1" s="189">
      <c r="B81" s="291" t="n"/>
      <c r="C81" s="290" t="n"/>
      <c r="D81" s="291" t="n"/>
      <c r="E81" s="290" t="n"/>
    </row>
    <row r="82" ht="13" customHeight="1" s="189">
      <c r="B82" s="291" t="n"/>
      <c r="C82" s="290" t="n"/>
      <c r="D82" s="291" t="n"/>
      <c r="E82" s="290" t="n"/>
    </row>
    <row r="83" ht="13" customHeight="1" s="189">
      <c r="B83" s="291" t="n"/>
      <c r="C83" s="290" t="n"/>
      <c r="D83" s="291" t="n"/>
      <c r="E83" s="290" t="n"/>
    </row>
    <row r="84" ht="13" customHeight="1" s="189">
      <c r="B84" s="291" t="n"/>
      <c r="C84" s="290" t="n"/>
      <c r="D84" s="291" t="n"/>
      <c r="E84" s="290" t="n"/>
    </row>
    <row r="85" ht="13" customHeight="1" s="189">
      <c r="B85" s="291" t="n"/>
      <c r="C85" s="290" t="n"/>
      <c r="D85" s="291" t="n"/>
      <c r="E85" s="290" t="n"/>
    </row>
    <row r="86" ht="13" customHeight="1" s="189">
      <c r="B86" s="291" t="n"/>
      <c r="C86" s="290" t="n"/>
      <c r="D86" s="291" t="n"/>
      <c r="E86" s="290" t="n"/>
    </row>
    <row r="87" ht="13" customHeight="1" s="189">
      <c r="B87" s="291" t="n"/>
      <c r="C87" s="290" t="n"/>
      <c r="D87" s="291" t="n"/>
      <c r="E87" s="290" t="n"/>
    </row>
    <row r="88" ht="13" customHeight="1" s="189">
      <c r="B88" s="291" t="n"/>
      <c r="C88" s="290" t="n"/>
      <c r="D88" s="291" t="n"/>
      <c r="E88" s="290" t="n"/>
    </row>
    <row r="89" ht="13" customHeight="1" s="189">
      <c r="B89" s="291" t="n"/>
      <c r="C89" s="290" t="n"/>
      <c r="D89" s="291" t="n"/>
      <c r="E89" s="290" t="n"/>
    </row>
    <row r="90" ht="13" customHeight="1" s="189">
      <c r="B90" s="291" t="n"/>
      <c r="C90" s="290" t="n"/>
      <c r="D90" s="291" t="n"/>
      <c r="E90" s="290" t="n"/>
    </row>
    <row r="91" ht="13" customHeight="1" s="189">
      <c r="B91" s="291" t="n"/>
      <c r="C91" s="290" t="n"/>
      <c r="D91" s="291" t="n"/>
      <c r="E91" s="290" t="n"/>
    </row>
    <row r="92" ht="13" customHeight="1" s="189">
      <c r="B92" s="291" t="n"/>
      <c r="C92" s="290" t="n"/>
      <c r="D92" s="291" t="n"/>
      <c r="E92" s="290" t="n"/>
    </row>
    <row r="93" ht="13" customHeight="1" s="189">
      <c r="B93" s="291" t="n"/>
      <c r="C93" s="290" t="n"/>
      <c r="D93" s="291" t="n"/>
      <c r="E93" s="290" t="n"/>
    </row>
    <row r="94" ht="13" customHeight="1" s="189">
      <c r="B94" s="291" t="n"/>
      <c r="C94" s="290" t="n"/>
      <c r="D94" s="291" t="n"/>
      <c r="E94" s="290" t="n"/>
    </row>
    <row r="95" ht="13" customHeight="1" s="189">
      <c r="B95" s="291" t="n"/>
      <c r="C95" s="290" t="n"/>
      <c r="D95" s="291" t="n"/>
      <c r="E95" s="290" t="n"/>
    </row>
    <row r="96" ht="13" customHeight="1" s="189">
      <c r="B96" s="291" t="n"/>
      <c r="C96" s="290" t="n"/>
      <c r="D96" s="291" t="n"/>
      <c r="E96" s="290" t="n"/>
    </row>
    <row r="97" ht="13" customHeight="1" s="189">
      <c r="B97" s="291" t="n"/>
      <c r="C97" s="290" t="n"/>
      <c r="D97" s="291" t="n"/>
      <c r="E97" s="290" t="n"/>
    </row>
    <row r="98" ht="13" customHeight="1" s="189">
      <c r="B98" s="291" t="n"/>
      <c r="C98" s="290" t="n"/>
      <c r="D98" s="291" t="n"/>
      <c r="E98" s="290" t="n"/>
    </row>
    <row r="99" ht="13" customHeight="1" s="189">
      <c r="B99" s="291" t="n"/>
      <c r="C99" s="290" t="n"/>
      <c r="D99" s="291" t="n"/>
      <c r="E99" s="290" t="n"/>
    </row>
    <row r="100" ht="13" customHeight="1" s="189">
      <c r="B100" s="291" t="n"/>
      <c r="C100" s="290" t="n"/>
      <c r="D100" s="291" t="n"/>
      <c r="E100" s="290" t="n"/>
    </row>
    <row r="101" ht="13" customHeight="1" s="189">
      <c r="B101" s="291" t="n"/>
      <c r="C101" s="290" t="n"/>
      <c r="D101" s="291" t="n"/>
      <c r="E101" s="290" t="n"/>
    </row>
    <row r="102" ht="13" customHeight="1" s="189">
      <c r="B102" s="291" t="n"/>
      <c r="C102" s="290" t="n"/>
      <c r="D102" s="291" t="n"/>
      <c r="E102" s="290" t="n"/>
    </row>
    <row r="103" ht="13" customHeight="1" s="189">
      <c r="B103" s="291" t="n"/>
      <c r="C103" s="290" t="n"/>
      <c r="D103" s="291" t="n"/>
      <c r="E103" s="290" t="n"/>
    </row>
    <row r="104" ht="13" customHeight="1" s="189">
      <c r="B104" s="291" t="n"/>
      <c r="C104" s="290" t="n"/>
      <c r="D104" s="291" t="n"/>
      <c r="E104" s="290" t="n"/>
    </row>
    <row r="105" ht="13" customHeight="1" s="189">
      <c r="B105" s="291" t="n"/>
      <c r="C105" s="290" t="n"/>
      <c r="D105" s="291" t="n"/>
      <c r="E105" s="290" t="n"/>
    </row>
    <row r="106" ht="13" customHeight="1" s="189">
      <c r="B106" s="291" t="n"/>
      <c r="C106" s="290" t="n"/>
      <c r="D106" s="291" t="n"/>
      <c r="E106" s="290" t="n"/>
    </row>
    <row r="107" ht="13" customHeight="1" s="189">
      <c r="B107" s="291" t="n"/>
      <c r="C107" s="290" t="n"/>
      <c r="D107" s="291" t="n"/>
      <c r="E107" s="290" t="n"/>
    </row>
    <row r="108" ht="13" customHeight="1" s="189">
      <c r="B108" s="291" t="n"/>
      <c r="C108" s="290" t="n"/>
      <c r="D108" s="291" t="n"/>
      <c r="E108" s="290" t="n"/>
    </row>
    <row r="109" ht="13" customHeight="1" s="189">
      <c r="B109" s="291" t="n"/>
      <c r="C109" s="290" t="n"/>
      <c r="D109" s="291" t="n"/>
      <c r="E109" s="290" t="n"/>
    </row>
    <row r="110" ht="13" customHeight="1" s="189">
      <c r="B110" s="291" t="n"/>
      <c r="C110" s="290" t="n"/>
      <c r="D110" s="291" t="n"/>
      <c r="E110" s="290" t="n"/>
    </row>
    <row r="111" ht="13" customHeight="1" s="189">
      <c r="B111" s="291" t="n"/>
      <c r="C111" s="290" t="n"/>
      <c r="D111" s="291" t="n"/>
      <c r="E111" s="290" t="n"/>
    </row>
    <row r="112" ht="13" customHeight="1" s="189">
      <c r="B112" s="291" t="n"/>
      <c r="C112" s="290" t="n"/>
      <c r="D112" s="291" t="n"/>
      <c r="E112" s="290" t="n"/>
    </row>
    <row r="113" ht="13" customHeight="1" s="189">
      <c r="B113" s="291" t="n"/>
      <c r="C113" s="290" t="n"/>
      <c r="D113" s="291" t="n"/>
      <c r="E113" s="290" t="n"/>
    </row>
    <row r="114" ht="13" customHeight="1" s="189">
      <c r="B114" s="291" t="n"/>
      <c r="C114" s="290" t="n"/>
      <c r="D114" s="291" t="n"/>
      <c r="E114" s="290" t="n"/>
    </row>
    <row r="115" ht="13" customHeight="1" s="189">
      <c r="B115" s="291" t="n"/>
      <c r="C115" s="290" t="n"/>
      <c r="D115" s="291" t="n"/>
      <c r="E115" s="290" t="n"/>
    </row>
    <row r="116" ht="13" customHeight="1" s="189">
      <c r="B116" s="291" t="n"/>
      <c r="C116" s="290" t="n"/>
      <c r="D116" s="291" t="n"/>
      <c r="E116" s="290" t="n"/>
    </row>
    <row r="117" ht="13" customHeight="1" s="189">
      <c r="B117" s="291" t="n"/>
      <c r="C117" s="290" t="n"/>
      <c r="D117" s="291" t="n"/>
      <c r="E117" s="290" t="n"/>
    </row>
    <row r="118" ht="13" customHeight="1" s="189">
      <c r="B118" s="291" t="n"/>
      <c r="C118" s="290" t="n"/>
      <c r="D118" s="291" t="n"/>
      <c r="E118" s="290" t="n"/>
    </row>
    <row r="119" ht="13" customHeight="1" s="189">
      <c r="B119" s="291" t="n"/>
      <c r="C119" s="290" t="n"/>
      <c r="D119" s="291" t="n"/>
      <c r="E119" s="290" t="n"/>
    </row>
    <row r="120" ht="13" customHeight="1" s="189">
      <c r="B120" s="291" t="n"/>
      <c r="C120" s="290" t="n"/>
      <c r="D120" s="291" t="n"/>
      <c r="E120" s="290" t="n"/>
    </row>
    <row r="121" ht="13" customHeight="1" s="189">
      <c r="B121" s="291" t="n"/>
      <c r="C121" s="290" t="n"/>
      <c r="D121" s="291" t="n"/>
      <c r="E121" s="290" t="n"/>
    </row>
    <row r="122" ht="13" customHeight="1" s="189">
      <c r="B122" s="291" t="n"/>
      <c r="C122" s="290" t="n"/>
      <c r="D122" s="291" t="n"/>
      <c r="E122" s="290" t="n"/>
    </row>
    <row r="123" ht="13" customHeight="1" s="189">
      <c r="B123" s="291" t="n"/>
      <c r="C123" s="290" t="n"/>
      <c r="D123" s="291" t="n"/>
      <c r="E123" s="290" t="n"/>
    </row>
    <row r="124" ht="13" customHeight="1" s="189">
      <c r="B124" s="291" t="n"/>
      <c r="C124" s="290" t="n"/>
      <c r="D124" s="291" t="n"/>
      <c r="E124" s="290" t="n"/>
    </row>
    <row r="125" ht="13" customHeight="1" s="189">
      <c r="B125" s="291" t="n"/>
      <c r="C125" s="290" t="n"/>
      <c r="D125" s="291" t="n"/>
      <c r="E125" s="290" t="n"/>
    </row>
    <row r="126" ht="13" customHeight="1" s="189">
      <c r="B126" s="291" t="n"/>
      <c r="C126" s="290" t="n"/>
      <c r="D126" s="291" t="n"/>
      <c r="E126" s="290" t="n"/>
    </row>
    <row r="127" ht="13" customHeight="1" s="189">
      <c r="B127" s="291" t="n"/>
      <c r="C127" s="290" t="n"/>
      <c r="D127" s="291" t="n"/>
      <c r="E127" s="290" t="n"/>
    </row>
    <row r="128" ht="13" customHeight="1" s="189">
      <c r="B128" s="291" t="n"/>
      <c r="C128" s="290" t="n"/>
      <c r="D128" s="291" t="n"/>
      <c r="E128" s="290" t="n"/>
    </row>
    <row r="129" ht="13" customHeight="1" s="189">
      <c r="B129" s="291" t="n"/>
      <c r="C129" s="290" t="n"/>
      <c r="D129" s="291" t="n"/>
      <c r="E129" s="290" t="n"/>
    </row>
    <row r="130" ht="13" customHeight="1" s="189">
      <c r="B130" s="291" t="n"/>
      <c r="C130" s="290" t="n"/>
      <c r="D130" s="291" t="n"/>
      <c r="E130" s="290" t="n"/>
    </row>
    <row r="131" ht="13" customHeight="1" s="189">
      <c r="B131" s="291" t="n"/>
      <c r="C131" s="290" t="n"/>
      <c r="D131" s="291" t="n"/>
      <c r="E131" s="290" t="n"/>
    </row>
    <row r="132" ht="13" customHeight="1" s="189">
      <c r="B132" s="291" t="n"/>
      <c r="C132" s="290" t="n"/>
      <c r="D132" s="291" t="n"/>
      <c r="E132" s="290" t="n"/>
    </row>
    <row r="133" ht="13" customHeight="1" s="189">
      <c r="B133" s="291" t="n"/>
      <c r="C133" s="290" t="n"/>
      <c r="D133" s="291" t="n"/>
      <c r="E133" s="290" t="n"/>
    </row>
    <row r="134" ht="13" customHeight="1" s="189">
      <c r="B134" s="291" t="n"/>
      <c r="C134" s="290" t="n"/>
      <c r="D134" s="291" t="n"/>
      <c r="E134" s="290" t="n"/>
    </row>
    <row r="135" ht="13" customHeight="1" s="189">
      <c r="B135" s="291" t="n"/>
      <c r="C135" s="290" t="n"/>
      <c r="D135" s="291" t="n"/>
      <c r="E135" s="290" t="n"/>
    </row>
    <row r="136" ht="13" customHeight="1" s="189">
      <c r="B136" s="291" t="n"/>
      <c r="C136" s="290" t="n"/>
      <c r="D136" s="291" t="n"/>
      <c r="E136" s="290" t="n"/>
    </row>
    <row r="137" ht="13" customHeight="1" s="189">
      <c r="B137" s="291" t="n"/>
      <c r="C137" s="290" t="n"/>
      <c r="D137" s="291" t="n"/>
      <c r="E137" s="290" t="n"/>
    </row>
    <row r="138" ht="13" customHeight="1" s="189">
      <c r="B138" s="291" t="n"/>
      <c r="C138" s="290" t="n"/>
      <c r="D138" s="291" t="n"/>
      <c r="E138" s="290" t="n"/>
    </row>
    <row r="139" ht="13" customHeight="1" s="189">
      <c r="B139" s="291" t="n"/>
      <c r="C139" s="290" t="n"/>
      <c r="D139" s="291" t="n"/>
      <c r="E139" s="290" t="n"/>
    </row>
    <row r="140" ht="13" customHeight="1" s="189">
      <c r="B140" s="291" t="n"/>
      <c r="C140" s="290" t="n"/>
      <c r="D140" s="291" t="n"/>
      <c r="E140" s="290" t="n"/>
    </row>
    <row r="141" ht="13" customHeight="1" s="189">
      <c r="B141" s="291" t="n"/>
      <c r="C141" s="290" t="n"/>
      <c r="D141" s="291" t="n"/>
      <c r="E141" s="290" t="n"/>
    </row>
    <row r="142" ht="13" customHeight="1" s="189">
      <c r="B142" s="291" t="n"/>
      <c r="C142" s="290" t="n"/>
      <c r="D142" s="291" t="n"/>
      <c r="E142" s="290" t="n"/>
    </row>
    <row r="143" ht="13" customHeight="1" s="189">
      <c r="B143" s="291" t="n"/>
      <c r="C143" s="290" t="n"/>
      <c r="D143" s="291" t="n"/>
      <c r="E143" s="290" t="n"/>
    </row>
    <row r="144" ht="13" customHeight="1" s="189">
      <c r="B144" s="291" t="n"/>
      <c r="C144" s="290" t="n"/>
      <c r="D144" s="291" t="n"/>
      <c r="E144" s="290" t="n"/>
    </row>
    <row r="145" ht="13" customHeight="1" s="189">
      <c r="B145" s="291" t="n"/>
      <c r="C145" s="290" t="n"/>
      <c r="D145" s="291" t="n"/>
      <c r="E145" s="290" t="n"/>
    </row>
    <row r="146" ht="13" customHeight="1" s="189">
      <c r="B146" s="291" t="n"/>
      <c r="C146" s="290" t="n"/>
      <c r="D146" s="291" t="n"/>
      <c r="E146" s="290" t="n"/>
    </row>
    <row r="147" ht="13" customHeight="1" s="189">
      <c r="B147" s="291" t="n"/>
      <c r="C147" s="290" t="n"/>
      <c r="D147" s="291" t="n"/>
      <c r="E147" s="290" t="n"/>
    </row>
    <row r="148" ht="13" customHeight="1" s="189">
      <c r="B148" s="291" t="n"/>
      <c r="C148" s="290" t="n"/>
      <c r="D148" s="291" t="n"/>
      <c r="E148" s="290" t="n"/>
    </row>
    <row r="149" ht="13" customHeight="1" s="189">
      <c r="B149" s="291" t="n"/>
      <c r="C149" s="290" t="n"/>
      <c r="D149" s="291" t="n"/>
      <c r="E149" s="290" t="n"/>
    </row>
    <row r="150" ht="13" customHeight="1" s="189">
      <c r="B150" s="291" t="n"/>
      <c r="C150" s="290" t="n"/>
      <c r="D150" s="291" t="n"/>
      <c r="E150" s="290" t="n"/>
    </row>
    <row r="151" ht="13" customHeight="1" s="189">
      <c r="B151" s="291" t="n"/>
      <c r="C151" s="290" t="n"/>
      <c r="D151" s="291" t="n"/>
      <c r="E151" s="290" t="n"/>
    </row>
    <row r="152" ht="13" customHeight="1" s="189">
      <c r="B152" s="291" t="n"/>
      <c r="C152" s="290" t="n"/>
      <c r="D152" s="291" t="n"/>
      <c r="E152" s="290" t="n"/>
    </row>
    <row r="153" ht="13" customHeight="1" s="189">
      <c r="B153" s="291" t="n"/>
      <c r="C153" s="290" t="n"/>
      <c r="D153" s="291" t="n"/>
      <c r="E153" s="290" t="n"/>
    </row>
    <row r="154" ht="13" customHeight="1" s="189">
      <c r="B154" s="291" t="n"/>
      <c r="C154" s="290" t="n"/>
      <c r="D154" s="291" t="n"/>
      <c r="E154" s="290" t="n"/>
    </row>
    <row r="155" ht="13" customHeight="1" s="189">
      <c r="B155" s="291" t="n"/>
      <c r="C155" s="290" t="n"/>
      <c r="D155" s="291" t="n"/>
      <c r="E155" s="290" t="n"/>
    </row>
    <row r="156" ht="13" customHeight="1" s="189">
      <c r="B156" s="291" t="n"/>
      <c r="C156" s="290" t="n"/>
      <c r="D156" s="291" t="n"/>
      <c r="E156" s="290" t="n"/>
    </row>
    <row r="157" ht="13" customHeight="1" s="189">
      <c r="B157" s="291" t="n"/>
      <c r="C157" s="290" t="n"/>
      <c r="D157" s="291" t="n"/>
      <c r="E157" s="290" t="n"/>
    </row>
    <row r="158" ht="13" customHeight="1" s="189">
      <c r="B158" s="291" t="n"/>
      <c r="C158" s="290" t="n"/>
      <c r="D158" s="291" t="n"/>
      <c r="E158" s="290" t="n"/>
    </row>
    <row r="159" ht="13" customHeight="1" s="189">
      <c r="B159" s="291" t="n"/>
      <c r="C159" s="290" t="n"/>
      <c r="D159" s="291" t="n"/>
      <c r="E159" s="290" t="n"/>
    </row>
    <row r="160" ht="13" customHeight="1" s="189">
      <c r="B160" s="291" t="n"/>
      <c r="C160" s="290" t="n"/>
      <c r="D160" s="291" t="n"/>
      <c r="E160" s="290" t="n"/>
    </row>
    <row r="161" ht="13" customHeight="1" s="189">
      <c r="B161" s="291" t="n"/>
      <c r="C161" s="290" t="n"/>
      <c r="D161" s="291" t="n"/>
      <c r="E161" s="290" t="n"/>
    </row>
    <row r="162" ht="13" customHeight="1" s="189">
      <c r="B162" s="291" t="n"/>
      <c r="C162" s="290" t="n"/>
      <c r="D162" s="291" t="n"/>
      <c r="E162" s="290" t="n"/>
    </row>
    <row r="163" ht="13" customHeight="1" s="189">
      <c r="B163" s="291" t="n"/>
      <c r="C163" s="290" t="n"/>
      <c r="D163" s="291" t="n"/>
      <c r="E163" s="290" t="n"/>
    </row>
    <row r="164" ht="13" customHeight="1" s="189">
      <c r="B164" s="291" t="n"/>
      <c r="C164" s="290" t="n"/>
      <c r="D164" s="291" t="n"/>
      <c r="E164" s="290" t="n"/>
    </row>
    <row r="165" ht="13" customHeight="1" s="189">
      <c r="B165" s="291" t="n"/>
      <c r="C165" s="290" t="n"/>
      <c r="D165" s="291" t="n"/>
      <c r="E165" s="290" t="n"/>
    </row>
    <row r="166" ht="13" customHeight="1" s="189">
      <c r="B166" s="291" t="n"/>
      <c r="C166" s="290" t="n"/>
      <c r="D166" s="291" t="n"/>
      <c r="E166" s="290" t="n"/>
    </row>
    <row r="167" ht="13" customHeight="1" s="189">
      <c r="B167" s="291" t="n"/>
      <c r="C167" s="290" t="n"/>
      <c r="D167" s="291" t="n"/>
      <c r="E167" s="290" t="n"/>
    </row>
    <row r="168" ht="13" customHeight="1" s="189">
      <c r="B168" s="291" t="n"/>
      <c r="C168" s="290" t="n"/>
      <c r="D168" s="291" t="n"/>
      <c r="E168" s="290" t="n"/>
    </row>
    <row r="169" ht="13" customHeight="1" s="189">
      <c r="B169" s="291" t="n"/>
      <c r="C169" s="290" t="n"/>
      <c r="D169" s="291" t="n"/>
      <c r="E169" s="290" t="n"/>
    </row>
    <row r="170" ht="13" customHeight="1" s="189">
      <c r="B170" s="291" t="n"/>
      <c r="C170" s="290" t="n"/>
      <c r="D170" s="291" t="n"/>
      <c r="E170" s="290" t="n"/>
    </row>
    <row r="171" ht="13" customHeight="1" s="189">
      <c r="B171" s="291" t="n"/>
      <c r="C171" s="290" t="n"/>
      <c r="D171" s="291" t="n"/>
      <c r="E171" s="290" t="n"/>
    </row>
    <row r="172" ht="13" customHeight="1" s="189">
      <c r="B172" s="291" t="n"/>
      <c r="C172" s="290" t="n"/>
      <c r="D172" s="291" t="n"/>
      <c r="E172" s="290" t="n"/>
    </row>
    <row r="173" ht="13" customHeight="1" s="189">
      <c r="B173" s="291" t="n"/>
      <c r="C173" s="290" t="n"/>
      <c r="D173" s="291" t="n"/>
      <c r="E173" s="290" t="n"/>
    </row>
    <row r="174" ht="13" customHeight="1" s="189">
      <c r="B174" s="291" t="n"/>
      <c r="C174" s="290" t="n"/>
      <c r="D174" s="291" t="n"/>
      <c r="E174" s="290" t="n"/>
    </row>
    <row r="175" ht="13" customHeight="1" s="189">
      <c r="B175" s="291" t="n"/>
      <c r="C175" s="290" t="n"/>
      <c r="D175" s="291" t="n"/>
      <c r="E175" s="290" t="n"/>
    </row>
    <row r="176" ht="13" customHeight="1" s="189">
      <c r="B176" s="291" t="n"/>
      <c r="C176" s="290" t="n"/>
      <c r="D176" s="291" t="n"/>
      <c r="E176" s="290" t="n"/>
    </row>
    <row r="177" ht="13" customHeight="1" s="189">
      <c r="B177" s="291" t="n"/>
      <c r="C177" s="290" t="n"/>
      <c r="D177" s="291" t="n"/>
      <c r="E177" s="290" t="n"/>
    </row>
    <row r="178" ht="13" customHeight="1" s="189">
      <c r="B178" s="291" t="n"/>
      <c r="C178" s="290" t="n"/>
      <c r="D178" s="291" t="n"/>
      <c r="E178" s="290" t="n"/>
    </row>
    <row r="179" ht="13" customHeight="1" s="189">
      <c r="B179" s="291" t="n"/>
      <c r="C179" s="290" t="n"/>
      <c r="D179" s="291" t="n"/>
      <c r="E179" s="290" t="n"/>
    </row>
    <row r="180" ht="13" customHeight="1" s="189">
      <c r="B180" s="291" t="n"/>
      <c r="C180" s="290" t="n"/>
      <c r="D180" s="291" t="n"/>
      <c r="E180" s="290" t="n"/>
    </row>
    <row r="181" ht="13" customHeight="1" s="189">
      <c r="B181" s="291" t="n"/>
      <c r="C181" s="290" t="n"/>
      <c r="D181" s="291" t="n"/>
      <c r="E181" s="290" t="n"/>
    </row>
    <row r="182" ht="13" customHeight="1" s="189">
      <c r="B182" s="291" t="n"/>
      <c r="C182" s="290" t="n"/>
      <c r="D182" s="291" t="n"/>
      <c r="E182" s="290" t="n"/>
    </row>
    <row r="183" ht="13" customHeight="1" s="189">
      <c r="B183" s="291" t="n"/>
      <c r="C183" s="290" t="n"/>
      <c r="D183" s="291" t="n"/>
      <c r="E183" s="290" t="n"/>
    </row>
    <row r="184" ht="13" customHeight="1" s="189">
      <c r="B184" s="291" t="n"/>
      <c r="C184" s="290" t="n"/>
      <c r="D184" s="291" t="n"/>
      <c r="E184" s="290" t="n"/>
    </row>
    <row r="185" ht="13" customHeight="1" s="189">
      <c r="B185" s="291" t="n"/>
      <c r="C185" s="290" t="n"/>
      <c r="D185" s="291" t="n"/>
      <c r="E185" s="290" t="n"/>
    </row>
    <row r="186" ht="13" customHeight="1" s="189">
      <c r="B186" s="291" t="n"/>
      <c r="C186" s="290" t="n"/>
      <c r="D186" s="291" t="n"/>
      <c r="E186" s="290" t="n"/>
    </row>
    <row r="187" ht="13" customHeight="1" s="189">
      <c r="B187" s="291" t="n"/>
      <c r="C187" s="290" t="n"/>
      <c r="D187" s="291" t="n"/>
      <c r="E187" s="290" t="n"/>
    </row>
    <row r="188" ht="13" customHeight="1" s="189">
      <c r="B188" s="291" t="n"/>
      <c r="C188" s="290" t="n"/>
      <c r="D188" s="291" t="n"/>
      <c r="E188" s="290" t="n"/>
    </row>
    <row r="189" ht="13" customHeight="1" s="189">
      <c r="B189" s="291" t="n"/>
      <c r="C189" s="290" t="n"/>
      <c r="D189" s="291" t="n"/>
      <c r="E189" s="290" t="n"/>
    </row>
    <row r="190" ht="13" customHeight="1" s="189">
      <c r="B190" s="291" t="n"/>
      <c r="C190" s="290" t="n"/>
      <c r="D190" s="291" t="n"/>
      <c r="E190" s="290" t="n"/>
    </row>
    <row r="191" ht="13" customHeight="1" s="189">
      <c r="B191" s="291" t="n"/>
      <c r="C191" s="290" t="n"/>
      <c r="D191" s="291" t="n"/>
      <c r="E191" s="290" t="n"/>
    </row>
    <row r="192" ht="13" customHeight="1" s="189">
      <c r="B192" s="291" t="n"/>
      <c r="C192" s="290" t="n"/>
      <c r="D192" s="291" t="n"/>
      <c r="E192" s="290" t="n"/>
    </row>
    <row r="193" ht="13" customHeight="1" s="189">
      <c r="B193" s="291" t="n"/>
      <c r="C193" s="290" t="n"/>
      <c r="D193" s="291" t="n"/>
      <c r="E193" s="290" t="n"/>
    </row>
    <row r="194" ht="13" customHeight="1" s="189">
      <c r="B194" s="291" t="n"/>
      <c r="C194" s="290" t="n"/>
      <c r="D194" s="291" t="n"/>
      <c r="E194" s="290" t="n"/>
    </row>
    <row r="195" ht="13" customHeight="1" s="189">
      <c r="B195" s="291" t="n"/>
      <c r="C195" s="290" t="n"/>
      <c r="D195" s="291" t="n"/>
      <c r="E195" s="290" t="n"/>
    </row>
    <row r="196" ht="13" customHeight="1" s="189">
      <c r="B196" s="291" t="n"/>
      <c r="C196" s="290" t="n"/>
      <c r="D196" s="291" t="n"/>
      <c r="E196" s="290" t="n"/>
    </row>
    <row r="197" ht="13" customHeight="1" s="189">
      <c r="B197" s="291" t="n"/>
      <c r="C197" s="290" t="n"/>
      <c r="D197" s="291" t="n"/>
      <c r="E197" s="290" t="n"/>
    </row>
    <row r="198" ht="13" customHeight="1" s="189">
      <c r="B198" s="291" t="n"/>
      <c r="C198" s="290" t="n"/>
      <c r="D198" s="291" t="n"/>
      <c r="E198" s="290" t="n"/>
    </row>
    <row r="199" ht="13" customHeight="1" s="189">
      <c r="B199" s="291" t="n"/>
      <c r="C199" s="290" t="n"/>
      <c r="D199" s="291" t="n"/>
      <c r="E199" s="290" t="n"/>
    </row>
    <row r="200" ht="13" customHeight="1" s="189">
      <c r="B200" s="291" t="n"/>
      <c r="C200" s="290" t="n"/>
      <c r="D200" s="291" t="n"/>
      <c r="E200" s="290" t="n"/>
    </row>
    <row r="201" ht="13" customHeight="1" s="189">
      <c r="B201" s="291" t="n"/>
      <c r="C201" s="290" t="n"/>
      <c r="D201" s="291" t="n"/>
      <c r="E201" s="290" t="n"/>
    </row>
    <row r="202" ht="13" customHeight="1" s="189">
      <c r="B202" s="291" t="n"/>
      <c r="C202" s="290" t="n"/>
      <c r="D202" s="291" t="n"/>
      <c r="E202" s="290" t="n"/>
    </row>
    <row r="203" ht="13" customHeight="1" s="189">
      <c r="B203" s="291" t="n"/>
      <c r="C203" s="290" t="n"/>
      <c r="D203" s="291" t="n"/>
      <c r="E203" s="290" t="n"/>
    </row>
    <row r="204" ht="13" customHeight="1" s="189">
      <c r="B204" s="291" t="n"/>
      <c r="C204" s="290" t="n"/>
      <c r="D204" s="291" t="n"/>
      <c r="E204" s="290" t="n"/>
    </row>
    <row r="205" ht="13" customHeight="1" s="189">
      <c r="B205" s="291" t="n"/>
      <c r="C205" s="290" t="n"/>
      <c r="D205" s="291" t="n"/>
      <c r="E205" s="290" t="n"/>
    </row>
    <row r="206" ht="13" customHeight="1" s="189">
      <c r="B206" s="291" t="n"/>
      <c r="C206" s="290" t="n"/>
      <c r="D206" s="291" t="n"/>
      <c r="E206" s="290" t="n"/>
    </row>
    <row r="207" ht="13" customHeight="1" s="189">
      <c r="B207" s="291" t="n"/>
      <c r="C207" s="290" t="n"/>
      <c r="D207" s="291" t="n"/>
      <c r="E207" s="290" t="n"/>
    </row>
    <row r="208" ht="13" customHeight="1" s="189">
      <c r="B208" s="291" t="n"/>
      <c r="C208" s="290" t="n"/>
      <c r="D208" s="291" t="n"/>
      <c r="E208" s="290" t="n"/>
    </row>
    <row r="209" ht="13" customHeight="1" s="189">
      <c r="B209" s="291" t="n"/>
      <c r="C209" s="290" t="n"/>
      <c r="D209" s="291" t="n"/>
      <c r="E209" s="290" t="n"/>
    </row>
    <row r="210" ht="13" customHeight="1" s="189">
      <c r="B210" s="291" t="n"/>
      <c r="C210" s="290" t="n"/>
      <c r="D210" s="291" t="n"/>
      <c r="E210" s="290" t="n"/>
    </row>
    <row r="211" ht="13" customHeight="1" s="189">
      <c r="B211" s="291" t="n"/>
      <c r="C211" s="290" t="n"/>
      <c r="D211" s="291" t="n"/>
      <c r="E211" s="290" t="n"/>
    </row>
    <row r="212" ht="13" customHeight="1" s="189">
      <c r="B212" s="291" t="n"/>
      <c r="C212" s="290" t="n"/>
      <c r="D212" s="291" t="n"/>
      <c r="E212" s="290" t="n"/>
    </row>
    <row r="213" ht="13" customHeight="1" s="189">
      <c r="B213" s="291" t="n"/>
      <c r="C213" s="290" t="n"/>
      <c r="D213" s="291" t="n"/>
      <c r="E213" s="290" t="n"/>
    </row>
    <row r="214" ht="13" customHeight="1" s="189">
      <c r="B214" s="291" t="n"/>
      <c r="C214" s="290" t="n"/>
      <c r="D214" s="291" t="n"/>
      <c r="E214" s="290" t="n"/>
    </row>
    <row r="215" ht="13" customHeight="1" s="189">
      <c r="B215" s="291" t="n"/>
      <c r="C215" s="290" t="n"/>
      <c r="D215" s="291" t="n"/>
      <c r="E215" s="290" t="n"/>
    </row>
    <row r="216" ht="13" customHeight="1" s="189">
      <c r="B216" s="291" t="n"/>
      <c r="C216" s="290" t="n"/>
      <c r="D216" s="291" t="n"/>
      <c r="E216" s="290" t="n"/>
    </row>
    <row r="217" ht="13" customHeight="1" s="189">
      <c r="B217" s="291" t="n"/>
      <c r="C217" s="290" t="n"/>
      <c r="D217" s="291" t="n"/>
      <c r="E217" s="290" t="n"/>
    </row>
    <row r="218" ht="13" customHeight="1" s="189">
      <c r="B218" s="291" t="n"/>
      <c r="C218" s="290" t="n"/>
      <c r="D218" s="291" t="n"/>
      <c r="E218" s="290" t="n"/>
    </row>
    <row r="219" ht="13" customHeight="1" s="189">
      <c r="B219" s="291" t="n"/>
      <c r="C219" s="290" t="n"/>
      <c r="D219" s="291" t="n"/>
      <c r="E219" s="290" t="n"/>
    </row>
    <row r="220" ht="13" customHeight="1" s="189">
      <c r="B220" s="291" t="n"/>
      <c r="C220" s="290" t="n"/>
      <c r="D220" s="291" t="n"/>
      <c r="E220" s="290" t="n"/>
    </row>
    <row r="221" ht="13" customHeight="1" s="189">
      <c r="B221" s="291" t="n"/>
      <c r="C221" s="290" t="n"/>
      <c r="D221" s="291" t="n"/>
      <c r="E221" s="290" t="n"/>
    </row>
    <row r="222" ht="13" customHeight="1" s="189">
      <c r="B222" s="291" t="n"/>
      <c r="C222" s="290" t="n"/>
      <c r="D222" s="291" t="n"/>
      <c r="E222" s="290" t="n"/>
    </row>
    <row r="223" ht="13" customHeight="1" s="189">
      <c r="B223" s="291" t="n"/>
      <c r="C223" s="290" t="n"/>
      <c r="D223" s="291" t="n"/>
      <c r="E223" s="290" t="n"/>
    </row>
    <row r="224" ht="13" customHeight="1" s="189">
      <c r="B224" s="291" t="n"/>
      <c r="C224" s="290" t="n"/>
      <c r="D224" s="291" t="n"/>
      <c r="E224" s="290" t="n"/>
    </row>
    <row r="225" ht="13" customHeight="1" s="189">
      <c r="B225" s="291" t="n"/>
      <c r="C225" s="290" t="n"/>
      <c r="D225" s="291" t="n"/>
      <c r="E225" s="290" t="n"/>
    </row>
    <row r="226" ht="13" customHeight="1" s="189">
      <c r="B226" s="291" t="n"/>
      <c r="C226" s="290" t="n"/>
      <c r="D226" s="291" t="n"/>
      <c r="E226" s="290" t="n"/>
    </row>
    <row r="227" ht="13" customHeight="1" s="189">
      <c r="B227" s="291" t="n"/>
      <c r="C227" s="290" t="n"/>
      <c r="D227" s="291" t="n"/>
      <c r="E227" s="290" t="n"/>
    </row>
    <row r="228" ht="13" customHeight="1" s="189">
      <c r="B228" s="291" t="n"/>
      <c r="C228" s="290" t="n"/>
      <c r="D228" s="291" t="n"/>
      <c r="E228" s="290" t="n"/>
    </row>
    <row r="229" ht="13" customHeight="1" s="189">
      <c r="B229" s="291" t="n"/>
      <c r="C229" s="290" t="n"/>
      <c r="D229" s="291" t="n"/>
      <c r="E229" s="290" t="n"/>
    </row>
    <row r="230" ht="13" customHeight="1" s="189">
      <c r="B230" s="291" t="n"/>
      <c r="C230" s="290" t="n"/>
      <c r="D230" s="291" t="n"/>
      <c r="E230" s="290" t="n"/>
    </row>
    <row r="231" ht="13" customHeight="1" s="189">
      <c r="B231" s="291" t="n"/>
      <c r="C231" s="290" t="n"/>
      <c r="D231" s="291" t="n"/>
      <c r="E231" s="290" t="n"/>
    </row>
    <row r="232" ht="13" customHeight="1" s="189">
      <c r="B232" s="291" t="n"/>
      <c r="C232" s="290" t="n"/>
      <c r="D232" s="291" t="n"/>
      <c r="E232" s="290" t="n"/>
    </row>
    <row r="233" ht="13" customHeight="1" s="189">
      <c r="B233" s="291" t="n"/>
      <c r="C233" s="290" t="n"/>
      <c r="D233" s="291" t="n"/>
      <c r="E233" s="290" t="n"/>
    </row>
    <row r="234" ht="13" customHeight="1" s="189">
      <c r="B234" s="291" t="n"/>
      <c r="C234" s="290" t="n"/>
      <c r="D234" s="291" t="n"/>
      <c r="E234" s="290" t="n"/>
    </row>
    <row r="235" ht="13" customHeight="1" s="189">
      <c r="B235" s="291" t="n"/>
      <c r="C235" s="290" t="n"/>
      <c r="D235" s="291" t="n"/>
      <c r="E235" s="290" t="n"/>
    </row>
    <row r="236" ht="13" customHeight="1" s="189">
      <c r="B236" s="291" t="n"/>
      <c r="C236" s="290" t="n"/>
      <c r="D236" s="291" t="n"/>
      <c r="E236" s="290" t="n"/>
    </row>
    <row r="237" ht="13" customHeight="1" s="189">
      <c r="B237" s="291" t="n"/>
      <c r="C237" s="290" t="n"/>
      <c r="D237" s="291" t="n"/>
      <c r="E237" s="290" t="n"/>
    </row>
    <row r="238" ht="13" customHeight="1" s="189">
      <c r="B238" s="291" t="n"/>
      <c r="C238" s="290" t="n"/>
      <c r="D238" s="291" t="n"/>
      <c r="E238" s="290" t="n"/>
    </row>
    <row r="239" ht="13" customHeight="1" s="189">
      <c r="B239" s="291" t="n"/>
      <c r="C239" s="290" t="n"/>
      <c r="D239" s="291" t="n"/>
      <c r="E239" s="290" t="n"/>
    </row>
    <row r="240" ht="13" customHeight="1" s="189">
      <c r="B240" s="291" t="n"/>
      <c r="C240" s="290" t="n"/>
      <c r="D240" s="291" t="n"/>
      <c r="E240" s="290" t="n"/>
    </row>
    <row r="241" ht="13" customHeight="1" s="189">
      <c r="B241" s="291" t="n"/>
      <c r="C241" s="290" t="n"/>
      <c r="D241" s="291" t="n"/>
      <c r="E241" s="290" t="n"/>
    </row>
    <row r="242" ht="13" customHeight="1" s="189">
      <c r="B242" s="291" t="n"/>
      <c r="C242" s="290" t="n"/>
      <c r="D242" s="291" t="n"/>
      <c r="E242" s="290" t="n"/>
    </row>
    <row r="243" ht="13" customHeight="1" s="189">
      <c r="B243" s="291" t="n"/>
      <c r="C243" s="290" t="n"/>
      <c r="D243" s="291" t="n"/>
      <c r="E243" s="290" t="n"/>
    </row>
    <row r="244" ht="13" customHeight="1" s="189">
      <c r="B244" s="291" t="n"/>
      <c r="C244" s="290" t="n"/>
      <c r="D244" s="291" t="n"/>
      <c r="E244" s="290" t="n"/>
    </row>
    <row r="245" ht="13" customHeight="1" s="189">
      <c r="B245" s="291" t="n"/>
      <c r="C245" s="290" t="n"/>
      <c r="D245" s="291" t="n"/>
      <c r="E245" s="290" t="n"/>
    </row>
    <row r="246" ht="13" customHeight="1" s="189">
      <c r="B246" s="291" t="n"/>
      <c r="C246" s="290" t="n"/>
      <c r="D246" s="291" t="n"/>
      <c r="E246" s="290" t="n"/>
    </row>
    <row r="247" ht="13" customHeight="1" s="189">
      <c r="B247" s="291" t="n"/>
      <c r="C247" s="290" t="n"/>
      <c r="D247" s="291" t="n"/>
      <c r="E247" s="290" t="n"/>
    </row>
    <row r="248" ht="13" customHeight="1" s="189">
      <c r="B248" s="291" t="n"/>
      <c r="C248" s="290" t="n"/>
      <c r="D248" s="291" t="n"/>
      <c r="E248" s="290" t="n"/>
    </row>
    <row r="249" ht="13" customHeight="1" s="189">
      <c r="B249" s="291" t="n"/>
      <c r="C249" s="290" t="n"/>
      <c r="D249" s="291" t="n"/>
      <c r="E249" s="290" t="n"/>
    </row>
    <row r="250" ht="13" customHeight="1" s="189">
      <c r="B250" s="291" t="n"/>
      <c r="C250" s="290" t="n"/>
      <c r="D250" s="291" t="n"/>
      <c r="E250" s="290" t="n"/>
    </row>
    <row r="251" ht="13" customHeight="1" s="189">
      <c r="B251" s="291" t="n"/>
      <c r="C251" s="290" t="n"/>
      <c r="D251" s="291" t="n"/>
      <c r="E251" s="290" t="n"/>
    </row>
    <row r="252" ht="13" customHeight="1" s="189">
      <c r="B252" s="291" t="n"/>
      <c r="C252" s="290" t="n"/>
      <c r="D252" s="291" t="n"/>
      <c r="E252" s="290" t="n"/>
    </row>
    <row r="253" ht="13" customHeight="1" s="189">
      <c r="B253" s="291" t="n"/>
      <c r="C253" s="290" t="n"/>
      <c r="D253" s="291" t="n"/>
      <c r="E253" s="290" t="n"/>
    </row>
    <row r="254" ht="13" customHeight="1" s="189">
      <c r="B254" s="291" t="n"/>
      <c r="C254" s="290" t="n"/>
      <c r="D254" s="291" t="n"/>
      <c r="E254" s="290" t="n"/>
    </row>
    <row r="255" ht="13" customHeight="1" s="189">
      <c r="B255" s="291" t="n"/>
      <c r="C255" s="290" t="n"/>
      <c r="D255" s="291" t="n"/>
      <c r="E255" s="290" t="n"/>
    </row>
    <row r="256" ht="13" customHeight="1" s="189">
      <c r="B256" s="291" t="n"/>
      <c r="C256" s="290" t="n"/>
      <c r="D256" s="291" t="n"/>
      <c r="E256" s="290" t="n"/>
    </row>
    <row r="257" ht="13" customHeight="1" s="189">
      <c r="B257" s="291" t="n"/>
      <c r="C257" s="290" t="n"/>
      <c r="D257" s="291" t="n"/>
      <c r="E257" s="290" t="n"/>
    </row>
    <row r="258" ht="13" customHeight="1" s="189">
      <c r="B258" s="291" t="n"/>
      <c r="C258" s="290" t="n"/>
      <c r="D258" s="291" t="n"/>
      <c r="E258" s="290" t="n"/>
    </row>
    <row r="259" ht="13" customHeight="1" s="189">
      <c r="B259" s="291" t="n"/>
      <c r="C259" s="290" t="n"/>
      <c r="D259" s="291" t="n"/>
      <c r="E259" s="290" t="n"/>
    </row>
    <row r="260" ht="13" customHeight="1" s="189">
      <c r="B260" s="291" t="n"/>
      <c r="C260" s="290" t="n"/>
      <c r="D260" s="291" t="n"/>
      <c r="E260" s="290" t="n"/>
    </row>
    <row r="261" ht="13" customHeight="1" s="189">
      <c r="B261" s="291" t="n"/>
      <c r="C261" s="290" t="n"/>
      <c r="D261" s="291" t="n"/>
      <c r="E261" s="290" t="n"/>
    </row>
    <row r="262" ht="13" customHeight="1" s="189">
      <c r="B262" s="291" t="n"/>
      <c r="C262" s="290" t="n"/>
      <c r="D262" s="291" t="n"/>
      <c r="E262" s="290" t="n"/>
    </row>
    <row r="263" ht="13" customHeight="1" s="189">
      <c r="B263" s="291" t="n"/>
      <c r="C263" s="290" t="n"/>
      <c r="D263" s="291" t="n"/>
      <c r="E263" s="290" t="n"/>
    </row>
    <row r="264" ht="13" customHeight="1" s="189">
      <c r="B264" s="291" t="n"/>
      <c r="C264" s="290" t="n"/>
      <c r="D264" s="291" t="n"/>
      <c r="E264" s="290" t="n"/>
    </row>
    <row r="265" ht="13" customHeight="1" s="189">
      <c r="B265" s="291" t="n"/>
      <c r="C265" s="290" t="n"/>
      <c r="D265" s="291" t="n"/>
      <c r="E265" s="290" t="n"/>
    </row>
    <row r="266" ht="13" customHeight="1" s="189">
      <c r="B266" s="291" t="n"/>
      <c r="C266" s="290" t="n"/>
      <c r="D266" s="291" t="n"/>
      <c r="E266" s="290" t="n"/>
    </row>
    <row r="267" ht="13" customHeight="1" s="189">
      <c r="B267" s="291" t="n"/>
      <c r="C267" s="290" t="n"/>
      <c r="D267" s="291" t="n"/>
      <c r="E267" s="290" t="n"/>
    </row>
    <row r="268" ht="13" customHeight="1" s="189">
      <c r="B268" s="291" t="n"/>
      <c r="C268" s="290" t="n"/>
      <c r="D268" s="291" t="n"/>
      <c r="E268" s="290" t="n"/>
    </row>
    <row r="269" ht="13" customHeight="1" s="189">
      <c r="B269" s="291" t="n"/>
      <c r="C269" s="290" t="n"/>
      <c r="D269" s="291" t="n"/>
      <c r="E269" s="290" t="n"/>
    </row>
    <row r="270" ht="13" customHeight="1" s="189">
      <c r="B270" s="291" t="n"/>
      <c r="C270" s="290" t="n"/>
      <c r="D270" s="291" t="n"/>
      <c r="E270" s="290" t="n"/>
    </row>
    <row r="271" ht="13" customHeight="1" s="189">
      <c r="B271" s="291" t="n"/>
      <c r="C271" s="290" t="n"/>
      <c r="D271" s="291" t="n"/>
      <c r="E271" s="290" t="n"/>
    </row>
    <row r="272" ht="13" customHeight="1" s="189">
      <c r="B272" s="291" t="n"/>
      <c r="C272" s="290" t="n"/>
      <c r="D272" s="291" t="n"/>
      <c r="E272" s="290" t="n"/>
    </row>
    <row r="273" ht="13" customHeight="1" s="189">
      <c r="B273" s="291" t="n"/>
      <c r="C273" s="290" t="n"/>
      <c r="D273" s="291" t="n"/>
      <c r="E273" s="290" t="n"/>
    </row>
    <row r="274" ht="13" customHeight="1" s="189">
      <c r="B274" s="291" t="n"/>
      <c r="C274" s="290" t="n"/>
      <c r="D274" s="291" t="n"/>
      <c r="E274" s="290" t="n"/>
    </row>
    <row r="275" ht="13" customHeight="1" s="189">
      <c r="B275" s="291" t="n"/>
      <c r="C275" s="290" t="n"/>
      <c r="D275" s="291" t="n"/>
      <c r="E275" s="290" t="n"/>
    </row>
    <row r="276" ht="13" customHeight="1" s="189">
      <c r="B276" s="291" t="n"/>
      <c r="C276" s="290" t="n"/>
      <c r="D276" s="291" t="n"/>
      <c r="E276" s="290" t="n"/>
    </row>
    <row r="277" ht="13" customHeight="1" s="189">
      <c r="B277" s="291" t="n"/>
      <c r="C277" s="290" t="n"/>
      <c r="D277" s="291" t="n"/>
      <c r="E277" s="290" t="n"/>
    </row>
    <row r="278" ht="13" customHeight="1" s="189">
      <c r="B278" s="291" t="n"/>
      <c r="C278" s="290" t="n"/>
      <c r="D278" s="291" t="n"/>
      <c r="E278" s="290" t="n"/>
    </row>
    <row r="279" ht="13" customHeight="1" s="189">
      <c r="B279" s="291" t="n"/>
      <c r="C279" s="290" t="n"/>
      <c r="D279" s="291" t="n"/>
      <c r="E279" s="290" t="n"/>
    </row>
    <row r="280" ht="13" customHeight="1" s="189">
      <c r="B280" s="291" t="n"/>
      <c r="C280" s="290" t="n"/>
      <c r="D280" s="291" t="n"/>
      <c r="E280" s="290" t="n"/>
    </row>
    <row r="281" ht="13" customHeight="1" s="189">
      <c r="B281" s="291" t="n"/>
      <c r="C281" s="290" t="n"/>
      <c r="D281" s="291" t="n"/>
      <c r="E281" s="290" t="n"/>
    </row>
    <row r="282" ht="13" customHeight="1" s="189">
      <c r="B282" s="291" t="n"/>
      <c r="C282" s="290" t="n"/>
      <c r="D282" s="291" t="n"/>
      <c r="E282" s="290" t="n"/>
    </row>
    <row r="283" ht="13" customHeight="1" s="189">
      <c r="B283" s="291" t="n"/>
      <c r="C283" s="290" t="n"/>
      <c r="D283" s="291" t="n"/>
      <c r="E283" s="290" t="n"/>
    </row>
    <row r="284" ht="13" customHeight="1" s="189">
      <c r="B284" s="291" t="n"/>
      <c r="C284" s="290" t="n"/>
      <c r="D284" s="291" t="n"/>
      <c r="E284" s="290" t="n"/>
    </row>
    <row r="285" ht="13" customHeight="1" s="189">
      <c r="B285" s="291" t="n"/>
      <c r="C285" s="290" t="n"/>
      <c r="D285" s="291" t="n"/>
      <c r="E285" s="290" t="n"/>
    </row>
    <row r="286" ht="13" customHeight="1" s="189">
      <c r="B286" s="291" t="n"/>
      <c r="C286" s="290" t="n"/>
      <c r="D286" s="291" t="n"/>
      <c r="E286" s="290" t="n"/>
    </row>
    <row r="287" ht="13" customHeight="1" s="189">
      <c r="B287" s="291" t="n"/>
      <c r="C287" s="290" t="n"/>
      <c r="D287" s="291" t="n"/>
      <c r="E287" s="290" t="n"/>
    </row>
    <row r="288" ht="13" customHeight="1" s="189">
      <c r="B288" s="291" t="n"/>
      <c r="C288" s="290" t="n"/>
      <c r="D288" s="291" t="n"/>
      <c r="E288" s="290" t="n"/>
    </row>
    <row r="289" ht="13" customHeight="1" s="189">
      <c r="B289" s="291" t="n"/>
      <c r="C289" s="290" t="n"/>
      <c r="D289" s="291" t="n"/>
      <c r="E289" s="290" t="n"/>
    </row>
    <row r="290" ht="13" customHeight="1" s="189">
      <c r="B290" s="291" t="n"/>
      <c r="C290" s="290" t="n"/>
      <c r="D290" s="291" t="n"/>
      <c r="E290" s="290" t="n"/>
    </row>
    <row r="291" ht="13" customHeight="1" s="189">
      <c r="B291" s="291" t="n"/>
      <c r="C291" s="290" t="n"/>
      <c r="D291" s="291" t="n"/>
      <c r="E291" s="290" t="n"/>
    </row>
    <row r="292" ht="13" customHeight="1" s="189">
      <c r="B292" s="291" t="n"/>
      <c r="C292" s="290" t="n"/>
      <c r="D292" s="291" t="n"/>
      <c r="E292" s="290" t="n"/>
    </row>
    <row r="293" ht="13" customHeight="1" s="189">
      <c r="B293" s="291" t="n"/>
      <c r="C293" s="290" t="n"/>
      <c r="D293" s="291" t="n"/>
      <c r="E293" s="290" t="n"/>
    </row>
    <row r="294" ht="13" customHeight="1" s="189">
      <c r="B294" s="291" t="n"/>
      <c r="C294" s="290" t="n"/>
      <c r="D294" s="291" t="n"/>
      <c r="E294" s="290" t="n"/>
    </row>
    <row r="295" ht="13" customHeight="1" s="189">
      <c r="B295" s="291" t="n"/>
      <c r="C295" s="290" t="n"/>
      <c r="D295" s="291" t="n"/>
      <c r="E295" s="290" t="n"/>
    </row>
    <row r="296" ht="13" customHeight="1" s="189">
      <c r="B296" s="291" t="n"/>
      <c r="C296" s="290" t="n"/>
      <c r="D296" s="291" t="n"/>
      <c r="E296" s="290" t="n"/>
    </row>
    <row r="297" ht="13" customHeight="1" s="189">
      <c r="B297" s="291" t="n"/>
      <c r="C297" s="290" t="n"/>
      <c r="D297" s="291" t="n"/>
      <c r="E297" s="290" t="n"/>
    </row>
    <row r="298" ht="13" customHeight="1" s="189">
      <c r="B298" s="291" t="n"/>
      <c r="C298" s="290" t="n"/>
      <c r="D298" s="291" t="n"/>
      <c r="E298" s="290" t="n"/>
    </row>
    <row r="299" ht="13" customHeight="1" s="189">
      <c r="B299" s="291" t="n"/>
      <c r="C299" s="290" t="n"/>
      <c r="D299" s="291" t="n"/>
      <c r="E299" s="290" t="n"/>
    </row>
    <row r="300" ht="13" customHeight="1" s="189">
      <c r="B300" s="291" t="n"/>
      <c r="C300" s="290" t="n"/>
      <c r="D300" s="291" t="n"/>
      <c r="E300" s="290" t="n"/>
    </row>
    <row r="301" ht="13" customHeight="1" s="189">
      <c r="B301" s="291" t="n"/>
      <c r="C301" s="290" t="n"/>
      <c r="D301" s="291" t="n"/>
      <c r="E301" s="290" t="n"/>
    </row>
    <row r="302" ht="13" customHeight="1" s="189">
      <c r="B302" s="291" t="n"/>
      <c r="C302" s="290" t="n"/>
      <c r="D302" s="291" t="n"/>
      <c r="E302" s="290" t="n"/>
    </row>
    <row r="303" ht="13" customHeight="1" s="189">
      <c r="B303" s="291" t="n"/>
      <c r="C303" s="290" t="n"/>
      <c r="D303" s="291" t="n"/>
      <c r="E303" s="290" t="n"/>
    </row>
    <row r="304" ht="13" customHeight="1" s="189">
      <c r="B304" s="291" t="n"/>
      <c r="C304" s="290" t="n"/>
      <c r="D304" s="291" t="n"/>
      <c r="E304" s="290" t="n"/>
    </row>
    <row r="305" ht="13" customHeight="1" s="189">
      <c r="B305" s="291" t="n"/>
      <c r="C305" s="290" t="n"/>
      <c r="D305" s="291" t="n"/>
      <c r="E305" s="290" t="n"/>
    </row>
    <row r="306" ht="13" customHeight="1" s="189">
      <c r="B306" s="291" t="n"/>
      <c r="C306" s="290" t="n"/>
      <c r="D306" s="291" t="n"/>
      <c r="E306" s="290" t="n"/>
    </row>
    <row r="307" ht="13" customHeight="1" s="189">
      <c r="B307" s="291" t="n"/>
      <c r="C307" s="290" t="n"/>
      <c r="D307" s="291" t="n"/>
      <c r="E307" s="290" t="n"/>
    </row>
    <row r="308" ht="13" customHeight="1" s="189">
      <c r="B308" s="291" t="n"/>
      <c r="C308" s="290" t="n"/>
      <c r="D308" s="291" t="n"/>
      <c r="E308" s="290" t="n"/>
    </row>
    <row r="309" ht="13" customHeight="1" s="189">
      <c r="B309" s="291" t="n"/>
      <c r="C309" s="290" t="n"/>
      <c r="D309" s="291" t="n"/>
      <c r="E309" s="290" t="n"/>
    </row>
    <row r="310" ht="13" customHeight="1" s="189">
      <c r="B310" s="291" t="n"/>
      <c r="C310" s="290" t="n"/>
      <c r="D310" s="291" t="n"/>
      <c r="E310" s="290" t="n"/>
    </row>
    <row r="311" ht="13" customHeight="1" s="189">
      <c r="B311" s="291" t="n"/>
      <c r="C311" s="290" t="n"/>
      <c r="D311" s="291" t="n"/>
      <c r="E311" s="290" t="n"/>
    </row>
    <row r="312" ht="13" customHeight="1" s="189">
      <c r="B312" s="291" t="n"/>
      <c r="C312" s="290" t="n"/>
      <c r="D312" s="291" t="n"/>
      <c r="E312" s="290" t="n"/>
    </row>
    <row r="313" ht="13" customHeight="1" s="189">
      <c r="B313" s="291" t="n"/>
      <c r="C313" s="290" t="n"/>
      <c r="D313" s="291" t="n"/>
      <c r="E313" s="290" t="n"/>
    </row>
    <row r="314" ht="13" customHeight="1" s="189">
      <c r="B314" s="291" t="n"/>
      <c r="C314" s="290" t="n"/>
      <c r="D314" s="291" t="n"/>
      <c r="E314" s="290" t="n"/>
    </row>
    <row r="315" ht="13" customHeight="1" s="189">
      <c r="B315" s="291" t="n"/>
      <c r="C315" s="290" t="n"/>
      <c r="D315" s="291" t="n"/>
      <c r="E315" s="290" t="n"/>
    </row>
    <row r="316" ht="13" customHeight="1" s="189">
      <c r="B316" s="291" t="n"/>
      <c r="C316" s="290" t="n"/>
      <c r="D316" s="291" t="n"/>
      <c r="E316" s="290" t="n"/>
    </row>
    <row r="317" ht="13" customHeight="1" s="189">
      <c r="B317" s="291" t="n"/>
      <c r="C317" s="290" t="n"/>
      <c r="D317" s="291" t="n"/>
      <c r="E317" s="290" t="n"/>
    </row>
    <row r="318" ht="13" customHeight="1" s="189">
      <c r="B318" s="291" t="n"/>
      <c r="C318" s="290" t="n"/>
      <c r="D318" s="291" t="n"/>
      <c r="E318" s="290" t="n"/>
    </row>
    <row r="319" ht="13" customHeight="1" s="189">
      <c r="B319" s="291" t="n"/>
      <c r="C319" s="290" t="n"/>
      <c r="D319" s="291" t="n"/>
      <c r="E319" s="290" t="n"/>
    </row>
    <row r="320" ht="13" customHeight="1" s="189">
      <c r="B320" s="291" t="n"/>
      <c r="C320" s="290" t="n"/>
      <c r="D320" s="291" t="n"/>
      <c r="E320" s="290" t="n"/>
    </row>
    <row r="321" ht="13" customHeight="1" s="189">
      <c r="B321" s="291" t="n"/>
      <c r="C321" s="290" t="n"/>
      <c r="D321" s="291" t="n"/>
      <c r="E321" s="290" t="n"/>
    </row>
    <row r="322" ht="13" customHeight="1" s="189">
      <c r="B322" s="291" t="n"/>
      <c r="C322" s="290" t="n"/>
      <c r="D322" s="291" t="n"/>
      <c r="E322" s="290" t="n"/>
    </row>
    <row r="323" ht="13" customHeight="1" s="189">
      <c r="B323" s="291" t="n"/>
      <c r="C323" s="290" t="n"/>
      <c r="D323" s="291" t="n"/>
      <c r="E323" s="290" t="n"/>
    </row>
    <row r="324" ht="13" customHeight="1" s="189">
      <c r="B324" s="291" t="n"/>
      <c r="C324" s="290" t="n"/>
      <c r="D324" s="291" t="n"/>
      <c r="E324" s="290" t="n"/>
    </row>
    <row r="325" ht="13" customHeight="1" s="189">
      <c r="B325" s="291" t="n"/>
      <c r="C325" s="290" t="n"/>
      <c r="D325" s="291" t="n"/>
      <c r="E325" s="290" t="n"/>
    </row>
    <row r="326" ht="13" customHeight="1" s="189">
      <c r="B326" s="291" t="n"/>
      <c r="C326" s="290" t="n"/>
      <c r="D326" s="291" t="n"/>
      <c r="E326" s="290" t="n"/>
    </row>
    <row r="327" ht="13" customHeight="1" s="189">
      <c r="B327" s="291" t="n"/>
      <c r="C327" s="290" t="n"/>
      <c r="D327" s="291" t="n"/>
      <c r="E327" s="290" t="n"/>
    </row>
    <row r="328" ht="13" customHeight="1" s="189">
      <c r="B328" s="291" t="n"/>
      <c r="C328" s="290" t="n"/>
      <c r="D328" s="291" t="n"/>
      <c r="E328" s="290" t="n"/>
    </row>
    <row r="329" ht="13" customHeight="1" s="189">
      <c r="B329" s="291" t="n"/>
      <c r="C329" s="290" t="n"/>
      <c r="D329" s="291" t="n"/>
      <c r="E329" s="290" t="n"/>
    </row>
    <row r="330" ht="13" customHeight="1" s="189">
      <c r="B330" s="291" t="n"/>
      <c r="C330" s="290" t="n"/>
      <c r="D330" s="291" t="n"/>
      <c r="E330" s="290" t="n"/>
    </row>
    <row r="331" ht="13" customHeight="1" s="189">
      <c r="B331" s="291" t="n"/>
      <c r="C331" s="290" t="n"/>
      <c r="D331" s="291" t="n"/>
      <c r="E331" s="290" t="n"/>
    </row>
    <row r="332" ht="13" customHeight="1" s="189">
      <c r="B332" s="291" t="n"/>
      <c r="C332" s="290" t="n"/>
      <c r="D332" s="291" t="n"/>
      <c r="E332" s="290" t="n"/>
    </row>
    <row r="333" ht="13" customHeight="1" s="189">
      <c r="B333" s="291" t="n"/>
      <c r="C333" s="290" t="n"/>
      <c r="D333" s="291" t="n"/>
      <c r="E333" s="290" t="n"/>
    </row>
    <row r="334" ht="13" customHeight="1" s="189">
      <c r="B334" s="291" t="n"/>
      <c r="C334" s="290" t="n"/>
      <c r="D334" s="291" t="n"/>
      <c r="E334" s="290" t="n"/>
    </row>
    <row r="335" ht="13" customHeight="1" s="189">
      <c r="B335" s="291" t="n"/>
      <c r="C335" s="290" t="n"/>
      <c r="D335" s="291" t="n"/>
      <c r="E335" s="290" t="n"/>
    </row>
    <row r="336" ht="13" customHeight="1" s="189">
      <c r="B336" s="291" t="n"/>
      <c r="C336" s="290" t="n"/>
      <c r="D336" s="291" t="n"/>
      <c r="E336" s="290" t="n"/>
    </row>
    <row r="337" ht="13" customHeight="1" s="189">
      <c r="B337" s="291" t="n"/>
      <c r="C337" s="290" t="n"/>
      <c r="D337" s="291" t="n"/>
      <c r="E337" s="290" t="n"/>
    </row>
    <row r="338" ht="13" customHeight="1" s="189">
      <c r="B338" s="291" t="n"/>
      <c r="C338" s="290" t="n"/>
      <c r="D338" s="291" t="n"/>
      <c r="E338" s="290" t="n"/>
    </row>
    <row r="339" ht="13" customHeight="1" s="189">
      <c r="B339" s="291" t="n"/>
      <c r="C339" s="290" t="n"/>
      <c r="D339" s="291" t="n"/>
      <c r="E339" s="290" t="n"/>
    </row>
    <row r="340" ht="13" customHeight="1" s="189">
      <c r="B340" s="291" t="n"/>
      <c r="C340" s="290" t="n"/>
      <c r="D340" s="291" t="n"/>
      <c r="E340" s="290" t="n"/>
    </row>
    <row r="341" ht="13" customHeight="1" s="189">
      <c r="B341" s="291" t="n"/>
      <c r="C341" s="290" t="n"/>
      <c r="D341" s="291" t="n"/>
      <c r="E341" s="290" t="n"/>
    </row>
    <row r="342" ht="13" customHeight="1" s="189">
      <c r="B342" s="291" t="n"/>
      <c r="C342" s="290" t="n"/>
      <c r="D342" s="291" t="n"/>
      <c r="E342" s="290" t="n"/>
    </row>
    <row r="343" ht="13" customHeight="1" s="189">
      <c r="B343" s="291" t="n"/>
      <c r="C343" s="290" t="n"/>
      <c r="D343" s="291" t="n"/>
      <c r="E343" s="290" t="n"/>
    </row>
    <row r="344" ht="13" customHeight="1" s="189">
      <c r="B344" s="291" t="n"/>
      <c r="C344" s="290" t="n"/>
      <c r="D344" s="291" t="n"/>
      <c r="E344" s="290" t="n"/>
    </row>
    <row r="345" ht="13" customHeight="1" s="189">
      <c r="B345" s="291" t="n"/>
      <c r="C345" s="290" t="n"/>
      <c r="D345" s="291" t="n"/>
      <c r="E345" s="290" t="n"/>
    </row>
    <row r="346" ht="13" customHeight="1" s="189">
      <c r="B346" s="291" t="n"/>
      <c r="C346" s="290" t="n"/>
      <c r="D346" s="291" t="n"/>
      <c r="E346" s="290" t="n"/>
    </row>
    <row r="347" ht="13" customHeight="1" s="189">
      <c r="B347" s="291" t="n"/>
      <c r="C347" s="290" t="n"/>
      <c r="D347" s="291" t="n"/>
      <c r="E347" s="290" t="n"/>
    </row>
    <row r="348" ht="13" customHeight="1" s="189">
      <c r="B348" s="291" t="n"/>
      <c r="C348" s="290" t="n"/>
      <c r="D348" s="291" t="n"/>
      <c r="E348" s="290" t="n"/>
    </row>
    <row r="349" ht="13" customHeight="1" s="189">
      <c r="B349" s="291" t="n"/>
      <c r="C349" s="290" t="n"/>
      <c r="D349" s="291" t="n"/>
      <c r="E349" s="290" t="n"/>
    </row>
    <row r="350" ht="13" customHeight="1" s="189">
      <c r="B350" s="291" t="n"/>
      <c r="C350" s="290" t="n"/>
      <c r="D350" s="291" t="n"/>
      <c r="E350" s="290" t="n"/>
    </row>
    <row r="351" ht="13" customHeight="1" s="189">
      <c r="B351" s="291" t="n"/>
      <c r="C351" s="290" t="n"/>
      <c r="D351" s="291" t="n"/>
      <c r="E351" s="290" t="n"/>
    </row>
    <row r="352" ht="13" customHeight="1" s="189">
      <c r="B352" s="291" t="n"/>
      <c r="C352" s="290" t="n"/>
      <c r="D352" s="291" t="n"/>
      <c r="E352" s="290" t="n"/>
    </row>
    <row r="353" ht="13" customHeight="1" s="189">
      <c r="B353" s="291" t="n"/>
      <c r="C353" s="290" t="n"/>
      <c r="D353" s="291" t="n"/>
      <c r="E353" s="290" t="n"/>
    </row>
    <row r="354" ht="13" customHeight="1" s="189">
      <c r="B354" s="291" t="n"/>
      <c r="C354" s="290" t="n"/>
      <c r="D354" s="291" t="n"/>
      <c r="E354" s="290" t="n"/>
    </row>
    <row r="355" ht="13" customHeight="1" s="189">
      <c r="B355" s="291" t="n"/>
      <c r="C355" s="290" t="n"/>
      <c r="D355" s="291" t="n"/>
      <c r="E355" s="290" t="n"/>
    </row>
    <row r="356" ht="13" customHeight="1" s="189">
      <c r="B356" s="291" t="n"/>
      <c r="C356" s="290" t="n"/>
      <c r="D356" s="291" t="n"/>
      <c r="E356" s="290" t="n"/>
    </row>
    <row r="357" ht="13" customHeight="1" s="189">
      <c r="B357" s="291" t="n"/>
      <c r="C357" s="290" t="n"/>
      <c r="D357" s="291" t="n"/>
      <c r="E357" s="290" t="n"/>
    </row>
    <row r="358" ht="13" customHeight="1" s="189">
      <c r="B358" s="291" t="n"/>
      <c r="C358" s="290" t="n"/>
      <c r="D358" s="291" t="n"/>
      <c r="E358" s="290" t="n"/>
    </row>
    <row r="359" ht="13" customHeight="1" s="189">
      <c r="B359" s="291" t="n"/>
      <c r="C359" s="290" t="n"/>
      <c r="D359" s="291" t="n"/>
      <c r="E359" s="290" t="n"/>
    </row>
    <row r="360" ht="13" customHeight="1" s="189">
      <c r="B360" s="291" t="n"/>
      <c r="C360" s="290" t="n"/>
      <c r="D360" s="291" t="n"/>
      <c r="E360" s="290" t="n"/>
    </row>
    <row r="361" ht="13" customHeight="1" s="189">
      <c r="B361" s="291" t="n"/>
      <c r="C361" s="290" t="n"/>
      <c r="D361" s="291" t="n"/>
      <c r="E361" s="290" t="n"/>
    </row>
    <row r="362" ht="13" customHeight="1" s="189">
      <c r="B362" s="291" t="n"/>
      <c r="C362" s="290" t="n"/>
      <c r="D362" s="291" t="n"/>
      <c r="E362" s="290" t="n"/>
    </row>
    <row r="363" ht="13" customHeight="1" s="189">
      <c r="B363" s="291" t="n"/>
      <c r="C363" s="290" t="n"/>
      <c r="D363" s="291" t="n"/>
      <c r="E363" s="290" t="n"/>
    </row>
    <row r="364" ht="13" customHeight="1" s="189">
      <c r="B364" s="291" t="n"/>
      <c r="C364" s="290" t="n"/>
      <c r="D364" s="291" t="n"/>
      <c r="E364" s="290" t="n"/>
    </row>
    <row r="365" ht="13" customHeight="1" s="189">
      <c r="B365" s="291" t="n"/>
      <c r="C365" s="290" t="n"/>
      <c r="D365" s="291" t="n"/>
      <c r="E365" s="290" t="n"/>
    </row>
    <row r="366" ht="13" customHeight="1" s="189">
      <c r="B366" s="291" t="n"/>
      <c r="C366" s="290" t="n"/>
      <c r="D366" s="291" t="n"/>
      <c r="E366" s="290" t="n"/>
    </row>
    <row r="367" ht="13" customHeight="1" s="189">
      <c r="B367" s="291" t="n"/>
      <c r="C367" s="290" t="n"/>
      <c r="D367" s="291" t="n"/>
      <c r="E367" s="290" t="n"/>
    </row>
    <row r="368" ht="13" customHeight="1" s="189">
      <c r="B368" s="291" t="n"/>
      <c r="C368" s="290" t="n"/>
      <c r="D368" s="291" t="n"/>
      <c r="E368" s="290" t="n"/>
    </row>
    <row r="369" ht="13" customHeight="1" s="189">
      <c r="B369" s="291" t="n"/>
      <c r="C369" s="290" t="n"/>
      <c r="D369" s="291" t="n"/>
      <c r="E369" s="290" t="n"/>
    </row>
    <row r="370" ht="13" customHeight="1" s="189">
      <c r="B370" s="291" t="n"/>
      <c r="C370" s="290" t="n"/>
      <c r="D370" s="291" t="n"/>
      <c r="E370" s="290" t="n"/>
    </row>
    <row r="371" ht="13" customHeight="1" s="189">
      <c r="B371" s="291" t="n"/>
      <c r="C371" s="290" t="n"/>
      <c r="D371" s="291" t="n"/>
      <c r="E371" s="290" t="n"/>
    </row>
    <row r="372" ht="13" customHeight="1" s="189">
      <c r="B372" s="291" t="n"/>
      <c r="C372" s="290" t="n"/>
      <c r="D372" s="291" t="n"/>
      <c r="E372" s="290" t="n"/>
    </row>
    <row r="373" ht="13" customHeight="1" s="189">
      <c r="B373" s="291" t="n"/>
      <c r="C373" s="290" t="n"/>
      <c r="D373" s="291" t="n"/>
      <c r="E373" s="290" t="n"/>
    </row>
    <row r="374" ht="13" customHeight="1" s="189">
      <c r="B374" s="291" t="n"/>
      <c r="C374" s="290" t="n"/>
      <c r="D374" s="291" t="n"/>
      <c r="E374" s="290" t="n"/>
    </row>
    <row r="375" ht="13" customHeight="1" s="189">
      <c r="B375" s="291" t="n"/>
      <c r="C375" s="290" t="n"/>
      <c r="D375" s="291" t="n"/>
      <c r="E375" s="290" t="n"/>
    </row>
    <row r="376" ht="13" customHeight="1" s="189">
      <c r="B376" s="291" t="n"/>
      <c r="C376" s="290" t="n"/>
      <c r="D376" s="291" t="n"/>
      <c r="E376" s="290" t="n"/>
    </row>
    <row r="377" ht="13" customHeight="1" s="189">
      <c r="B377" s="291" t="n"/>
      <c r="C377" s="290" t="n"/>
      <c r="D377" s="291" t="n"/>
      <c r="E377" s="290" t="n"/>
    </row>
    <row r="378" ht="13" customHeight="1" s="189">
      <c r="B378" s="291" t="n"/>
      <c r="C378" s="290" t="n"/>
      <c r="D378" s="291" t="n"/>
      <c r="E378" s="290" t="n"/>
    </row>
    <row r="379" ht="13" customHeight="1" s="189">
      <c r="B379" s="291" t="n"/>
      <c r="C379" s="290" t="n"/>
      <c r="D379" s="291" t="n"/>
      <c r="E379" s="290" t="n"/>
    </row>
    <row r="380" ht="13" customHeight="1" s="189">
      <c r="B380" s="291" t="n"/>
      <c r="C380" s="290" t="n"/>
      <c r="D380" s="291" t="n"/>
      <c r="E380" s="290" t="n"/>
    </row>
    <row r="381" ht="13" customHeight="1" s="189">
      <c r="B381" s="291" t="n"/>
      <c r="C381" s="290" t="n"/>
      <c r="D381" s="291" t="n"/>
      <c r="E381" s="290" t="n"/>
    </row>
    <row r="382" ht="13" customHeight="1" s="189">
      <c r="B382" s="291" t="n"/>
      <c r="C382" s="290" t="n"/>
      <c r="D382" s="291" t="n"/>
      <c r="E382" s="290" t="n"/>
    </row>
    <row r="383" ht="13" customHeight="1" s="189">
      <c r="B383" s="291" t="n"/>
      <c r="C383" s="290" t="n"/>
      <c r="D383" s="291" t="n"/>
      <c r="E383" s="290" t="n"/>
    </row>
    <row r="384" ht="13" customHeight="1" s="189">
      <c r="B384" s="291" t="n"/>
      <c r="C384" s="290" t="n"/>
      <c r="D384" s="291" t="n"/>
      <c r="E384" s="290" t="n"/>
    </row>
    <row r="385" ht="13" customHeight="1" s="189">
      <c r="B385" s="291" t="n"/>
      <c r="C385" s="290" t="n"/>
      <c r="D385" s="291" t="n"/>
      <c r="E385" s="290" t="n"/>
    </row>
    <row r="386" ht="13" customHeight="1" s="189">
      <c r="B386" s="291" t="n"/>
      <c r="C386" s="290" t="n"/>
      <c r="D386" s="291" t="n"/>
      <c r="E386" s="290" t="n"/>
    </row>
    <row r="387" ht="13" customHeight="1" s="189">
      <c r="B387" s="291" t="n"/>
      <c r="C387" s="290" t="n"/>
      <c r="D387" s="291" t="n"/>
      <c r="E387" s="290" t="n"/>
    </row>
    <row r="388" ht="13" customHeight="1" s="189">
      <c r="B388" s="291" t="n"/>
      <c r="C388" s="290" t="n"/>
      <c r="D388" s="291" t="n"/>
      <c r="E388" s="290" t="n"/>
    </row>
    <row r="389" ht="13" customHeight="1" s="189">
      <c r="B389" s="291" t="n"/>
      <c r="C389" s="290" t="n"/>
      <c r="D389" s="291" t="n"/>
      <c r="E389" s="290" t="n"/>
    </row>
    <row r="390" ht="13" customHeight="1" s="189">
      <c r="B390" s="291" t="n"/>
      <c r="C390" s="290" t="n"/>
      <c r="D390" s="291" t="n"/>
      <c r="E390" s="290" t="n"/>
    </row>
    <row r="391" ht="13" customHeight="1" s="189">
      <c r="B391" s="291" t="n"/>
      <c r="C391" s="290" t="n"/>
      <c r="D391" s="291" t="n"/>
      <c r="E391" s="290" t="n"/>
    </row>
    <row r="392" ht="13" customHeight="1" s="189">
      <c r="B392" s="291" t="n"/>
      <c r="C392" s="290" t="n"/>
      <c r="D392" s="291" t="n"/>
      <c r="E392" s="290" t="n"/>
    </row>
    <row r="393" ht="13" customHeight="1" s="189">
      <c r="B393" s="291" t="n"/>
      <c r="C393" s="290" t="n"/>
      <c r="D393" s="291" t="n"/>
      <c r="E393" s="290" t="n"/>
    </row>
    <row r="394" ht="13" customHeight="1" s="189">
      <c r="B394" s="291" t="n"/>
      <c r="C394" s="290" t="n"/>
      <c r="D394" s="291" t="n"/>
      <c r="E394" s="290" t="n"/>
    </row>
    <row r="395" ht="13" customHeight="1" s="189">
      <c r="B395" s="291" t="n"/>
      <c r="C395" s="290" t="n"/>
      <c r="D395" s="291" t="n"/>
      <c r="E395" s="290" t="n"/>
    </row>
    <row r="396" ht="13" customHeight="1" s="189">
      <c r="B396" s="291" t="n"/>
      <c r="C396" s="290" t="n"/>
      <c r="D396" s="291" t="n"/>
      <c r="E396" s="290" t="n"/>
    </row>
    <row r="397" ht="13" customHeight="1" s="189">
      <c r="B397" s="291" t="n"/>
      <c r="C397" s="290" t="n"/>
      <c r="D397" s="291" t="n"/>
      <c r="E397" s="290" t="n"/>
    </row>
    <row r="398" ht="13" customHeight="1" s="189">
      <c r="B398" s="291" t="n"/>
      <c r="C398" s="290" t="n"/>
      <c r="D398" s="291" t="n"/>
      <c r="E398" s="290" t="n"/>
    </row>
    <row r="399" ht="13" customHeight="1" s="189">
      <c r="B399" s="291" t="n"/>
      <c r="C399" s="290" t="n"/>
      <c r="D399" s="291" t="n"/>
      <c r="E399" s="290" t="n"/>
    </row>
    <row r="400" ht="13" customHeight="1" s="189">
      <c r="B400" s="291" t="n"/>
      <c r="C400" s="290" t="n"/>
      <c r="D400" s="291" t="n"/>
      <c r="E400" s="290" t="n"/>
    </row>
    <row r="401" ht="13" customHeight="1" s="189">
      <c r="B401" s="291" t="n"/>
      <c r="C401" s="290" t="n"/>
      <c r="D401" s="291" t="n"/>
      <c r="E401" s="290" t="n"/>
    </row>
    <row r="402" ht="13" customHeight="1" s="189">
      <c r="B402" s="291" t="n"/>
      <c r="C402" s="290" t="n"/>
      <c r="D402" s="291" t="n"/>
      <c r="E402" s="290" t="n"/>
    </row>
    <row r="403" ht="13" customHeight="1" s="189">
      <c r="B403" s="291" t="n"/>
      <c r="C403" s="290" t="n"/>
      <c r="D403" s="291" t="n"/>
      <c r="E403" s="290" t="n"/>
    </row>
    <row r="404" ht="13" customHeight="1" s="189">
      <c r="B404" s="291" t="n"/>
      <c r="C404" s="290" t="n"/>
      <c r="D404" s="291" t="n"/>
      <c r="E404" s="290" t="n"/>
    </row>
    <row r="405" ht="13" customHeight="1" s="189">
      <c r="B405" s="291" t="n"/>
      <c r="C405" s="290" t="n"/>
      <c r="D405" s="291" t="n"/>
      <c r="E405" s="290" t="n"/>
    </row>
    <row r="406" ht="13" customHeight="1" s="189">
      <c r="B406" s="291" t="n"/>
      <c r="C406" s="290" t="n"/>
      <c r="D406" s="291" t="n"/>
      <c r="E406" s="290" t="n"/>
    </row>
    <row r="407" ht="13" customHeight="1" s="189">
      <c r="B407" s="291" t="n"/>
      <c r="C407" s="290" t="n"/>
      <c r="D407" s="291" t="n"/>
      <c r="E407" s="290" t="n"/>
    </row>
    <row r="408" ht="13" customHeight="1" s="189">
      <c r="B408" s="291" t="n"/>
      <c r="C408" s="290" t="n"/>
      <c r="D408" s="291" t="n"/>
      <c r="E408" s="290" t="n"/>
    </row>
    <row r="409" ht="13" customHeight="1" s="189">
      <c r="B409" s="291" t="n"/>
      <c r="C409" s="290" t="n"/>
      <c r="D409" s="291" t="n"/>
      <c r="E409" s="290" t="n"/>
    </row>
    <row r="410" ht="13" customHeight="1" s="189">
      <c r="B410" s="291" t="n"/>
      <c r="C410" s="290" t="n"/>
      <c r="D410" s="291" t="n"/>
      <c r="E410" s="290" t="n"/>
    </row>
    <row r="411" ht="13" customHeight="1" s="189">
      <c r="B411" s="291" t="n"/>
      <c r="C411" s="290" t="n"/>
      <c r="D411" s="291" t="n"/>
      <c r="E411" s="290" t="n"/>
    </row>
    <row r="412" ht="13" customHeight="1" s="189">
      <c r="B412" s="291" t="n"/>
      <c r="C412" s="290" t="n"/>
      <c r="D412" s="291" t="n"/>
      <c r="E412" s="290" t="n"/>
    </row>
    <row r="413" ht="13" customHeight="1" s="189">
      <c r="B413" s="291" t="n"/>
      <c r="C413" s="290" t="n"/>
      <c r="D413" s="291" t="n"/>
      <c r="E413" s="290" t="n"/>
    </row>
    <row r="414" ht="13" customHeight="1" s="189">
      <c r="B414" s="291" t="n"/>
      <c r="C414" s="290" t="n"/>
      <c r="D414" s="291" t="n"/>
      <c r="E414" s="290" t="n"/>
    </row>
    <row r="415" ht="13" customHeight="1" s="189">
      <c r="B415" s="291" t="n"/>
      <c r="C415" s="290" t="n"/>
      <c r="D415" s="291" t="n"/>
      <c r="E415" s="290" t="n"/>
    </row>
    <row r="416" ht="13" customHeight="1" s="189">
      <c r="B416" s="291" t="n"/>
      <c r="C416" s="290" t="n"/>
      <c r="D416" s="291" t="n"/>
      <c r="E416" s="290" t="n"/>
    </row>
    <row r="417" ht="13" customHeight="1" s="189">
      <c r="B417" s="291" t="n"/>
      <c r="C417" s="290" t="n"/>
      <c r="D417" s="291" t="n"/>
      <c r="E417" s="290" t="n"/>
    </row>
    <row r="418" ht="13" customHeight="1" s="189">
      <c r="B418" s="291" t="n"/>
      <c r="C418" s="290" t="n"/>
      <c r="D418" s="291" t="n"/>
      <c r="E418" s="290" t="n"/>
    </row>
    <row r="419" ht="13" customHeight="1" s="189">
      <c r="B419" s="291" t="n"/>
      <c r="C419" s="290" t="n"/>
      <c r="D419" s="291" t="n"/>
      <c r="E419" s="290" t="n"/>
    </row>
    <row r="420" ht="13" customHeight="1" s="189">
      <c r="B420" s="291" t="n"/>
      <c r="C420" s="290" t="n"/>
      <c r="D420" s="291" t="n"/>
      <c r="E420" s="290" t="n"/>
    </row>
    <row r="421" ht="13" customHeight="1" s="189">
      <c r="B421" s="291" t="n"/>
      <c r="C421" s="290" t="n"/>
      <c r="D421" s="291" t="n"/>
      <c r="E421" s="290" t="n"/>
    </row>
    <row r="422" ht="13" customHeight="1" s="189">
      <c r="B422" s="291" t="n"/>
      <c r="C422" s="290" t="n"/>
      <c r="D422" s="291" t="n"/>
      <c r="E422" s="290" t="n"/>
    </row>
    <row r="423" ht="13" customHeight="1" s="189">
      <c r="B423" s="291" t="n"/>
      <c r="C423" s="290" t="n"/>
      <c r="D423" s="291" t="n"/>
      <c r="E423" s="290" t="n"/>
    </row>
    <row r="424" ht="13" customHeight="1" s="189">
      <c r="B424" s="291" t="n"/>
      <c r="C424" s="290" t="n"/>
      <c r="D424" s="291" t="n"/>
      <c r="E424" s="290" t="n"/>
    </row>
    <row r="425" ht="13" customHeight="1" s="189">
      <c r="B425" s="291" t="n"/>
      <c r="C425" s="290" t="n"/>
      <c r="D425" s="291" t="n"/>
      <c r="E425" s="290" t="n"/>
    </row>
    <row r="426" ht="13" customHeight="1" s="189">
      <c r="B426" s="291" t="n"/>
      <c r="C426" s="290" t="n"/>
      <c r="D426" s="291" t="n"/>
      <c r="E426" s="290" t="n"/>
    </row>
    <row r="427" ht="13" customHeight="1" s="189">
      <c r="B427" s="291" t="n"/>
      <c r="C427" s="290" t="n"/>
      <c r="D427" s="291" t="n"/>
      <c r="E427" s="290" t="n"/>
    </row>
    <row r="428" ht="13" customHeight="1" s="189">
      <c r="B428" s="291" t="n"/>
      <c r="C428" s="290" t="n"/>
      <c r="D428" s="291" t="n"/>
      <c r="E428" s="290" t="n"/>
    </row>
    <row r="429" ht="13" customHeight="1" s="189">
      <c r="B429" s="291" t="n"/>
      <c r="C429" s="290" t="n"/>
      <c r="D429" s="291" t="n"/>
      <c r="E429" s="290" t="n"/>
    </row>
    <row r="430" ht="13" customHeight="1" s="189">
      <c r="B430" s="291" t="n"/>
      <c r="C430" s="290" t="n"/>
      <c r="D430" s="291" t="n"/>
      <c r="E430" s="290" t="n"/>
    </row>
    <row r="431" ht="13" customHeight="1" s="189">
      <c r="B431" s="291" t="n"/>
      <c r="C431" s="290" t="n"/>
      <c r="D431" s="291" t="n"/>
      <c r="E431" s="290" t="n"/>
    </row>
    <row r="432" ht="13" customHeight="1" s="189">
      <c r="B432" s="291" t="n"/>
      <c r="C432" s="290" t="n"/>
      <c r="D432" s="291" t="n"/>
      <c r="E432" s="290" t="n"/>
    </row>
    <row r="433" ht="13" customHeight="1" s="189">
      <c r="B433" s="291" t="n"/>
      <c r="C433" s="290" t="n"/>
      <c r="D433" s="291" t="n"/>
      <c r="E433" s="290" t="n"/>
    </row>
    <row r="434" ht="13" customHeight="1" s="189">
      <c r="B434" s="291" t="n"/>
      <c r="C434" s="290" t="n"/>
      <c r="D434" s="291" t="n"/>
      <c r="E434" s="290" t="n"/>
    </row>
    <row r="435" ht="13" customHeight="1" s="189">
      <c r="B435" s="291" t="n"/>
      <c r="C435" s="290" t="n"/>
      <c r="D435" s="291" t="n"/>
      <c r="E435" s="290" t="n"/>
    </row>
    <row r="436" ht="13" customHeight="1" s="189">
      <c r="B436" s="291" t="n"/>
      <c r="C436" s="290" t="n"/>
      <c r="D436" s="291" t="n"/>
      <c r="E436" s="290" t="n"/>
    </row>
    <row r="437" ht="13" customHeight="1" s="189">
      <c r="B437" s="291" t="n"/>
      <c r="C437" s="290" t="n"/>
      <c r="D437" s="291" t="n"/>
      <c r="E437" s="290" t="n"/>
    </row>
    <row r="438" ht="13" customHeight="1" s="189">
      <c r="B438" s="291" t="n"/>
      <c r="C438" s="290" t="n"/>
      <c r="D438" s="291" t="n"/>
      <c r="E438" s="290" t="n"/>
    </row>
    <row r="439" ht="13" customHeight="1" s="189">
      <c r="B439" s="291" t="n"/>
      <c r="C439" s="290" t="n"/>
      <c r="D439" s="291" t="n"/>
      <c r="E439" s="290" t="n"/>
    </row>
    <row r="440" ht="13" customHeight="1" s="189">
      <c r="B440" s="291" t="n"/>
      <c r="C440" s="290" t="n"/>
      <c r="D440" s="291" t="n"/>
      <c r="E440" s="290" t="n"/>
    </row>
    <row r="441" ht="13" customHeight="1" s="189">
      <c r="B441" s="291" t="n"/>
      <c r="C441" s="290" t="n"/>
      <c r="D441" s="291" t="n"/>
      <c r="E441" s="290" t="n"/>
    </row>
    <row r="442" ht="13" customHeight="1" s="189">
      <c r="B442" s="291" t="n"/>
      <c r="C442" s="290" t="n"/>
      <c r="D442" s="291" t="n"/>
      <c r="E442" s="290" t="n"/>
    </row>
    <row r="443" ht="13" customHeight="1" s="189">
      <c r="B443" s="291" t="n"/>
      <c r="C443" s="290" t="n"/>
      <c r="D443" s="291" t="n"/>
      <c r="E443" s="290" t="n"/>
    </row>
    <row r="444" ht="13" customHeight="1" s="189">
      <c r="B444" s="291" t="n"/>
      <c r="C444" s="290" t="n"/>
      <c r="D444" s="291" t="n"/>
      <c r="E444" s="290" t="n"/>
    </row>
    <row r="445" ht="13" customHeight="1" s="189">
      <c r="B445" s="291" t="n"/>
      <c r="C445" s="290" t="n"/>
      <c r="D445" s="291" t="n"/>
      <c r="E445" s="290" t="n"/>
    </row>
    <row r="446" ht="13" customHeight="1" s="189">
      <c r="B446" s="291" t="n"/>
      <c r="C446" s="290" t="n"/>
      <c r="D446" s="291" t="n"/>
      <c r="E446" s="290" t="n"/>
    </row>
    <row r="447" ht="13" customHeight="1" s="189">
      <c r="B447" s="291" t="n"/>
      <c r="C447" s="290" t="n"/>
      <c r="D447" s="291" t="n"/>
      <c r="E447" s="290" t="n"/>
    </row>
    <row r="448" ht="13" customHeight="1" s="189">
      <c r="B448" s="291" t="n"/>
      <c r="C448" s="290" t="n"/>
      <c r="D448" s="291" t="n"/>
      <c r="E448" s="290" t="n"/>
    </row>
    <row r="449" ht="13" customHeight="1" s="189">
      <c r="B449" s="291" t="n"/>
      <c r="C449" s="290" t="n"/>
      <c r="D449" s="291" t="n"/>
      <c r="E449" s="290" t="n"/>
    </row>
    <row r="450" ht="13" customHeight="1" s="189">
      <c r="B450" s="291" t="n"/>
      <c r="C450" s="290" t="n"/>
      <c r="D450" s="291" t="n"/>
      <c r="E450" s="290" t="n"/>
    </row>
    <row r="451" ht="13" customHeight="1" s="189">
      <c r="B451" s="291" t="n"/>
      <c r="C451" s="290" t="n"/>
      <c r="D451" s="291" t="n"/>
      <c r="E451" s="290" t="n"/>
    </row>
    <row r="452" ht="13" customHeight="1" s="189">
      <c r="B452" s="291" t="n"/>
      <c r="C452" s="290" t="n"/>
      <c r="D452" s="291" t="n"/>
      <c r="E452" s="290" t="n"/>
    </row>
    <row r="453" ht="13" customHeight="1" s="189">
      <c r="B453" s="291" t="n"/>
      <c r="C453" s="290" t="n"/>
      <c r="D453" s="291" t="n"/>
      <c r="E453" s="290" t="n"/>
    </row>
    <row r="454" ht="13" customHeight="1" s="189">
      <c r="B454" s="291" t="n"/>
      <c r="C454" s="290" t="n"/>
      <c r="D454" s="291" t="n"/>
      <c r="E454" s="290" t="n"/>
    </row>
    <row r="455" ht="13" customHeight="1" s="189">
      <c r="B455" s="291" t="n"/>
      <c r="C455" s="290" t="n"/>
      <c r="D455" s="291" t="n"/>
      <c r="E455" s="290" t="n"/>
    </row>
    <row r="456" ht="13" customHeight="1" s="189">
      <c r="B456" s="291" t="n"/>
      <c r="C456" s="290" t="n"/>
      <c r="D456" s="291" t="n"/>
      <c r="E456" s="290" t="n"/>
    </row>
    <row r="457" ht="13" customHeight="1" s="189">
      <c r="B457" s="291" t="n"/>
      <c r="C457" s="290" t="n"/>
      <c r="D457" s="291" t="n"/>
      <c r="E457" s="290" t="n"/>
    </row>
    <row r="458" ht="13" customHeight="1" s="189">
      <c r="B458" s="291" t="n"/>
      <c r="C458" s="290" t="n"/>
      <c r="D458" s="291" t="n"/>
      <c r="E458" s="290" t="n"/>
    </row>
    <row r="459" ht="13" customHeight="1" s="189">
      <c r="B459" s="291" t="n"/>
      <c r="C459" s="290" t="n"/>
      <c r="D459" s="291" t="n"/>
      <c r="E459" s="290" t="n"/>
    </row>
    <row r="460" ht="13" customHeight="1" s="189">
      <c r="B460" s="291" t="n"/>
      <c r="C460" s="290" t="n"/>
      <c r="D460" s="291" t="n"/>
      <c r="E460" s="290" t="n"/>
    </row>
    <row r="461" ht="13" customHeight="1" s="189">
      <c r="B461" s="291" t="n"/>
      <c r="C461" s="290" t="n"/>
      <c r="D461" s="291" t="n"/>
      <c r="E461" s="290" t="n"/>
    </row>
    <row r="462" ht="13" customHeight="1" s="189">
      <c r="B462" s="291" t="n"/>
      <c r="C462" s="290" t="n"/>
      <c r="D462" s="291" t="n"/>
      <c r="E462" s="290" t="n"/>
    </row>
    <row r="463" ht="13" customHeight="1" s="189">
      <c r="B463" s="291" t="n"/>
      <c r="C463" s="290" t="n"/>
      <c r="D463" s="291" t="n"/>
      <c r="E463" s="290" t="n"/>
    </row>
    <row r="464" ht="13" customHeight="1" s="189">
      <c r="B464" s="291" t="n"/>
      <c r="C464" s="290" t="n"/>
      <c r="D464" s="291" t="n"/>
      <c r="E464" s="290" t="n"/>
    </row>
    <row r="465" ht="13" customHeight="1" s="189">
      <c r="B465" s="291" t="n"/>
      <c r="C465" s="290" t="n"/>
      <c r="D465" s="291" t="n"/>
      <c r="E465" s="290" t="n"/>
    </row>
    <row r="466" ht="13" customHeight="1" s="189">
      <c r="B466" s="291" t="n"/>
      <c r="C466" s="290" t="n"/>
      <c r="D466" s="291" t="n"/>
      <c r="E466" s="290" t="n"/>
    </row>
    <row r="467" ht="13" customHeight="1" s="189">
      <c r="B467" s="291" t="n"/>
      <c r="C467" s="290" t="n"/>
      <c r="D467" s="291" t="n"/>
      <c r="E467" s="290" t="n"/>
    </row>
    <row r="468" ht="13" customHeight="1" s="189">
      <c r="B468" s="291" t="n"/>
      <c r="C468" s="290" t="n"/>
      <c r="D468" s="291" t="n"/>
      <c r="E468" s="290" t="n"/>
    </row>
    <row r="469" ht="13" customHeight="1" s="189">
      <c r="B469" s="291" t="n"/>
      <c r="C469" s="290" t="n"/>
      <c r="D469" s="291" t="n"/>
      <c r="E469" s="290" t="n"/>
    </row>
    <row r="470" ht="13" customHeight="1" s="189">
      <c r="B470" s="291" t="n"/>
      <c r="C470" s="290" t="n"/>
      <c r="D470" s="291" t="n"/>
      <c r="E470" s="290" t="n"/>
    </row>
    <row r="471" ht="13" customHeight="1" s="189">
      <c r="B471" s="291" t="n"/>
      <c r="C471" s="290" t="n"/>
      <c r="D471" s="291" t="n"/>
      <c r="E471" s="290" t="n"/>
    </row>
    <row r="472" ht="13" customHeight="1" s="189">
      <c r="B472" s="291" t="n"/>
      <c r="C472" s="290" t="n"/>
      <c r="D472" s="291" t="n"/>
      <c r="E472" s="290" t="n"/>
    </row>
    <row r="473" ht="13" customHeight="1" s="189">
      <c r="B473" s="291" t="n"/>
      <c r="C473" s="290" t="n"/>
      <c r="D473" s="291" t="n"/>
      <c r="E473" s="290" t="n"/>
    </row>
    <row r="474" ht="13" customHeight="1" s="189">
      <c r="B474" s="291" t="n"/>
      <c r="C474" s="290" t="n"/>
      <c r="D474" s="291" t="n"/>
      <c r="E474" s="290" t="n"/>
    </row>
    <row r="475" ht="13" customHeight="1" s="189">
      <c r="B475" s="291" t="n"/>
      <c r="C475" s="290" t="n"/>
      <c r="D475" s="291" t="n"/>
      <c r="E475" s="290" t="n"/>
    </row>
    <row r="476" ht="13" customHeight="1" s="189">
      <c r="B476" s="291" t="n"/>
      <c r="C476" s="290" t="n"/>
      <c r="D476" s="291" t="n"/>
      <c r="E476" s="290" t="n"/>
    </row>
    <row r="477" ht="13" customHeight="1" s="189">
      <c r="B477" s="291" t="n"/>
      <c r="C477" s="290" t="n"/>
      <c r="D477" s="291" t="n"/>
      <c r="E477" s="290" t="n"/>
    </row>
    <row r="478" ht="13" customHeight="1" s="189">
      <c r="B478" s="291" t="n"/>
      <c r="C478" s="290" t="n"/>
      <c r="D478" s="291" t="n"/>
      <c r="E478" s="290" t="n"/>
    </row>
    <row r="479" ht="13" customHeight="1" s="189">
      <c r="B479" s="291" t="n"/>
      <c r="C479" s="290" t="n"/>
      <c r="D479" s="291" t="n"/>
      <c r="E479" s="290" t="n"/>
    </row>
    <row r="480" ht="13" customHeight="1" s="189">
      <c r="B480" s="291" t="n"/>
      <c r="C480" s="290" t="n"/>
      <c r="D480" s="291" t="n"/>
      <c r="E480" s="290" t="n"/>
    </row>
    <row r="481" ht="13" customHeight="1" s="189">
      <c r="B481" s="291" t="n"/>
      <c r="C481" s="290" t="n"/>
      <c r="D481" s="291" t="n"/>
      <c r="E481" s="290" t="n"/>
    </row>
    <row r="482" ht="13" customHeight="1" s="189">
      <c r="B482" s="291" t="n"/>
      <c r="C482" s="290" t="n"/>
      <c r="D482" s="291" t="n"/>
      <c r="E482" s="290" t="n"/>
    </row>
    <row r="483" ht="13" customHeight="1" s="189">
      <c r="B483" s="291" t="n"/>
      <c r="C483" s="290" t="n"/>
      <c r="D483" s="291" t="n"/>
      <c r="E483" s="290" t="n"/>
    </row>
    <row r="484" ht="13" customHeight="1" s="189">
      <c r="B484" s="291" t="n"/>
      <c r="C484" s="290" t="n"/>
      <c r="D484" s="291" t="n"/>
      <c r="E484" s="290" t="n"/>
    </row>
    <row r="485" ht="13" customHeight="1" s="189">
      <c r="B485" s="291" t="n"/>
      <c r="C485" s="290" t="n"/>
      <c r="D485" s="291" t="n"/>
      <c r="E485" s="290" t="n"/>
    </row>
    <row r="486" ht="13" customHeight="1" s="189">
      <c r="B486" s="291" t="n"/>
      <c r="C486" s="290" t="n"/>
      <c r="D486" s="291" t="n"/>
      <c r="E486" s="290" t="n"/>
    </row>
    <row r="487" ht="13" customHeight="1" s="189">
      <c r="B487" s="291" t="n"/>
      <c r="C487" s="290" t="n"/>
      <c r="D487" s="291" t="n"/>
      <c r="E487" s="290" t="n"/>
    </row>
    <row r="488" ht="13" customHeight="1" s="189">
      <c r="B488" s="291" t="n"/>
      <c r="C488" s="290" t="n"/>
      <c r="D488" s="291" t="n"/>
      <c r="E488" s="290" t="n"/>
    </row>
    <row r="489" ht="13" customHeight="1" s="189">
      <c r="B489" s="291" t="n"/>
      <c r="C489" s="290" t="n"/>
      <c r="D489" s="291" t="n"/>
      <c r="E489" s="290" t="n"/>
    </row>
    <row r="490" ht="13" customHeight="1" s="189">
      <c r="B490" s="291" t="n"/>
      <c r="C490" s="290" t="n"/>
      <c r="D490" s="291" t="n"/>
      <c r="E490" s="290" t="n"/>
    </row>
    <row r="491" ht="13" customHeight="1" s="189">
      <c r="B491" s="291" t="n"/>
      <c r="C491" s="290" t="n"/>
      <c r="D491" s="291" t="n"/>
      <c r="E491" s="290" t="n"/>
    </row>
    <row r="492" ht="13" customHeight="1" s="189">
      <c r="B492" s="291" t="n"/>
      <c r="C492" s="290" t="n"/>
      <c r="D492" s="291" t="n"/>
      <c r="E492" s="290" t="n"/>
    </row>
    <row r="493" ht="13" customHeight="1" s="189">
      <c r="B493" s="291" t="n"/>
      <c r="C493" s="290" t="n"/>
      <c r="D493" s="291" t="n"/>
      <c r="E493" s="290" t="n"/>
    </row>
    <row r="494" ht="13" customHeight="1" s="189">
      <c r="B494" s="291" t="n"/>
      <c r="C494" s="290" t="n"/>
      <c r="D494" s="291" t="n"/>
      <c r="E494" s="290" t="n"/>
    </row>
    <row r="495" ht="13" customHeight="1" s="189">
      <c r="B495" s="291" t="n"/>
      <c r="C495" s="290" t="n"/>
      <c r="D495" s="291" t="n"/>
      <c r="E495" s="290" t="n"/>
    </row>
    <row r="496" ht="13" customHeight="1" s="189">
      <c r="B496" s="291" t="n"/>
      <c r="C496" s="290" t="n"/>
      <c r="D496" s="291" t="n"/>
      <c r="E496" s="290" t="n"/>
    </row>
    <row r="497" ht="13" customHeight="1" s="189">
      <c r="B497" s="291" t="n"/>
      <c r="C497" s="290" t="n"/>
      <c r="D497" s="291" t="n"/>
      <c r="E497" s="290" t="n"/>
    </row>
    <row r="498" ht="13" customHeight="1" s="189">
      <c r="B498" s="291" t="n"/>
      <c r="C498" s="290" t="n"/>
      <c r="D498" s="291" t="n"/>
      <c r="E498" s="290" t="n"/>
    </row>
    <row r="499" ht="13" customHeight="1" s="189">
      <c r="B499" s="291" t="n"/>
      <c r="C499" s="290" t="n"/>
      <c r="D499" s="291" t="n"/>
      <c r="E499" s="290" t="n"/>
    </row>
    <row r="500" ht="13" customHeight="1" s="189">
      <c r="B500" s="291" t="n"/>
      <c r="C500" s="290" t="n"/>
      <c r="D500" s="291" t="n"/>
      <c r="E500" s="290" t="n"/>
    </row>
    <row r="501" ht="13" customHeight="1" s="189">
      <c r="B501" s="291" t="n"/>
      <c r="C501" s="290" t="n"/>
      <c r="D501" s="291" t="n"/>
      <c r="E501" s="290" t="n"/>
    </row>
    <row r="502" ht="13" customHeight="1" s="189">
      <c r="B502" s="291" t="n"/>
      <c r="C502" s="290" t="n"/>
      <c r="D502" s="291" t="n"/>
      <c r="E502" s="290" t="n"/>
    </row>
    <row r="503" ht="13" customHeight="1" s="189">
      <c r="B503" s="291" t="n"/>
      <c r="C503" s="290" t="n"/>
      <c r="D503" s="291" t="n"/>
      <c r="E503" s="290" t="n"/>
    </row>
    <row r="504" ht="13" customHeight="1" s="189">
      <c r="B504" s="291" t="n"/>
      <c r="C504" s="290" t="n"/>
      <c r="D504" s="291" t="n"/>
      <c r="E504" s="290" t="n"/>
    </row>
    <row r="505" ht="13" customHeight="1" s="189">
      <c r="B505" s="291" t="n"/>
      <c r="C505" s="290" t="n"/>
      <c r="D505" s="291" t="n"/>
      <c r="E505" s="290" t="n"/>
    </row>
    <row r="506" ht="13" customHeight="1" s="189">
      <c r="B506" s="291" t="n"/>
      <c r="C506" s="290" t="n"/>
      <c r="D506" s="291" t="n"/>
      <c r="E506" s="290" t="n"/>
    </row>
    <row r="507" ht="13" customHeight="1" s="189">
      <c r="B507" s="291" t="n"/>
      <c r="C507" s="290" t="n"/>
      <c r="D507" s="291" t="n"/>
      <c r="E507" s="290" t="n"/>
    </row>
    <row r="508" ht="13" customHeight="1" s="189">
      <c r="B508" s="291" t="n"/>
      <c r="C508" s="290" t="n"/>
      <c r="D508" s="291" t="n"/>
      <c r="E508" s="290" t="n"/>
    </row>
    <row r="509" ht="13" customHeight="1" s="189">
      <c r="B509" s="291" t="n"/>
      <c r="C509" s="290" t="n"/>
      <c r="D509" s="291" t="n"/>
      <c r="E509" s="290" t="n"/>
    </row>
    <row r="510" ht="13" customHeight="1" s="189">
      <c r="B510" s="291" t="n"/>
      <c r="C510" s="290" t="n"/>
      <c r="D510" s="291" t="n"/>
      <c r="E510" s="290" t="n"/>
    </row>
    <row r="511" ht="13" customHeight="1" s="189">
      <c r="B511" s="291" t="n"/>
      <c r="C511" s="290" t="n"/>
      <c r="D511" s="291" t="n"/>
      <c r="E511" s="290" t="n"/>
    </row>
    <row r="512" ht="13" customHeight="1" s="189">
      <c r="B512" s="291" t="n"/>
      <c r="C512" s="290" t="n"/>
      <c r="D512" s="291" t="n"/>
      <c r="E512" s="290" t="n"/>
    </row>
    <row r="513" ht="13" customHeight="1" s="189">
      <c r="B513" s="291" t="n"/>
      <c r="C513" s="290" t="n"/>
      <c r="D513" s="291" t="n"/>
      <c r="E513" s="290" t="n"/>
    </row>
    <row r="514" ht="13" customHeight="1" s="189">
      <c r="B514" s="291" t="n"/>
      <c r="C514" s="290" t="n"/>
      <c r="D514" s="291" t="n"/>
      <c r="E514" s="290" t="n"/>
    </row>
    <row r="515" ht="13" customHeight="1" s="189">
      <c r="B515" s="291" t="n"/>
      <c r="C515" s="290" t="n"/>
      <c r="D515" s="291" t="n"/>
      <c r="E515" s="290" t="n"/>
    </row>
    <row r="516" ht="13" customHeight="1" s="189">
      <c r="B516" s="291" t="n"/>
      <c r="C516" s="290" t="n"/>
      <c r="D516" s="291" t="n"/>
      <c r="E516" s="290" t="n"/>
    </row>
    <row r="517" ht="13" customHeight="1" s="189">
      <c r="B517" s="291" t="n"/>
      <c r="C517" s="290" t="n"/>
      <c r="D517" s="291" t="n"/>
      <c r="E517" s="290" t="n"/>
    </row>
    <row r="518" ht="13" customHeight="1" s="189">
      <c r="B518" s="291" t="n"/>
      <c r="C518" s="290" t="n"/>
      <c r="D518" s="291" t="n"/>
      <c r="E518" s="290" t="n"/>
    </row>
    <row r="519" ht="13" customHeight="1" s="189">
      <c r="B519" s="291" t="n"/>
      <c r="C519" s="290" t="n"/>
      <c r="D519" s="291" t="n"/>
      <c r="E519" s="290" t="n"/>
    </row>
    <row r="520" ht="13" customHeight="1" s="189">
      <c r="B520" s="291" t="n"/>
      <c r="C520" s="290" t="n"/>
      <c r="D520" s="291" t="n"/>
      <c r="E520" s="290" t="n"/>
    </row>
    <row r="521" ht="13" customHeight="1" s="189">
      <c r="B521" s="291" t="n"/>
      <c r="C521" s="290" t="n"/>
      <c r="D521" s="291" t="n"/>
      <c r="E521" s="290" t="n"/>
    </row>
    <row r="522" ht="13" customHeight="1" s="189">
      <c r="B522" s="291" t="n"/>
      <c r="C522" s="290" t="n"/>
      <c r="D522" s="291" t="n"/>
      <c r="E522" s="290" t="n"/>
    </row>
    <row r="523" ht="13" customHeight="1" s="189">
      <c r="B523" s="291" t="n"/>
      <c r="C523" s="290" t="n"/>
      <c r="D523" s="291" t="n"/>
      <c r="E523" s="290" t="n"/>
    </row>
    <row r="524" ht="13" customHeight="1" s="189">
      <c r="B524" s="291" t="n"/>
      <c r="C524" s="290" t="n"/>
      <c r="D524" s="291" t="n"/>
      <c r="E524" s="290" t="n"/>
    </row>
    <row r="525" ht="13" customHeight="1" s="189">
      <c r="B525" s="291" t="n"/>
      <c r="C525" s="290" t="n"/>
      <c r="D525" s="291" t="n"/>
      <c r="E525" s="290" t="n"/>
    </row>
    <row r="526" ht="13" customHeight="1" s="189">
      <c r="B526" s="291" t="n"/>
      <c r="C526" s="290" t="n"/>
      <c r="D526" s="291" t="n"/>
      <c r="E526" s="290" t="n"/>
    </row>
    <row r="527" ht="13" customHeight="1" s="189">
      <c r="B527" s="291" t="n"/>
      <c r="C527" s="290" t="n"/>
      <c r="D527" s="291" t="n"/>
      <c r="E527" s="290" t="n"/>
    </row>
    <row r="528" ht="13" customHeight="1" s="189">
      <c r="B528" s="291" t="n"/>
      <c r="C528" s="290" t="n"/>
      <c r="D528" s="291" t="n"/>
      <c r="E528" s="290" t="n"/>
    </row>
    <row r="529" ht="13" customHeight="1" s="189">
      <c r="B529" s="291" t="n"/>
      <c r="C529" s="290" t="n"/>
      <c r="D529" s="291" t="n"/>
      <c r="E529" s="290" t="n"/>
    </row>
    <row r="530" ht="13" customHeight="1" s="189">
      <c r="B530" s="291" t="n"/>
      <c r="C530" s="290" t="n"/>
      <c r="D530" s="291" t="n"/>
      <c r="E530" s="290" t="n"/>
    </row>
    <row r="531" ht="13" customHeight="1" s="189">
      <c r="B531" s="291" t="n"/>
      <c r="C531" s="290" t="n"/>
      <c r="D531" s="291" t="n"/>
      <c r="E531" s="290" t="n"/>
    </row>
    <row r="532" ht="13" customHeight="1" s="189">
      <c r="B532" s="291" t="n"/>
      <c r="C532" s="290" t="n"/>
      <c r="D532" s="291" t="n"/>
      <c r="E532" s="290" t="n"/>
    </row>
    <row r="533" ht="13" customHeight="1" s="189">
      <c r="B533" s="291" t="n"/>
      <c r="C533" s="290" t="n"/>
      <c r="D533" s="291" t="n"/>
      <c r="E533" s="290" t="n"/>
    </row>
    <row r="534" ht="13" customHeight="1" s="189">
      <c r="B534" s="291" t="n"/>
      <c r="C534" s="290" t="n"/>
      <c r="D534" s="291" t="n"/>
      <c r="E534" s="290" t="n"/>
    </row>
    <row r="535" ht="13" customHeight="1" s="189">
      <c r="B535" s="291" t="n"/>
      <c r="C535" s="290" t="n"/>
      <c r="D535" s="291" t="n"/>
      <c r="E535" s="290" t="n"/>
    </row>
    <row r="536" ht="13" customHeight="1" s="189">
      <c r="B536" s="291" t="n"/>
      <c r="C536" s="290" t="n"/>
      <c r="D536" s="291" t="n"/>
      <c r="E536" s="290" t="n"/>
    </row>
    <row r="537" ht="13" customHeight="1" s="189">
      <c r="B537" s="291" t="n"/>
      <c r="C537" s="290" t="n"/>
      <c r="D537" s="291" t="n"/>
      <c r="E537" s="290" t="n"/>
    </row>
    <row r="538" ht="13" customHeight="1" s="189">
      <c r="B538" s="291" t="n"/>
      <c r="C538" s="290" t="n"/>
      <c r="D538" s="291" t="n"/>
      <c r="E538" s="290" t="n"/>
    </row>
    <row r="539" ht="13" customHeight="1" s="189">
      <c r="B539" s="291" t="n"/>
      <c r="C539" s="290" t="n"/>
      <c r="D539" s="291" t="n"/>
      <c r="E539" s="290" t="n"/>
    </row>
    <row r="540" ht="13" customHeight="1" s="189">
      <c r="B540" s="291" t="n"/>
      <c r="C540" s="290" t="n"/>
      <c r="D540" s="291" t="n"/>
      <c r="E540" s="290" t="n"/>
    </row>
    <row r="541" ht="13" customHeight="1" s="189">
      <c r="B541" s="291" t="n"/>
      <c r="C541" s="290" t="n"/>
      <c r="D541" s="291" t="n"/>
      <c r="E541" s="290" t="n"/>
    </row>
    <row r="542" ht="13" customHeight="1" s="189">
      <c r="B542" s="291" t="n"/>
      <c r="C542" s="290" t="n"/>
      <c r="D542" s="291" t="n"/>
      <c r="E542" s="290" t="n"/>
    </row>
    <row r="543" ht="13" customHeight="1" s="189">
      <c r="B543" s="291" t="n"/>
      <c r="C543" s="290" t="n"/>
      <c r="D543" s="291" t="n"/>
      <c r="E543" s="290" t="n"/>
    </row>
    <row r="544" ht="13" customHeight="1" s="189">
      <c r="B544" s="291" t="n"/>
      <c r="C544" s="290" t="n"/>
      <c r="D544" s="291" t="n"/>
      <c r="E544" s="290" t="n"/>
    </row>
    <row r="545" ht="13" customHeight="1" s="189">
      <c r="B545" s="291" t="n"/>
      <c r="C545" s="290" t="n"/>
      <c r="D545" s="291" t="n"/>
      <c r="E545" s="290" t="n"/>
    </row>
    <row r="546" ht="13" customHeight="1" s="189">
      <c r="B546" s="291" t="n"/>
      <c r="C546" s="290" t="n"/>
      <c r="D546" s="291" t="n"/>
      <c r="E546" s="290" t="n"/>
    </row>
    <row r="547" ht="13" customHeight="1" s="189">
      <c r="B547" s="291" t="n"/>
      <c r="C547" s="290" t="n"/>
      <c r="D547" s="291" t="n"/>
      <c r="E547" s="290" t="n"/>
    </row>
    <row r="548" ht="13" customHeight="1" s="189">
      <c r="B548" s="291" t="n"/>
      <c r="C548" s="290" t="n"/>
      <c r="D548" s="291" t="n"/>
      <c r="E548" s="290" t="n"/>
    </row>
    <row r="549" ht="13" customHeight="1" s="189">
      <c r="B549" s="291" t="n"/>
      <c r="C549" s="290" t="n"/>
      <c r="D549" s="291" t="n"/>
      <c r="E549" s="290" t="n"/>
    </row>
    <row r="550" ht="13" customHeight="1" s="189">
      <c r="B550" s="291" t="n"/>
      <c r="C550" s="290" t="n"/>
      <c r="D550" s="291" t="n"/>
      <c r="E550" s="290" t="n"/>
    </row>
    <row r="551" ht="13" customHeight="1" s="189">
      <c r="B551" s="291" t="n"/>
      <c r="C551" s="290" t="n"/>
      <c r="D551" s="291" t="n"/>
      <c r="E551" s="290" t="n"/>
    </row>
    <row r="552" ht="13" customHeight="1" s="189">
      <c r="B552" s="291" t="n"/>
      <c r="C552" s="290" t="n"/>
      <c r="D552" s="291" t="n"/>
      <c r="E552" s="290" t="n"/>
    </row>
    <row r="553" ht="13" customHeight="1" s="189">
      <c r="B553" s="291" t="n"/>
      <c r="C553" s="290" t="n"/>
      <c r="D553" s="291" t="n"/>
      <c r="E553" s="290" t="n"/>
    </row>
    <row r="554" ht="13" customHeight="1" s="189">
      <c r="B554" s="291" t="n"/>
      <c r="C554" s="290" t="n"/>
      <c r="D554" s="291" t="n"/>
      <c r="E554" s="290" t="n"/>
    </row>
    <row r="555" ht="13" customHeight="1" s="189">
      <c r="B555" s="291" t="n"/>
      <c r="C555" s="290" t="n"/>
      <c r="D555" s="291" t="n"/>
      <c r="E555" s="290" t="n"/>
    </row>
    <row r="556" ht="13" customHeight="1" s="189">
      <c r="B556" s="291" t="n"/>
      <c r="C556" s="290" t="n"/>
      <c r="D556" s="291" t="n"/>
      <c r="E556" s="290" t="n"/>
    </row>
    <row r="557" ht="13" customHeight="1" s="189">
      <c r="B557" s="291" t="n"/>
      <c r="C557" s="290" t="n"/>
      <c r="D557" s="291" t="n"/>
      <c r="E557" s="290" t="n"/>
    </row>
    <row r="558" ht="13" customHeight="1" s="189">
      <c r="B558" s="291" t="n"/>
      <c r="C558" s="290" t="n"/>
      <c r="D558" s="291" t="n"/>
      <c r="E558" s="290" t="n"/>
    </row>
    <row r="559" ht="13" customHeight="1" s="189">
      <c r="B559" s="291" t="n"/>
      <c r="C559" s="290" t="n"/>
      <c r="D559" s="291" t="n"/>
      <c r="E559" s="290" t="n"/>
    </row>
    <row r="560" ht="13" customHeight="1" s="189">
      <c r="B560" s="291" t="n"/>
      <c r="C560" s="290" t="n"/>
      <c r="D560" s="291" t="n"/>
      <c r="E560" s="290" t="n"/>
    </row>
    <row r="561" ht="13" customHeight="1" s="189">
      <c r="B561" s="291" t="n"/>
      <c r="C561" s="290" t="n"/>
      <c r="D561" s="291" t="n"/>
      <c r="E561" s="290" t="n"/>
    </row>
    <row r="562" ht="13" customHeight="1" s="189">
      <c r="B562" s="291" t="n"/>
      <c r="C562" s="290" t="n"/>
      <c r="D562" s="291" t="n"/>
      <c r="E562" s="290" t="n"/>
    </row>
    <row r="563" ht="13" customHeight="1" s="189">
      <c r="B563" s="291" t="n"/>
      <c r="C563" s="290" t="n"/>
      <c r="D563" s="291" t="n"/>
      <c r="E563" s="290" t="n"/>
    </row>
    <row r="564" ht="13" customHeight="1" s="189">
      <c r="B564" s="291" t="n"/>
      <c r="C564" s="290" t="n"/>
      <c r="D564" s="291" t="n"/>
      <c r="E564" s="290" t="n"/>
    </row>
    <row r="565" ht="13" customHeight="1" s="189">
      <c r="B565" s="291" t="n"/>
      <c r="C565" s="290" t="n"/>
      <c r="D565" s="291" t="n"/>
      <c r="E565" s="290" t="n"/>
    </row>
    <row r="566" ht="13" customHeight="1" s="189">
      <c r="B566" s="291" t="n"/>
      <c r="C566" s="290" t="n"/>
      <c r="D566" s="291" t="n"/>
      <c r="E566" s="290" t="n"/>
    </row>
    <row r="567" ht="13" customHeight="1" s="189">
      <c r="B567" s="291" t="n"/>
      <c r="C567" s="290" t="n"/>
      <c r="D567" s="291" t="n"/>
      <c r="E567" s="290" t="n"/>
    </row>
    <row r="568" ht="13" customHeight="1" s="189">
      <c r="B568" s="291" t="n"/>
      <c r="C568" s="290" t="n"/>
      <c r="D568" s="291" t="n"/>
      <c r="E568" s="290" t="n"/>
    </row>
    <row r="569" ht="13" customHeight="1" s="189">
      <c r="B569" s="291" t="n"/>
      <c r="C569" s="290" t="n"/>
      <c r="D569" s="291" t="n"/>
      <c r="E569" s="290" t="n"/>
    </row>
    <row r="570" ht="13" customHeight="1" s="189">
      <c r="B570" s="291" t="n"/>
      <c r="C570" s="290" t="n"/>
      <c r="D570" s="291" t="n"/>
      <c r="E570" s="290" t="n"/>
    </row>
    <row r="571" ht="13" customHeight="1" s="189">
      <c r="B571" s="291" t="n"/>
      <c r="C571" s="290" t="n"/>
      <c r="D571" s="291" t="n"/>
      <c r="E571" s="290" t="n"/>
    </row>
    <row r="572" ht="13" customHeight="1" s="189">
      <c r="B572" s="291" t="n"/>
      <c r="C572" s="290" t="n"/>
      <c r="D572" s="291" t="n"/>
      <c r="E572" s="290" t="n"/>
    </row>
    <row r="573" ht="13" customHeight="1" s="189">
      <c r="B573" s="291" t="n"/>
      <c r="C573" s="290" t="n"/>
      <c r="D573" s="291" t="n"/>
      <c r="E573" s="290" t="n"/>
    </row>
    <row r="574" ht="13" customHeight="1" s="189">
      <c r="B574" s="291" t="n"/>
      <c r="C574" s="290" t="n"/>
      <c r="D574" s="291" t="n"/>
      <c r="E574" s="290" t="n"/>
    </row>
    <row r="575" ht="13" customHeight="1" s="189">
      <c r="B575" s="291" t="n"/>
      <c r="C575" s="290" t="n"/>
      <c r="D575" s="291" t="n"/>
      <c r="E575" s="290" t="n"/>
    </row>
    <row r="576" ht="13" customHeight="1" s="189">
      <c r="B576" s="291" t="n"/>
      <c r="C576" s="290" t="n"/>
      <c r="D576" s="291" t="n"/>
      <c r="E576" s="290" t="n"/>
    </row>
    <row r="577" ht="13" customHeight="1" s="189">
      <c r="B577" s="291" t="n"/>
      <c r="C577" s="290" t="n"/>
      <c r="D577" s="291" t="n"/>
      <c r="E577" s="290" t="n"/>
    </row>
    <row r="578" ht="13" customHeight="1" s="189">
      <c r="B578" s="291" t="n"/>
      <c r="C578" s="290" t="n"/>
      <c r="D578" s="291" t="n"/>
      <c r="E578" s="290" t="n"/>
    </row>
    <row r="579" ht="13" customHeight="1" s="189">
      <c r="B579" s="291" t="n"/>
      <c r="C579" s="290" t="n"/>
      <c r="D579" s="291" t="n"/>
      <c r="E579" s="290" t="n"/>
    </row>
    <row r="580" ht="13" customHeight="1" s="189">
      <c r="B580" s="291" t="n"/>
      <c r="C580" s="290" t="n"/>
      <c r="D580" s="291" t="n"/>
      <c r="E580" s="290" t="n"/>
    </row>
    <row r="581" ht="13" customHeight="1" s="189">
      <c r="B581" s="291" t="n"/>
      <c r="C581" s="290" t="n"/>
      <c r="D581" s="291" t="n"/>
      <c r="E581" s="290" t="n"/>
    </row>
    <row r="582" ht="13" customHeight="1" s="189">
      <c r="B582" s="291" t="n"/>
      <c r="C582" s="290" t="n"/>
      <c r="D582" s="291" t="n"/>
      <c r="E582" s="290" t="n"/>
    </row>
    <row r="583" ht="13" customHeight="1" s="189">
      <c r="B583" s="291" t="n"/>
      <c r="C583" s="290" t="n"/>
      <c r="D583" s="291" t="n"/>
      <c r="E583" s="290" t="n"/>
    </row>
    <row r="584" ht="13" customHeight="1" s="189">
      <c r="B584" s="291" t="n"/>
      <c r="C584" s="290" t="n"/>
      <c r="D584" s="291" t="n"/>
      <c r="E584" s="290" t="n"/>
    </row>
    <row r="585" ht="13" customHeight="1" s="189">
      <c r="B585" s="291" t="n"/>
      <c r="C585" s="290" t="n"/>
      <c r="D585" s="291" t="n"/>
      <c r="E585" s="290" t="n"/>
    </row>
    <row r="586" ht="13" customHeight="1" s="189">
      <c r="B586" s="291" t="n"/>
      <c r="C586" s="290" t="n"/>
      <c r="D586" s="291" t="n"/>
      <c r="E586" s="290" t="n"/>
    </row>
    <row r="587" ht="13" customHeight="1" s="189">
      <c r="B587" s="291" t="n"/>
      <c r="C587" s="290" t="n"/>
      <c r="D587" s="291" t="n"/>
      <c r="E587" s="290" t="n"/>
    </row>
    <row r="588" ht="13" customHeight="1" s="189">
      <c r="B588" s="291" t="n"/>
      <c r="C588" s="290" t="n"/>
      <c r="D588" s="291" t="n"/>
      <c r="E588" s="290" t="n"/>
    </row>
    <row r="589" ht="13" customHeight="1" s="189">
      <c r="B589" s="291" t="n"/>
      <c r="C589" s="290" t="n"/>
      <c r="D589" s="291" t="n"/>
      <c r="E589" s="290" t="n"/>
    </row>
    <row r="590" ht="13" customHeight="1" s="189">
      <c r="B590" s="291" t="n"/>
      <c r="C590" s="290" t="n"/>
      <c r="D590" s="291" t="n"/>
      <c r="E590" s="290" t="n"/>
    </row>
    <row r="591" ht="13" customHeight="1" s="189">
      <c r="B591" s="291" t="n"/>
      <c r="C591" s="290" t="n"/>
      <c r="D591" s="291" t="n"/>
      <c r="E591" s="290" t="n"/>
    </row>
    <row r="592" ht="13" customHeight="1" s="189">
      <c r="B592" s="291" t="n"/>
      <c r="C592" s="290" t="n"/>
      <c r="D592" s="291" t="n"/>
      <c r="E592" s="290" t="n"/>
    </row>
    <row r="593" ht="13" customHeight="1" s="189">
      <c r="B593" s="291" t="n"/>
      <c r="C593" s="290" t="n"/>
      <c r="D593" s="291" t="n"/>
      <c r="E593" s="290" t="n"/>
    </row>
    <row r="594" ht="13" customHeight="1" s="189">
      <c r="B594" s="291" t="n"/>
      <c r="C594" s="290" t="n"/>
      <c r="D594" s="291" t="n"/>
      <c r="E594" s="290" t="n"/>
    </row>
    <row r="595" ht="13" customHeight="1" s="189">
      <c r="B595" s="291" t="n"/>
      <c r="C595" s="290" t="n"/>
      <c r="D595" s="291" t="n"/>
      <c r="E595" s="290" t="n"/>
    </row>
    <row r="596" ht="13" customHeight="1" s="189">
      <c r="B596" s="291" t="n"/>
      <c r="C596" s="290" t="n"/>
      <c r="D596" s="291" t="n"/>
      <c r="E596" s="290" t="n"/>
    </row>
    <row r="597" ht="13" customHeight="1" s="189">
      <c r="B597" s="291" t="n"/>
      <c r="C597" s="290" t="n"/>
      <c r="D597" s="291" t="n"/>
      <c r="E597" s="290" t="n"/>
    </row>
    <row r="598" ht="13" customHeight="1" s="189">
      <c r="B598" s="291" t="n"/>
      <c r="C598" s="290" t="n"/>
      <c r="D598" s="291" t="n"/>
      <c r="E598" s="290" t="n"/>
    </row>
    <row r="599" ht="13" customHeight="1" s="189">
      <c r="B599" s="291" t="n"/>
      <c r="C599" s="290" t="n"/>
      <c r="D599" s="291" t="n"/>
      <c r="E599" s="290" t="n"/>
    </row>
    <row r="600" ht="13" customHeight="1" s="189">
      <c r="B600" s="291" t="n"/>
      <c r="C600" s="290" t="n"/>
      <c r="D600" s="291" t="n"/>
      <c r="E600" s="290" t="n"/>
    </row>
    <row r="601" ht="13" customHeight="1" s="189">
      <c r="B601" s="291" t="n"/>
      <c r="C601" s="290" t="n"/>
      <c r="D601" s="291" t="n"/>
      <c r="E601" s="290" t="n"/>
    </row>
    <row r="602" ht="13" customHeight="1" s="189">
      <c r="B602" s="291" t="n"/>
      <c r="C602" s="290" t="n"/>
      <c r="D602" s="291" t="n"/>
      <c r="E602" s="290" t="n"/>
    </row>
    <row r="603" ht="13" customHeight="1" s="189">
      <c r="B603" s="291" t="n"/>
      <c r="C603" s="290" t="n"/>
      <c r="D603" s="291" t="n"/>
      <c r="E603" s="290" t="n"/>
    </row>
    <row r="604" ht="13" customHeight="1" s="189">
      <c r="B604" s="291" t="n"/>
      <c r="C604" s="290" t="n"/>
      <c r="D604" s="291" t="n"/>
      <c r="E604" s="290" t="n"/>
    </row>
    <row r="605" ht="13" customHeight="1" s="189">
      <c r="B605" s="291" t="n"/>
      <c r="C605" s="290" t="n"/>
      <c r="D605" s="291" t="n"/>
      <c r="E605" s="290" t="n"/>
    </row>
    <row r="606" ht="13" customHeight="1" s="189">
      <c r="B606" s="291" t="n"/>
      <c r="C606" s="290" t="n"/>
      <c r="D606" s="291" t="n"/>
      <c r="E606" s="290" t="n"/>
    </row>
    <row r="607" ht="13" customHeight="1" s="189">
      <c r="B607" s="291" t="n"/>
      <c r="C607" s="290" t="n"/>
      <c r="D607" s="291" t="n"/>
      <c r="E607" s="290" t="n"/>
    </row>
    <row r="608" ht="13" customHeight="1" s="189">
      <c r="B608" s="291" t="n"/>
      <c r="C608" s="290" t="n"/>
      <c r="D608" s="291" t="n"/>
      <c r="E608" s="290" t="n"/>
    </row>
    <row r="609" ht="13" customHeight="1" s="189">
      <c r="B609" s="291" t="n"/>
      <c r="C609" s="290" t="n"/>
      <c r="D609" s="291" t="n"/>
      <c r="E609" s="290" t="n"/>
    </row>
    <row r="610" ht="13" customHeight="1" s="189">
      <c r="B610" s="291" t="n"/>
      <c r="C610" s="290" t="n"/>
      <c r="D610" s="291" t="n"/>
      <c r="E610" s="290" t="n"/>
    </row>
    <row r="611" ht="13" customHeight="1" s="189">
      <c r="B611" s="291" t="n"/>
      <c r="C611" s="290" t="n"/>
      <c r="D611" s="291" t="n"/>
      <c r="E611" s="290" t="n"/>
    </row>
    <row r="612" ht="13" customHeight="1" s="189">
      <c r="B612" s="291" t="n"/>
      <c r="C612" s="290" t="n"/>
      <c r="D612" s="291" t="n"/>
      <c r="E612" s="290" t="n"/>
    </row>
    <row r="613" ht="13" customHeight="1" s="189">
      <c r="B613" s="291" t="n"/>
      <c r="C613" s="290" t="n"/>
      <c r="D613" s="291" t="n"/>
      <c r="E613" s="290" t="n"/>
    </row>
    <row r="614" ht="13" customHeight="1" s="189">
      <c r="B614" s="291" t="n"/>
      <c r="C614" s="290" t="n"/>
      <c r="D614" s="291" t="n"/>
      <c r="E614" s="290" t="n"/>
    </row>
    <row r="615" ht="13" customHeight="1" s="189">
      <c r="B615" s="291" t="n"/>
      <c r="C615" s="290" t="n"/>
      <c r="D615" s="291" t="n"/>
      <c r="E615" s="290" t="n"/>
    </row>
    <row r="616" ht="13" customHeight="1" s="189">
      <c r="B616" s="291" t="n"/>
      <c r="C616" s="290" t="n"/>
      <c r="D616" s="291" t="n"/>
      <c r="E616" s="290" t="n"/>
    </row>
    <row r="617" ht="13" customHeight="1" s="189">
      <c r="B617" s="291" t="n"/>
      <c r="C617" s="290" t="n"/>
      <c r="D617" s="291" t="n"/>
      <c r="E617" s="290" t="n"/>
    </row>
    <row r="618" ht="13" customHeight="1" s="189">
      <c r="B618" s="291" t="n"/>
      <c r="C618" s="290" t="n"/>
      <c r="D618" s="291" t="n"/>
      <c r="E618" s="290" t="n"/>
    </row>
    <row r="619" ht="13" customHeight="1" s="189">
      <c r="B619" s="291" t="n"/>
      <c r="C619" s="290" t="n"/>
      <c r="D619" s="291" t="n"/>
      <c r="E619" s="290" t="n"/>
    </row>
    <row r="620" ht="13" customHeight="1" s="189">
      <c r="B620" s="291" t="n"/>
      <c r="C620" s="290" t="n"/>
      <c r="D620" s="291" t="n"/>
      <c r="E620" s="290" t="n"/>
    </row>
    <row r="621" ht="13" customHeight="1" s="189">
      <c r="B621" s="291" t="n"/>
      <c r="C621" s="290" t="n"/>
      <c r="D621" s="291" t="n"/>
      <c r="E621" s="290" t="n"/>
    </row>
    <row r="622" ht="13" customHeight="1" s="189">
      <c r="B622" s="291" t="n"/>
      <c r="C622" s="290" t="n"/>
      <c r="D622" s="291" t="n"/>
      <c r="E622" s="290" t="n"/>
    </row>
    <row r="623" ht="13" customHeight="1" s="189">
      <c r="B623" s="291" t="n"/>
      <c r="C623" s="290" t="n"/>
      <c r="D623" s="291" t="n"/>
      <c r="E623" s="290" t="n"/>
    </row>
    <row r="624" ht="13" customHeight="1" s="189">
      <c r="B624" s="291" t="n"/>
      <c r="C624" s="290" t="n"/>
      <c r="D624" s="291" t="n"/>
      <c r="E624" s="290" t="n"/>
    </row>
    <row r="625" ht="13" customHeight="1" s="189">
      <c r="B625" s="291" t="n"/>
      <c r="C625" s="290" t="n"/>
      <c r="D625" s="291" t="n"/>
      <c r="E625" s="290" t="n"/>
    </row>
    <row r="626" ht="13" customHeight="1" s="189">
      <c r="B626" s="291" t="n"/>
      <c r="C626" s="290" t="n"/>
      <c r="D626" s="291" t="n"/>
      <c r="E626" s="290" t="n"/>
    </row>
    <row r="627" ht="13" customHeight="1" s="189">
      <c r="B627" s="291" t="n"/>
      <c r="C627" s="290" t="n"/>
      <c r="D627" s="291" t="n"/>
      <c r="E627" s="290" t="n"/>
    </row>
    <row r="628" ht="13" customHeight="1" s="189">
      <c r="B628" s="291" t="n"/>
      <c r="C628" s="290" t="n"/>
      <c r="D628" s="291" t="n"/>
      <c r="E628" s="290" t="n"/>
    </row>
    <row r="629" ht="13" customHeight="1" s="189">
      <c r="B629" s="291" t="n"/>
      <c r="C629" s="290" t="n"/>
      <c r="D629" s="291" t="n"/>
      <c r="E629" s="290" t="n"/>
    </row>
    <row r="630" ht="13" customHeight="1" s="189">
      <c r="B630" s="291" t="n"/>
      <c r="C630" s="290" t="n"/>
      <c r="D630" s="291" t="n"/>
      <c r="E630" s="290" t="n"/>
    </row>
    <row r="631" ht="13" customHeight="1" s="189">
      <c r="B631" s="291" t="n"/>
      <c r="C631" s="290" t="n"/>
      <c r="D631" s="291" t="n"/>
      <c r="E631" s="290" t="n"/>
    </row>
    <row r="632" ht="13" customHeight="1" s="189">
      <c r="B632" s="291" t="n"/>
      <c r="C632" s="290" t="n"/>
      <c r="D632" s="291" t="n"/>
      <c r="E632" s="290" t="n"/>
    </row>
    <row r="633" ht="13" customHeight="1" s="189">
      <c r="B633" s="291" t="n"/>
      <c r="C633" s="290" t="n"/>
      <c r="D633" s="291" t="n"/>
      <c r="E633" s="290" t="n"/>
    </row>
    <row r="634" ht="13" customHeight="1" s="189">
      <c r="B634" s="291" t="n"/>
      <c r="C634" s="290" t="n"/>
      <c r="D634" s="291" t="n"/>
      <c r="E634" s="290" t="n"/>
    </row>
    <row r="635" ht="13" customHeight="1" s="189">
      <c r="B635" s="291" t="n"/>
      <c r="C635" s="290" t="n"/>
      <c r="D635" s="291" t="n"/>
      <c r="E635" s="290" t="n"/>
    </row>
    <row r="636" ht="13" customHeight="1" s="189">
      <c r="B636" s="291" t="n"/>
      <c r="C636" s="290" t="n"/>
      <c r="D636" s="291" t="n"/>
      <c r="E636" s="290" t="n"/>
    </row>
    <row r="637" ht="13" customHeight="1" s="189">
      <c r="B637" s="291" t="n"/>
      <c r="C637" s="290" t="n"/>
      <c r="D637" s="291" t="n"/>
      <c r="E637" s="290" t="n"/>
    </row>
    <row r="638" ht="13" customHeight="1" s="189">
      <c r="B638" s="291" t="n"/>
      <c r="C638" s="290" t="n"/>
      <c r="D638" s="291" t="n"/>
      <c r="E638" s="290" t="n"/>
    </row>
    <row r="639" ht="13" customHeight="1" s="189">
      <c r="B639" s="291" t="n"/>
      <c r="C639" s="290" t="n"/>
      <c r="D639" s="291" t="n"/>
      <c r="E639" s="290" t="n"/>
    </row>
    <row r="640" ht="13" customHeight="1" s="189">
      <c r="B640" s="291" t="n"/>
      <c r="C640" s="290" t="n"/>
      <c r="D640" s="291" t="n"/>
      <c r="E640" s="290" t="n"/>
    </row>
    <row r="641" ht="13" customHeight="1" s="189">
      <c r="B641" s="291" t="n"/>
      <c r="C641" s="290" t="n"/>
      <c r="D641" s="291" t="n"/>
      <c r="E641" s="290" t="n"/>
    </row>
    <row r="642" ht="13" customHeight="1" s="189">
      <c r="B642" s="291" t="n"/>
      <c r="C642" s="290" t="n"/>
      <c r="D642" s="291" t="n"/>
      <c r="E642" s="290" t="n"/>
    </row>
    <row r="643" ht="13" customHeight="1" s="189">
      <c r="B643" s="291" t="n"/>
      <c r="C643" s="290" t="n"/>
      <c r="D643" s="291" t="n"/>
      <c r="E643" s="290" t="n"/>
    </row>
    <row r="644" ht="13" customHeight="1" s="189">
      <c r="B644" s="291" t="n"/>
      <c r="C644" s="290" t="n"/>
      <c r="D644" s="291" t="n"/>
      <c r="E644" s="290" t="n"/>
    </row>
    <row r="645" ht="13" customHeight="1" s="189">
      <c r="B645" s="291" t="n"/>
      <c r="C645" s="290" t="n"/>
      <c r="D645" s="291" t="n"/>
      <c r="E645" s="290" t="n"/>
    </row>
    <row r="646" ht="13" customHeight="1" s="189">
      <c r="B646" s="291" t="n"/>
      <c r="C646" s="290" t="n"/>
      <c r="D646" s="291" t="n"/>
      <c r="E646" s="290" t="n"/>
    </row>
    <row r="647" ht="13" customHeight="1" s="189">
      <c r="B647" s="291" t="n"/>
      <c r="C647" s="290" t="n"/>
      <c r="D647" s="291" t="n"/>
      <c r="E647" s="290" t="n"/>
    </row>
    <row r="648" ht="13" customHeight="1" s="189">
      <c r="B648" s="291" t="n"/>
      <c r="C648" s="290" t="n"/>
      <c r="D648" s="291" t="n"/>
      <c r="E648" s="290" t="n"/>
    </row>
    <row r="649" ht="13" customHeight="1" s="189">
      <c r="B649" s="291" t="n"/>
      <c r="C649" s="290" t="n"/>
      <c r="D649" s="291" t="n"/>
      <c r="E649" s="290" t="n"/>
    </row>
    <row r="650" ht="13" customHeight="1" s="189">
      <c r="B650" s="291" t="n"/>
      <c r="C650" s="290" t="n"/>
      <c r="D650" s="291" t="n"/>
      <c r="E650" s="290" t="n"/>
    </row>
    <row r="651" ht="13" customHeight="1" s="189">
      <c r="B651" s="291" t="n"/>
      <c r="C651" s="290" t="n"/>
      <c r="D651" s="291" t="n"/>
      <c r="E651" s="290" t="n"/>
    </row>
    <row r="652" ht="13" customHeight="1" s="189">
      <c r="B652" s="291" t="n"/>
      <c r="C652" s="290" t="n"/>
      <c r="D652" s="291" t="n"/>
      <c r="E652" s="290" t="n"/>
    </row>
    <row r="653" ht="13" customHeight="1" s="189">
      <c r="B653" s="291" t="n"/>
      <c r="C653" s="290" t="n"/>
      <c r="D653" s="291" t="n"/>
      <c r="E653" s="290" t="n"/>
    </row>
    <row r="654" ht="13" customHeight="1" s="189">
      <c r="B654" s="291" t="n"/>
      <c r="C654" s="290" t="n"/>
      <c r="D654" s="291" t="n"/>
      <c r="E654" s="290" t="n"/>
    </row>
    <row r="655" ht="13" customHeight="1" s="189">
      <c r="B655" s="291" t="n"/>
      <c r="C655" s="290" t="n"/>
      <c r="D655" s="291" t="n"/>
      <c r="E655" s="290" t="n"/>
    </row>
    <row r="656" ht="13" customHeight="1" s="189">
      <c r="B656" s="291" t="n"/>
      <c r="C656" s="290" t="n"/>
      <c r="D656" s="291" t="n"/>
      <c r="E656" s="290" t="n"/>
    </row>
    <row r="657" ht="13" customHeight="1" s="189">
      <c r="B657" s="291" t="n"/>
      <c r="C657" s="290" t="n"/>
      <c r="D657" s="291" t="n"/>
      <c r="E657" s="290" t="n"/>
    </row>
    <row r="658" ht="13" customHeight="1" s="189">
      <c r="B658" s="291" t="n"/>
      <c r="C658" s="290" t="n"/>
      <c r="D658" s="291" t="n"/>
      <c r="E658" s="290" t="n"/>
    </row>
    <row r="659" ht="13" customHeight="1" s="189">
      <c r="B659" s="291" t="n"/>
      <c r="C659" s="290" t="n"/>
      <c r="D659" s="291" t="n"/>
      <c r="E659" s="290" t="n"/>
    </row>
    <row r="660" ht="13" customHeight="1" s="189">
      <c r="B660" s="291" t="n"/>
      <c r="C660" s="290" t="n"/>
      <c r="D660" s="291" t="n"/>
      <c r="E660" s="290" t="n"/>
    </row>
    <row r="661" ht="13" customHeight="1" s="189">
      <c r="B661" s="291" t="n"/>
      <c r="C661" s="290" t="n"/>
      <c r="D661" s="291" t="n"/>
      <c r="E661" s="290" t="n"/>
    </row>
    <row r="662" ht="13" customHeight="1" s="189">
      <c r="B662" s="291" t="n"/>
      <c r="C662" s="290" t="n"/>
      <c r="D662" s="291" t="n"/>
      <c r="E662" s="290" t="n"/>
    </row>
    <row r="663" ht="13" customHeight="1" s="189">
      <c r="B663" s="291" t="n"/>
      <c r="C663" s="290" t="n"/>
      <c r="D663" s="291" t="n"/>
      <c r="E663" s="290" t="n"/>
    </row>
    <row r="664" ht="13" customHeight="1" s="189">
      <c r="B664" s="291" t="n"/>
      <c r="C664" s="290" t="n"/>
      <c r="D664" s="291" t="n"/>
      <c r="E664" s="290" t="n"/>
    </row>
    <row r="665" ht="13" customHeight="1" s="189">
      <c r="B665" s="291" t="n"/>
      <c r="C665" s="290" t="n"/>
      <c r="D665" s="291" t="n"/>
      <c r="E665" s="290" t="n"/>
    </row>
    <row r="666" ht="13" customHeight="1" s="189">
      <c r="B666" s="291" t="n"/>
      <c r="C666" s="290" t="n"/>
      <c r="D666" s="291" t="n"/>
      <c r="E666" s="290" t="n"/>
    </row>
    <row r="667" ht="13" customHeight="1" s="189">
      <c r="B667" s="291" t="n"/>
      <c r="C667" s="290" t="n"/>
      <c r="D667" s="291" t="n"/>
      <c r="E667" s="290" t="n"/>
    </row>
    <row r="668" ht="13" customHeight="1" s="189">
      <c r="B668" s="291" t="n"/>
      <c r="C668" s="290" t="n"/>
      <c r="D668" s="291" t="n"/>
      <c r="E668" s="290" t="n"/>
    </row>
    <row r="669" ht="13" customHeight="1" s="189">
      <c r="B669" s="291" t="n"/>
      <c r="C669" s="290" t="n"/>
      <c r="D669" s="291" t="n"/>
      <c r="E669" s="290" t="n"/>
    </row>
    <row r="670" ht="13" customHeight="1" s="189">
      <c r="B670" s="291" t="n"/>
      <c r="C670" s="290" t="n"/>
      <c r="D670" s="291" t="n"/>
      <c r="E670" s="290" t="n"/>
    </row>
    <row r="671" ht="13" customHeight="1" s="189">
      <c r="B671" s="291" t="n"/>
      <c r="C671" s="290" t="n"/>
      <c r="D671" s="291" t="n"/>
      <c r="E671" s="290" t="n"/>
    </row>
    <row r="672" ht="13" customHeight="1" s="189">
      <c r="B672" s="291" t="n"/>
      <c r="C672" s="290" t="n"/>
      <c r="D672" s="291" t="n"/>
      <c r="E672" s="290" t="n"/>
    </row>
    <row r="673" ht="13" customHeight="1" s="189">
      <c r="B673" s="291" t="n"/>
      <c r="C673" s="290" t="n"/>
      <c r="D673" s="291" t="n"/>
      <c r="E673" s="290" t="n"/>
    </row>
    <row r="674" ht="13" customHeight="1" s="189">
      <c r="B674" s="291" t="n"/>
      <c r="C674" s="290" t="n"/>
      <c r="D674" s="291" t="n"/>
      <c r="E674" s="290" t="n"/>
    </row>
    <row r="675" ht="13" customHeight="1" s="189">
      <c r="B675" s="291" t="n"/>
      <c r="C675" s="290" t="n"/>
      <c r="D675" s="291" t="n"/>
      <c r="E675" s="290" t="n"/>
    </row>
    <row r="676" ht="13" customHeight="1" s="189">
      <c r="B676" s="291" t="n"/>
      <c r="C676" s="290" t="n"/>
      <c r="D676" s="291" t="n"/>
      <c r="E676" s="290" t="n"/>
    </row>
    <row r="677" ht="13" customHeight="1" s="189">
      <c r="B677" s="291" t="n"/>
      <c r="C677" s="290" t="n"/>
      <c r="D677" s="291" t="n"/>
      <c r="E677" s="290" t="n"/>
    </row>
    <row r="678" ht="13" customHeight="1" s="189">
      <c r="B678" s="291" t="n"/>
      <c r="C678" s="290" t="n"/>
      <c r="D678" s="291" t="n"/>
      <c r="E678" s="290" t="n"/>
    </row>
    <row r="679" ht="13" customHeight="1" s="189">
      <c r="B679" s="291" t="n"/>
      <c r="C679" s="290" t="n"/>
      <c r="D679" s="291" t="n"/>
      <c r="E679" s="290" t="n"/>
    </row>
    <row r="680" ht="13" customHeight="1" s="189">
      <c r="B680" s="291" t="n"/>
      <c r="C680" s="290" t="n"/>
      <c r="D680" s="291" t="n"/>
      <c r="E680" s="290" t="n"/>
    </row>
    <row r="681" ht="13" customHeight="1" s="189">
      <c r="B681" s="291" t="n"/>
      <c r="C681" s="290" t="n"/>
      <c r="D681" s="291" t="n"/>
      <c r="E681" s="290" t="n"/>
    </row>
    <row r="682" ht="13" customHeight="1" s="189">
      <c r="B682" s="291" t="n"/>
      <c r="C682" s="290" t="n"/>
      <c r="D682" s="291" t="n"/>
      <c r="E682" s="290" t="n"/>
    </row>
    <row r="683" ht="13" customHeight="1" s="189">
      <c r="B683" s="291" t="n"/>
      <c r="C683" s="290" t="n"/>
      <c r="D683" s="291" t="n"/>
      <c r="E683" s="290" t="n"/>
    </row>
    <row r="684" ht="13" customHeight="1" s="189">
      <c r="B684" s="291" t="n"/>
      <c r="C684" s="290" t="n"/>
      <c r="D684" s="291" t="n"/>
      <c r="E684" s="290" t="n"/>
    </row>
    <row r="685" ht="13" customHeight="1" s="189">
      <c r="B685" s="291" t="n"/>
      <c r="C685" s="290" t="n"/>
      <c r="D685" s="291" t="n"/>
      <c r="E685" s="290" t="n"/>
    </row>
    <row r="686" ht="13" customHeight="1" s="189">
      <c r="B686" s="291" t="n"/>
      <c r="C686" s="290" t="n"/>
      <c r="D686" s="291" t="n"/>
      <c r="E686" s="290" t="n"/>
    </row>
    <row r="687" ht="13" customHeight="1" s="189">
      <c r="B687" s="291" t="n"/>
      <c r="C687" s="290" t="n"/>
      <c r="D687" s="291" t="n"/>
      <c r="E687" s="290" t="n"/>
    </row>
    <row r="688" ht="13" customHeight="1" s="189">
      <c r="B688" s="291" t="n"/>
      <c r="C688" s="290" t="n"/>
      <c r="D688" s="291" t="n"/>
      <c r="E688" s="290" t="n"/>
    </row>
    <row r="689" ht="13" customHeight="1" s="189">
      <c r="B689" s="291" t="n"/>
      <c r="C689" s="290" t="n"/>
      <c r="D689" s="291" t="n"/>
      <c r="E689" s="290" t="n"/>
    </row>
    <row r="690" ht="13" customHeight="1" s="189">
      <c r="B690" s="291" t="n"/>
      <c r="C690" s="290" t="n"/>
      <c r="D690" s="291" t="n"/>
      <c r="E690" s="290" t="n"/>
    </row>
    <row r="691" ht="13" customHeight="1" s="189">
      <c r="B691" s="291" t="n"/>
      <c r="C691" s="290" t="n"/>
      <c r="D691" s="291" t="n"/>
      <c r="E691" s="290" t="n"/>
    </row>
    <row r="692" ht="13" customHeight="1" s="189">
      <c r="B692" s="291" t="n"/>
      <c r="C692" s="290" t="n"/>
      <c r="D692" s="291" t="n"/>
      <c r="E692" s="290" t="n"/>
    </row>
    <row r="693" ht="13" customHeight="1" s="189">
      <c r="B693" s="291" t="n"/>
      <c r="C693" s="290" t="n"/>
      <c r="D693" s="291" t="n"/>
      <c r="E693" s="290" t="n"/>
    </row>
    <row r="694" ht="13" customHeight="1" s="189">
      <c r="B694" s="291" t="n"/>
      <c r="C694" s="290" t="n"/>
      <c r="D694" s="291" t="n"/>
      <c r="E694" s="290" t="n"/>
    </row>
    <row r="695" ht="13" customHeight="1" s="189">
      <c r="B695" s="291" t="n"/>
      <c r="C695" s="290" t="n"/>
      <c r="D695" s="291" t="n"/>
      <c r="E695" s="290" t="n"/>
    </row>
    <row r="696" ht="13" customHeight="1" s="189">
      <c r="B696" s="291" t="n"/>
      <c r="C696" s="290" t="n"/>
      <c r="D696" s="291" t="n"/>
      <c r="E696" s="290" t="n"/>
    </row>
    <row r="697" ht="13" customHeight="1" s="189">
      <c r="B697" s="291" t="n"/>
      <c r="C697" s="290" t="n"/>
      <c r="D697" s="291" t="n"/>
      <c r="E697" s="290" t="n"/>
    </row>
    <row r="698" ht="13" customHeight="1" s="189">
      <c r="B698" s="291" t="n"/>
      <c r="C698" s="290" t="n"/>
      <c r="D698" s="291" t="n"/>
      <c r="E698" s="290" t="n"/>
    </row>
    <row r="699" ht="13" customHeight="1" s="189">
      <c r="B699" s="291" t="n"/>
      <c r="C699" s="290" t="n"/>
      <c r="D699" s="291" t="n"/>
      <c r="E699" s="290" t="n"/>
    </row>
    <row r="700" ht="13" customHeight="1" s="189">
      <c r="B700" s="291" t="n"/>
      <c r="C700" s="290" t="n"/>
      <c r="D700" s="291" t="n"/>
      <c r="E700" s="290" t="n"/>
    </row>
    <row r="701" ht="13" customHeight="1" s="189">
      <c r="B701" s="291" t="n"/>
      <c r="C701" s="290" t="n"/>
      <c r="D701" s="291" t="n"/>
      <c r="E701" s="290" t="n"/>
    </row>
    <row r="702" ht="13" customHeight="1" s="189">
      <c r="B702" s="291" t="n"/>
      <c r="C702" s="290" t="n"/>
      <c r="D702" s="291" t="n"/>
      <c r="E702" s="290" t="n"/>
    </row>
    <row r="703" ht="13" customHeight="1" s="189">
      <c r="B703" s="291" t="n"/>
      <c r="C703" s="290" t="n"/>
      <c r="D703" s="291" t="n"/>
      <c r="E703" s="290" t="n"/>
    </row>
    <row r="704" ht="13" customHeight="1" s="189">
      <c r="B704" s="291" t="n"/>
      <c r="C704" s="290" t="n"/>
      <c r="D704" s="291" t="n"/>
      <c r="E704" s="290" t="n"/>
    </row>
    <row r="705" ht="13" customHeight="1" s="189">
      <c r="B705" s="291" t="n"/>
      <c r="C705" s="290" t="n"/>
      <c r="D705" s="291" t="n"/>
      <c r="E705" s="290" t="n"/>
    </row>
    <row r="706" ht="13" customHeight="1" s="189">
      <c r="B706" s="291" t="n"/>
      <c r="C706" s="290" t="n"/>
      <c r="D706" s="291" t="n"/>
      <c r="E706" s="290" t="n"/>
    </row>
    <row r="707" ht="13" customHeight="1" s="189">
      <c r="B707" s="291" t="n"/>
      <c r="C707" s="290" t="n"/>
      <c r="D707" s="291" t="n"/>
      <c r="E707" s="290" t="n"/>
    </row>
    <row r="708" ht="13" customHeight="1" s="189">
      <c r="B708" s="291" t="n"/>
      <c r="C708" s="290" t="n"/>
      <c r="D708" s="291" t="n"/>
      <c r="E708" s="290" t="n"/>
    </row>
    <row r="709" ht="13" customHeight="1" s="189">
      <c r="B709" s="291" t="n"/>
      <c r="C709" s="290" t="n"/>
      <c r="D709" s="291" t="n"/>
      <c r="E709" s="290" t="n"/>
    </row>
    <row r="710" ht="13" customHeight="1" s="189">
      <c r="B710" s="291" t="n"/>
      <c r="C710" s="290" t="n"/>
      <c r="D710" s="291" t="n"/>
      <c r="E710" s="290" t="n"/>
    </row>
    <row r="711" ht="13" customHeight="1" s="189">
      <c r="B711" s="291" t="n"/>
      <c r="C711" s="290" t="n"/>
      <c r="D711" s="291" t="n"/>
      <c r="E711" s="290" t="n"/>
    </row>
    <row r="712" ht="13" customHeight="1" s="189">
      <c r="B712" s="291" t="n"/>
      <c r="C712" s="290" t="n"/>
      <c r="D712" s="291" t="n"/>
      <c r="E712" s="290" t="n"/>
    </row>
    <row r="713" ht="13" customHeight="1" s="189">
      <c r="B713" s="291" t="n"/>
      <c r="C713" s="290" t="n"/>
      <c r="D713" s="291" t="n"/>
      <c r="E713" s="290" t="n"/>
    </row>
    <row r="714" ht="13" customHeight="1" s="189">
      <c r="B714" s="291" t="n"/>
      <c r="C714" s="290" t="n"/>
      <c r="D714" s="291" t="n"/>
      <c r="E714" s="290" t="n"/>
    </row>
    <row r="715" ht="13" customHeight="1" s="189">
      <c r="B715" s="291" t="n"/>
      <c r="C715" s="290" t="n"/>
      <c r="D715" s="291" t="n"/>
      <c r="E715" s="290" t="n"/>
    </row>
    <row r="716" ht="13" customHeight="1" s="189">
      <c r="B716" s="291" t="n"/>
      <c r="C716" s="290" t="n"/>
      <c r="D716" s="291" t="n"/>
      <c r="E716" s="290" t="n"/>
    </row>
    <row r="717" ht="13" customHeight="1" s="189">
      <c r="B717" s="291" t="n"/>
      <c r="C717" s="290" t="n"/>
      <c r="D717" s="291" t="n"/>
      <c r="E717" s="290" t="n"/>
    </row>
    <row r="718" ht="13" customHeight="1" s="189">
      <c r="B718" s="291" t="n"/>
      <c r="C718" s="290" t="n"/>
      <c r="D718" s="291" t="n"/>
      <c r="E718" s="290" t="n"/>
    </row>
    <row r="719" ht="13" customHeight="1" s="189">
      <c r="B719" s="291" t="n"/>
      <c r="C719" s="290" t="n"/>
      <c r="D719" s="291" t="n"/>
      <c r="E719" s="290" t="n"/>
    </row>
    <row r="720" ht="13" customHeight="1" s="189">
      <c r="B720" s="291" t="n"/>
      <c r="C720" s="290" t="n"/>
      <c r="D720" s="291" t="n"/>
      <c r="E720" s="290" t="n"/>
    </row>
    <row r="721" ht="13" customHeight="1" s="189">
      <c r="B721" s="291" t="n"/>
      <c r="C721" s="290" t="n"/>
      <c r="D721" s="291" t="n"/>
      <c r="E721" s="290" t="n"/>
    </row>
    <row r="722" ht="13" customHeight="1" s="189">
      <c r="B722" s="291" t="n"/>
      <c r="C722" s="290" t="n"/>
      <c r="D722" s="291" t="n"/>
      <c r="E722" s="290" t="n"/>
    </row>
    <row r="723" ht="13" customHeight="1" s="189">
      <c r="B723" s="291" t="n"/>
      <c r="C723" s="290" t="n"/>
      <c r="D723" s="291" t="n"/>
      <c r="E723" s="290" t="n"/>
    </row>
    <row r="724" ht="13" customHeight="1" s="189">
      <c r="B724" s="291" t="n"/>
      <c r="C724" s="290" t="n"/>
      <c r="D724" s="291" t="n"/>
      <c r="E724" s="290" t="n"/>
    </row>
    <row r="725" ht="13" customHeight="1" s="189">
      <c r="B725" s="291" t="n"/>
      <c r="C725" s="290" t="n"/>
      <c r="D725" s="291" t="n"/>
      <c r="E725" s="290" t="n"/>
    </row>
    <row r="726" ht="13" customHeight="1" s="189">
      <c r="B726" s="291" t="n"/>
      <c r="C726" s="290" t="n"/>
      <c r="D726" s="291" t="n"/>
      <c r="E726" s="290" t="n"/>
    </row>
    <row r="727" ht="13" customHeight="1" s="189">
      <c r="B727" s="291" t="n"/>
      <c r="C727" s="290" t="n"/>
      <c r="D727" s="291" t="n"/>
      <c r="E727" s="290" t="n"/>
    </row>
    <row r="728" ht="13" customHeight="1" s="189">
      <c r="B728" s="291" t="n"/>
      <c r="C728" s="290" t="n"/>
      <c r="D728" s="291" t="n"/>
      <c r="E728" s="290" t="n"/>
    </row>
    <row r="729" ht="13" customHeight="1" s="189">
      <c r="B729" s="291" t="n"/>
      <c r="C729" s="290" t="n"/>
      <c r="D729" s="291" t="n"/>
      <c r="E729" s="290" t="n"/>
    </row>
    <row r="730" ht="13" customHeight="1" s="189">
      <c r="B730" s="291" t="n"/>
      <c r="C730" s="290" t="n"/>
      <c r="D730" s="291" t="n"/>
      <c r="E730" s="290" t="n"/>
    </row>
    <row r="731" ht="13" customHeight="1" s="189">
      <c r="B731" s="291" t="n"/>
      <c r="C731" s="290" t="n"/>
      <c r="D731" s="291" t="n"/>
      <c r="E731" s="290" t="n"/>
    </row>
    <row r="732" ht="13" customHeight="1" s="189">
      <c r="B732" s="291" t="n"/>
      <c r="C732" s="290" t="n"/>
      <c r="D732" s="291" t="n"/>
      <c r="E732" s="290" t="n"/>
    </row>
    <row r="733" ht="13" customHeight="1" s="189">
      <c r="B733" s="291" t="n"/>
      <c r="C733" s="290" t="n"/>
      <c r="D733" s="291" t="n"/>
      <c r="E733" s="290" t="n"/>
    </row>
    <row r="734" ht="13" customHeight="1" s="189">
      <c r="B734" s="291" t="n"/>
      <c r="C734" s="290" t="n"/>
      <c r="D734" s="291" t="n"/>
      <c r="E734" s="290" t="n"/>
    </row>
    <row r="735" ht="13" customHeight="1" s="189">
      <c r="B735" s="291" t="n"/>
      <c r="C735" s="290" t="n"/>
      <c r="D735" s="291" t="n"/>
      <c r="E735" s="290" t="n"/>
    </row>
    <row r="736" ht="13" customHeight="1" s="189">
      <c r="B736" s="291" t="n"/>
      <c r="C736" s="290" t="n"/>
      <c r="D736" s="291" t="n"/>
      <c r="E736" s="290" t="n"/>
    </row>
    <row r="737" ht="13" customHeight="1" s="189">
      <c r="B737" s="291" t="n"/>
      <c r="C737" s="290" t="n"/>
      <c r="D737" s="291" t="n"/>
      <c r="E737" s="290" t="n"/>
    </row>
    <row r="738" ht="13" customHeight="1" s="189">
      <c r="B738" s="291" t="n"/>
      <c r="C738" s="290" t="n"/>
      <c r="D738" s="291" t="n"/>
      <c r="E738" s="290" t="n"/>
    </row>
    <row r="739" ht="13" customHeight="1" s="189">
      <c r="B739" s="291" t="n"/>
      <c r="C739" s="290" t="n"/>
      <c r="D739" s="291" t="n"/>
      <c r="E739" s="290" t="n"/>
    </row>
    <row r="740" ht="13" customHeight="1" s="189">
      <c r="B740" s="291" t="n"/>
      <c r="C740" s="290" t="n"/>
      <c r="D740" s="291" t="n"/>
      <c r="E740" s="290" t="n"/>
    </row>
    <row r="741" ht="13" customHeight="1" s="189">
      <c r="B741" s="291" t="n"/>
      <c r="C741" s="290" t="n"/>
      <c r="D741" s="291" t="n"/>
      <c r="E741" s="290" t="n"/>
    </row>
    <row r="742" ht="13" customHeight="1" s="189">
      <c r="B742" s="291" t="n"/>
      <c r="C742" s="290" t="n"/>
      <c r="D742" s="291" t="n"/>
      <c r="E742" s="290" t="n"/>
    </row>
    <row r="743" ht="13" customHeight="1" s="189">
      <c r="B743" s="291" t="n"/>
      <c r="C743" s="290" t="n"/>
      <c r="D743" s="291" t="n"/>
      <c r="E743" s="290" t="n"/>
    </row>
    <row r="744" ht="13" customHeight="1" s="189">
      <c r="B744" s="291" t="n"/>
      <c r="C744" s="290" t="n"/>
      <c r="D744" s="291" t="n"/>
      <c r="E744" s="290" t="n"/>
    </row>
    <row r="745" ht="13" customHeight="1" s="189">
      <c r="B745" s="291" t="n"/>
      <c r="C745" s="290" t="n"/>
      <c r="D745" s="291" t="n"/>
      <c r="E745" s="290" t="n"/>
    </row>
    <row r="746" ht="13" customHeight="1" s="189">
      <c r="B746" s="291" t="n"/>
      <c r="C746" s="290" t="n"/>
      <c r="D746" s="291" t="n"/>
      <c r="E746" s="290" t="n"/>
    </row>
    <row r="747" ht="13" customHeight="1" s="189">
      <c r="B747" s="291" t="n"/>
      <c r="C747" s="290" t="n"/>
      <c r="D747" s="291" t="n"/>
      <c r="E747" s="290" t="n"/>
    </row>
    <row r="748" ht="13" customHeight="1" s="189">
      <c r="B748" s="291" t="n"/>
      <c r="C748" s="290" t="n"/>
      <c r="D748" s="291" t="n"/>
      <c r="E748" s="290" t="n"/>
    </row>
    <row r="749" ht="13" customHeight="1" s="189">
      <c r="B749" s="291" t="n"/>
      <c r="C749" s="290" t="n"/>
      <c r="D749" s="291" t="n"/>
      <c r="E749" s="290" t="n"/>
    </row>
    <row r="750" ht="13" customHeight="1" s="189">
      <c r="B750" s="291" t="n"/>
      <c r="C750" s="290" t="n"/>
      <c r="D750" s="291" t="n"/>
      <c r="E750" s="290" t="n"/>
    </row>
    <row r="751" ht="13" customHeight="1" s="189">
      <c r="B751" s="291" t="n"/>
      <c r="C751" s="290" t="n"/>
      <c r="D751" s="291" t="n"/>
      <c r="E751" s="290" t="n"/>
    </row>
    <row r="752" ht="13" customHeight="1" s="189">
      <c r="B752" s="291" t="n"/>
      <c r="C752" s="290" t="n"/>
      <c r="D752" s="291" t="n"/>
      <c r="E752" s="290" t="n"/>
    </row>
    <row r="753" ht="13" customHeight="1" s="189">
      <c r="B753" s="291" t="n"/>
      <c r="C753" s="290" t="n"/>
      <c r="D753" s="291" t="n"/>
      <c r="E753" s="290" t="n"/>
    </row>
    <row r="754" ht="13" customHeight="1" s="189">
      <c r="B754" s="291" t="n"/>
      <c r="C754" s="290" t="n"/>
      <c r="D754" s="291" t="n"/>
      <c r="E754" s="290" t="n"/>
    </row>
    <row r="755" ht="13" customHeight="1" s="189">
      <c r="B755" s="291" t="n"/>
      <c r="C755" s="290" t="n"/>
      <c r="D755" s="291" t="n"/>
      <c r="E755" s="290" t="n"/>
    </row>
    <row r="756" ht="13" customHeight="1" s="189">
      <c r="B756" s="291" t="n"/>
      <c r="C756" s="290" t="n"/>
      <c r="D756" s="291" t="n"/>
      <c r="E756" s="290" t="n"/>
    </row>
    <row r="757" ht="13" customHeight="1" s="189">
      <c r="B757" s="291" t="n"/>
      <c r="C757" s="290" t="n"/>
      <c r="D757" s="291" t="n"/>
      <c r="E757" s="290" t="n"/>
    </row>
    <row r="758" ht="13" customHeight="1" s="189">
      <c r="B758" s="291" t="n"/>
      <c r="C758" s="290" t="n"/>
      <c r="D758" s="291" t="n"/>
      <c r="E758" s="290" t="n"/>
    </row>
    <row r="759" ht="13" customHeight="1" s="189">
      <c r="B759" s="291" t="n"/>
      <c r="C759" s="290" t="n"/>
      <c r="D759" s="291" t="n"/>
      <c r="E759" s="290" t="n"/>
    </row>
    <row r="760" ht="13" customHeight="1" s="189">
      <c r="B760" s="291" t="n"/>
      <c r="C760" s="290" t="n"/>
      <c r="D760" s="291" t="n"/>
      <c r="E760" s="290" t="n"/>
    </row>
    <row r="761" ht="13" customHeight="1" s="189">
      <c r="B761" s="291" t="n"/>
      <c r="C761" s="290" t="n"/>
      <c r="D761" s="291" t="n"/>
      <c r="E761" s="290" t="n"/>
    </row>
    <row r="762" ht="13" customHeight="1" s="189">
      <c r="B762" s="291" t="n"/>
      <c r="C762" s="290" t="n"/>
      <c r="D762" s="291" t="n"/>
      <c r="E762" s="290" t="n"/>
    </row>
    <row r="763" ht="13" customHeight="1" s="189">
      <c r="B763" s="291" t="n"/>
      <c r="C763" s="290" t="n"/>
      <c r="D763" s="291" t="n"/>
      <c r="E763" s="290" t="n"/>
    </row>
    <row r="764" ht="13" customHeight="1" s="189">
      <c r="B764" s="291" t="n"/>
      <c r="C764" s="290" t="n"/>
      <c r="D764" s="291" t="n"/>
      <c r="E764" s="290" t="n"/>
    </row>
    <row r="765" ht="13" customHeight="1" s="189">
      <c r="B765" s="291" t="n"/>
      <c r="C765" s="290" t="n"/>
      <c r="D765" s="291" t="n"/>
      <c r="E765" s="290" t="n"/>
    </row>
    <row r="766" ht="13" customHeight="1" s="189">
      <c r="B766" s="291" t="n"/>
      <c r="C766" s="290" t="n"/>
      <c r="D766" s="291" t="n"/>
      <c r="E766" s="290" t="n"/>
    </row>
    <row r="767" ht="13" customHeight="1" s="189">
      <c r="B767" s="291" t="n"/>
      <c r="C767" s="290" t="n"/>
      <c r="D767" s="291" t="n"/>
      <c r="E767" s="290" t="n"/>
    </row>
    <row r="768" ht="13" customHeight="1" s="189">
      <c r="B768" s="291" t="n"/>
      <c r="C768" s="290" t="n"/>
      <c r="D768" s="291" t="n"/>
      <c r="E768" s="290" t="n"/>
    </row>
    <row r="769" ht="13" customHeight="1" s="189">
      <c r="B769" s="291" t="n"/>
      <c r="C769" s="290" t="n"/>
      <c r="D769" s="291" t="n"/>
      <c r="E769" s="290" t="n"/>
    </row>
    <row r="770" ht="13" customHeight="1" s="189">
      <c r="B770" s="291" t="n"/>
      <c r="C770" s="290" t="n"/>
      <c r="D770" s="291" t="n"/>
      <c r="E770" s="290" t="n"/>
    </row>
    <row r="771" ht="13" customHeight="1" s="189">
      <c r="B771" s="291" t="n"/>
      <c r="C771" s="290" t="n"/>
      <c r="D771" s="291" t="n"/>
      <c r="E771" s="290" t="n"/>
    </row>
    <row r="772" ht="13" customHeight="1" s="189">
      <c r="B772" s="291" t="n"/>
      <c r="C772" s="290" t="n"/>
      <c r="D772" s="291" t="n"/>
      <c r="E772" s="290" t="n"/>
    </row>
    <row r="773" ht="13" customHeight="1" s="189">
      <c r="B773" s="291" t="n"/>
      <c r="C773" s="290" t="n"/>
      <c r="D773" s="291" t="n"/>
      <c r="E773" s="290" t="n"/>
    </row>
    <row r="774" ht="13" customHeight="1" s="189">
      <c r="B774" s="291" t="n"/>
      <c r="C774" s="290" t="n"/>
      <c r="D774" s="291" t="n"/>
      <c r="E774" s="290" t="n"/>
    </row>
    <row r="775" ht="13" customHeight="1" s="189">
      <c r="B775" s="291" t="n"/>
      <c r="C775" s="290" t="n"/>
      <c r="D775" s="291" t="n"/>
      <c r="E775" s="290" t="n"/>
    </row>
    <row r="776" ht="13" customHeight="1" s="189">
      <c r="B776" s="291" t="n"/>
      <c r="C776" s="290" t="n"/>
      <c r="D776" s="291" t="n"/>
      <c r="E776" s="290" t="n"/>
    </row>
    <row r="777" ht="13" customHeight="1" s="189">
      <c r="B777" s="291" t="n"/>
      <c r="C777" s="290" t="n"/>
      <c r="D777" s="291" t="n"/>
      <c r="E777" s="290" t="n"/>
    </row>
    <row r="778" ht="13" customHeight="1" s="189">
      <c r="B778" s="291" t="n"/>
      <c r="C778" s="290" t="n"/>
      <c r="D778" s="291" t="n"/>
      <c r="E778" s="290" t="n"/>
    </row>
    <row r="779" ht="13" customHeight="1" s="189">
      <c r="B779" s="291" t="n"/>
      <c r="C779" s="290" t="n"/>
      <c r="D779" s="291" t="n"/>
      <c r="E779" s="290" t="n"/>
    </row>
    <row r="780" ht="13" customHeight="1" s="189">
      <c r="B780" s="291" t="n"/>
      <c r="C780" s="290" t="n"/>
      <c r="D780" s="291" t="n"/>
      <c r="E780" s="290" t="n"/>
    </row>
    <row r="781" ht="13" customHeight="1" s="189">
      <c r="B781" s="291" t="n"/>
      <c r="C781" s="290" t="n"/>
      <c r="D781" s="291" t="n"/>
      <c r="E781" s="290" t="n"/>
    </row>
    <row r="782" ht="13" customHeight="1" s="189">
      <c r="B782" s="291" t="n"/>
      <c r="C782" s="290" t="n"/>
      <c r="D782" s="291" t="n"/>
      <c r="E782" s="290" t="n"/>
    </row>
    <row r="783" ht="13" customHeight="1" s="189">
      <c r="B783" s="291" t="n"/>
      <c r="C783" s="290" t="n"/>
      <c r="D783" s="291" t="n"/>
      <c r="E783" s="290" t="n"/>
    </row>
    <row r="784" ht="13" customHeight="1" s="189">
      <c r="B784" s="291" t="n"/>
      <c r="C784" s="290" t="n"/>
      <c r="D784" s="291" t="n"/>
      <c r="E784" s="290" t="n"/>
    </row>
    <row r="785" ht="13" customHeight="1" s="189">
      <c r="B785" s="291" t="n"/>
      <c r="C785" s="290" t="n"/>
      <c r="D785" s="291" t="n"/>
      <c r="E785" s="290" t="n"/>
    </row>
    <row r="786" ht="13" customHeight="1" s="189">
      <c r="B786" s="291" t="n"/>
      <c r="C786" s="290" t="n"/>
      <c r="D786" s="291" t="n"/>
      <c r="E786" s="290" t="n"/>
    </row>
    <row r="787" ht="13" customHeight="1" s="189">
      <c r="B787" s="291" t="n"/>
      <c r="C787" s="290" t="n"/>
      <c r="D787" s="291" t="n"/>
      <c r="E787" s="290" t="n"/>
    </row>
    <row r="788" ht="13" customHeight="1" s="189">
      <c r="B788" s="291" t="n"/>
      <c r="C788" s="290" t="n"/>
      <c r="D788" s="291" t="n"/>
      <c r="E788" s="290" t="n"/>
    </row>
    <row r="789" ht="13" customHeight="1" s="189">
      <c r="B789" s="291" t="n"/>
      <c r="C789" s="290" t="n"/>
      <c r="D789" s="291" t="n"/>
      <c r="E789" s="290" t="n"/>
    </row>
    <row r="790" ht="13" customHeight="1" s="189">
      <c r="B790" s="291" t="n"/>
      <c r="C790" s="290" t="n"/>
      <c r="D790" s="291" t="n"/>
      <c r="E790" s="290" t="n"/>
    </row>
    <row r="791" ht="13" customHeight="1" s="189">
      <c r="B791" s="291" t="n"/>
      <c r="C791" s="290" t="n"/>
      <c r="D791" s="291" t="n"/>
      <c r="E791" s="290" t="n"/>
    </row>
    <row r="792" ht="13" customHeight="1" s="189">
      <c r="B792" s="291" t="n"/>
      <c r="C792" s="290" t="n"/>
      <c r="D792" s="291" t="n"/>
      <c r="E792" s="290" t="n"/>
    </row>
    <row r="793" ht="13" customHeight="1" s="189">
      <c r="B793" s="291" t="n"/>
      <c r="C793" s="290" t="n"/>
      <c r="D793" s="291" t="n"/>
      <c r="E793" s="290" t="n"/>
    </row>
    <row r="794" ht="13" customHeight="1" s="189">
      <c r="B794" s="291" t="n"/>
      <c r="C794" s="290" t="n"/>
      <c r="D794" s="291" t="n"/>
      <c r="E794" s="290" t="n"/>
    </row>
    <row r="795" ht="13" customHeight="1" s="189">
      <c r="B795" s="291" t="n"/>
      <c r="C795" s="290" t="n"/>
      <c r="D795" s="291" t="n"/>
      <c r="E795" s="290" t="n"/>
    </row>
    <row r="796" ht="13" customHeight="1" s="189">
      <c r="B796" s="291" t="n"/>
      <c r="C796" s="290" t="n"/>
      <c r="D796" s="291" t="n"/>
      <c r="E796" s="290" t="n"/>
    </row>
    <row r="797" ht="13" customHeight="1" s="189">
      <c r="B797" s="291" t="n"/>
      <c r="C797" s="290" t="n"/>
      <c r="D797" s="291" t="n"/>
      <c r="E797" s="290" t="n"/>
    </row>
    <row r="798" ht="13" customHeight="1" s="189">
      <c r="B798" s="291" t="n"/>
      <c r="C798" s="290" t="n"/>
      <c r="D798" s="291" t="n"/>
      <c r="E798" s="290" t="n"/>
    </row>
    <row r="799" ht="13" customHeight="1" s="189">
      <c r="B799" s="291" t="n"/>
      <c r="C799" s="290" t="n"/>
      <c r="D799" s="291" t="n"/>
      <c r="E799" s="290" t="n"/>
    </row>
    <row r="800" ht="13" customHeight="1" s="189">
      <c r="B800" s="291" t="n"/>
      <c r="C800" s="290" t="n"/>
      <c r="D800" s="291" t="n"/>
      <c r="E800" s="290" t="n"/>
    </row>
    <row r="801" ht="13" customHeight="1" s="189">
      <c r="B801" s="291" t="n"/>
      <c r="C801" s="290" t="n"/>
      <c r="D801" s="291" t="n"/>
      <c r="E801" s="290" t="n"/>
    </row>
    <row r="802" ht="13" customHeight="1" s="189">
      <c r="B802" s="291" t="n"/>
      <c r="C802" s="290" t="n"/>
      <c r="D802" s="291" t="n"/>
      <c r="E802" s="290" t="n"/>
    </row>
    <row r="803" ht="13" customHeight="1" s="189">
      <c r="B803" s="291" t="n"/>
      <c r="C803" s="290" t="n"/>
      <c r="D803" s="291" t="n"/>
      <c r="E803" s="290" t="n"/>
    </row>
    <row r="804" ht="13" customHeight="1" s="189">
      <c r="B804" s="291" t="n"/>
      <c r="C804" s="290" t="n"/>
      <c r="D804" s="291" t="n"/>
      <c r="E804" s="290" t="n"/>
    </row>
    <row r="805" ht="13" customHeight="1" s="189">
      <c r="B805" s="291" t="n"/>
      <c r="C805" s="290" t="n"/>
      <c r="D805" s="291" t="n"/>
      <c r="E805" s="290" t="n"/>
    </row>
    <row r="806" ht="13" customHeight="1" s="189">
      <c r="B806" s="291" t="n"/>
      <c r="C806" s="290" t="n"/>
      <c r="D806" s="291" t="n"/>
      <c r="E806" s="290" t="n"/>
    </row>
    <row r="807" ht="13" customHeight="1" s="189">
      <c r="B807" s="291" t="n"/>
      <c r="C807" s="290" t="n"/>
      <c r="D807" s="291" t="n"/>
      <c r="E807" s="290" t="n"/>
    </row>
    <row r="808" ht="13" customHeight="1" s="189">
      <c r="B808" s="291" t="n"/>
      <c r="C808" s="290" t="n"/>
      <c r="D808" s="291" t="n"/>
      <c r="E808" s="290" t="n"/>
    </row>
    <row r="809" ht="13" customHeight="1" s="189">
      <c r="B809" s="291" t="n"/>
      <c r="C809" s="290" t="n"/>
      <c r="D809" s="291" t="n"/>
      <c r="E809" s="290" t="n"/>
    </row>
    <row r="810" ht="13" customHeight="1" s="189">
      <c r="B810" s="291" t="n"/>
      <c r="C810" s="290" t="n"/>
      <c r="D810" s="291" t="n"/>
      <c r="E810" s="290" t="n"/>
    </row>
    <row r="811" ht="13" customHeight="1" s="189">
      <c r="B811" s="291" t="n"/>
      <c r="C811" s="290" t="n"/>
      <c r="D811" s="291" t="n"/>
      <c r="E811" s="290" t="n"/>
    </row>
    <row r="812" ht="13" customHeight="1" s="189">
      <c r="B812" s="291" t="n"/>
      <c r="C812" s="290" t="n"/>
      <c r="D812" s="291" t="n"/>
      <c r="E812" s="290" t="n"/>
    </row>
    <row r="813" ht="13" customHeight="1" s="189">
      <c r="B813" s="291" t="n"/>
      <c r="C813" s="290" t="n"/>
      <c r="D813" s="291" t="n"/>
      <c r="E813" s="290" t="n"/>
    </row>
    <row r="814" ht="13" customHeight="1" s="189">
      <c r="B814" s="291" t="n"/>
      <c r="C814" s="290" t="n"/>
      <c r="D814" s="291" t="n"/>
      <c r="E814" s="290" t="n"/>
    </row>
    <row r="815" ht="13" customHeight="1" s="189">
      <c r="B815" s="291" t="n"/>
      <c r="C815" s="290" t="n"/>
      <c r="D815" s="291" t="n"/>
      <c r="E815" s="290" t="n"/>
    </row>
    <row r="816" ht="13" customHeight="1" s="189">
      <c r="B816" s="291" t="n"/>
      <c r="C816" s="290" t="n"/>
      <c r="D816" s="291" t="n"/>
      <c r="E816" s="290" t="n"/>
    </row>
    <row r="817" ht="13" customHeight="1" s="189">
      <c r="B817" s="291" t="n"/>
      <c r="C817" s="290" t="n"/>
      <c r="D817" s="291" t="n"/>
      <c r="E817" s="290" t="n"/>
    </row>
    <row r="818" ht="13" customHeight="1" s="189">
      <c r="B818" s="291" t="n"/>
      <c r="C818" s="290" t="n"/>
      <c r="D818" s="291" t="n"/>
      <c r="E818" s="290" t="n"/>
    </row>
    <row r="819" ht="13" customHeight="1" s="189">
      <c r="B819" s="291" t="n"/>
      <c r="C819" s="290" t="n"/>
      <c r="D819" s="291" t="n"/>
      <c r="E819" s="290" t="n"/>
    </row>
    <row r="820" ht="13" customHeight="1" s="189">
      <c r="B820" s="291" t="n"/>
      <c r="C820" s="290" t="n"/>
      <c r="D820" s="291" t="n"/>
      <c r="E820" s="290" t="n"/>
    </row>
    <row r="821" ht="13" customHeight="1" s="189">
      <c r="B821" s="291" t="n"/>
      <c r="C821" s="290" t="n"/>
      <c r="D821" s="291" t="n"/>
      <c r="E821" s="290" t="n"/>
    </row>
    <row r="822" ht="13" customHeight="1" s="189">
      <c r="B822" s="291" t="n"/>
      <c r="C822" s="290" t="n"/>
      <c r="D822" s="291" t="n"/>
      <c r="E822" s="290" t="n"/>
    </row>
    <row r="823" ht="13" customHeight="1" s="189">
      <c r="B823" s="291" t="n"/>
      <c r="C823" s="290" t="n"/>
      <c r="D823" s="291" t="n"/>
      <c r="E823" s="290" t="n"/>
    </row>
    <row r="824" ht="13" customHeight="1" s="189">
      <c r="B824" s="291" t="n"/>
      <c r="C824" s="290" t="n"/>
      <c r="D824" s="291" t="n"/>
      <c r="E824" s="290" t="n"/>
    </row>
    <row r="825" ht="13" customHeight="1" s="189">
      <c r="B825" s="291" t="n"/>
      <c r="C825" s="290" t="n"/>
      <c r="D825" s="291" t="n"/>
      <c r="E825" s="290" t="n"/>
    </row>
    <row r="826" ht="13" customHeight="1" s="189">
      <c r="B826" s="291" t="n"/>
      <c r="C826" s="290" t="n"/>
      <c r="D826" s="291" t="n"/>
      <c r="E826" s="290" t="n"/>
    </row>
    <row r="827" ht="13" customHeight="1" s="189">
      <c r="B827" s="291" t="n"/>
      <c r="C827" s="290" t="n"/>
      <c r="D827" s="291" t="n"/>
      <c r="E827" s="290" t="n"/>
    </row>
    <row r="828" ht="13" customHeight="1" s="189">
      <c r="B828" s="291" t="n"/>
      <c r="C828" s="290" t="n"/>
      <c r="D828" s="291" t="n"/>
      <c r="E828" s="290" t="n"/>
    </row>
    <row r="829" ht="13" customHeight="1" s="189">
      <c r="B829" s="291" t="n"/>
      <c r="C829" s="290" t="n"/>
      <c r="D829" s="291" t="n"/>
      <c r="E829" s="290" t="n"/>
    </row>
    <row r="830" ht="13" customHeight="1" s="189">
      <c r="B830" s="291" t="n"/>
      <c r="C830" s="290" t="n"/>
      <c r="D830" s="291" t="n"/>
      <c r="E830" s="290" t="n"/>
    </row>
    <row r="831" ht="13" customHeight="1" s="189">
      <c r="B831" s="291" t="n"/>
      <c r="C831" s="290" t="n"/>
      <c r="D831" s="291" t="n"/>
      <c r="E831" s="290" t="n"/>
    </row>
    <row r="832" ht="13" customHeight="1" s="189">
      <c r="B832" s="291" t="n"/>
      <c r="C832" s="290" t="n"/>
      <c r="D832" s="291" t="n"/>
      <c r="E832" s="290" t="n"/>
    </row>
    <row r="833" ht="13" customHeight="1" s="189">
      <c r="B833" s="291" t="n"/>
      <c r="C833" s="290" t="n"/>
      <c r="D833" s="291" t="n"/>
      <c r="E833" s="290" t="n"/>
    </row>
    <row r="834" ht="13" customHeight="1" s="189">
      <c r="B834" s="291" t="n"/>
      <c r="C834" s="290" t="n"/>
      <c r="D834" s="291" t="n"/>
      <c r="E834" s="290" t="n"/>
    </row>
    <row r="835" ht="13" customHeight="1" s="189">
      <c r="B835" s="291" t="n"/>
      <c r="C835" s="290" t="n"/>
      <c r="D835" s="291" t="n"/>
      <c r="E835" s="290" t="n"/>
    </row>
    <row r="836" ht="13" customHeight="1" s="189">
      <c r="B836" s="291" t="n"/>
      <c r="C836" s="290" t="n"/>
      <c r="D836" s="291" t="n"/>
      <c r="E836" s="290" t="n"/>
    </row>
    <row r="837" ht="13" customHeight="1" s="189">
      <c r="B837" s="291" t="n"/>
      <c r="C837" s="290" t="n"/>
      <c r="D837" s="291" t="n"/>
      <c r="E837" s="290" t="n"/>
    </row>
    <row r="838" ht="13" customHeight="1" s="189">
      <c r="B838" s="291" t="n"/>
      <c r="C838" s="290" t="n"/>
      <c r="D838" s="291" t="n"/>
      <c r="E838" s="290" t="n"/>
    </row>
    <row r="839" ht="13" customHeight="1" s="189">
      <c r="B839" s="291" t="n"/>
      <c r="C839" s="290" t="n"/>
      <c r="D839" s="291" t="n"/>
      <c r="E839" s="290" t="n"/>
    </row>
    <row r="840" ht="13" customHeight="1" s="189">
      <c r="B840" s="291" t="n"/>
      <c r="C840" s="290" t="n"/>
      <c r="D840" s="291" t="n"/>
      <c r="E840" s="290" t="n"/>
    </row>
    <row r="841" ht="13" customHeight="1" s="189">
      <c r="B841" s="291" t="n"/>
      <c r="C841" s="290" t="n"/>
      <c r="D841" s="291" t="n"/>
      <c r="E841" s="290" t="n"/>
    </row>
    <row r="842" ht="13" customHeight="1" s="189">
      <c r="B842" s="291" t="n"/>
      <c r="C842" s="290" t="n"/>
      <c r="D842" s="291" t="n"/>
      <c r="E842" s="290" t="n"/>
    </row>
    <row r="843" ht="13" customHeight="1" s="189">
      <c r="B843" s="291" t="n"/>
      <c r="C843" s="290" t="n"/>
      <c r="D843" s="291" t="n"/>
      <c r="E843" s="290" t="n"/>
    </row>
    <row r="844" ht="13" customHeight="1" s="189">
      <c r="B844" s="291" t="n"/>
      <c r="C844" s="290" t="n"/>
      <c r="D844" s="291" t="n"/>
      <c r="E844" s="290" t="n"/>
    </row>
    <row r="845" ht="13" customHeight="1" s="189">
      <c r="B845" s="291" t="n"/>
      <c r="C845" s="290" t="n"/>
      <c r="D845" s="291" t="n"/>
      <c r="E845" s="290" t="n"/>
    </row>
    <row r="846" ht="13" customHeight="1" s="189">
      <c r="B846" s="291" t="n"/>
      <c r="C846" s="290" t="n"/>
      <c r="D846" s="291" t="n"/>
      <c r="E846" s="290" t="n"/>
    </row>
    <row r="847" ht="13" customHeight="1" s="189">
      <c r="B847" s="291" t="n"/>
      <c r="C847" s="290" t="n"/>
      <c r="D847" s="291" t="n"/>
      <c r="E847" s="290" t="n"/>
    </row>
    <row r="848" ht="13" customHeight="1" s="189">
      <c r="B848" s="291" t="n"/>
      <c r="C848" s="290" t="n"/>
      <c r="D848" s="291" t="n"/>
      <c r="E848" s="290" t="n"/>
    </row>
    <row r="849" ht="13" customHeight="1" s="189">
      <c r="B849" s="291" t="n"/>
      <c r="C849" s="290" t="n"/>
      <c r="D849" s="291" t="n"/>
      <c r="E849" s="290" t="n"/>
    </row>
    <row r="850" ht="13" customHeight="1" s="189">
      <c r="B850" s="291" t="n"/>
      <c r="C850" s="290" t="n"/>
      <c r="D850" s="291" t="n"/>
      <c r="E850" s="290" t="n"/>
    </row>
    <row r="851" ht="13" customHeight="1" s="189">
      <c r="B851" s="291" t="n"/>
      <c r="C851" s="290" t="n"/>
      <c r="D851" s="291" t="n"/>
      <c r="E851" s="290" t="n"/>
    </row>
    <row r="852" ht="13" customHeight="1" s="189">
      <c r="B852" s="291" t="n"/>
      <c r="C852" s="290" t="n"/>
      <c r="D852" s="291" t="n"/>
      <c r="E852" s="290" t="n"/>
    </row>
    <row r="853" ht="13" customHeight="1" s="189">
      <c r="B853" s="291" t="n"/>
      <c r="C853" s="290" t="n"/>
      <c r="D853" s="291" t="n"/>
      <c r="E853" s="290" t="n"/>
    </row>
    <row r="854" ht="13" customHeight="1" s="189">
      <c r="B854" s="291" t="n"/>
      <c r="C854" s="290" t="n"/>
      <c r="D854" s="291" t="n"/>
      <c r="E854" s="290" t="n"/>
    </row>
    <row r="855" ht="13" customHeight="1" s="189">
      <c r="B855" s="291" t="n"/>
      <c r="C855" s="290" t="n"/>
      <c r="D855" s="291" t="n"/>
      <c r="E855" s="290" t="n"/>
    </row>
    <row r="856" ht="13" customHeight="1" s="189">
      <c r="B856" s="291" t="n"/>
      <c r="C856" s="290" t="n"/>
      <c r="D856" s="291" t="n"/>
      <c r="E856" s="290" t="n"/>
    </row>
    <row r="857" ht="13" customHeight="1" s="189">
      <c r="B857" s="291" t="n"/>
      <c r="C857" s="290" t="n"/>
      <c r="D857" s="291" t="n"/>
      <c r="E857" s="290" t="n"/>
    </row>
    <row r="858" ht="13" customHeight="1" s="189">
      <c r="B858" s="291" t="n"/>
      <c r="C858" s="290" t="n"/>
      <c r="D858" s="291" t="n"/>
      <c r="E858" s="290" t="n"/>
    </row>
    <row r="859" ht="13" customHeight="1" s="189">
      <c r="B859" s="291" t="n"/>
      <c r="C859" s="290" t="n"/>
      <c r="D859" s="291" t="n"/>
      <c r="E859" s="290" t="n"/>
    </row>
    <row r="860" ht="13" customHeight="1" s="189">
      <c r="B860" s="291" t="n"/>
      <c r="C860" s="290" t="n"/>
      <c r="D860" s="291" t="n"/>
      <c r="E860" s="290" t="n"/>
    </row>
    <row r="861" ht="13" customHeight="1" s="189">
      <c r="B861" s="291" t="n"/>
      <c r="C861" s="290" t="n"/>
      <c r="D861" s="291" t="n"/>
      <c r="E861" s="290" t="n"/>
    </row>
    <row r="862" ht="13" customHeight="1" s="189">
      <c r="B862" s="291" t="n"/>
      <c r="C862" s="290" t="n"/>
      <c r="D862" s="291" t="n"/>
      <c r="E862" s="290" t="n"/>
    </row>
    <row r="863" ht="13" customHeight="1" s="189">
      <c r="B863" s="291" t="n"/>
      <c r="C863" s="290" t="n"/>
      <c r="D863" s="291" t="n"/>
      <c r="E863" s="290" t="n"/>
    </row>
    <row r="864" ht="13" customHeight="1" s="189">
      <c r="B864" s="291" t="n"/>
      <c r="C864" s="290" t="n"/>
      <c r="D864" s="291" t="n"/>
      <c r="E864" s="290" t="n"/>
    </row>
    <row r="865" ht="13" customHeight="1" s="189">
      <c r="B865" s="291" t="n"/>
      <c r="C865" s="290" t="n"/>
      <c r="D865" s="291" t="n"/>
      <c r="E865" s="290" t="n"/>
    </row>
    <row r="866" ht="13" customHeight="1" s="189">
      <c r="B866" s="291" t="n"/>
      <c r="C866" s="290" t="n"/>
      <c r="D866" s="291" t="n"/>
      <c r="E866" s="290" t="n"/>
    </row>
    <row r="867" ht="13" customHeight="1" s="189">
      <c r="B867" s="291" t="n"/>
      <c r="C867" s="290" t="n"/>
      <c r="D867" s="291" t="n"/>
      <c r="E867" s="290" t="n"/>
    </row>
    <row r="868" ht="13" customHeight="1" s="189">
      <c r="B868" s="291" t="n"/>
      <c r="C868" s="290" t="n"/>
      <c r="D868" s="291" t="n"/>
      <c r="E868" s="290" t="n"/>
    </row>
    <row r="869" ht="13" customHeight="1" s="189">
      <c r="B869" s="291" t="n"/>
      <c r="C869" s="290" t="n"/>
      <c r="D869" s="291" t="n"/>
      <c r="E869" s="290" t="n"/>
    </row>
    <row r="870" ht="13" customHeight="1" s="189">
      <c r="B870" s="291" t="n"/>
      <c r="C870" s="290" t="n"/>
      <c r="D870" s="291" t="n"/>
      <c r="E870" s="290" t="n"/>
    </row>
    <row r="871" ht="13" customHeight="1" s="189">
      <c r="B871" s="291" t="n"/>
      <c r="C871" s="290" t="n"/>
      <c r="D871" s="291" t="n"/>
      <c r="E871" s="290" t="n"/>
    </row>
    <row r="872" ht="13" customHeight="1" s="189">
      <c r="B872" s="291" t="n"/>
      <c r="C872" s="290" t="n"/>
      <c r="D872" s="291" t="n"/>
      <c r="E872" s="290" t="n"/>
    </row>
    <row r="873" ht="13" customHeight="1" s="189">
      <c r="B873" s="291" t="n"/>
      <c r="C873" s="290" t="n"/>
      <c r="D873" s="291" t="n"/>
      <c r="E873" s="290" t="n"/>
    </row>
    <row r="874" ht="13" customHeight="1" s="189">
      <c r="B874" s="291" t="n"/>
      <c r="C874" s="290" t="n"/>
      <c r="D874" s="291" t="n"/>
      <c r="E874" s="290" t="n"/>
    </row>
    <row r="875" ht="13" customHeight="1" s="189">
      <c r="B875" s="291" t="n"/>
      <c r="C875" s="290" t="n"/>
      <c r="D875" s="291" t="n"/>
      <c r="E875" s="290" t="n"/>
    </row>
    <row r="876" ht="13" customHeight="1" s="189">
      <c r="B876" s="291" t="n"/>
      <c r="C876" s="290" t="n"/>
      <c r="D876" s="291" t="n"/>
      <c r="E876" s="290" t="n"/>
    </row>
    <row r="877" ht="13" customHeight="1" s="189">
      <c r="B877" s="291" t="n"/>
      <c r="C877" s="290" t="n"/>
      <c r="D877" s="291" t="n"/>
      <c r="E877" s="290" t="n"/>
    </row>
    <row r="878" ht="13" customHeight="1" s="189">
      <c r="B878" s="291" t="n"/>
      <c r="C878" s="290" t="n"/>
      <c r="D878" s="291" t="n"/>
      <c r="E878" s="290" t="n"/>
    </row>
    <row r="879" ht="13" customHeight="1" s="189">
      <c r="B879" s="291" t="n"/>
      <c r="C879" s="290" t="n"/>
      <c r="D879" s="291" t="n"/>
      <c r="E879" s="290" t="n"/>
    </row>
    <row r="880" ht="13" customHeight="1" s="189">
      <c r="B880" s="291" t="n"/>
      <c r="C880" s="290" t="n"/>
      <c r="D880" s="291" t="n"/>
      <c r="E880" s="290" t="n"/>
    </row>
    <row r="881" ht="13" customHeight="1" s="189">
      <c r="B881" s="291" t="n"/>
      <c r="C881" s="290" t="n"/>
      <c r="D881" s="291" t="n"/>
      <c r="E881" s="290" t="n"/>
    </row>
    <row r="882" ht="13" customHeight="1" s="189">
      <c r="B882" s="291" t="n"/>
      <c r="C882" s="290" t="n"/>
      <c r="D882" s="291" t="n"/>
      <c r="E882" s="290" t="n"/>
    </row>
    <row r="883" ht="13" customHeight="1" s="189">
      <c r="B883" s="291" t="n"/>
      <c r="C883" s="290" t="n"/>
      <c r="D883" s="291" t="n"/>
      <c r="E883" s="290" t="n"/>
    </row>
    <row r="884" ht="13" customHeight="1" s="189">
      <c r="B884" s="291" t="n"/>
      <c r="C884" s="290" t="n"/>
      <c r="D884" s="291" t="n"/>
      <c r="E884" s="290" t="n"/>
    </row>
    <row r="885" ht="13" customHeight="1" s="189">
      <c r="B885" s="291" t="n"/>
      <c r="C885" s="290" t="n"/>
      <c r="D885" s="291" t="n"/>
      <c r="E885" s="290" t="n"/>
    </row>
    <row r="886" ht="13" customHeight="1" s="189">
      <c r="B886" s="291" t="n"/>
      <c r="C886" s="290" t="n"/>
      <c r="D886" s="291" t="n"/>
      <c r="E886" s="290" t="n"/>
    </row>
    <row r="887" ht="13" customHeight="1" s="189">
      <c r="B887" s="291" t="n"/>
      <c r="C887" s="290" t="n"/>
      <c r="D887" s="291" t="n"/>
      <c r="E887" s="290" t="n"/>
    </row>
    <row r="888" ht="13" customHeight="1" s="189">
      <c r="B888" s="291" t="n"/>
      <c r="C888" s="290" t="n"/>
      <c r="D888" s="291" t="n"/>
      <c r="E888" s="290" t="n"/>
    </row>
    <row r="889" ht="13" customHeight="1" s="189">
      <c r="B889" s="291" t="n"/>
      <c r="C889" s="290" t="n"/>
      <c r="D889" s="291" t="n"/>
      <c r="E889" s="290" t="n"/>
    </row>
    <row r="890" ht="13" customHeight="1" s="189">
      <c r="B890" s="291" t="n"/>
      <c r="C890" s="290" t="n"/>
      <c r="D890" s="291" t="n"/>
      <c r="E890" s="290" t="n"/>
    </row>
    <row r="891" ht="13" customHeight="1" s="189">
      <c r="B891" s="291" t="n"/>
      <c r="C891" s="290" t="n"/>
      <c r="D891" s="291" t="n"/>
      <c r="E891" s="290" t="n"/>
    </row>
    <row r="892" ht="13" customHeight="1" s="189">
      <c r="B892" s="291" t="n"/>
      <c r="C892" s="290" t="n"/>
      <c r="D892" s="291" t="n"/>
      <c r="E892" s="290" t="n"/>
    </row>
    <row r="893" ht="13" customHeight="1" s="189">
      <c r="B893" s="291" t="n"/>
      <c r="C893" s="290" t="n"/>
      <c r="D893" s="291" t="n"/>
      <c r="E893" s="290" t="n"/>
    </row>
    <row r="894" ht="13" customHeight="1" s="189">
      <c r="B894" s="291" t="n"/>
      <c r="C894" s="290" t="n"/>
      <c r="D894" s="291" t="n"/>
      <c r="E894" s="290" t="n"/>
    </row>
    <row r="895" ht="13" customHeight="1" s="189">
      <c r="B895" s="291" t="n"/>
      <c r="C895" s="290" t="n"/>
      <c r="D895" s="291" t="n"/>
      <c r="E895" s="290" t="n"/>
    </row>
    <row r="896" ht="13" customHeight="1" s="189">
      <c r="B896" s="291" t="n"/>
      <c r="C896" s="290" t="n"/>
      <c r="D896" s="291" t="n"/>
      <c r="E896" s="290" t="n"/>
    </row>
    <row r="897" ht="13" customHeight="1" s="189">
      <c r="B897" s="291" t="n"/>
      <c r="C897" s="290" t="n"/>
      <c r="D897" s="291" t="n"/>
      <c r="E897" s="290" t="n"/>
    </row>
    <row r="898" ht="13" customHeight="1" s="189">
      <c r="B898" s="291" t="n"/>
      <c r="C898" s="290" t="n"/>
      <c r="D898" s="291" t="n"/>
      <c r="E898" s="290" t="n"/>
    </row>
    <row r="899" ht="13" customHeight="1" s="189">
      <c r="B899" s="291" t="n"/>
      <c r="C899" s="290" t="n"/>
      <c r="D899" s="291" t="n"/>
      <c r="E899" s="290" t="n"/>
    </row>
    <row r="900" ht="13" customHeight="1" s="189">
      <c r="B900" s="291" t="n"/>
      <c r="C900" s="290" t="n"/>
      <c r="D900" s="291" t="n"/>
      <c r="E900" s="290" t="n"/>
    </row>
    <row r="901" ht="13" customHeight="1" s="189">
      <c r="B901" s="291" t="n"/>
      <c r="C901" s="290" t="n"/>
      <c r="D901" s="291" t="n"/>
      <c r="E901" s="290" t="n"/>
    </row>
    <row r="902" ht="13" customHeight="1" s="189">
      <c r="B902" s="291" t="n"/>
      <c r="C902" s="290" t="n"/>
      <c r="D902" s="291" t="n"/>
      <c r="E902" s="290" t="n"/>
    </row>
    <row r="903" ht="13" customHeight="1" s="189">
      <c r="B903" s="291" t="n"/>
      <c r="C903" s="290" t="n"/>
      <c r="D903" s="291" t="n"/>
      <c r="E903" s="290" t="n"/>
    </row>
    <row r="904" ht="13" customHeight="1" s="189">
      <c r="B904" s="291" t="n"/>
      <c r="C904" s="290" t="n"/>
      <c r="D904" s="291" t="n"/>
      <c r="E904" s="290" t="n"/>
    </row>
    <row r="905" ht="13" customHeight="1" s="189">
      <c r="B905" s="291" t="n"/>
      <c r="C905" s="290" t="n"/>
      <c r="D905" s="291" t="n"/>
      <c r="E905" s="290" t="n"/>
    </row>
    <row r="906" ht="13" customHeight="1" s="189">
      <c r="B906" s="291" t="n"/>
      <c r="C906" s="290" t="n"/>
      <c r="D906" s="291" t="n"/>
      <c r="E906" s="290" t="n"/>
    </row>
    <row r="907" ht="13" customHeight="1" s="189">
      <c r="B907" s="291" t="n"/>
      <c r="C907" s="290" t="n"/>
      <c r="D907" s="291" t="n"/>
      <c r="E907" s="290" t="n"/>
    </row>
    <row r="908" ht="13" customHeight="1" s="189">
      <c r="B908" s="291" t="n"/>
      <c r="C908" s="290" t="n"/>
      <c r="D908" s="291" t="n"/>
      <c r="E908" s="290" t="n"/>
    </row>
    <row r="909" ht="13" customHeight="1" s="189">
      <c r="B909" s="291" t="n"/>
      <c r="C909" s="290" t="n"/>
      <c r="D909" s="291" t="n"/>
      <c r="E909" s="290" t="n"/>
    </row>
    <row r="910" ht="13" customHeight="1" s="189">
      <c r="B910" s="291" t="n"/>
      <c r="C910" s="290" t="n"/>
      <c r="D910" s="291" t="n"/>
      <c r="E910" s="290" t="n"/>
    </row>
    <row r="911" ht="13" customHeight="1" s="189">
      <c r="B911" s="291" t="n"/>
      <c r="C911" s="290" t="n"/>
      <c r="D911" s="291" t="n"/>
      <c r="E911" s="290" t="n"/>
    </row>
    <row r="912" ht="13" customHeight="1" s="189">
      <c r="B912" s="291" t="n"/>
      <c r="C912" s="290" t="n"/>
      <c r="D912" s="291" t="n"/>
      <c r="E912" s="290" t="n"/>
    </row>
    <row r="913" ht="13" customHeight="1" s="189">
      <c r="B913" s="291" t="n"/>
      <c r="C913" s="290" t="n"/>
      <c r="D913" s="291" t="n"/>
      <c r="E913" s="290" t="n"/>
    </row>
    <row r="914" ht="13" customHeight="1" s="189">
      <c r="B914" s="291" t="n"/>
      <c r="C914" s="290" t="n"/>
      <c r="D914" s="291" t="n"/>
      <c r="E914" s="290" t="n"/>
    </row>
    <row r="915" ht="13" customHeight="1" s="189">
      <c r="B915" s="291" t="n"/>
      <c r="C915" s="290" t="n"/>
      <c r="D915" s="291" t="n"/>
      <c r="E915" s="290" t="n"/>
    </row>
    <row r="916" ht="13" customHeight="1" s="189">
      <c r="B916" s="291" t="n"/>
      <c r="C916" s="290" t="n"/>
      <c r="D916" s="291" t="n"/>
      <c r="E916" s="290" t="n"/>
    </row>
    <row r="917" ht="13" customHeight="1" s="189">
      <c r="B917" s="291" t="n"/>
      <c r="C917" s="290" t="n"/>
      <c r="D917" s="291" t="n"/>
      <c r="E917" s="290" t="n"/>
    </row>
    <row r="918" ht="13" customHeight="1" s="189">
      <c r="B918" s="291" t="n"/>
      <c r="C918" s="290" t="n"/>
      <c r="D918" s="291" t="n"/>
      <c r="E918" s="290" t="n"/>
    </row>
    <row r="919" ht="13" customHeight="1" s="189">
      <c r="B919" s="291" t="n"/>
      <c r="C919" s="290" t="n"/>
      <c r="D919" s="291" t="n"/>
      <c r="E919" s="290" t="n"/>
    </row>
    <row r="920" ht="13" customHeight="1" s="189">
      <c r="B920" s="291" t="n"/>
      <c r="C920" s="290" t="n"/>
      <c r="D920" s="291" t="n"/>
      <c r="E920" s="290" t="n"/>
    </row>
    <row r="921" ht="13" customHeight="1" s="189">
      <c r="B921" s="291" t="n"/>
      <c r="C921" s="290" t="n"/>
      <c r="D921" s="291" t="n"/>
      <c r="E921" s="290" t="n"/>
    </row>
    <row r="922" ht="13" customHeight="1" s="189">
      <c r="B922" s="291" t="n"/>
      <c r="C922" s="290" t="n"/>
      <c r="D922" s="291" t="n"/>
      <c r="E922" s="290" t="n"/>
    </row>
    <row r="923" ht="13" customHeight="1" s="189">
      <c r="B923" s="291" t="n"/>
      <c r="C923" s="290" t="n"/>
      <c r="D923" s="291" t="n"/>
      <c r="E923" s="290" t="n"/>
    </row>
    <row r="924" ht="13" customHeight="1" s="189">
      <c r="B924" s="291" t="n"/>
      <c r="C924" s="290" t="n"/>
      <c r="D924" s="291" t="n"/>
      <c r="E924" s="290" t="n"/>
    </row>
    <row r="925" ht="13" customHeight="1" s="189">
      <c r="B925" s="291" t="n"/>
      <c r="C925" s="290" t="n"/>
      <c r="D925" s="291" t="n"/>
      <c r="E925" s="290" t="n"/>
    </row>
    <row r="926" ht="13" customHeight="1" s="189">
      <c r="B926" s="291" t="n"/>
      <c r="C926" s="290" t="n"/>
      <c r="D926" s="291" t="n"/>
      <c r="E926" s="290" t="n"/>
    </row>
    <row r="927" ht="13" customHeight="1" s="189">
      <c r="B927" s="291" t="n"/>
      <c r="C927" s="290" t="n"/>
      <c r="D927" s="291" t="n"/>
      <c r="E927" s="290" t="n"/>
    </row>
    <row r="928" ht="13" customHeight="1" s="189">
      <c r="B928" s="291" t="n"/>
      <c r="C928" s="290" t="n"/>
      <c r="D928" s="291" t="n"/>
      <c r="E928" s="290" t="n"/>
    </row>
    <row r="929" ht="13" customHeight="1" s="189">
      <c r="B929" s="291" t="n"/>
      <c r="C929" s="290" t="n"/>
      <c r="D929" s="291" t="n"/>
      <c r="E929" s="290" t="n"/>
    </row>
    <row r="930" ht="13" customHeight="1" s="189">
      <c r="B930" s="291" t="n"/>
      <c r="C930" s="290" t="n"/>
      <c r="D930" s="291" t="n"/>
      <c r="E930" s="290" t="n"/>
    </row>
    <row r="931" ht="13" customHeight="1" s="189">
      <c r="B931" s="291" t="n"/>
      <c r="C931" s="290" t="n"/>
      <c r="D931" s="291" t="n"/>
      <c r="E931" s="290" t="n"/>
    </row>
    <row r="932" ht="13" customHeight="1" s="189">
      <c r="B932" s="291" t="n"/>
      <c r="C932" s="290" t="n"/>
      <c r="D932" s="291" t="n"/>
      <c r="E932" s="290" t="n"/>
    </row>
    <row r="933" ht="13" customHeight="1" s="189">
      <c r="B933" s="291" t="n"/>
      <c r="C933" s="290" t="n"/>
      <c r="D933" s="291" t="n"/>
      <c r="E933" s="290" t="n"/>
    </row>
    <row r="934" ht="13" customHeight="1" s="189">
      <c r="B934" s="291" t="n"/>
      <c r="C934" s="290" t="n"/>
      <c r="D934" s="291" t="n"/>
      <c r="E934" s="290" t="n"/>
    </row>
    <row r="935" ht="13" customHeight="1" s="189">
      <c r="B935" s="291" t="n"/>
      <c r="C935" s="290" t="n"/>
      <c r="D935" s="291" t="n"/>
      <c r="E935" s="290" t="n"/>
    </row>
    <row r="936" ht="13" customHeight="1" s="189">
      <c r="B936" s="291" t="n"/>
      <c r="C936" s="290" t="n"/>
      <c r="D936" s="291" t="n"/>
      <c r="E936" s="290" t="n"/>
    </row>
    <row r="937" ht="13" customHeight="1" s="189">
      <c r="B937" s="291" t="n"/>
      <c r="C937" s="290" t="n"/>
      <c r="D937" s="291" t="n"/>
      <c r="E937" s="290" t="n"/>
    </row>
    <row r="938" ht="13" customHeight="1" s="189">
      <c r="B938" s="291" t="n"/>
      <c r="C938" s="290" t="n"/>
      <c r="D938" s="291" t="n"/>
      <c r="E938" s="290" t="n"/>
    </row>
    <row r="939" ht="13" customHeight="1" s="189">
      <c r="B939" s="291" t="n"/>
      <c r="C939" s="290" t="n"/>
      <c r="D939" s="291" t="n"/>
      <c r="E939" s="290" t="n"/>
    </row>
    <row r="940" ht="13" customHeight="1" s="189">
      <c r="B940" s="291" t="n"/>
      <c r="C940" s="290" t="n"/>
      <c r="D940" s="291" t="n"/>
      <c r="E940" s="290" t="n"/>
    </row>
    <row r="941" ht="13" customHeight="1" s="189">
      <c r="B941" s="291" t="n"/>
      <c r="C941" s="290" t="n"/>
      <c r="D941" s="291" t="n"/>
      <c r="E941" s="290" t="n"/>
    </row>
    <row r="942" ht="13" customHeight="1" s="189">
      <c r="B942" s="291" t="n"/>
      <c r="C942" s="290" t="n"/>
      <c r="D942" s="291" t="n"/>
      <c r="E942" s="290" t="n"/>
    </row>
    <row r="943" ht="13" customHeight="1" s="189">
      <c r="B943" s="291" t="n"/>
      <c r="C943" s="290" t="n"/>
      <c r="D943" s="291" t="n"/>
      <c r="E943" s="290" t="n"/>
    </row>
    <row r="944" ht="13" customHeight="1" s="189">
      <c r="B944" s="291" t="n"/>
      <c r="C944" s="290" t="n"/>
      <c r="D944" s="291" t="n"/>
      <c r="E944" s="290" t="n"/>
    </row>
    <row r="945" ht="13" customHeight="1" s="189">
      <c r="B945" s="291" t="n"/>
      <c r="C945" s="290" t="n"/>
      <c r="D945" s="291" t="n"/>
      <c r="E945" s="290" t="n"/>
    </row>
    <row r="946" ht="13" customHeight="1" s="189">
      <c r="B946" s="291" t="n"/>
      <c r="C946" s="290" t="n"/>
      <c r="D946" s="291" t="n"/>
      <c r="E946" s="290" t="n"/>
    </row>
    <row r="947" ht="13" customHeight="1" s="189">
      <c r="B947" s="291" t="n"/>
      <c r="C947" s="290" t="n"/>
      <c r="D947" s="291" t="n"/>
      <c r="E947" s="290" t="n"/>
    </row>
    <row r="948" ht="13" customHeight="1" s="189">
      <c r="B948" s="291" t="n"/>
      <c r="C948" s="290" t="n"/>
      <c r="D948" s="291" t="n"/>
      <c r="E948" s="290" t="n"/>
    </row>
    <row r="949" ht="13" customHeight="1" s="189">
      <c r="B949" s="291" t="n"/>
      <c r="C949" s="290" t="n"/>
      <c r="D949" s="291" t="n"/>
      <c r="E949" s="290" t="n"/>
    </row>
    <row r="950" ht="13" customHeight="1" s="189">
      <c r="B950" s="291" t="n"/>
      <c r="C950" s="290" t="n"/>
      <c r="D950" s="291" t="n"/>
      <c r="E950" s="290" t="n"/>
    </row>
    <row r="951" ht="13" customHeight="1" s="189">
      <c r="B951" s="291" t="n"/>
      <c r="C951" s="290" t="n"/>
      <c r="D951" s="291" t="n"/>
      <c r="E951" s="290" t="n"/>
    </row>
    <row r="952" ht="13" customHeight="1" s="189">
      <c r="B952" s="291" t="n"/>
      <c r="C952" s="290" t="n"/>
      <c r="D952" s="291" t="n"/>
      <c r="E952" s="290" t="n"/>
    </row>
    <row r="953" ht="13" customHeight="1" s="189">
      <c r="B953" s="291" t="n"/>
      <c r="C953" s="290" t="n"/>
      <c r="D953" s="291" t="n"/>
      <c r="E953" s="290" t="n"/>
    </row>
    <row r="954" ht="13" customHeight="1" s="189">
      <c r="B954" s="291" t="n"/>
      <c r="C954" s="290" t="n"/>
      <c r="D954" s="291" t="n"/>
      <c r="E954" s="290" t="n"/>
    </row>
    <row r="955" ht="13" customHeight="1" s="189">
      <c r="B955" s="291" t="n"/>
      <c r="C955" s="290" t="n"/>
      <c r="D955" s="291" t="n"/>
      <c r="E955" s="290" t="n"/>
    </row>
    <row r="956" ht="13" customHeight="1" s="189">
      <c r="B956" s="291" t="n"/>
      <c r="C956" s="290" t="n"/>
      <c r="D956" s="291" t="n"/>
      <c r="E956" s="290" t="n"/>
    </row>
    <row r="957" ht="13" customHeight="1" s="189">
      <c r="B957" s="291" t="n"/>
      <c r="C957" s="290" t="n"/>
      <c r="D957" s="291" t="n"/>
      <c r="E957" s="290" t="n"/>
    </row>
    <row r="958" ht="13" customHeight="1" s="189">
      <c r="B958" s="291" t="n"/>
      <c r="C958" s="290" t="n"/>
      <c r="D958" s="291" t="n"/>
      <c r="E958" s="290" t="n"/>
    </row>
    <row r="959" ht="13" customHeight="1" s="189">
      <c r="B959" s="291" t="n"/>
      <c r="C959" s="290" t="n"/>
      <c r="D959" s="291" t="n"/>
      <c r="E959" s="290" t="n"/>
    </row>
    <row r="960" ht="13" customHeight="1" s="189">
      <c r="B960" s="291" t="n"/>
      <c r="C960" s="290" t="n"/>
      <c r="D960" s="291" t="n"/>
      <c r="E960" s="290" t="n"/>
    </row>
    <row r="961" ht="13" customHeight="1" s="189">
      <c r="B961" s="291" t="n"/>
      <c r="C961" s="290" t="n"/>
      <c r="D961" s="291" t="n"/>
      <c r="E961" s="290" t="n"/>
    </row>
    <row r="962" ht="13" customHeight="1" s="189">
      <c r="B962" s="291" t="n"/>
      <c r="C962" s="290" t="n"/>
      <c r="D962" s="291" t="n"/>
      <c r="E962" s="290" t="n"/>
    </row>
    <row r="963" ht="13" customHeight="1" s="189">
      <c r="B963" s="291" t="n"/>
      <c r="C963" s="290" t="n"/>
      <c r="D963" s="291" t="n"/>
      <c r="E963" s="290" t="n"/>
    </row>
    <row r="964" ht="13" customHeight="1" s="189">
      <c r="B964" s="291" t="n"/>
      <c r="C964" s="290" t="n"/>
      <c r="D964" s="291" t="n"/>
      <c r="E964" s="290" t="n"/>
    </row>
    <row r="965" ht="13" customHeight="1" s="189">
      <c r="B965" s="291" t="n"/>
      <c r="C965" s="290" t="n"/>
      <c r="D965" s="291" t="n"/>
      <c r="E965" s="290" t="n"/>
    </row>
    <row r="966" ht="13" customHeight="1" s="189">
      <c r="B966" s="291" t="n"/>
      <c r="C966" s="290" t="n"/>
      <c r="D966" s="291" t="n"/>
      <c r="E966" s="290" t="n"/>
    </row>
    <row r="967" ht="13" customHeight="1" s="189">
      <c r="B967" s="291" t="n"/>
      <c r="C967" s="290" t="n"/>
      <c r="D967" s="291" t="n"/>
      <c r="E967" s="290" t="n"/>
    </row>
    <row r="968" ht="13" customHeight="1" s="189">
      <c r="B968" s="291" t="n"/>
      <c r="C968" s="290" t="n"/>
      <c r="D968" s="291" t="n"/>
      <c r="E968" s="290" t="n"/>
    </row>
    <row r="969" ht="13" customHeight="1" s="189">
      <c r="B969" s="291" t="n"/>
      <c r="C969" s="290" t="n"/>
      <c r="D969" s="291" t="n"/>
      <c r="E969" s="290" t="n"/>
    </row>
    <row r="970" ht="13" customHeight="1" s="189">
      <c r="B970" s="291" t="n"/>
      <c r="C970" s="290" t="n"/>
      <c r="D970" s="291" t="n"/>
      <c r="E970" s="290" t="n"/>
    </row>
    <row r="971" ht="13" customHeight="1" s="189">
      <c r="B971" s="291" t="n"/>
      <c r="C971" s="290" t="n"/>
      <c r="D971" s="291" t="n"/>
      <c r="E971" s="290" t="n"/>
    </row>
    <row r="972" ht="13" customHeight="1" s="189">
      <c r="B972" s="291" t="n"/>
      <c r="C972" s="290" t="n"/>
      <c r="D972" s="291" t="n"/>
      <c r="E972" s="290" t="n"/>
    </row>
    <row r="973" ht="13" customHeight="1" s="189">
      <c r="B973" s="291" t="n"/>
      <c r="C973" s="290" t="n"/>
      <c r="D973" s="291" t="n"/>
      <c r="E973" s="290" t="n"/>
    </row>
    <row r="974" ht="13" customHeight="1" s="189">
      <c r="B974" s="291" t="n"/>
      <c r="C974" s="290" t="n"/>
      <c r="D974" s="291" t="n"/>
      <c r="E974" s="290" t="n"/>
    </row>
    <row r="975" ht="13" customHeight="1" s="189">
      <c r="B975" s="291" t="n"/>
      <c r="C975" s="290" t="n"/>
      <c r="D975" s="291" t="n"/>
      <c r="E975" s="290" t="n"/>
    </row>
    <row r="976" ht="13" customHeight="1" s="189">
      <c r="B976" s="291" t="n"/>
      <c r="C976" s="290" t="n"/>
      <c r="D976" s="291" t="n"/>
      <c r="E976" s="290" t="n"/>
    </row>
    <row r="977" ht="13" customHeight="1" s="189">
      <c r="B977" s="291" t="n"/>
      <c r="C977" s="290" t="n"/>
      <c r="D977" s="291" t="n"/>
      <c r="E977" s="290" t="n"/>
    </row>
    <row r="978" ht="13" customHeight="1" s="189">
      <c r="B978" s="291" t="n"/>
      <c r="C978" s="290" t="n"/>
      <c r="D978" s="291" t="n"/>
      <c r="E978" s="290" t="n"/>
    </row>
    <row r="979" ht="13" customHeight="1" s="189">
      <c r="B979" s="291" t="n"/>
      <c r="C979" s="290" t="n"/>
      <c r="D979" s="291" t="n"/>
      <c r="E979" s="290" t="n"/>
    </row>
    <row r="980" ht="13" customHeight="1" s="189">
      <c r="B980" s="291" t="n"/>
      <c r="C980" s="290" t="n"/>
      <c r="D980" s="291" t="n"/>
      <c r="E980" s="290" t="n"/>
    </row>
    <row r="981" ht="13" customHeight="1" s="189">
      <c r="B981" s="291" t="n"/>
      <c r="C981" s="290" t="n"/>
      <c r="D981" s="291" t="n"/>
      <c r="E981" s="290" t="n"/>
    </row>
    <row r="982" ht="13" customHeight="1" s="189">
      <c r="B982" s="291" t="n"/>
      <c r="C982" s="290" t="n"/>
      <c r="D982" s="291" t="n"/>
      <c r="E982" s="290" t="n"/>
    </row>
    <row r="983" ht="13" customHeight="1" s="189">
      <c r="B983" s="291" t="n"/>
      <c r="C983" s="290" t="n"/>
      <c r="D983" s="291" t="n"/>
      <c r="E983" s="290" t="n"/>
    </row>
    <row r="984" ht="13" customHeight="1" s="189">
      <c r="B984" s="291" t="n"/>
      <c r="C984" s="290" t="n"/>
      <c r="D984" s="291" t="n"/>
      <c r="E984" s="290" t="n"/>
    </row>
    <row r="985" ht="13" customHeight="1" s="189">
      <c r="B985" s="291" t="n"/>
      <c r="C985" s="290" t="n"/>
      <c r="D985" s="291" t="n"/>
      <c r="E985" s="290" t="n"/>
    </row>
    <row r="986" ht="13" customHeight="1" s="189">
      <c r="B986" s="291" t="n"/>
      <c r="C986" s="290" t="n"/>
      <c r="D986" s="291" t="n"/>
      <c r="E986" s="290" t="n"/>
    </row>
    <row r="987" ht="13" customHeight="1" s="189">
      <c r="B987" s="291" t="n"/>
      <c r="C987" s="290" t="n"/>
      <c r="D987" s="291" t="n"/>
      <c r="E987" s="290" t="n"/>
    </row>
    <row r="988" ht="13" customHeight="1" s="189">
      <c r="B988" s="291" t="n"/>
      <c r="C988" s="290" t="n"/>
      <c r="D988" s="291" t="n"/>
      <c r="E988" s="290" t="n"/>
    </row>
    <row r="989" ht="13" customHeight="1" s="189">
      <c r="B989" s="291" t="n"/>
      <c r="C989" s="290" t="n"/>
      <c r="D989" s="291" t="n"/>
      <c r="E989" s="290" t="n"/>
    </row>
    <row r="990" ht="13" customHeight="1" s="189">
      <c r="B990" s="291" t="n"/>
      <c r="C990" s="290" t="n"/>
      <c r="D990" s="291" t="n"/>
      <c r="E990" s="290" t="n"/>
    </row>
    <row r="991" ht="13" customHeight="1" s="189">
      <c r="B991" s="291" t="n"/>
      <c r="C991" s="290" t="n"/>
      <c r="D991" s="291" t="n"/>
      <c r="E991" s="290" t="n"/>
    </row>
    <row r="992" ht="13" customHeight="1" s="189">
      <c r="B992" s="291" t="n"/>
      <c r="C992" s="290" t="n"/>
      <c r="D992" s="291" t="n"/>
      <c r="E992" s="290" t="n"/>
    </row>
    <row r="993" ht="13" customHeight="1" s="189">
      <c r="B993" s="291" t="n"/>
      <c r="C993" s="290" t="n"/>
      <c r="D993" s="291" t="n"/>
      <c r="E993" s="290" t="n"/>
    </row>
    <row r="994" ht="13" customHeight="1" s="189">
      <c r="B994" s="291" t="n"/>
      <c r="C994" s="290" t="n"/>
      <c r="D994" s="291" t="n"/>
      <c r="E994" s="290" t="n"/>
    </row>
    <row r="995" ht="13" customHeight="1" s="189">
      <c r="B995" s="291" t="n"/>
      <c r="C995" s="290" t="n"/>
      <c r="D995" s="291" t="n"/>
      <c r="E995" s="290" t="n"/>
    </row>
    <row r="996" ht="13" customHeight="1" s="189">
      <c r="B996" s="291" t="n"/>
      <c r="C996" s="290" t="n"/>
      <c r="D996" s="291" t="n"/>
      <c r="E996" s="290" t="n"/>
    </row>
    <row r="997" ht="13" customHeight="1" s="189">
      <c r="B997" s="291" t="n"/>
      <c r="C997" s="290" t="n"/>
      <c r="D997" s="291" t="n"/>
      <c r="E997" s="290" t="n"/>
    </row>
    <row r="998" ht="13" customHeight="1" s="189">
      <c r="B998" s="291" t="n"/>
      <c r="C998" s="290" t="n"/>
      <c r="D998" s="291" t="n"/>
      <c r="E998" s="290" t="n"/>
    </row>
    <row r="999" ht="13" customHeight="1" s="189">
      <c r="B999" s="291" t="n"/>
      <c r="C999" s="290" t="n"/>
      <c r="D999" s="291" t="n"/>
      <c r="E999" s="290" t="n"/>
    </row>
    <row r="1000" ht="13" customHeight="1" s="189">
      <c r="B1000" s="291" t="n"/>
      <c r="C1000" s="290" t="n"/>
      <c r="D1000" s="291" t="n"/>
      <c r="E1000" s="290" t="n"/>
    </row>
    <row r="1001" ht="13" customHeight="1" s="189">
      <c r="B1001" s="291" t="n"/>
      <c r="C1001" s="290" t="n"/>
      <c r="D1001" s="291" t="n"/>
      <c r="E1001" s="290" t="n"/>
    </row>
    <row r="1002" ht="13" customHeight="1" s="189">
      <c r="B1002" s="291" t="n"/>
      <c r="C1002" s="290" t="n"/>
      <c r="D1002" s="291" t="n"/>
      <c r="E1002" s="290" t="n"/>
    </row>
    <row r="1003" ht="13" customHeight="1" s="189">
      <c r="B1003" s="291" t="n"/>
      <c r="C1003" s="290" t="n"/>
      <c r="D1003" s="291" t="n"/>
      <c r="E1003" s="290" t="n"/>
    </row>
    <row r="1004" ht="13" customHeight="1" s="189">
      <c r="B1004" s="291" t="n"/>
      <c r="C1004" s="290" t="n"/>
      <c r="D1004" s="291" t="n"/>
      <c r="E1004" s="290" t="n"/>
    </row>
    <row r="1005" ht="13" customHeight="1" s="189">
      <c r="B1005" s="291" t="n"/>
      <c r="C1005" s="290" t="n"/>
      <c r="D1005" s="291" t="n"/>
      <c r="E1005" s="290" t="n"/>
    </row>
    <row r="1006" ht="13" customHeight="1" s="189">
      <c r="B1006" s="291" t="n"/>
      <c r="C1006" s="290" t="n"/>
      <c r="D1006" s="291" t="n"/>
      <c r="E1006" s="290" t="n"/>
    </row>
    <row r="1007" ht="13" customHeight="1" s="189">
      <c r="B1007" s="291" t="n"/>
      <c r="C1007" s="290" t="n"/>
      <c r="D1007" s="291" t="n"/>
      <c r="E1007" s="290" t="n"/>
    </row>
    <row r="1008" ht="13" customHeight="1" s="189">
      <c r="B1008" s="291" t="n"/>
      <c r="C1008" s="290" t="n"/>
      <c r="D1008" s="291" t="n"/>
      <c r="E1008" s="290" t="n"/>
    </row>
    <row r="1009" ht="13" customHeight="1" s="189">
      <c r="B1009" s="291" t="n"/>
      <c r="C1009" s="290" t="n"/>
      <c r="D1009" s="291" t="n"/>
      <c r="E1009" s="290" t="n"/>
    </row>
    <row r="1010" ht="13" customHeight="1" s="189">
      <c r="B1010" s="291" t="n"/>
      <c r="C1010" s="290" t="n"/>
      <c r="D1010" s="291" t="n"/>
      <c r="E1010" s="290" t="n"/>
    </row>
    <row r="1011" ht="13" customHeight="1" s="189">
      <c r="B1011" s="291" t="n"/>
      <c r="C1011" s="290" t="n"/>
      <c r="D1011" s="291" t="n"/>
      <c r="E1011" s="290" t="n"/>
    </row>
    <row r="1012" ht="13" customHeight="1" s="189">
      <c r="B1012" s="291" t="n"/>
      <c r="C1012" s="290" t="n"/>
      <c r="D1012" s="291" t="n"/>
      <c r="E1012" s="290" t="n"/>
    </row>
    <row r="1013" ht="13" customHeight="1" s="189">
      <c r="B1013" s="291" t="n"/>
      <c r="C1013" s="290" t="n"/>
      <c r="D1013" s="291" t="n"/>
      <c r="E1013" s="290" t="n"/>
    </row>
    <row r="1014" ht="13" customHeight="1" s="189">
      <c r="B1014" s="291" t="n"/>
      <c r="C1014" s="290" t="n"/>
      <c r="D1014" s="291" t="n"/>
      <c r="E1014" s="290" t="n"/>
    </row>
    <row r="1015" ht="13" customHeight="1" s="189">
      <c r="B1015" s="291" t="n"/>
      <c r="C1015" s="290" t="n"/>
      <c r="D1015" s="291" t="n"/>
      <c r="E1015" s="290" t="n"/>
    </row>
    <row r="1016" ht="13" customHeight="1" s="189">
      <c r="B1016" s="291" t="n"/>
      <c r="C1016" s="290" t="n"/>
      <c r="D1016" s="291" t="n"/>
      <c r="E1016" s="290" t="n"/>
    </row>
    <row r="1017" ht="13" customHeight="1" s="189">
      <c r="B1017" s="291" t="n"/>
      <c r="C1017" s="290" t="n"/>
      <c r="D1017" s="291" t="n"/>
      <c r="E1017" s="290" t="n"/>
    </row>
    <row r="1018" ht="13" customHeight="1" s="189">
      <c r="B1018" s="291" t="n"/>
      <c r="C1018" s="290" t="n"/>
      <c r="D1018" s="291" t="n"/>
      <c r="E1018" s="290" t="n"/>
    </row>
    <row r="1019" ht="13" customHeight="1" s="189">
      <c r="B1019" s="291" t="n"/>
      <c r="C1019" s="290" t="n"/>
      <c r="D1019" s="291" t="n"/>
      <c r="E1019" s="290" t="n"/>
    </row>
    <row r="1020" ht="13" customHeight="1" s="189">
      <c r="B1020" s="291" t="n"/>
      <c r="C1020" s="290" t="n"/>
      <c r="D1020" s="291" t="n"/>
      <c r="E1020" s="290" t="n"/>
    </row>
    <row r="1021" ht="13" customHeight="1" s="189">
      <c r="B1021" s="291" t="n"/>
      <c r="C1021" s="290" t="n"/>
      <c r="D1021" s="291" t="n"/>
      <c r="E1021" s="290" t="n"/>
    </row>
    <row r="1022" ht="13" customHeight="1" s="189">
      <c r="B1022" s="291" t="n"/>
      <c r="C1022" s="290" t="n"/>
      <c r="D1022" s="291" t="n"/>
      <c r="E1022" s="290" t="n"/>
    </row>
    <row r="1023" ht="13" customHeight="1" s="189">
      <c r="B1023" s="291" t="n"/>
      <c r="C1023" s="290" t="n"/>
      <c r="D1023" s="291" t="n"/>
      <c r="E1023" s="290" t="n"/>
    </row>
    <row r="1024" ht="13" customHeight="1" s="189">
      <c r="B1024" s="291" t="n"/>
      <c r="C1024" s="290" t="n"/>
      <c r="D1024" s="291" t="n"/>
      <c r="E1024" s="290" t="n"/>
    </row>
    <row r="1025" ht="13" customHeight="1" s="189">
      <c r="B1025" s="291" t="n"/>
      <c r="C1025" s="290" t="n"/>
      <c r="D1025" s="291" t="n"/>
      <c r="E1025" s="290" t="n"/>
    </row>
    <row r="1026" ht="13" customHeight="1" s="189">
      <c r="B1026" s="291" t="n"/>
      <c r="C1026" s="290" t="n"/>
      <c r="D1026" s="291" t="n"/>
      <c r="E1026" s="290" t="n"/>
    </row>
    <row r="1027" ht="13" customHeight="1" s="189">
      <c r="B1027" s="291" t="n"/>
      <c r="C1027" s="290" t="n"/>
      <c r="D1027" s="291" t="n"/>
      <c r="E1027" s="290" t="n"/>
    </row>
    <row r="1028" ht="13" customHeight="1" s="189"/>
    <row r="1029" ht="13" customHeight="1" s="189"/>
    <row r="1030" ht="13" customHeight="1" s="189"/>
    <row r="1031" ht="13" customHeight="1" s="189"/>
    <row r="1032" ht="13" customHeight="1" s="189"/>
    <row r="1033" ht="13" customHeight="1" s="189"/>
    <row r="1034" ht="13" customHeight="1" s="189"/>
    <row r="1035" ht="13" customHeight="1" s="189"/>
    <row r="1036" ht="13" customHeight="1" s="189"/>
    <row r="1037" ht="13" customHeight="1" s="189"/>
    <row r="1038" ht="13" customHeight="1" s="189"/>
    <row r="1039" ht="13" customHeight="1" s="189"/>
    <row r="1040" ht="13" customHeight="1" s="189"/>
    <row r="1041" ht="13" customHeight="1" s="189"/>
    <row r="1042" ht="13" customHeight="1" s="189"/>
    <row r="1043" ht="13" customHeight="1" s="189"/>
    <row r="1044" ht="13" customHeight="1" s="189"/>
    <row r="1045" ht="13" customHeight="1" s="189"/>
    <row r="1046" ht="13" customHeight="1" s="189"/>
    <row r="1047" ht="13" customHeight="1" s="189"/>
    <row r="1048" ht="13" customHeight="1" s="189"/>
    <row r="1049" ht="13" customHeight="1" s="189"/>
    <row r="1050" ht="13" customHeight="1" s="189"/>
    <row r="1051" ht="13" customHeight="1" s="189"/>
    <row r="1052" ht="13" customHeight="1" s="189"/>
    <row r="1053" ht="13" customHeight="1" s="189"/>
    <row r="1054" ht="13" customHeight="1" s="189"/>
    <row r="1055" ht="13" customHeight="1" s="189"/>
    <row r="1056" ht="13" customHeight="1" s="189"/>
    <row r="1057" ht="13" customHeight="1" s="189"/>
    <row r="1058" ht="13" customHeight="1" s="189"/>
    <row r="1059" ht="13" customHeight="1" s="189"/>
    <row r="1060" ht="13" customHeight="1" s="189"/>
    <row r="1061" ht="13" customHeight="1" s="189"/>
    <row r="1062" ht="13" customHeight="1" s="189"/>
    <row r="1063" ht="13" customHeight="1" s="189"/>
    <row r="1064" ht="13" customHeight="1" s="189"/>
    <row r="1065" ht="13" customHeight="1" s="189"/>
    <row r="1066" ht="13" customHeight="1" s="189"/>
    <row r="1067" ht="13" customHeight="1" s="189"/>
    <row r="1068" ht="13" customHeight="1" s="189"/>
    <row r="1069" ht="13" customHeight="1" s="189"/>
    <row r="1070" ht="13" customHeight="1" s="189"/>
    <row r="1071" ht="13" customHeight="1" s="189"/>
    <row r="1072" ht="13" customHeight="1" s="189"/>
    <row r="1073" ht="13" customHeight="1" s="189"/>
    <row r="1074" ht="13" customHeight="1" s="189"/>
    <row r="1075" ht="13" customHeight="1" s="189"/>
    <row r="1076" ht="13" customHeight="1" s="189"/>
    <row r="1077" ht="13" customHeight="1" s="189"/>
    <row r="1078" ht="13" customHeight="1" s="189"/>
    <row r="1079" ht="13" customHeight="1" s="189"/>
    <row r="1080" ht="13" customHeight="1" s="189"/>
    <row r="1081" ht="13" customHeight="1" s="189"/>
    <row r="1082" ht="13" customHeight="1" s="189"/>
    <row r="1083" ht="13" customHeight="1" s="189"/>
    <row r="1084" ht="13" customHeight="1" s="189"/>
    <row r="1085" ht="13" customHeight="1" s="189"/>
    <row r="1086" ht="13" customHeight="1" s="189"/>
    <row r="1087" ht="13" customHeight="1" s="189"/>
    <row r="1088" ht="13" customHeight="1" s="189"/>
    <row r="1089" ht="13" customHeight="1" s="189"/>
    <row r="1090" ht="13" customHeight="1" s="189"/>
    <row r="1091" ht="13" customHeight="1" s="189"/>
    <row r="1092" ht="13" customHeight="1" s="189"/>
    <row r="1093" ht="13" customHeight="1" s="189"/>
    <row r="1094" ht="13" customHeight="1" s="189"/>
    <row r="1095" ht="13" customHeight="1" s="189"/>
    <row r="1096" ht="13" customHeight="1" s="189"/>
    <row r="1097" ht="13" customHeight="1" s="189"/>
    <row r="1098" ht="13" customHeight="1" s="189"/>
    <row r="1099" ht="13" customHeight="1" s="189"/>
    <row r="1100" ht="13" customHeight="1" s="189"/>
    <row r="1101" ht="13" customHeight="1" s="189"/>
    <row r="1102" ht="13" customHeight="1" s="189"/>
    <row r="1103" ht="13" customHeight="1" s="189"/>
    <row r="1104" ht="13" customHeight="1" s="189"/>
    <row r="1105" ht="13" customHeight="1" s="189"/>
    <row r="1106" ht="13" customHeight="1" s="189"/>
    <row r="1107" ht="13" customHeight="1" s="189"/>
    <row r="1108" ht="13" customHeight="1" s="189"/>
    <row r="1109" ht="13" customHeight="1" s="189"/>
    <row r="1110" ht="13" customHeight="1" s="189"/>
    <row r="1111" ht="13" customHeight="1" s="189"/>
    <row r="1112" ht="13" customHeight="1" s="189"/>
    <row r="1113" ht="13" customHeight="1" s="189"/>
    <row r="1114" ht="13" customHeight="1" s="189"/>
    <row r="1115" ht="13" customHeight="1" s="189"/>
    <row r="1116" ht="13" customHeight="1" s="189"/>
    <row r="1117" ht="13" customHeight="1" s="189"/>
    <row r="1118" ht="13" customHeight="1" s="189"/>
    <row r="1119" ht="13" customHeight="1" s="189"/>
    <row r="1120" ht="13" customHeight="1" s="189"/>
    <row r="1121" ht="13" customHeight="1" s="189"/>
    <row r="1122" ht="13" customHeight="1" s="189"/>
    <row r="1123" ht="13" customHeight="1" s="189"/>
    <row r="1124" ht="13" customHeight="1" s="189"/>
    <row r="1125" ht="13" customHeight="1" s="189"/>
    <row r="1126" ht="13" customHeight="1" s="189"/>
    <row r="1127" ht="13" customHeight="1" s="189"/>
    <row r="1128" ht="13" customHeight="1" s="189"/>
    <row r="1129" ht="13" customHeight="1" s="189"/>
    <row r="1130" ht="13" customHeight="1" s="189"/>
    <row r="1131" ht="13" customHeight="1" s="189"/>
    <row r="1132" ht="13" customHeight="1" s="189"/>
    <row r="1133" ht="13" customHeight="1" s="189"/>
    <row r="1134" ht="13" customHeight="1" s="189"/>
    <row r="1135" ht="13" customHeight="1" s="189"/>
    <row r="1136" ht="13" customHeight="1" s="189"/>
    <row r="1137" ht="13" customHeight="1" s="189"/>
    <row r="1138" ht="13" customHeight="1" s="189"/>
    <row r="1139" ht="13" customHeight="1" s="189"/>
    <row r="1140" ht="13" customHeight="1" s="189"/>
    <row r="1141" ht="13" customHeight="1" s="189"/>
    <row r="1142" ht="13" customHeight="1" s="189"/>
    <row r="1143" ht="13" customHeight="1" s="189"/>
    <row r="1144" ht="13" customHeight="1" s="189"/>
    <row r="1145" ht="13" customHeight="1" s="189"/>
    <row r="1146" ht="13" customHeight="1" s="189"/>
    <row r="1147" ht="13" customHeight="1" s="189"/>
    <row r="1148" ht="13" customHeight="1" s="189"/>
    <row r="1149" ht="13" customHeight="1" s="189"/>
    <row r="1150" ht="13" customHeight="1" s="189"/>
    <row r="1151" ht="13" customHeight="1" s="189"/>
    <row r="1152" ht="13" customHeight="1" s="189"/>
    <row r="1153" ht="13" customHeight="1" s="189"/>
    <row r="1154" ht="13" customHeight="1" s="189"/>
    <row r="1155" ht="13" customHeight="1" s="189"/>
    <row r="1156" ht="13" customHeight="1" s="189"/>
    <row r="1157" ht="13" customHeight="1" s="189"/>
    <row r="1158" ht="13" customHeight="1" s="189"/>
    <row r="1159" ht="13" customHeight="1" s="189"/>
    <row r="1160" ht="13" customHeight="1" s="189"/>
    <row r="1161" ht="13" customHeight="1" s="189"/>
    <row r="1162" ht="13" customHeight="1" s="189"/>
    <row r="1163" ht="13" customHeight="1" s="189"/>
    <row r="1164" ht="13" customHeight="1" s="189"/>
    <row r="1165" ht="13" customHeight="1" s="189"/>
    <row r="1166" ht="13" customHeight="1" s="189"/>
    <row r="1167" ht="13" customHeight="1" s="189"/>
    <row r="1168" ht="13" customHeight="1" s="189"/>
    <row r="1169" ht="13" customHeight="1" s="189"/>
    <row r="1170" ht="13" customHeight="1" s="189"/>
    <row r="1171" ht="13" customHeight="1" s="189"/>
    <row r="1172" ht="13" customHeight="1" s="189"/>
    <row r="1173" ht="13" customHeight="1" s="189"/>
    <row r="1174" ht="13" customHeight="1" s="189"/>
    <row r="1175" ht="13" customHeight="1" s="189"/>
    <row r="1176" ht="13" customHeight="1" s="189"/>
    <row r="1177" ht="13" customHeight="1" s="189"/>
    <row r="1178" ht="13" customHeight="1" s="189"/>
    <row r="1179" ht="13" customHeight="1" s="189"/>
    <row r="1180" ht="13" customHeight="1" s="189"/>
    <row r="1181" ht="13" customHeight="1" s="189"/>
    <row r="1182" ht="13" customHeight="1" s="189"/>
    <row r="1183" ht="13" customHeight="1" s="189"/>
    <row r="1184" ht="13" customHeight="1" s="189"/>
    <row r="1185" ht="13" customHeight="1" s="189"/>
    <row r="1186" ht="13" customHeight="1" s="189"/>
    <row r="1187" ht="13" customHeight="1" s="189"/>
    <row r="1188" ht="13" customHeight="1" s="189"/>
    <row r="1189" ht="13" customHeight="1" s="189"/>
    <row r="1190" ht="13" customHeight="1" s="189"/>
    <row r="1191" ht="13" customHeight="1" s="189"/>
    <row r="1192" ht="13" customHeight="1" s="189"/>
    <row r="1193" ht="13" customHeight="1" s="189"/>
    <row r="1194" ht="13" customHeight="1" s="189"/>
    <row r="1195" ht="13" customHeight="1" s="189"/>
    <row r="1196" ht="13" customHeight="1" s="189"/>
    <row r="1197" ht="13" customHeight="1" s="189"/>
    <row r="1198" ht="13" customHeight="1" s="189"/>
    <row r="1199" ht="13" customHeight="1" s="189"/>
    <row r="1200" ht="13" customHeight="1" s="189"/>
    <row r="1201" ht="13" customHeight="1" s="189"/>
    <row r="1202" ht="13" customHeight="1" s="189"/>
    <row r="1203" ht="13" customHeight="1" s="189"/>
    <row r="1204" ht="13" customHeight="1" s="189"/>
    <row r="1205" ht="13" customHeight="1" s="189"/>
    <row r="1206" ht="13" customHeight="1" s="189"/>
    <row r="1207" ht="13" customHeight="1" s="189"/>
    <row r="1208" ht="13" customHeight="1" s="189"/>
    <row r="1209" ht="13" customHeight="1" s="189"/>
    <row r="1210" ht="13" customHeight="1" s="189"/>
    <row r="1211" ht="13" customHeight="1" s="189"/>
    <row r="1212" ht="13" customHeight="1" s="189"/>
    <row r="1213" ht="13" customHeight="1" s="189"/>
    <row r="1214" ht="13" customHeight="1" s="189"/>
    <row r="1215" ht="13" customHeight="1" s="189"/>
    <row r="1216" ht="13" customHeight="1" s="189"/>
    <row r="1217" ht="13" customHeight="1" s="189"/>
    <row r="1218" ht="13" customHeight="1" s="189"/>
    <row r="1219" ht="13" customHeight="1" s="189"/>
    <row r="1220" ht="13" customHeight="1" s="189"/>
    <row r="1221" ht="13" customHeight="1" s="189"/>
    <row r="1222" ht="13" customHeight="1" s="189"/>
    <row r="1223" ht="13" customHeight="1" s="189"/>
    <row r="1224" ht="13" customHeight="1" s="189"/>
    <row r="1225" ht="13" customHeight="1" s="189"/>
    <row r="1226" ht="13" customHeight="1" s="189"/>
    <row r="1227" ht="13" customHeight="1" s="189"/>
    <row r="1228" ht="13" customHeight="1" s="189"/>
    <row r="1229" ht="13" customHeight="1" s="189"/>
    <row r="1230" ht="13" customHeight="1" s="189"/>
    <row r="1231" ht="13" customHeight="1" s="189"/>
    <row r="1232" ht="13" customHeight="1" s="189"/>
    <row r="1233" ht="13" customHeight="1" s="189"/>
    <row r="1234" ht="13" customHeight="1" s="189"/>
    <row r="1235" ht="13" customHeight="1" s="189"/>
    <row r="1236" ht="13" customHeight="1" s="189"/>
    <row r="1237" ht="13" customHeight="1" s="189"/>
    <row r="1238" ht="13" customHeight="1" s="189"/>
    <row r="1239" ht="13" customHeight="1" s="189"/>
    <row r="1240" ht="13" customHeight="1" s="189"/>
    <row r="1241" ht="13" customHeight="1" s="189"/>
    <row r="1242" ht="13" customHeight="1" s="189"/>
    <row r="1243" ht="13" customHeight="1" s="189"/>
    <row r="1244" ht="13" customHeight="1" s="189"/>
    <row r="1245" ht="13" customHeight="1" s="189"/>
    <row r="1246" ht="13" customHeight="1" s="189"/>
    <row r="1247" ht="13" customHeight="1" s="189"/>
    <row r="1248" ht="13" customHeight="1" s="189"/>
    <row r="1249" ht="13" customHeight="1" s="189"/>
    <row r="1250" ht="13" customHeight="1" s="189"/>
    <row r="1251" ht="13" customHeight="1" s="189"/>
    <row r="1252" ht="13" customHeight="1" s="189"/>
    <row r="1253" ht="13" customHeight="1" s="189"/>
    <row r="1254" ht="13" customHeight="1" s="189"/>
    <row r="1255" ht="13" customHeight="1" s="189"/>
    <row r="1256" ht="13" customHeight="1" s="189"/>
    <row r="1257" ht="13" customHeight="1" s="189"/>
    <row r="1258" ht="13" customHeight="1" s="189"/>
    <row r="1259" ht="13" customHeight="1" s="189"/>
    <row r="1260" ht="13" customHeight="1" s="189"/>
    <row r="1261" ht="13" customHeight="1" s="189"/>
    <row r="1262" ht="13" customHeight="1" s="189"/>
    <row r="1263" ht="13" customHeight="1" s="189"/>
    <row r="1264" ht="13" customHeight="1" s="189"/>
    <row r="1265" ht="13" customHeight="1" s="189"/>
    <row r="1266" ht="13" customHeight="1" s="189"/>
    <row r="1267" ht="13" customHeight="1" s="189"/>
    <row r="1268" ht="13" customHeight="1" s="189"/>
    <row r="1269" ht="13" customHeight="1" s="189"/>
    <row r="1270" ht="13" customHeight="1" s="189"/>
    <row r="1271" ht="13" customHeight="1" s="189"/>
    <row r="1272" ht="13" customHeight="1" s="189"/>
    <row r="1273" ht="13" customHeight="1" s="189"/>
    <row r="1274" ht="13" customHeight="1" s="189"/>
    <row r="1275" ht="13" customHeight="1" s="189"/>
    <row r="1276" ht="13" customHeight="1" s="189"/>
    <row r="1277" ht="13" customHeight="1" s="189"/>
    <row r="1278" ht="13" customHeight="1" s="189"/>
    <row r="1279" ht="13" customHeight="1" s="189"/>
    <row r="1280" ht="13" customHeight="1" s="189"/>
    <row r="1281" ht="13" customHeight="1" s="189"/>
    <row r="1282" ht="13" customHeight="1" s="189"/>
    <row r="1283" ht="13" customHeight="1" s="189"/>
    <row r="1284" ht="13" customHeight="1" s="189"/>
    <row r="1285" ht="13" customHeight="1" s="189"/>
    <row r="1286" ht="13" customHeight="1" s="189"/>
    <row r="1287" ht="13" customHeight="1" s="189"/>
    <row r="1288" ht="13" customHeight="1" s="189"/>
    <row r="1289" ht="13" customHeight="1" s="189"/>
    <row r="1290" ht="13" customHeight="1" s="189"/>
    <row r="1291" ht="13" customHeight="1" s="189"/>
    <row r="1292" ht="13" customHeight="1" s="189"/>
    <row r="1293" ht="13" customHeight="1" s="189"/>
    <row r="1294" ht="13" customHeight="1" s="189"/>
    <row r="1295" ht="13" customHeight="1" s="189"/>
    <row r="1296" ht="13" customHeight="1" s="189"/>
    <row r="1297" ht="13" customHeight="1" s="189"/>
    <row r="1298" ht="13" customHeight="1" s="189"/>
    <row r="1299" ht="13" customHeight="1" s="189"/>
    <row r="1300" ht="13" customHeight="1" s="189"/>
    <row r="1301" ht="13" customHeight="1" s="189"/>
    <row r="1302" ht="13" customHeight="1" s="189"/>
    <row r="1303" ht="13" customHeight="1" s="189"/>
    <row r="1304" ht="13" customHeight="1" s="189"/>
    <row r="1305" ht="13" customHeight="1" s="189"/>
    <row r="1306" ht="13" customHeight="1" s="189"/>
    <row r="1307" ht="13" customHeight="1" s="189"/>
    <row r="1308" ht="13" customHeight="1" s="189"/>
    <row r="1309" ht="13" customHeight="1" s="189"/>
    <row r="1310" ht="13" customHeight="1" s="189"/>
    <row r="1311" ht="13" customHeight="1" s="189"/>
    <row r="1312" ht="13" customHeight="1" s="189"/>
    <row r="1313" ht="13" customHeight="1" s="189"/>
    <row r="1314" ht="13" customHeight="1" s="189"/>
    <row r="1315" ht="13" customHeight="1" s="189"/>
    <row r="1316" ht="13" customHeight="1" s="189"/>
    <row r="1317" ht="13" customHeight="1" s="189"/>
    <row r="1318" ht="13" customHeight="1" s="189"/>
    <row r="1319" ht="13" customHeight="1" s="189"/>
    <row r="1320" ht="13" customHeight="1" s="189"/>
    <row r="1321" ht="13" customHeight="1" s="189"/>
    <row r="1322" ht="13" customHeight="1" s="189"/>
    <row r="1323" ht="13" customHeight="1" s="189"/>
    <row r="1324" ht="13" customHeight="1" s="189"/>
    <row r="1325" ht="13" customHeight="1" s="189"/>
    <row r="1326" ht="13" customHeight="1" s="189"/>
    <row r="1327" ht="13" customHeight="1" s="189"/>
    <row r="1328" ht="13" customHeight="1" s="189"/>
    <row r="1329" ht="13" customHeight="1" s="189"/>
    <row r="1330" ht="13" customHeight="1" s="189"/>
    <row r="1331" ht="13" customHeight="1" s="189"/>
    <row r="1332" ht="13" customHeight="1" s="189"/>
    <row r="1333" ht="13" customHeight="1" s="189"/>
    <row r="1334" ht="13" customHeight="1" s="189"/>
    <row r="1335" ht="13" customHeight="1" s="189"/>
    <row r="1336" ht="13" customHeight="1" s="189"/>
    <row r="1337" ht="13" customHeight="1" s="189"/>
    <row r="1338" ht="13" customHeight="1" s="189"/>
    <row r="1339" ht="13" customHeight="1" s="189"/>
    <row r="1340" ht="13" customHeight="1" s="189"/>
    <row r="1341" ht="13" customHeight="1" s="189"/>
    <row r="1342" ht="13" customHeight="1" s="189"/>
    <row r="1343" ht="13" customHeight="1" s="189"/>
    <row r="1344" ht="13" customHeight="1" s="189"/>
    <row r="1345" ht="13" customHeight="1" s="189"/>
    <row r="1346" ht="13" customHeight="1" s="189"/>
    <row r="1347" ht="13" customHeight="1" s="189"/>
    <row r="1348" ht="13" customHeight="1" s="189"/>
    <row r="1349" ht="13" customHeight="1" s="189"/>
    <row r="1350" ht="13" customHeight="1" s="189"/>
    <row r="1351" ht="13" customHeight="1" s="189"/>
    <row r="1352" ht="13" customHeight="1" s="189"/>
    <row r="1353" ht="13" customHeight="1" s="189"/>
    <row r="1354" ht="13" customHeight="1" s="189"/>
    <row r="1355" ht="13" customHeight="1" s="189"/>
    <row r="1356" ht="13" customHeight="1" s="189"/>
    <row r="1357" ht="13" customHeight="1" s="189"/>
    <row r="1358" ht="13" customHeight="1" s="189"/>
    <row r="1359" ht="13" customHeight="1" s="189"/>
    <row r="1360" ht="13" customHeight="1" s="189"/>
    <row r="1361" ht="13" customHeight="1" s="189"/>
    <row r="1362" ht="13" customHeight="1" s="189"/>
    <row r="1363" ht="13" customHeight="1" s="189"/>
    <row r="1364" ht="13" customHeight="1" s="189"/>
    <row r="1365" ht="13" customHeight="1" s="189"/>
    <row r="1366" ht="13" customHeight="1" s="189"/>
    <row r="1367" ht="13" customHeight="1" s="189"/>
    <row r="1368" ht="13" customHeight="1" s="189"/>
    <row r="1369" ht="13" customHeight="1" s="189"/>
    <row r="1370" ht="13" customHeight="1" s="189"/>
    <row r="1371" ht="13" customHeight="1" s="189"/>
    <row r="1372" ht="13" customHeight="1" s="189"/>
    <row r="1373" ht="13" customHeight="1" s="189"/>
    <row r="1374" ht="13" customHeight="1" s="189"/>
    <row r="1375" ht="13" customHeight="1" s="189"/>
    <row r="1376" ht="13" customHeight="1" s="189"/>
    <row r="1377" ht="13" customHeight="1" s="189"/>
    <row r="1378" ht="13" customHeight="1" s="189"/>
    <row r="1379" ht="13" customHeight="1" s="189"/>
    <row r="1380" ht="13" customHeight="1" s="189"/>
    <row r="1381" ht="13" customHeight="1" s="189"/>
    <row r="1382" ht="13" customHeight="1" s="189"/>
    <row r="1383" ht="13" customHeight="1" s="189"/>
    <row r="1384" ht="13" customHeight="1" s="189"/>
    <row r="1385" ht="13" customHeight="1" s="189"/>
    <row r="1386" ht="13" customHeight="1" s="189"/>
    <row r="1387" ht="13" customHeight="1" s="189"/>
    <row r="1388" ht="13" customHeight="1" s="189"/>
    <row r="1389" ht="13" customHeight="1" s="189"/>
    <row r="1390" ht="13" customHeight="1" s="189"/>
    <row r="1391" ht="13" customHeight="1" s="189"/>
    <row r="1392" ht="13" customHeight="1" s="189"/>
    <row r="1393" ht="13" customHeight="1" s="189"/>
    <row r="1394" ht="13" customHeight="1" s="189"/>
    <row r="1395" ht="13" customHeight="1" s="189"/>
    <row r="1396" ht="13" customHeight="1" s="189"/>
    <row r="1397" ht="13" customHeight="1" s="189"/>
    <row r="1398" ht="13" customHeight="1" s="189"/>
    <row r="1399" ht="13" customHeight="1" s="189"/>
    <row r="1400" ht="13" customHeight="1" s="189"/>
    <row r="1401" ht="13" customHeight="1" s="189"/>
    <row r="1402" ht="13" customHeight="1" s="189"/>
    <row r="1403" ht="13" customHeight="1" s="189"/>
    <row r="1404" ht="13" customHeight="1" s="189"/>
    <row r="1405" ht="13" customHeight="1" s="189"/>
    <row r="1406" ht="13" customHeight="1" s="189"/>
    <row r="1407" ht="13" customHeight="1" s="189"/>
    <row r="1408" ht="13" customHeight="1" s="189"/>
    <row r="1409" ht="13" customHeight="1" s="189"/>
    <row r="1410" ht="13" customHeight="1" s="189"/>
    <row r="1411" ht="13" customHeight="1" s="189"/>
    <row r="1412" ht="13" customHeight="1" s="189"/>
    <row r="1413" ht="13" customHeight="1" s="189"/>
    <row r="1414" ht="13" customHeight="1" s="189"/>
    <row r="1415" ht="13" customHeight="1" s="189"/>
    <row r="1416" ht="13" customHeight="1" s="189"/>
    <row r="1417" ht="13" customHeight="1" s="189"/>
    <row r="1418" ht="13" customHeight="1" s="189"/>
    <row r="1419" ht="13" customHeight="1" s="189"/>
    <row r="1420" ht="13" customHeight="1" s="189"/>
    <row r="1421" ht="13" customHeight="1" s="189"/>
    <row r="1422" ht="13" customHeight="1" s="189"/>
    <row r="1423" ht="13" customHeight="1" s="189"/>
    <row r="1424" ht="13" customHeight="1" s="189"/>
    <row r="1425" ht="13" customHeight="1" s="189"/>
    <row r="1426" ht="13" customHeight="1" s="189"/>
    <row r="1427" ht="13" customHeight="1" s="189"/>
    <row r="1428" ht="13" customHeight="1" s="189"/>
    <row r="1429" ht="13" customHeight="1" s="189"/>
    <row r="1430" ht="13" customHeight="1" s="189"/>
    <row r="1431" ht="13" customHeight="1" s="189"/>
    <row r="1432" ht="13" customHeight="1" s="189"/>
    <row r="1433" ht="13" customHeight="1" s="189"/>
    <row r="1434" ht="13" customHeight="1" s="189"/>
    <row r="1435" ht="13" customHeight="1" s="189"/>
    <row r="1436" ht="13" customHeight="1" s="189"/>
    <row r="1437" ht="13" customHeight="1" s="189"/>
    <row r="1438" ht="13" customHeight="1" s="189"/>
    <row r="1439" ht="13" customHeight="1" s="189"/>
    <row r="1440" ht="13" customHeight="1" s="189"/>
    <row r="1441" ht="13" customHeight="1" s="189"/>
    <row r="1442" ht="13" customHeight="1" s="189"/>
    <row r="1443" ht="13" customHeight="1" s="189"/>
    <row r="1444" ht="13" customHeight="1" s="189"/>
    <row r="1445" ht="13" customHeight="1" s="189"/>
    <row r="1446" ht="13" customHeight="1" s="189"/>
    <row r="1447" ht="13" customHeight="1" s="189"/>
    <row r="1448" ht="13" customHeight="1" s="189"/>
    <row r="1449" ht="13" customHeight="1" s="189"/>
    <row r="1450" ht="13" customHeight="1" s="189"/>
    <row r="1451" ht="13" customHeight="1" s="189"/>
    <row r="1452" ht="13" customHeight="1" s="189"/>
    <row r="1453" ht="13" customHeight="1" s="189"/>
    <row r="1454" ht="13" customHeight="1" s="189"/>
    <row r="1455" ht="13" customHeight="1" s="189"/>
    <row r="1456" ht="13" customHeight="1" s="189"/>
    <row r="1457" ht="13" customHeight="1" s="189"/>
    <row r="1458" ht="13" customHeight="1" s="189"/>
    <row r="1459" ht="13" customHeight="1" s="189"/>
    <row r="1460" ht="13" customHeight="1" s="189"/>
    <row r="1461" ht="13" customHeight="1" s="189"/>
    <row r="1462" ht="13" customHeight="1" s="189"/>
    <row r="1463" ht="13" customHeight="1" s="189"/>
    <row r="1464" ht="13" customHeight="1" s="189"/>
    <row r="1465" ht="13" customHeight="1" s="189"/>
  </sheetData>
  <mergeCells count="14">
    <mergeCell ref="A4:B4"/>
    <mergeCell ref="A2:B2"/>
    <mergeCell ref="C14:E14"/>
    <mergeCell ref="C13:E13"/>
    <mergeCell ref="A16:A18"/>
    <mergeCell ref="A5:B5"/>
    <mergeCell ref="A1:E1"/>
    <mergeCell ref="A23:A25"/>
    <mergeCell ref="C7:E7"/>
    <mergeCell ref="C21:E21"/>
    <mergeCell ref="C20:E20"/>
    <mergeCell ref="A3:B3"/>
    <mergeCell ref="A9:A11"/>
    <mergeCell ref="C6:E6"/>
  </mergeCells>
  <printOptions horizontalCentered="0" verticalCentered="0" headings="0" gridLines="1"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P1039"/>
  <sheetViews>
    <sheetView showFormulas="0" showGridLines="1" showRowColHeaders="1" showZeros="1" rightToLeft="0" tabSelected="0" showOutlineSymbols="1" defaultGridColor="1" view="normal" topLeftCell="A22" colorId="64" zoomScale="100" zoomScaleNormal="100" zoomScalePageLayoutView="100" workbookViewId="0">
      <selection pane="topLeft" activeCell="F39" activeCellId="0" sqref="F39"/>
    </sheetView>
  </sheetViews>
  <sheetFormatPr baseColWidth="8" defaultColWidth="9.0546875" defaultRowHeight="12.5" zeroHeight="0" outlineLevelRow="0"/>
  <cols>
    <col width="14.17" customWidth="1" style="188" min="1" max="1"/>
    <col width="20.72" customWidth="1" style="188" min="2" max="2"/>
    <col width="20.99" customWidth="1" style="188" min="3" max="3"/>
    <col width="19.72" customWidth="1" style="188" min="4" max="4"/>
    <col width="20.26" customWidth="1" style="293" min="5" max="5"/>
    <col width="16.44" customWidth="1" style="188" min="6" max="6"/>
    <col width="7.72" customWidth="1" style="188" min="7" max="15"/>
  </cols>
  <sheetData>
    <row r="1" ht="15.5" customHeight="1" s="189">
      <c r="A1" s="243" t="inlineStr">
        <is>
          <t>Resource Loading</t>
        </is>
      </c>
      <c r="B1" s="213" t="n"/>
      <c r="C1" s="213" t="n"/>
      <c r="D1" s="213" t="n"/>
      <c r="E1" s="213" t="n"/>
      <c r="F1" s="214" t="n"/>
      <c r="G1" s="188" t="n"/>
      <c r="H1" s="293" t="n"/>
      <c r="I1" s="293" t="n"/>
      <c r="J1" s="293" t="n"/>
      <c r="K1" s="293" t="n"/>
      <c r="L1" s="293" t="n"/>
      <c r="M1" s="293" t="n"/>
      <c r="N1" s="293" t="n"/>
      <c r="O1" s="188" t="n"/>
      <c r="P1" s="188" t="n"/>
    </row>
    <row r="2" ht="13" customHeight="1" s="189">
      <c r="A2" s="331" t="inlineStr">
        <is>
          <t>Project</t>
        </is>
      </c>
      <c r="B2" s="332" t="inlineStr">
        <is>
          <t>Project title here</t>
        </is>
      </c>
      <c r="C2" s="197" t="n"/>
      <c r="D2" s="331" t="inlineStr">
        <is>
          <t>Project #</t>
        </is>
      </c>
      <c r="E2" s="208" t="inlineStr">
        <is>
          <t>Project # here</t>
        </is>
      </c>
      <c r="F2" s="214" t="n"/>
      <c r="G2" s="188" t="n"/>
      <c r="H2" s="188" t="n"/>
      <c r="I2" s="188" t="n"/>
      <c r="J2" s="188" t="n"/>
      <c r="K2" s="188" t="n"/>
      <c r="L2" s="188" t="n"/>
      <c r="M2" s="188" t="n"/>
      <c r="N2" s="188" t="n"/>
      <c r="O2" s="188" t="n"/>
      <c r="P2" s="188" t="n"/>
    </row>
    <row r="3" ht="13" customHeight="1" s="189">
      <c r="A3" s="266" t="inlineStr">
        <is>
          <t>Project manager</t>
        </is>
      </c>
      <c r="B3" s="208" t="inlineStr">
        <is>
          <t>Project manager name here</t>
        </is>
      </c>
      <c r="C3" s="214" t="n"/>
      <c r="D3" s="266" t="inlineStr">
        <is>
          <t>Sponsor</t>
        </is>
      </c>
      <c r="E3" s="208" t="inlineStr">
        <is>
          <t>Sponsor name here</t>
        </is>
      </c>
      <c r="F3" s="214" t="n"/>
      <c r="G3" s="188" t="n"/>
      <c r="H3" s="188" t="n"/>
      <c r="I3" s="188" t="n"/>
      <c r="J3" s="188" t="n"/>
      <c r="K3" s="188" t="n"/>
      <c r="L3" s="188" t="n"/>
      <c r="M3" s="188" t="n"/>
      <c r="N3" s="188" t="n"/>
      <c r="O3" s="188" t="n"/>
      <c r="P3" s="188" t="n"/>
    </row>
    <row r="4" ht="13" customHeight="1" s="189">
      <c r="A4" s="333" t="inlineStr">
        <is>
          <t>Project artifacts</t>
        </is>
      </c>
      <c r="B4" s="334" t="inlineStr">
        <is>
          <t>Location of project documents here</t>
        </is>
      </c>
      <c r="C4" s="226" t="n"/>
      <c r="D4" s="333" t="inlineStr">
        <is>
          <t>Updated</t>
        </is>
      </c>
      <c r="E4" s="208" t="inlineStr">
        <is>
          <t>Date of update here</t>
        </is>
      </c>
      <c r="F4" s="214" t="n"/>
      <c r="G4" s="188" t="n"/>
      <c r="H4" s="188" t="n"/>
      <c r="I4" s="188" t="n"/>
      <c r="J4" s="188" t="n"/>
      <c r="K4" s="188" t="n"/>
      <c r="L4" s="188" t="n"/>
      <c r="M4" s="188" t="n"/>
      <c r="N4" s="188" t="n"/>
      <c r="O4" s="188" t="n"/>
      <c r="P4" s="188" t="n"/>
    </row>
    <row r="5" ht="13" customHeight="1" s="189">
      <c r="A5" s="335" t="inlineStr">
        <is>
          <t xml:space="preserve">Team Member: </t>
        </is>
      </c>
      <c r="B5" s="213" t="n"/>
      <c r="C5" s="213" t="n"/>
      <c r="D5" s="213" t="n"/>
      <c r="E5" s="213" t="n"/>
      <c r="F5" s="214" t="n"/>
      <c r="G5" s="188" t="n"/>
      <c r="H5" s="188" t="n"/>
      <c r="I5" s="188" t="n"/>
      <c r="J5" s="188" t="n"/>
      <c r="K5" s="188" t="n"/>
      <c r="L5" s="188" t="n"/>
      <c r="M5" s="188" t="n"/>
      <c r="N5" s="188" t="n"/>
    </row>
    <row r="6" ht="12.75" customHeight="1" s="189">
      <c r="A6" s="281" t="inlineStr">
        <is>
          <t>Effort Hours Committed</t>
        </is>
      </c>
      <c r="B6" s="213" t="n"/>
      <c r="C6" s="213" t="n"/>
      <c r="D6" s="213" t="n"/>
      <c r="E6" s="213" t="n"/>
      <c r="F6" s="214" t="n"/>
      <c r="G6" s="188" t="n"/>
      <c r="H6" s="336" t="n"/>
      <c r="I6" s="336" t="n"/>
      <c r="J6" s="336" t="n"/>
      <c r="K6" s="336" t="n"/>
      <c r="L6" s="336" t="n"/>
      <c r="M6" s="336" t="n"/>
      <c r="N6" s="336" t="n"/>
      <c r="O6" s="336" t="n"/>
    </row>
    <row r="7" ht="15.75" customHeight="1" s="189">
      <c r="A7" s="337" t="inlineStr">
        <is>
          <t>ID</t>
        </is>
      </c>
      <c r="B7" s="338" t="inlineStr">
        <is>
          <t>Task</t>
        </is>
      </c>
      <c r="C7" s="338" t="inlineStr">
        <is>
          <t>Effort Hours</t>
        </is>
      </c>
      <c r="D7" s="338" t="inlineStr">
        <is>
          <t>Duration (Weeks)</t>
        </is>
      </c>
      <c r="E7" s="338" t="inlineStr">
        <is>
          <t>Available Hours</t>
        </is>
      </c>
      <c r="F7" s="220" t="inlineStr">
        <is>
          <t>Commitment Level</t>
        </is>
      </c>
    </row>
    <row r="8" ht="21.75" customHeight="1" s="189">
      <c r="A8" s="222" t="n"/>
      <c r="B8" s="339" t="n"/>
      <c r="C8" s="272" t="n"/>
      <c r="D8" s="272" t="n"/>
      <c r="E8" s="272" t="n"/>
      <c r="F8" s="340">
        <f>IF(C8&lt;E8,C8/D8,E8/D8)</f>
        <v/>
      </c>
    </row>
    <row r="9" ht="21.75" customHeight="1" s="189">
      <c r="A9" s="222" t="n"/>
      <c r="B9" s="208" t="n"/>
      <c r="C9" s="272" t="n"/>
      <c r="D9" s="272" t="n"/>
      <c r="E9" s="272" t="n"/>
      <c r="F9" s="340">
        <f>IF(C9&lt;E9,C9/D9,E9/D9)</f>
        <v/>
      </c>
    </row>
    <row r="10" ht="21.75" customHeight="1" s="189">
      <c r="A10" s="222" t="n"/>
      <c r="B10" s="208" t="n"/>
      <c r="C10" s="272" t="n"/>
      <c r="D10" s="272" t="n"/>
      <c r="E10" s="272" t="n"/>
      <c r="F10" s="340">
        <f>IF(C10&lt;E10,C10/D10,E10/D10)</f>
        <v/>
      </c>
    </row>
    <row r="11" ht="21.75" customHeight="1" s="189">
      <c r="A11" s="222" t="n"/>
      <c r="B11" s="208" t="n"/>
      <c r="C11" s="272" t="n"/>
      <c r="D11" s="272" t="n"/>
      <c r="E11" s="272" t="n"/>
      <c r="F11" s="340">
        <f>IF(C11&lt;E11,C11/D11,E11/D11)</f>
        <v/>
      </c>
    </row>
    <row r="12" ht="21.75" customHeight="1" s="189">
      <c r="A12" s="222" t="n"/>
      <c r="B12" s="208" t="n"/>
      <c r="C12" s="272" t="n"/>
      <c r="D12" s="272" t="n"/>
      <c r="E12" s="272" t="n"/>
      <c r="F12" s="340">
        <f>IF(C12&lt;E12,C12/D12,E12/D12)</f>
        <v/>
      </c>
    </row>
    <row r="13" ht="21.75" customHeight="1" s="189">
      <c r="A13" s="222" t="n"/>
      <c r="B13" s="208" t="n"/>
      <c r="C13" s="272" t="n"/>
      <c r="D13" s="272" t="n"/>
      <c r="E13" s="272" t="n"/>
      <c r="F13" s="340">
        <f>IF(C13&lt;E13,C13/D13,E13/D13)</f>
        <v/>
      </c>
    </row>
    <row r="14" ht="21.75" customHeight="1" s="189">
      <c r="A14" s="222" t="n"/>
      <c r="B14" s="208" t="n"/>
      <c r="C14" s="272" t="n"/>
      <c r="D14" s="272" t="n"/>
      <c r="E14" s="272" t="n"/>
      <c r="F14" s="340">
        <f>IF(C14&lt;E14,C14/D14,E14/D14)</f>
        <v/>
      </c>
    </row>
    <row r="15" ht="21.75" customHeight="1" s="189">
      <c r="A15" s="222" t="n"/>
      <c r="B15" s="208" t="n"/>
      <c r="C15" s="272" t="n"/>
      <c r="D15" s="272" t="n"/>
      <c r="E15" s="272" t="n"/>
      <c r="F15" s="340">
        <f>IF(C15&lt;E15,C15/D15,E15/D15)</f>
        <v/>
      </c>
    </row>
    <row r="16" ht="21.75" customHeight="1" s="189">
      <c r="A16" s="222" t="n"/>
      <c r="B16" s="208" t="n"/>
      <c r="C16" s="272" t="n"/>
      <c r="D16" s="272" t="n"/>
      <c r="E16" s="272" t="n"/>
      <c r="F16" s="340">
        <f>IF(C16&lt;E16,C16/D16,E16/D16)</f>
        <v/>
      </c>
    </row>
    <row r="17" ht="21.75" customHeight="1" s="189">
      <c r="A17" s="222" t="n"/>
      <c r="B17" s="208" t="n"/>
      <c r="C17" s="272" t="n"/>
      <c r="D17" s="272" t="n"/>
      <c r="E17" s="272" t="n"/>
      <c r="F17" s="340">
        <f>IF(C17&lt;E17,C17/D17,E17/D17)</f>
        <v/>
      </c>
    </row>
    <row r="18" ht="21.75" customHeight="1" s="189">
      <c r="A18" s="222" t="n"/>
      <c r="B18" s="341" t="n"/>
      <c r="C18" s="272" t="n"/>
      <c r="D18" s="272" t="n"/>
      <c r="E18" s="272" t="n"/>
      <c r="F18" s="340">
        <f>IF(C18&lt;E18,C18/D18,E18/D18)</f>
        <v/>
      </c>
    </row>
    <row r="19" ht="21.75" customHeight="1" s="189">
      <c r="A19" s="222" t="n"/>
      <c r="B19" s="341" t="n"/>
      <c r="C19" s="272" t="n"/>
      <c r="D19" s="272" t="n"/>
      <c r="E19" s="272" t="n"/>
      <c r="F19" s="340">
        <f>IF(C19&lt;E19,C19/D19,E19/D19)</f>
        <v/>
      </c>
    </row>
    <row r="20" ht="21.75" customHeight="1" s="189">
      <c r="A20" s="222" t="n"/>
      <c r="B20" s="341" t="n"/>
      <c r="C20" s="272" t="n"/>
      <c r="D20" s="272" t="n"/>
      <c r="E20" s="272" t="n"/>
      <c r="F20" s="340">
        <f>IF(C20&lt;E20,C20/D20,E20/D20)</f>
        <v/>
      </c>
    </row>
    <row r="21" ht="21.75" customHeight="1" s="189">
      <c r="A21" s="222" t="n"/>
      <c r="B21" s="341" t="n"/>
      <c r="C21" s="272" t="n"/>
      <c r="D21" s="272" t="n"/>
      <c r="E21" s="272" t="n"/>
      <c r="F21" s="340">
        <f>IF(C21&lt;E21,C21/D21,E21/D21)</f>
        <v/>
      </c>
    </row>
    <row r="22" ht="21.75" customHeight="1" s="189">
      <c r="A22" s="222" t="n"/>
      <c r="B22" s="341" t="n"/>
      <c r="C22" s="272" t="n"/>
      <c r="D22" s="272" t="n"/>
      <c r="E22" s="272" t="n"/>
      <c r="F22" s="340">
        <f>IF(C22&lt;E22,C22/D22,E22/D22)</f>
        <v/>
      </c>
    </row>
    <row r="23" ht="21.75" customHeight="1" s="189">
      <c r="A23" s="222" t="n"/>
      <c r="B23" s="341" t="n"/>
      <c r="C23" s="272" t="n"/>
      <c r="D23" s="272" t="n"/>
      <c r="E23" s="272" t="n"/>
      <c r="F23" s="340">
        <f>IF(C23&lt;E23,C23/D23,E23/D23)</f>
        <v/>
      </c>
    </row>
    <row r="24" ht="21.75" customHeight="1" s="189">
      <c r="A24" s="222" t="n"/>
      <c r="B24" s="341" t="n"/>
      <c r="C24" s="272" t="n"/>
      <c r="D24" s="272" t="n"/>
      <c r="E24" s="272" t="n"/>
      <c r="F24" s="340">
        <f>IF(C24&lt;E24,C24/D24,E24/D24)</f>
        <v/>
      </c>
    </row>
    <row r="25" ht="21.75" customHeight="1" s="189">
      <c r="A25" s="222" t="n"/>
      <c r="B25" s="341" t="n"/>
      <c r="C25" s="272" t="n"/>
      <c r="D25" s="272" t="n"/>
      <c r="E25" s="272" t="n"/>
      <c r="F25" s="340">
        <f>IF(C25&lt;E25,C25/D25,E25/D25)</f>
        <v/>
      </c>
    </row>
    <row r="26" ht="21.75" customHeight="1" s="189">
      <c r="A26" s="222" t="n"/>
      <c r="B26" s="341" t="n"/>
      <c r="C26" s="272" t="n"/>
      <c r="D26" s="272" t="n"/>
      <c r="E26" s="272" t="n"/>
      <c r="F26" s="340">
        <f>IF(C26&lt;E26,C26/D26,E26/D26)</f>
        <v/>
      </c>
    </row>
    <row r="27" ht="21.75" customHeight="1" s="189">
      <c r="A27" s="222" t="n"/>
      <c r="B27" s="341" t="n"/>
      <c r="C27" s="272" t="n"/>
      <c r="D27" s="272" t="n"/>
      <c r="E27" s="272" t="n"/>
      <c r="F27" s="340">
        <f>IF(C27&lt;E27,C27/D27,E27/D27)</f>
        <v/>
      </c>
    </row>
    <row r="28" ht="21.75" customHeight="1" s="189">
      <c r="A28" s="222" t="n"/>
      <c r="B28" s="341" t="n"/>
      <c r="C28" s="272" t="n"/>
      <c r="D28" s="272" t="n"/>
      <c r="E28" s="272" t="n"/>
      <c r="F28" s="340">
        <f>IF(C28&lt;E28,C28/D28,E28/D28)</f>
        <v/>
      </c>
    </row>
    <row r="29" ht="21.75" customHeight="1" s="189">
      <c r="A29" s="222" t="n"/>
      <c r="B29" s="341" t="n"/>
      <c r="C29" s="272" t="n"/>
      <c r="D29" s="272" t="n"/>
      <c r="E29" s="272" t="n"/>
      <c r="F29" s="340">
        <f>IF(C29&lt;E29,C29/D29,E29/D29)</f>
        <v/>
      </c>
    </row>
    <row r="30" ht="21.75" customHeight="1" s="189">
      <c r="A30" s="222" t="n"/>
      <c r="B30" s="341" t="n"/>
      <c r="C30" s="272" t="n"/>
      <c r="D30" s="272" t="n"/>
      <c r="E30" s="272" t="n"/>
      <c r="F30" s="340">
        <f>IF(C30&lt;E30,C30/D30,E30/D30)</f>
        <v/>
      </c>
    </row>
    <row r="31" ht="21.75" customHeight="1" s="189">
      <c r="A31" s="222" t="n"/>
      <c r="B31" s="341" t="n"/>
      <c r="C31" s="272" t="n"/>
      <c r="D31" s="272" t="n"/>
      <c r="E31" s="272" t="n"/>
      <c r="F31" s="340">
        <f>IF(C31&lt;E31,C31/D31,E31/D31)</f>
        <v/>
      </c>
    </row>
    <row r="32" ht="21.75" customHeight="1" s="189">
      <c r="A32" s="222" t="n"/>
      <c r="B32" s="341" t="n"/>
      <c r="C32" s="272" t="n"/>
      <c r="D32" s="272" t="n"/>
      <c r="E32" s="272" t="n"/>
      <c r="F32" s="340">
        <f>IF(C32&lt;E32,C32/D32,E32/D32)</f>
        <v/>
      </c>
    </row>
    <row r="33" ht="21.75" customHeight="1" s="189">
      <c r="A33" s="222" t="n"/>
      <c r="B33" s="341" t="n"/>
      <c r="C33" s="272" t="n"/>
      <c r="D33" s="272" t="n"/>
      <c r="E33" s="272" t="n"/>
      <c r="F33" s="340">
        <f>IF(C33&lt;E33,C33/D33,E33/D33)</f>
        <v/>
      </c>
    </row>
    <row r="34" ht="21.75" customHeight="1" s="189">
      <c r="A34" s="222" t="n"/>
      <c r="B34" s="341" t="n"/>
      <c r="C34" s="272" t="n"/>
      <c r="D34" s="272" t="n"/>
      <c r="E34" s="272" t="n"/>
      <c r="F34" s="340">
        <f>IF(C34&lt;E34,C34/D34,E34/D34)</f>
        <v/>
      </c>
    </row>
    <row r="35" ht="21.75" customHeight="1" s="189">
      <c r="A35" s="222" t="n"/>
      <c r="B35" s="341" t="n"/>
      <c r="C35" s="272" t="n"/>
      <c r="D35" s="272" t="n"/>
      <c r="E35" s="272" t="n"/>
      <c r="F35" s="340">
        <f>IF(C35&lt;E35,C35/D35,E35/D35)</f>
        <v/>
      </c>
    </row>
    <row r="36" ht="21.75" customHeight="1" s="189">
      <c r="A36" s="222" t="n"/>
      <c r="B36" s="341" t="n"/>
      <c r="C36" s="272" t="n"/>
      <c r="D36" s="272" t="n"/>
      <c r="E36" s="272" t="n"/>
      <c r="F36" s="340">
        <f>IF(C36&lt;E36,C36/D36,E36/D36)</f>
        <v/>
      </c>
    </row>
    <row r="37" ht="21.75" customHeight="1" s="189">
      <c r="A37" s="222" t="n"/>
      <c r="B37" s="266" t="inlineStr">
        <is>
          <t>Total</t>
        </is>
      </c>
      <c r="C37" s="272">
        <f>SUM(C8:C36)</f>
        <v/>
      </c>
      <c r="D37" s="272">
        <f>SUM(D8:D36)</f>
        <v/>
      </c>
      <c r="E37" s="272">
        <f>SUM(E8:E36)</f>
        <v/>
      </c>
      <c r="F37" s="340">
        <f>IF(C37&lt;E37,C37/D37,E37/D37)</f>
        <v/>
      </c>
    </row>
    <row r="38" ht="13" customHeight="1" s="189">
      <c r="C38" s="290" t="n"/>
      <c r="D38" s="290" t="n"/>
      <c r="E38" s="291" t="n"/>
      <c r="F38" s="290" t="n"/>
    </row>
    <row r="39" ht="13" customHeight="1" s="189">
      <c r="C39" s="290" t="n"/>
      <c r="D39" s="290" t="n"/>
      <c r="E39" s="291" t="n"/>
      <c r="F39" s="201" t="inlineStr">
        <is>
          <t>© Global Knowledge Training LLC</t>
        </is>
      </c>
    </row>
    <row r="40" ht="13" customHeight="1" s="189">
      <c r="C40" s="290" t="n"/>
      <c r="D40" s="290" t="n"/>
      <c r="E40" s="291" t="n"/>
      <c r="F40" s="290" t="n"/>
    </row>
    <row r="41" ht="13" customHeight="1" s="189">
      <c r="C41" s="290" t="n"/>
      <c r="D41" s="290" t="n"/>
      <c r="E41" s="291" t="n"/>
      <c r="F41" s="290" t="n"/>
    </row>
    <row r="42" ht="13" customHeight="1" s="189">
      <c r="C42" s="290" t="n"/>
      <c r="D42" s="290" t="n"/>
      <c r="E42" s="291" t="n"/>
      <c r="F42" s="290" t="n"/>
    </row>
    <row r="43" ht="13" customHeight="1" s="189">
      <c r="C43" s="290" t="n"/>
      <c r="D43" s="290" t="n"/>
      <c r="E43" s="291" t="n"/>
      <c r="F43" s="290" t="n"/>
    </row>
    <row r="44" ht="13" customHeight="1" s="189">
      <c r="C44" s="290" t="n"/>
      <c r="D44" s="290" t="n"/>
      <c r="E44" s="291" t="n"/>
      <c r="F44" s="290" t="n"/>
    </row>
    <row r="45" ht="13" customHeight="1" s="189">
      <c r="C45" s="290" t="n"/>
      <c r="D45" s="290" t="n"/>
      <c r="E45" s="291" t="n"/>
      <c r="F45" s="290" t="n"/>
    </row>
    <row r="46" ht="13" customHeight="1" s="189">
      <c r="C46" s="290" t="n"/>
      <c r="D46" s="290" t="n"/>
      <c r="E46" s="291" t="n"/>
      <c r="F46" s="290" t="n"/>
    </row>
    <row r="47" ht="13" customHeight="1" s="189">
      <c r="C47" s="290" t="n"/>
      <c r="D47" s="290" t="n"/>
      <c r="E47" s="291" t="n"/>
      <c r="F47" s="290" t="n"/>
      <c r="G47" s="290" t="n"/>
    </row>
    <row r="48" ht="13" customHeight="1" s="189">
      <c r="C48" s="290" t="n"/>
      <c r="D48" s="290" t="n"/>
      <c r="E48" s="291" t="n"/>
      <c r="F48" s="290" t="n"/>
      <c r="G48" s="290" t="n"/>
    </row>
    <row r="49" ht="13" customHeight="1" s="189">
      <c r="C49" s="290" t="n"/>
      <c r="D49" s="290" t="n"/>
      <c r="E49" s="291" t="n"/>
      <c r="F49" s="290" t="n"/>
      <c r="G49" s="290" t="n"/>
    </row>
    <row r="50" ht="13" customHeight="1" s="189">
      <c r="C50" s="290" t="n"/>
      <c r="D50" s="290" t="n"/>
      <c r="E50" s="291" t="n"/>
      <c r="F50" s="290" t="n"/>
      <c r="G50" s="290" t="n"/>
    </row>
    <row r="51" ht="13" customHeight="1" s="189">
      <c r="C51" s="290" t="n"/>
      <c r="D51" s="290" t="n"/>
      <c r="E51" s="291" t="n"/>
      <c r="F51" s="290" t="n"/>
      <c r="G51" s="290" t="n"/>
    </row>
    <row r="52" ht="13" customHeight="1" s="189">
      <c r="C52" s="290" t="n"/>
      <c r="D52" s="290" t="n"/>
      <c r="E52" s="291" t="n"/>
      <c r="F52" s="290" t="n"/>
      <c r="G52" s="290" t="n"/>
    </row>
    <row r="53" ht="13" customHeight="1" s="189">
      <c r="C53" s="290" t="n"/>
      <c r="D53" s="290" t="n"/>
      <c r="E53" s="291" t="n"/>
      <c r="F53" s="290" t="n"/>
      <c r="G53" s="290" t="n"/>
    </row>
    <row r="54" ht="13" customHeight="1" s="189">
      <c r="C54" s="290" t="n"/>
      <c r="D54" s="290" t="n"/>
      <c r="E54" s="291" t="n"/>
      <c r="F54" s="290" t="n"/>
      <c r="G54" s="290" t="n"/>
    </row>
    <row r="55" ht="13" customHeight="1" s="189">
      <c r="C55" s="290" t="n"/>
      <c r="D55" s="290" t="n"/>
      <c r="E55" s="291" t="n"/>
      <c r="F55" s="290" t="n"/>
      <c r="G55" s="290" t="n"/>
    </row>
    <row r="56" ht="13" customHeight="1" s="189">
      <c r="C56" s="290" t="n"/>
      <c r="D56" s="290" t="n"/>
      <c r="E56" s="291" t="n"/>
      <c r="F56" s="290" t="n"/>
      <c r="G56" s="290" t="n"/>
    </row>
    <row r="57" ht="13" customHeight="1" s="189">
      <c r="C57" s="290" t="n"/>
      <c r="D57" s="290" t="n"/>
      <c r="E57" s="291" t="n"/>
      <c r="F57" s="290" t="n"/>
      <c r="G57" s="290" t="n"/>
    </row>
    <row r="58" ht="13" customHeight="1" s="189">
      <c r="C58" s="290" t="n"/>
      <c r="D58" s="290" t="n"/>
      <c r="E58" s="291" t="n"/>
      <c r="F58" s="290" t="n"/>
      <c r="G58" s="290" t="n"/>
    </row>
    <row r="59" ht="13" customHeight="1" s="189">
      <c r="C59" s="290" t="n"/>
      <c r="D59" s="290" t="n"/>
      <c r="E59" s="291" t="n"/>
      <c r="F59" s="290" t="n"/>
      <c r="G59" s="290" t="n"/>
    </row>
    <row r="60" ht="13" customHeight="1" s="189">
      <c r="C60" s="290" t="n"/>
      <c r="D60" s="290" t="n"/>
      <c r="E60" s="291" t="n"/>
      <c r="F60" s="290" t="n"/>
      <c r="G60" s="290" t="n"/>
    </row>
    <row r="61" ht="13" customHeight="1" s="189">
      <c r="C61" s="290" t="n"/>
      <c r="D61" s="290" t="n"/>
      <c r="E61" s="291" t="n"/>
      <c r="F61" s="290" t="n"/>
      <c r="G61" s="290" t="n"/>
    </row>
    <row r="62" ht="13" customHeight="1" s="189">
      <c r="C62" s="290" t="n"/>
      <c r="D62" s="290" t="n"/>
      <c r="E62" s="291" t="n"/>
      <c r="F62" s="290" t="n"/>
      <c r="G62" s="290" t="n"/>
    </row>
    <row r="63" ht="13" customHeight="1" s="189">
      <c r="C63" s="290" t="n"/>
      <c r="D63" s="290" t="n"/>
      <c r="E63" s="291" t="n"/>
      <c r="F63" s="290" t="n"/>
      <c r="G63" s="290" t="n"/>
    </row>
    <row r="64" ht="13" customHeight="1" s="189">
      <c r="C64" s="290" t="n"/>
      <c r="D64" s="290" t="n"/>
      <c r="E64" s="291" t="n"/>
      <c r="F64" s="290" t="n"/>
      <c r="G64" s="290" t="n"/>
    </row>
    <row r="65" ht="13" customHeight="1" s="189">
      <c r="C65" s="290" t="n"/>
      <c r="D65" s="290" t="n"/>
      <c r="E65" s="291" t="n"/>
      <c r="F65" s="290" t="n"/>
      <c r="G65" s="290" t="n"/>
    </row>
    <row r="66" ht="13" customHeight="1" s="189">
      <c r="C66" s="290" t="n"/>
      <c r="D66" s="290" t="n"/>
      <c r="E66" s="291" t="n"/>
      <c r="F66" s="290" t="n"/>
      <c r="G66" s="290" t="n"/>
    </row>
    <row r="67" ht="13" customHeight="1" s="189">
      <c r="C67" s="290" t="n"/>
      <c r="D67" s="290" t="n"/>
      <c r="E67" s="291" t="n"/>
      <c r="F67" s="290" t="n"/>
      <c r="G67" s="290" t="n"/>
    </row>
    <row r="68" ht="13" customHeight="1" s="189">
      <c r="C68" s="290" t="n"/>
      <c r="D68" s="290" t="n"/>
      <c r="E68" s="291" t="n"/>
      <c r="F68" s="290" t="n"/>
      <c r="G68" s="290" t="n"/>
    </row>
    <row r="69" ht="13" customHeight="1" s="189">
      <c r="C69" s="290" t="n"/>
      <c r="D69" s="290" t="n"/>
      <c r="E69" s="291" t="n"/>
      <c r="F69" s="290" t="n"/>
      <c r="G69" s="290" t="n"/>
    </row>
    <row r="70" ht="13" customHeight="1" s="189">
      <c r="C70" s="290" t="n"/>
      <c r="D70" s="290" t="n"/>
      <c r="E70" s="291" t="n"/>
      <c r="F70" s="290" t="n"/>
      <c r="G70" s="290" t="n"/>
    </row>
    <row r="71" ht="13" customHeight="1" s="189">
      <c r="C71" s="290" t="n"/>
      <c r="D71" s="290" t="n"/>
      <c r="E71" s="291" t="n"/>
      <c r="F71" s="290" t="n"/>
      <c r="G71" s="290" t="n"/>
    </row>
    <row r="72" ht="13" customHeight="1" s="189">
      <c r="C72" s="290" t="n"/>
      <c r="D72" s="290" t="n"/>
      <c r="E72" s="291" t="n"/>
      <c r="F72" s="290" t="n"/>
      <c r="G72" s="290" t="n"/>
    </row>
    <row r="73" ht="13" customHeight="1" s="189">
      <c r="C73" s="290" t="n"/>
      <c r="D73" s="290" t="n"/>
      <c r="E73" s="291" t="n"/>
      <c r="F73" s="290" t="n"/>
      <c r="G73" s="290" t="n"/>
    </row>
    <row r="74" ht="13" customHeight="1" s="189">
      <c r="C74" s="290" t="n"/>
      <c r="D74" s="290" t="n"/>
      <c r="E74" s="291" t="n"/>
      <c r="F74" s="290" t="n"/>
      <c r="G74" s="290" t="n"/>
    </row>
    <row r="75" ht="13" customHeight="1" s="189">
      <c r="C75" s="290" t="n"/>
      <c r="D75" s="290" t="n"/>
      <c r="E75" s="291" t="n"/>
      <c r="F75" s="290" t="n"/>
      <c r="G75" s="290" t="n"/>
    </row>
    <row r="76" ht="13" customHeight="1" s="189">
      <c r="C76" s="290" t="n"/>
      <c r="D76" s="290" t="n"/>
      <c r="E76" s="291" t="n"/>
      <c r="F76" s="290" t="n"/>
      <c r="G76" s="290" t="n"/>
    </row>
    <row r="77" ht="13" customHeight="1" s="189">
      <c r="C77" s="290" t="n"/>
      <c r="D77" s="290" t="n"/>
      <c r="E77" s="291" t="n"/>
      <c r="F77" s="290" t="n"/>
      <c r="G77" s="290" t="n"/>
    </row>
    <row r="78" ht="13" customHeight="1" s="189">
      <c r="C78" s="290" t="n"/>
      <c r="D78" s="290" t="n"/>
      <c r="E78" s="291" t="n"/>
      <c r="F78" s="290" t="n"/>
      <c r="G78" s="290" t="n"/>
    </row>
    <row r="79" ht="13" customHeight="1" s="189">
      <c r="C79" s="290" t="n"/>
      <c r="D79" s="290" t="n"/>
      <c r="E79" s="291" t="n"/>
      <c r="F79" s="290" t="n"/>
      <c r="G79" s="290" t="n"/>
    </row>
    <row r="80" ht="13" customHeight="1" s="189">
      <c r="C80" s="290" t="n"/>
      <c r="D80" s="290" t="n"/>
      <c r="E80" s="291" t="n"/>
      <c r="F80" s="290" t="n"/>
      <c r="G80" s="290" t="n"/>
    </row>
    <row r="81" ht="13" customHeight="1" s="189">
      <c r="C81" s="290" t="n"/>
      <c r="D81" s="290" t="n"/>
      <c r="E81" s="291" t="n"/>
      <c r="F81" s="290" t="n"/>
      <c r="G81" s="290" t="n"/>
    </row>
    <row r="82" ht="13" customHeight="1" s="189">
      <c r="C82" s="290" t="n"/>
      <c r="D82" s="290" t="n"/>
      <c r="E82" s="291" t="n"/>
      <c r="F82" s="290" t="n"/>
      <c r="G82" s="290" t="n"/>
    </row>
    <row r="83" ht="13" customHeight="1" s="189">
      <c r="C83" s="290" t="n"/>
      <c r="D83" s="290" t="n"/>
      <c r="E83" s="291" t="n"/>
      <c r="F83" s="290" t="n"/>
      <c r="G83" s="290" t="n"/>
    </row>
    <row r="84" ht="13" customHeight="1" s="189">
      <c r="C84" s="290" t="n"/>
      <c r="D84" s="290" t="n"/>
      <c r="E84" s="291" t="n"/>
      <c r="F84" s="290" t="n"/>
      <c r="G84" s="290" t="n"/>
    </row>
    <row r="85" ht="13" customHeight="1" s="189">
      <c r="C85" s="290" t="n"/>
      <c r="D85" s="290" t="n"/>
      <c r="E85" s="291" t="n"/>
      <c r="F85" s="290" t="n"/>
      <c r="G85" s="290" t="n"/>
    </row>
    <row r="86" ht="13" customHeight="1" s="189">
      <c r="C86" s="290" t="n"/>
      <c r="D86" s="290" t="n"/>
      <c r="E86" s="291" t="n"/>
      <c r="F86" s="290" t="n"/>
      <c r="G86" s="290" t="n"/>
    </row>
    <row r="87" ht="13" customHeight="1" s="189">
      <c r="C87" s="290" t="n"/>
      <c r="D87" s="290" t="n"/>
      <c r="E87" s="291" t="n"/>
      <c r="F87" s="290" t="n"/>
      <c r="G87" s="290" t="n"/>
    </row>
    <row r="88" ht="13" customHeight="1" s="189">
      <c r="C88" s="290" t="n"/>
      <c r="D88" s="290" t="n"/>
      <c r="E88" s="291" t="n"/>
      <c r="F88" s="290" t="n"/>
      <c r="G88" s="290" t="n"/>
    </row>
    <row r="89" ht="13" customHeight="1" s="189">
      <c r="C89" s="290" t="n"/>
      <c r="D89" s="290" t="n"/>
      <c r="E89" s="291" t="n"/>
      <c r="F89" s="290" t="n"/>
      <c r="G89" s="290" t="n"/>
    </row>
    <row r="90" ht="13" customHeight="1" s="189">
      <c r="C90" s="290" t="n"/>
      <c r="D90" s="290" t="n"/>
      <c r="E90" s="291" t="n"/>
      <c r="F90" s="290" t="n"/>
      <c r="G90" s="290" t="n"/>
    </row>
    <row r="91" ht="13" customHeight="1" s="189">
      <c r="C91" s="290" t="n"/>
      <c r="D91" s="290" t="n"/>
      <c r="E91" s="291" t="n"/>
      <c r="F91" s="290" t="n"/>
      <c r="G91" s="290" t="n"/>
    </row>
    <row r="92" ht="13" customHeight="1" s="189">
      <c r="C92" s="290" t="n"/>
      <c r="D92" s="290" t="n"/>
      <c r="E92" s="291" t="n"/>
      <c r="F92" s="290" t="n"/>
      <c r="G92" s="290" t="n"/>
    </row>
    <row r="93" ht="13" customHeight="1" s="189">
      <c r="C93" s="290" t="n"/>
      <c r="D93" s="290" t="n"/>
      <c r="E93" s="291" t="n"/>
      <c r="F93" s="290" t="n"/>
      <c r="G93" s="290" t="n"/>
    </row>
    <row r="94" ht="13" customHeight="1" s="189">
      <c r="C94" s="290" t="n"/>
      <c r="D94" s="290" t="n"/>
      <c r="E94" s="291" t="n"/>
      <c r="F94" s="290" t="n"/>
      <c r="G94" s="290" t="n"/>
    </row>
    <row r="95" ht="13" customHeight="1" s="189">
      <c r="C95" s="290" t="n"/>
      <c r="D95" s="290" t="n"/>
      <c r="E95" s="291" t="n"/>
      <c r="F95" s="290" t="n"/>
      <c r="G95" s="290" t="n"/>
    </row>
    <row r="96" ht="13" customHeight="1" s="189">
      <c r="C96" s="290" t="n"/>
      <c r="D96" s="290" t="n"/>
      <c r="E96" s="291" t="n"/>
      <c r="F96" s="290" t="n"/>
      <c r="G96" s="290" t="n"/>
    </row>
    <row r="97" ht="13" customHeight="1" s="189">
      <c r="C97" s="290" t="n"/>
      <c r="D97" s="290" t="n"/>
      <c r="E97" s="291" t="n"/>
      <c r="F97" s="290" t="n"/>
      <c r="G97" s="290" t="n"/>
    </row>
    <row r="98" ht="13" customHeight="1" s="189">
      <c r="C98" s="290" t="n"/>
      <c r="D98" s="290" t="n"/>
      <c r="E98" s="291" t="n"/>
      <c r="F98" s="290" t="n"/>
      <c r="G98" s="290" t="n"/>
    </row>
    <row r="99" ht="13" customHeight="1" s="189">
      <c r="C99" s="290" t="n"/>
      <c r="D99" s="290" t="n"/>
      <c r="E99" s="291" t="n"/>
      <c r="F99" s="290" t="n"/>
      <c r="G99" s="290" t="n"/>
    </row>
    <row r="100" ht="13" customHeight="1" s="189">
      <c r="C100" s="290" t="n"/>
      <c r="D100" s="290" t="n"/>
      <c r="E100" s="291" t="n"/>
      <c r="F100" s="290" t="n"/>
      <c r="G100" s="290" t="n"/>
    </row>
    <row r="101" ht="13" customHeight="1" s="189">
      <c r="C101" s="290" t="n"/>
      <c r="D101" s="290" t="n"/>
      <c r="E101" s="291" t="n"/>
      <c r="F101" s="290" t="n"/>
      <c r="G101" s="290" t="n"/>
    </row>
    <row r="102" ht="13" customHeight="1" s="189">
      <c r="C102" s="290" t="n"/>
      <c r="D102" s="290" t="n"/>
      <c r="E102" s="291" t="n"/>
      <c r="F102" s="290" t="n"/>
      <c r="G102" s="290" t="n"/>
    </row>
    <row r="103" ht="13" customHeight="1" s="189">
      <c r="C103" s="290" t="n"/>
      <c r="D103" s="290" t="n"/>
      <c r="E103" s="291" t="n"/>
      <c r="F103" s="290" t="n"/>
      <c r="G103" s="290" t="n"/>
    </row>
    <row r="104" ht="13" customHeight="1" s="189">
      <c r="C104" s="290" t="n"/>
      <c r="D104" s="290" t="n"/>
      <c r="E104" s="291" t="n"/>
      <c r="F104" s="290" t="n"/>
      <c r="G104" s="290" t="n"/>
    </row>
    <row r="105" ht="13" customHeight="1" s="189">
      <c r="C105" s="290" t="n"/>
      <c r="D105" s="290" t="n"/>
      <c r="E105" s="291" t="n"/>
      <c r="F105" s="290" t="n"/>
      <c r="G105" s="290" t="n"/>
    </row>
    <row r="106" ht="13" customHeight="1" s="189">
      <c r="C106" s="290" t="n"/>
      <c r="D106" s="290" t="n"/>
      <c r="E106" s="291" t="n"/>
      <c r="F106" s="290" t="n"/>
      <c r="G106" s="290" t="n"/>
    </row>
    <row r="107" ht="13" customHeight="1" s="189">
      <c r="C107" s="290" t="n"/>
      <c r="D107" s="290" t="n"/>
      <c r="E107" s="291" t="n"/>
      <c r="F107" s="290" t="n"/>
      <c r="G107" s="290" t="n"/>
    </row>
    <row r="108" ht="13" customHeight="1" s="189">
      <c r="C108" s="290" t="n"/>
      <c r="D108" s="290" t="n"/>
      <c r="E108" s="291" t="n"/>
      <c r="F108" s="290" t="n"/>
      <c r="G108" s="290" t="n"/>
    </row>
    <row r="109" ht="13" customHeight="1" s="189">
      <c r="C109" s="290" t="n"/>
      <c r="D109" s="290" t="n"/>
      <c r="E109" s="291" t="n"/>
      <c r="F109" s="290" t="n"/>
      <c r="G109" s="290" t="n"/>
    </row>
    <row r="110" ht="13" customHeight="1" s="189">
      <c r="C110" s="290" t="n"/>
      <c r="D110" s="290" t="n"/>
      <c r="E110" s="291" t="n"/>
      <c r="F110" s="290" t="n"/>
      <c r="G110" s="290" t="n"/>
    </row>
    <row r="111" ht="13" customHeight="1" s="189">
      <c r="C111" s="290" t="n"/>
      <c r="D111" s="290" t="n"/>
      <c r="E111" s="291" t="n"/>
      <c r="F111" s="290" t="n"/>
      <c r="G111" s="290" t="n"/>
    </row>
    <row r="112" ht="13" customHeight="1" s="189">
      <c r="C112" s="290" t="n"/>
      <c r="D112" s="290" t="n"/>
      <c r="E112" s="291" t="n"/>
      <c r="F112" s="290" t="n"/>
      <c r="G112" s="290" t="n"/>
    </row>
    <row r="113" ht="13" customHeight="1" s="189">
      <c r="C113" s="290" t="n"/>
      <c r="D113" s="290" t="n"/>
      <c r="E113" s="291" t="n"/>
      <c r="F113" s="290" t="n"/>
      <c r="G113" s="290" t="n"/>
    </row>
    <row r="114" ht="13" customHeight="1" s="189">
      <c r="C114" s="290" t="n"/>
      <c r="D114" s="290" t="n"/>
      <c r="E114" s="291" t="n"/>
      <c r="F114" s="290" t="n"/>
      <c r="G114" s="290" t="n"/>
    </row>
    <row r="115" ht="13" customHeight="1" s="189">
      <c r="C115" s="290" t="n"/>
      <c r="D115" s="290" t="n"/>
      <c r="E115" s="291" t="n"/>
      <c r="F115" s="290" t="n"/>
      <c r="G115" s="290" t="n"/>
    </row>
    <row r="116" ht="13" customHeight="1" s="189">
      <c r="C116" s="290" t="n"/>
      <c r="D116" s="290" t="n"/>
      <c r="E116" s="291" t="n"/>
      <c r="F116" s="290" t="n"/>
      <c r="G116" s="290" t="n"/>
    </row>
    <row r="117" ht="13" customHeight="1" s="189">
      <c r="C117" s="290" t="n"/>
      <c r="D117" s="290" t="n"/>
      <c r="E117" s="291" t="n"/>
      <c r="F117" s="290" t="n"/>
      <c r="G117" s="290" t="n"/>
    </row>
    <row r="118" ht="13" customHeight="1" s="189">
      <c r="C118" s="290" t="n"/>
      <c r="D118" s="290" t="n"/>
      <c r="E118" s="291" t="n"/>
      <c r="F118" s="290" t="n"/>
      <c r="G118" s="290" t="n"/>
    </row>
    <row r="119" ht="13" customHeight="1" s="189">
      <c r="C119" s="290" t="n"/>
      <c r="D119" s="290" t="n"/>
      <c r="E119" s="291" t="n"/>
      <c r="F119" s="290" t="n"/>
      <c r="G119" s="290" t="n"/>
    </row>
    <row r="120" ht="13" customHeight="1" s="189">
      <c r="C120" s="290" t="n"/>
      <c r="D120" s="290" t="n"/>
      <c r="E120" s="291" t="n"/>
      <c r="F120" s="290" t="n"/>
      <c r="G120" s="290" t="n"/>
    </row>
    <row r="121" ht="13" customHeight="1" s="189">
      <c r="C121" s="290" t="n"/>
      <c r="D121" s="290" t="n"/>
      <c r="E121" s="291" t="n"/>
      <c r="F121" s="290" t="n"/>
      <c r="G121" s="290" t="n"/>
    </row>
    <row r="122" ht="13" customHeight="1" s="189">
      <c r="C122" s="290" t="n"/>
      <c r="D122" s="290" t="n"/>
      <c r="E122" s="291" t="n"/>
      <c r="F122" s="290" t="n"/>
      <c r="G122" s="290" t="n"/>
    </row>
    <row r="123" ht="13" customHeight="1" s="189">
      <c r="C123" s="290" t="n"/>
      <c r="D123" s="290" t="n"/>
      <c r="E123" s="291" t="n"/>
      <c r="F123" s="290" t="n"/>
      <c r="G123" s="290" t="n"/>
    </row>
    <row r="124" ht="13" customHeight="1" s="189">
      <c r="C124" s="290" t="n"/>
      <c r="D124" s="290" t="n"/>
      <c r="E124" s="291" t="n"/>
      <c r="F124" s="290" t="n"/>
      <c r="G124" s="290" t="n"/>
    </row>
    <row r="125" ht="13" customHeight="1" s="189">
      <c r="C125" s="290" t="n"/>
      <c r="D125" s="290" t="n"/>
      <c r="E125" s="291" t="n"/>
      <c r="F125" s="290" t="n"/>
      <c r="G125" s="290" t="n"/>
    </row>
    <row r="126" ht="13" customHeight="1" s="189">
      <c r="C126" s="290" t="n"/>
      <c r="D126" s="290" t="n"/>
      <c r="E126" s="291" t="n"/>
      <c r="F126" s="290" t="n"/>
      <c r="G126" s="290" t="n"/>
    </row>
    <row r="127" ht="13" customHeight="1" s="189">
      <c r="C127" s="290" t="n"/>
      <c r="D127" s="290" t="n"/>
      <c r="E127" s="291" t="n"/>
      <c r="F127" s="290" t="n"/>
      <c r="G127" s="290" t="n"/>
    </row>
    <row r="128" ht="13" customHeight="1" s="189">
      <c r="C128" s="290" t="n"/>
      <c r="D128" s="290" t="n"/>
      <c r="E128" s="291" t="n"/>
      <c r="F128" s="290" t="n"/>
      <c r="G128" s="290" t="n"/>
    </row>
    <row r="129" ht="13" customHeight="1" s="189">
      <c r="C129" s="290" t="n"/>
      <c r="D129" s="290" t="n"/>
      <c r="E129" s="291" t="n"/>
      <c r="F129" s="290" t="n"/>
      <c r="G129" s="290" t="n"/>
    </row>
    <row r="130" ht="13" customHeight="1" s="189">
      <c r="C130" s="290" t="n"/>
      <c r="D130" s="290" t="n"/>
      <c r="E130" s="291" t="n"/>
      <c r="F130" s="290" t="n"/>
      <c r="G130" s="290" t="n"/>
    </row>
    <row r="131" ht="13" customHeight="1" s="189">
      <c r="C131" s="290" t="n"/>
      <c r="D131" s="290" t="n"/>
      <c r="E131" s="291" t="n"/>
      <c r="F131" s="290" t="n"/>
      <c r="G131" s="290" t="n"/>
    </row>
    <row r="132" ht="13" customHeight="1" s="189">
      <c r="C132" s="290" t="n"/>
      <c r="D132" s="290" t="n"/>
      <c r="E132" s="291" t="n"/>
      <c r="F132" s="290" t="n"/>
      <c r="G132" s="290" t="n"/>
    </row>
    <row r="133" ht="13" customHeight="1" s="189">
      <c r="C133" s="290" t="n"/>
      <c r="D133" s="290" t="n"/>
      <c r="E133" s="291" t="n"/>
      <c r="F133" s="290" t="n"/>
      <c r="G133" s="290" t="n"/>
    </row>
    <row r="134" ht="13" customHeight="1" s="189">
      <c r="C134" s="290" t="n"/>
      <c r="D134" s="290" t="n"/>
      <c r="E134" s="291" t="n"/>
      <c r="F134" s="290" t="n"/>
      <c r="G134" s="290" t="n"/>
    </row>
    <row r="135" ht="13" customHeight="1" s="189">
      <c r="C135" s="290" t="n"/>
      <c r="D135" s="290" t="n"/>
      <c r="E135" s="291" t="n"/>
      <c r="F135" s="290" t="n"/>
      <c r="G135" s="290" t="n"/>
    </row>
    <row r="136" ht="13" customHeight="1" s="189">
      <c r="C136" s="290" t="n"/>
      <c r="D136" s="290" t="n"/>
      <c r="E136" s="291" t="n"/>
      <c r="F136" s="290" t="n"/>
      <c r="G136" s="290" t="n"/>
    </row>
    <row r="137" ht="13" customHeight="1" s="189">
      <c r="C137" s="290" t="n"/>
      <c r="D137" s="290" t="n"/>
      <c r="E137" s="291" t="n"/>
      <c r="F137" s="290" t="n"/>
      <c r="G137" s="290" t="n"/>
    </row>
    <row r="138" ht="13" customHeight="1" s="189">
      <c r="C138" s="290" t="n"/>
      <c r="D138" s="290" t="n"/>
      <c r="E138" s="291" t="n"/>
      <c r="F138" s="290" t="n"/>
      <c r="G138" s="290" t="n"/>
    </row>
    <row r="139" ht="13" customHeight="1" s="189">
      <c r="C139" s="290" t="n"/>
      <c r="D139" s="290" t="n"/>
      <c r="E139" s="291" t="n"/>
      <c r="F139" s="290" t="n"/>
      <c r="G139" s="290" t="n"/>
    </row>
    <row r="140" ht="13" customHeight="1" s="189">
      <c r="C140" s="290" t="n"/>
      <c r="D140" s="290" t="n"/>
      <c r="E140" s="291" t="n"/>
      <c r="F140" s="290" t="n"/>
      <c r="G140" s="290" t="n"/>
    </row>
    <row r="141" ht="13" customHeight="1" s="189">
      <c r="C141" s="290" t="n"/>
      <c r="D141" s="290" t="n"/>
      <c r="E141" s="291" t="n"/>
      <c r="F141" s="290" t="n"/>
      <c r="G141" s="290" t="n"/>
    </row>
    <row r="142" ht="13" customHeight="1" s="189">
      <c r="C142" s="290" t="n"/>
      <c r="D142" s="290" t="n"/>
      <c r="E142" s="291" t="n"/>
      <c r="F142" s="290" t="n"/>
      <c r="G142" s="290" t="n"/>
    </row>
    <row r="143" ht="13" customHeight="1" s="189">
      <c r="C143" s="290" t="n"/>
      <c r="D143" s="290" t="n"/>
      <c r="E143" s="291" t="n"/>
      <c r="F143" s="290" t="n"/>
      <c r="G143" s="290" t="n"/>
    </row>
    <row r="144" ht="13" customHeight="1" s="189">
      <c r="C144" s="290" t="n"/>
      <c r="D144" s="290" t="n"/>
      <c r="E144" s="291" t="n"/>
      <c r="F144" s="290" t="n"/>
      <c r="G144" s="290" t="n"/>
    </row>
    <row r="145" ht="13" customHeight="1" s="189">
      <c r="C145" s="290" t="n"/>
      <c r="D145" s="290" t="n"/>
      <c r="E145" s="291" t="n"/>
      <c r="F145" s="290" t="n"/>
      <c r="G145" s="290" t="n"/>
    </row>
    <row r="146" ht="13" customHeight="1" s="189">
      <c r="C146" s="290" t="n"/>
      <c r="D146" s="290" t="n"/>
      <c r="E146" s="291" t="n"/>
      <c r="F146" s="290" t="n"/>
      <c r="G146" s="290" t="n"/>
    </row>
    <row r="147" ht="13" customHeight="1" s="189">
      <c r="C147" s="290" t="n"/>
      <c r="D147" s="290" t="n"/>
      <c r="E147" s="291" t="n"/>
      <c r="F147" s="290" t="n"/>
      <c r="G147" s="290" t="n"/>
    </row>
    <row r="148" ht="13" customHeight="1" s="189">
      <c r="C148" s="290" t="n"/>
      <c r="D148" s="290" t="n"/>
      <c r="E148" s="291" t="n"/>
      <c r="F148" s="290" t="n"/>
      <c r="G148" s="290" t="n"/>
    </row>
    <row r="149" ht="13" customHeight="1" s="189">
      <c r="C149" s="290" t="n"/>
      <c r="D149" s="290" t="n"/>
      <c r="E149" s="291" t="n"/>
      <c r="F149" s="290" t="n"/>
      <c r="G149" s="290" t="n"/>
    </row>
    <row r="150" ht="13" customHeight="1" s="189">
      <c r="C150" s="290" t="n"/>
      <c r="D150" s="290" t="n"/>
      <c r="E150" s="291" t="n"/>
      <c r="F150" s="290" t="n"/>
      <c r="G150" s="290" t="n"/>
    </row>
    <row r="151" ht="13" customHeight="1" s="189">
      <c r="C151" s="290" t="n"/>
      <c r="D151" s="290" t="n"/>
      <c r="E151" s="291" t="n"/>
      <c r="F151" s="290" t="n"/>
      <c r="G151" s="290" t="n"/>
    </row>
    <row r="152" ht="13" customHeight="1" s="189">
      <c r="C152" s="290" t="n"/>
      <c r="D152" s="290" t="n"/>
      <c r="E152" s="291" t="n"/>
      <c r="F152" s="290" t="n"/>
      <c r="G152" s="290" t="n"/>
    </row>
    <row r="153" ht="13" customHeight="1" s="189">
      <c r="C153" s="290" t="n"/>
      <c r="D153" s="290" t="n"/>
      <c r="E153" s="291" t="n"/>
      <c r="F153" s="290" t="n"/>
      <c r="G153" s="290" t="n"/>
    </row>
    <row r="154" ht="13" customHeight="1" s="189">
      <c r="C154" s="290" t="n"/>
      <c r="D154" s="290" t="n"/>
      <c r="E154" s="291" t="n"/>
      <c r="F154" s="290" t="n"/>
      <c r="G154" s="290" t="n"/>
    </row>
    <row r="155" ht="13" customHeight="1" s="189">
      <c r="C155" s="290" t="n"/>
      <c r="D155" s="290" t="n"/>
      <c r="E155" s="291" t="n"/>
      <c r="F155" s="290" t="n"/>
      <c r="G155" s="290" t="n"/>
    </row>
    <row r="156" ht="13" customHeight="1" s="189">
      <c r="C156" s="290" t="n"/>
      <c r="D156" s="290" t="n"/>
      <c r="E156" s="291" t="n"/>
      <c r="F156" s="290" t="n"/>
      <c r="G156" s="290" t="n"/>
    </row>
    <row r="157" ht="13" customHeight="1" s="189">
      <c r="C157" s="290" t="n"/>
      <c r="D157" s="290" t="n"/>
      <c r="E157" s="291" t="n"/>
      <c r="F157" s="290" t="n"/>
      <c r="G157" s="290" t="n"/>
    </row>
    <row r="158" ht="13" customHeight="1" s="189">
      <c r="C158" s="290" t="n"/>
      <c r="D158" s="290" t="n"/>
      <c r="E158" s="291" t="n"/>
      <c r="F158" s="290" t="n"/>
      <c r="G158" s="290" t="n"/>
    </row>
    <row r="159" ht="13" customHeight="1" s="189">
      <c r="C159" s="290" t="n"/>
      <c r="D159" s="290" t="n"/>
      <c r="E159" s="291" t="n"/>
      <c r="F159" s="290" t="n"/>
      <c r="G159" s="290" t="n"/>
    </row>
    <row r="160" ht="13" customHeight="1" s="189">
      <c r="C160" s="290" t="n"/>
      <c r="D160" s="290" t="n"/>
      <c r="E160" s="291" t="n"/>
      <c r="F160" s="290" t="n"/>
      <c r="G160" s="290" t="n"/>
    </row>
    <row r="161" ht="13" customHeight="1" s="189">
      <c r="C161" s="290" t="n"/>
      <c r="D161" s="290" t="n"/>
      <c r="E161" s="291" t="n"/>
      <c r="F161" s="290" t="n"/>
      <c r="G161" s="290" t="n"/>
    </row>
    <row r="162" ht="13" customHeight="1" s="189">
      <c r="C162" s="290" t="n"/>
      <c r="D162" s="290" t="n"/>
      <c r="E162" s="291" t="n"/>
      <c r="F162" s="290" t="n"/>
      <c r="G162" s="290" t="n"/>
    </row>
    <row r="163" ht="13" customHeight="1" s="189">
      <c r="C163" s="290" t="n"/>
      <c r="D163" s="290" t="n"/>
      <c r="E163" s="291" t="n"/>
      <c r="F163" s="290" t="n"/>
      <c r="G163" s="290" t="n"/>
    </row>
    <row r="164" ht="13" customHeight="1" s="189">
      <c r="C164" s="290" t="n"/>
      <c r="D164" s="290" t="n"/>
      <c r="E164" s="291" t="n"/>
      <c r="F164" s="290" t="n"/>
      <c r="G164" s="290" t="n"/>
    </row>
    <row r="165" ht="13" customHeight="1" s="189">
      <c r="C165" s="290" t="n"/>
      <c r="D165" s="290" t="n"/>
      <c r="E165" s="291" t="n"/>
      <c r="F165" s="290" t="n"/>
      <c r="G165" s="290" t="n"/>
    </row>
    <row r="166" ht="13" customHeight="1" s="189">
      <c r="C166" s="290" t="n"/>
      <c r="D166" s="290" t="n"/>
      <c r="E166" s="291" t="n"/>
      <c r="F166" s="290" t="n"/>
      <c r="G166" s="290" t="n"/>
    </row>
    <row r="167" ht="13" customHeight="1" s="189">
      <c r="C167" s="290" t="n"/>
      <c r="D167" s="290" t="n"/>
      <c r="E167" s="291" t="n"/>
      <c r="F167" s="290" t="n"/>
      <c r="G167" s="290" t="n"/>
    </row>
    <row r="168" ht="13" customHeight="1" s="189">
      <c r="C168" s="290" t="n"/>
      <c r="D168" s="290" t="n"/>
      <c r="E168" s="291" t="n"/>
      <c r="F168" s="290" t="n"/>
      <c r="G168" s="290" t="n"/>
    </row>
    <row r="169" ht="13" customHeight="1" s="189">
      <c r="C169" s="290" t="n"/>
      <c r="D169" s="290" t="n"/>
      <c r="E169" s="291" t="n"/>
      <c r="F169" s="290" t="n"/>
      <c r="G169" s="290" t="n"/>
    </row>
    <row r="170" ht="13" customHeight="1" s="189">
      <c r="C170" s="290" t="n"/>
      <c r="D170" s="290" t="n"/>
      <c r="E170" s="291" t="n"/>
      <c r="F170" s="290" t="n"/>
      <c r="G170" s="290" t="n"/>
    </row>
    <row r="171" ht="13" customHeight="1" s="189">
      <c r="C171" s="290" t="n"/>
      <c r="D171" s="290" t="n"/>
      <c r="E171" s="291" t="n"/>
      <c r="F171" s="290" t="n"/>
      <c r="G171" s="290" t="n"/>
    </row>
    <row r="172" ht="13" customHeight="1" s="189">
      <c r="C172" s="290" t="n"/>
      <c r="D172" s="290" t="n"/>
      <c r="E172" s="291" t="n"/>
      <c r="F172" s="290" t="n"/>
      <c r="G172" s="290" t="n"/>
    </row>
    <row r="173" ht="13" customHeight="1" s="189">
      <c r="C173" s="290" t="n"/>
      <c r="D173" s="290" t="n"/>
      <c r="E173" s="291" t="n"/>
      <c r="F173" s="290" t="n"/>
      <c r="G173" s="290" t="n"/>
    </row>
    <row r="174" ht="13" customHeight="1" s="189">
      <c r="C174" s="290" t="n"/>
      <c r="D174" s="290" t="n"/>
      <c r="E174" s="291" t="n"/>
      <c r="F174" s="290" t="n"/>
      <c r="G174" s="290" t="n"/>
    </row>
    <row r="175" ht="13" customHeight="1" s="189">
      <c r="C175" s="290" t="n"/>
      <c r="D175" s="290" t="n"/>
      <c r="E175" s="291" t="n"/>
      <c r="F175" s="290" t="n"/>
      <c r="G175" s="290" t="n"/>
    </row>
    <row r="176" ht="13" customHeight="1" s="189">
      <c r="C176" s="290" t="n"/>
      <c r="D176" s="290" t="n"/>
      <c r="E176" s="291" t="n"/>
      <c r="F176" s="290" t="n"/>
      <c r="G176" s="290" t="n"/>
    </row>
    <row r="177" ht="13" customHeight="1" s="189">
      <c r="C177" s="290" t="n"/>
      <c r="D177" s="290" t="n"/>
      <c r="E177" s="291" t="n"/>
      <c r="F177" s="290" t="n"/>
      <c r="G177" s="290" t="n"/>
    </row>
    <row r="178" ht="13" customHeight="1" s="189">
      <c r="C178" s="290" t="n"/>
      <c r="D178" s="290" t="n"/>
      <c r="E178" s="291" t="n"/>
      <c r="F178" s="290" t="n"/>
      <c r="G178" s="290" t="n"/>
    </row>
    <row r="179" ht="13" customHeight="1" s="189">
      <c r="C179" s="290" t="n"/>
      <c r="D179" s="290" t="n"/>
      <c r="E179" s="291" t="n"/>
      <c r="F179" s="290" t="n"/>
      <c r="G179" s="290" t="n"/>
    </row>
    <row r="180" ht="13" customHeight="1" s="189">
      <c r="C180" s="290" t="n"/>
      <c r="D180" s="290" t="n"/>
      <c r="E180" s="291" t="n"/>
      <c r="F180" s="290" t="n"/>
      <c r="G180" s="290" t="n"/>
    </row>
    <row r="181" ht="13" customHeight="1" s="189">
      <c r="C181" s="290" t="n"/>
      <c r="D181" s="290" t="n"/>
      <c r="E181" s="291" t="n"/>
      <c r="F181" s="290" t="n"/>
      <c r="G181" s="290" t="n"/>
    </row>
    <row r="182" ht="13" customHeight="1" s="189">
      <c r="C182" s="290" t="n"/>
      <c r="D182" s="290" t="n"/>
      <c r="E182" s="291" t="n"/>
      <c r="F182" s="290" t="n"/>
      <c r="G182" s="290" t="n"/>
    </row>
    <row r="183" ht="13" customHeight="1" s="189">
      <c r="C183" s="290" t="n"/>
      <c r="D183" s="290" t="n"/>
      <c r="E183" s="291" t="n"/>
      <c r="F183" s="290" t="n"/>
      <c r="G183" s="290" t="n"/>
    </row>
    <row r="184" ht="13" customHeight="1" s="189">
      <c r="C184" s="290" t="n"/>
      <c r="D184" s="290" t="n"/>
      <c r="E184" s="291" t="n"/>
      <c r="F184" s="290" t="n"/>
      <c r="G184" s="290" t="n"/>
    </row>
    <row r="185" ht="13" customHeight="1" s="189">
      <c r="C185" s="290" t="n"/>
      <c r="D185" s="290" t="n"/>
      <c r="E185" s="291" t="n"/>
      <c r="F185" s="290" t="n"/>
      <c r="G185" s="290" t="n"/>
    </row>
    <row r="186" ht="13" customHeight="1" s="189">
      <c r="C186" s="290" t="n"/>
      <c r="D186" s="290" t="n"/>
      <c r="E186" s="291" t="n"/>
      <c r="F186" s="290" t="n"/>
      <c r="G186" s="290" t="n"/>
    </row>
    <row r="187" ht="13" customHeight="1" s="189">
      <c r="C187" s="290" t="n"/>
      <c r="D187" s="290" t="n"/>
      <c r="E187" s="291" t="n"/>
      <c r="F187" s="290" t="n"/>
      <c r="G187" s="290" t="n"/>
    </row>
    <row r="188" ht="13" customHeight="1" s="189">
      <c r="C188" s="290" t="n"/>
      <c r="D188" s="290" t="n"/>
      <c r="E188" s="291" t="n"/>
      <c r="F188" s="290" t="n"/>
      <c r="G188" s="290" t="n"/>
    </row>
    <row r="189" ht="13" customHeight="1" s="189">
      <c r="C189" s="290" t="n"/>
      <c r="D189" s="290" t="n"/>
      <c r="E189" s="291" t="n"/>
      <c r="F189" s="290" t="n"/>
      <c r="G189" s="290" t="n"/>
    </row>
    <row r="190" ht="13" customHeight="1" s="189">
      <c r="C190" s="290" t="n"/>
      <c r="D190" s="290" t="n"/>
      <c r="E190" s="291" t="n"/>
      <c r="F190" s="290" t="n"/>
      <c r="G190" s="290" t="n"/>
    </row>
    <row r="191" ht="13" customHeight="1" s="189">
      <c r="C191" s="290" t="n"/>
      <c r="D191" s="290" t="n"/>
      <c r="E191" s="291" t="n"/>
      <c r="F191" s="290" t="n"/>
      <c r="G191" s="290" t="n"/>
    </row>
    <row r="192" ht="13" customHeight="1" s="189">
      <c r="C192" s="290" t="n"/>
      <c r="D192" s="290" t="n"/>
      <c r="E192" s="291" t="n"/>
      <c r="F192" s="290" t="n"/>
      <c r="G192" s="290" t="n"/>
    </row>
    <row r="193" ht="13" customHeight="1" s="189">
      <c r="C193" s="290" t="n"/>
      <c r="D193" s="290" t="n"/>
      <c r="E193" s="291" t="n"/>
      <c r="F193" s="290" t="n"/>
      <c r="G193" s="290" t="n"/>
    </row>
    <row r="194" ht="13" customHeight="1" s="189">
      <c r="C194" s="290" t="n"/>
      <c r="D194" s="290" t="n"/>
      <c r="E194" s="291" t="n"/>
      <c r="F194" s="290" t="n"/>
      <c r="G194" s="290" t="n"/>
    </row>
    <row r="195" ht="13" customHeight="1" s="189">
      <c r="C195" s="290" t="n"/>
      <c r="D195" s="290" t="n"/>
      <c r="E195" s="291" t="n"/>
      <c r="F195" s="290" t="n"/>
      <c r="G195" s="290" t="n"/>
    </row>
    <row r="196" ht="13" customHeight="1" s="189">
      <c r="C196" s="290" t="n"/>
      <c r="D196" s="290" t="n"/>
      <c r="E196" s="291" t="n"/>
      <c r="F196" s="290" t="n"/>
      <c r="G196" s="290" t="n"/>
    </row>
    <row r="197" ht="13" customHeight="1" s="189">
      <c r="C197" s="290" t="n"/>
      <c r="D197" s="290" t="n"/>
      <c r="E197" s="291" t="n"/>
      <c r="F197" s="290" t="n"/>
      <c r="G197" s="290" t="n"/>
    </row>
    <row r="198" ht="13" customHeight="1" s="189">
      <c r="C198" s="290" t="n"/>
      <c r="D198" s="290" t="n"/>
      <c r="E198" s="291" t="n"/>
      <c r="F198" s="290" t="n"/>
      <c r="G198" s="290" t="n"/>
    </row>
    <row r="199" ht="13" customHeight="1" s="189">
      <c r="C199" s="290" t="n"/>
      <c r="D199" s="290" t="n"/>
      <c r="E199" s="291" t="n"/>
      <c r="F199" s="290" t="n"/>
      <c r="G199" s="290" t="n"/>
    </row>
    <row r="200" ht="13" customHeight="1" s="189">
      <c r="C200" s="290" t="n"/>
      <c r="D200" s="290" t="n"/>
      <c r="E200" s="291" t="n"/>
      <c r="F200" s="290" t="n"/>
      <c r="G200" s="290" t="n"/>
    </row>
    <row r="201" ht="13" customHeight="1" s="189">
      <c r="C201" s="290" t="n"/>
      <c r="D201" s="290" t="n"/>
      <c r="E201" s="291" t="n"/>
      <c r="F201" s="290" t="n"/>
      <c r="G201" s="290" t="n"/>
    </row>
    <row r="202" ht="13" customHeight="1" s="189">
      <c r="C202" s="290" t="n"/>
      <c r="D202" s="290" t="n"/>
      <c r="E202" s="291" t="n"/>
      <c r="F202" s="290" t="n"/>
      <c r="G202" s="290" t="n"/>
    </row>
    <row r="203" ht="13" customHeight="1" s="189">
      <c r="C203" s="290" t="n"/>
      <c r="D203" s="290" t="n"/>
      <c r="E203" s="291" t="n"/>
      <c r="F203" s="290" t="n"/>
      <c r="G203" s="290" t="n"/>
    </row>
    <row r="204" ht="13" customHeight="1" s="189">
      <c r="C204" s="290" t="n"/>
      <c r="D204" s="290" t="n"/>
      <c r="E204" s="291" t="n"/>
      <c r="F204" s="290" t="n"/>
      <c r="G204" s="290" t="n"/>
    </row>
    <row r="205" ht="13" customHeight="1" s="189">
      <c r="C205" s="290" t="n"/>
      <c r="D205" s="290" t="n"/>
      <c r="E205" s="291" t="n"/>
      <c r="F205" s="290" t="n"/>
      <c r="G205" s="290" t="n"/>
    </row>
    <row r="206" ht="13" customHeight="1" s="189">
      <c r="C206" s="290" t="n"/>
      <c r="D206" s="290" t="n"/>
      <c r="E206" s="291" t="n"/>
      <c r="F206" s="290" t="n"/>
      <c r="G206" s="290" t="n"/>
    </row>
    <row r="207" ht="13" customHeight="1" s="189">
      <c r="C207" s="290" t="n"/>
      <c r="D207" s="290" t="n"/>
      <c r="E207" s="291" t="n"/>
      <c r="F207" s="290" t="n"/>
      <c r="G207" s="290" t="n"/>
    </row>
    <row r="208" ht="13" customHeight="1" s="189">
      <c r="C208" s="290" t="n"/>
      <c r="D208" s="290" t="n"/>
      <c r="E208" s="291" t="n"/>
      <c r="F208" s="290" t="n"/>
      <c r="G208" s="290" t="n"/>
    </row>
    <row r="209" ht="13" customHeight="1" s="189">
      <c r="C209" s="290" t="n"/>
      <c r="D209" s="290" t="n"/>
      <c r="E209" s="291" t="n"/>
      <c r="F209" s="290" t="n"/>
      <c r="G209" s="290" t="n"/>
    </row>
    <row r="210" ht="13" customHeight="1" s="189">
      <c r="C210" s="290" t="n"/>
      <c r="D210" s="290" t="n"/>
      <c r="E210" s="291" t="n"/>
      <c r="F210" s="290" t="n"/>
      <c r="G210" s="290" t="n"/>
    </row>
    <row r="211" ht="13" customHeight="1" s="189">
      <c r="C211" s="290" t="n"/>
      <c r="D211" s="290" t="n"/>
      <c r="E211" s="291" t="n"/>
      <c r="F211" s="290" t="n"/>
      <c r="G211" s="290" t="n"/>
    </row>
    <row r="212" ht="13" customHeight="1" s="189">
      <c r="C212" s="290" t="n"/>
      <c r="D212" s="290" t="n"/>
      <c r="E212" s="291" t="n"/>
      <c r="F212" s="290" t="n"/>
      <c r="G212" s="290" t="n"/>
    </row>
    <row r="213" ht="13" customHeight="1" s="189">
      <c r="C213" s="290" t="n"/>
      <c r="D213" s="290" t="n"/>
      <c r="E213" s="291" t="n"/>
      <c r="F213" s="290" t="n"/>
      <c r="G213" s="290" t="n"/>
    </row>
    <row r="214" ht="13" customHeight="1" s="189">
      <c r="C214" s="290" t="n"/>
      <c r="D214" s="290" t="n"/>
      <c r="E214" s="291" t="n"/>
      <c r="F214" s="290" t="n"/>
      <c r="G214" s="290" t="n"/>
    </row>
    <row r="215" ht="13" customHeight="1" s="189">
      <c r="C215" s="290" t="n"/>
      <c r="D215" s="290" t="n"/>
      <c r="E215" s="291" t="n"/>
      <c r="F215" s="290" t="n"/>
      <c r="G215" s="290" t="n"/>
    </row>
    <row r="216" ht="13" customHeight="1" s="189">
      <c r="C216" s="290" t="n"/>
      <c r="D216" s="290" t="n"/>
      <c r="E216" s="291" t="n"/>
      <c r="F216" s="290" t="n"/>
      <c r="G216" s="290" t="n"/>
    </row>
    <row r="217" ht="13" customHeight="1" s="189">
      <c r="C217" s="290" t="n"/>
      <c r="D217" s="290" t="n"/>
      <c r="E217" s="291" t="n"/>
      <c r="F217" s="290" t="n"/>
      <c r="G217" s="290" t="n"/>
    </row>
    <row r="218" ht="13" customHeight="1" s="189">
      <c r="C218" s="290" t="n"/>
      <c r="D218" s="290" t="n"/>
      <c r="E218" s="291" t="n"/>
      <c r="F218" s="290" t="n"/>
      <c r="G218" s="290" t="n"/>
    </row>
    <row r="219" ht="13" customHeight="1" s="189">
      <c r="C219" s="290" t="n"/>
      <c r="D219" s="290" t="n"/>
      <c r="E219" s="291" t="n"/>
      <c r="F219" s="290" t="n"/>
      <c r="G219" s="290" t="n"/>
    </row>
    <row r="220" ht="13" customHeight="1" s="189">
      <c r="C220" s="290" t="n"/>
      <c r="D220" s="290" t="n"/>
      <c r="E220" s="291" t="n"/>
      <c r="F220" s="290" t="n"/>
      <c r="G220" s="290" t="n"/>
    </row>
    <row r="221" ht="13" customHeight="1" s="189">
      <c r="C221" s="290" t="n"/>
      <c r="D221" s="290" t="n"/>
      <c r="E221" s="291" t="n"/>
      <c r="F221" s="290" t="n"/>
      <c r="G221" s="290" t="n"/>
    </row>
    <row r="222" ht="13" customHeight="1" s="189">
      <c r="C222" s="290" t="n"/>
      <c r="D222" s="290" t="n"/>
      <c r="E222" s="291" t="n"/>
      <c r="F222" s="290" t="n"/>
      <c r="G222" s="290" t="n"/>
    </row>
    <row r="223" ht="13" customHeight="1" s="189">
      <c r="C223" s="290" t="n"/>
      <c r="D223" s="290" t="n"/>
      <c r="E223" s="291" t="n"/>
      <c r="F223" s="290" t="n"/>
      <c r="G223" s="290" t="n"/>
    </row>
    <row r="224" ht="13" customHeight="1" s="189">
      <c r="C224" s="290" t="n"/>
      <c r="D224" s="290" t="n"/>
      <c r="E224" s="291" t="n"/>
      <c r="F224" s="290" t="n"/>
      <c r="G224" s="290" t="n"/>
    </row>
    <row r="225" ht="13" customHeight="1" s="189">
      <c r="C225" s="290" t="n"/>
      <c r="D225" s="290" t="n"/>
      <c r="E225" s="291" t="n"/>
      <c r="F225" s="290" t="n"/>
      <c r="G225" s="290" t="n"/>
    </row>
    <row r="226" ht="13" customHeight="1" s="189">
      <c r="C226" s="290" t="n"/>
      <c r="D226" s="290" t="n"/>
      <c r="E226" s="291" t="n"/>
      <c r="F226" s="290" t="n"/>
      <c r="G226" s="290" t="n"/>
    </row>
    <row r="227" ht="13" customHeight="1" s="189">
      <c r="C227" s="290" t="n"/>
      <c r="D227" s="290" t="n"/>
      <c r="E227" s="291" t="n"/>
      <c r="F227" s="290" t="n"/>
      <c r="G227" s="290" t="n"/>
    </row>
    <row r="228" ht="13" customHeight="1" s="189">
      <c r="C228" s="290" t="n"/>
      <c r="D228" s="290" t="n"/>
      <c r="E228" s="291" t="n"/>
      <c r="F228" s="290" t="n"/>
      <c r="G228" s="290" t="n"/>
    </row>
    <row r="229" ht="13" customHeight="1" s="189">
      <c r="C229" s="290" t="n"/>
      <c r="D229" s="290" t="n"/>
      <c r="E229" s="291" t="n"/>
      <c r="F229" s="290" t="n"/>
      <c r="G229" s="290" t="n"/>
    </row>
    <row r="230" ht="13" customHeight="1" s="189">
      <c r="C230" s="290" t="n"/>
      <c r="D230" s="290" t="n"/>
      <c r="E230" s="291" t="n"/>
      <c r="F230" s="290" t="n"/>
      <c r="G230" s="290" t="n"/>
    </row>
    <row r="231" ht="13" customHeight="1" s="189">
      <c r="C231" s="290" t="n"/>
      <c r="D231" s="290" t="n"/>
      <c r="E231" s="291" t="n"/>
      <c r="F231" s="290" t="n"/>
      <c r="G231" s="290" t="n"/>
    </row>
    <row r="232" ht="13" customHeight="1" s="189">
      <c r="C232" s="290" t="n"/>
      <c r="D232" s="290" t="n"/>
      <c r="E232" s="291" t="n"/>
      <c r="F232" s="290" t="n"/>
      <c r="G232" s="290" t="n"/>
    </row>
    <row r="233" ht="13" customHeight="1" s="189">
      <c r="C233" s="290" t="n"/>
      <c r="D233" s="290" t="n"/>
      <c r="E233" s="291" t="n"/>
      <c r="F233" s="290" t="n"/>
      <c r="G233" s="290" t="n"/>
    </row>
    <row r="234" ht="13" customHeight="1" s="189">
      <c r="C234" s="290" t="n"/>
      <c r="D234" s="290" t="n"/>
      <c r="E234" s="291" t="n"/>
      <c r="F234" s="290" t="n"/>
      <c r="G234" s="290" t="n"/>
    </row>
    <row r="235" ht="13" customHeight="1" s="189">
      <c r="C235" s="290" t="n"/>
      <c r="D235" s="290" t="n"/>
      <c r="E235" s="291" t="n"/>
      <c r="F235" s="290" t="n"/>
      <c r="G235" s="290" t="n"/>
    </row>
    <row r="236" ht="13" customHeight="1" s="189">
      <c r="C236" s="290" t="n"/>
      <c r="D236" s="290" t="n"/>
      <c r="E236" s="291" t="n"/>
      <c r="F236" s="290" t="n"/>
      <c r="G236" s="290" t="n"/>
    </row>
    <row r="237" ht="13" customHeight="1" s="189">
      <c r="C237" s="290" t="n"/>
      <c r="D237" s="290" t="n"/>
      <c r="E237" s="291" t="n"/>
      <c r="F237" s="290" t="n"/>
      <c r="G237" s="290" t="n"/>
    </row>
    <row r="238" ht="13" customHeight="1" s="189">
      <c r="C238" s="290" t="n"/>
      <c r="D238" s="290" t="n"/>
      <c r="E238" s="291" t="n"/>
      <c r="F238" s="290" t="n"/>
      <c r="G238" s="290" t="n"/>
    </row>
    <row r="239" ht="13" customHeight="1" s="189">
      <c r="C239" s="290" t="n"/>
      <c r="D239" s="290" t="n"/>
      <c r="E239" s="291" t="n"/>
      <c r="F239" s="290" t="n"/>
      <c r="G239" s="290" t="n"/>
    </row>
    <row r="240" ht="13" customHeight="1" s="189">
      <c r="C240" s="290" t="n"/>
      <c r="D240" s="290" t="n"/>
      <c r="E240" s="291" t="n"/>
      <c r="F240" s="290" t="n"/>
      <c r="G240" s="290" t="n"/>
    </row>
    <row r="241" ht="13" customHeight="1" s="189">
      <c r="C241" s="290" t="n"/>
      <c r="D241" s="290" t="n"/>
      <c r="E241" s="291" t="n"/>
      <c r="F241" s="290" t="n"/>
      <c r="G241" s="290" t="n"/>
    </row>
    <row r="242" ht="13" customHeight="1" s="189">
      <c r="C242" s="290" t="n"/>
      <c r="D242" s="290" t="n"/>
      <c r="E242" s="291" t="n"/>
      <c r="F242" s="290" t="n"/>
      <c r="G242" s="290" t="n"/>
    </row>
    <row r="243" ht="13" customHeight="1" s="189">
      <c r="C243" s="290" t="n"/>
      <c r="D243" s="290" t="n"/>
      <c r="E243" s="291" t="n"/>
      <c r="F243" s="290" t="n"/>
      <c r="G243" s="290" t="n"/>
    </row>
    <row r="244" ht="13" customHeight="1" s="189">
      <c r="C244" s="290" t="n"/>
      <c r="D244" s="290" t="n"/>
      <c r="E244" s="291" t="n"/>
      <c r="F244" s="290" t="n"/>
      <c r="G244" s="290" t="n"/>
    </row>
    <row r="245" ht="13" customHeight="1" s="189">
      <c r="C245" s="290" t="n"/>
      <c r="D245" s="290" t="n"/>
      <c r="E245" s="291" t="n"/>
      <c r="F245" s="290" t="n"/>
      <c r="G245" s="290" t="n"/>
    </row>
    <row r="246" ht="13" customHeight="1" s="189">
      <c r="C246" s="290" t="n"/>
      <c r="D246" s="290" t="n"/>
      <c r="E246" s="291" t="n"/>
      <c r="F246" s="290" t="n"/>
      <c r="G246" s="290" t="n"/>
    </row>
    <row r="247" ht="13" customHeight="1" s="189">
      <c r="C247" s="290" t="n"/>
      <c r="D247" s="290" t="n"/>
      <c r="E247" s="291" t="n"/>
      <c r="F247" s="290" t="n"/>
      <c r="G247" s="290" t="n"/>
    </row>
    <row r="248" ht="13" customHeight="1" s="189">
      <c r="C248" s="290" t="n"/>
      <c r="D248" s="290" t="n"/>
      <c r="E248" s="291" t="n"/>
      <c r="F248" s="290" t="n"/>
      <c r="G248" s="290" t="n"/>
    </row>
    <row r="249" ht="13" customHeight="1" s="189">
      <c r="C249" s="290" t="n"/>
      <c r="D249" s="290" t="n"/>
      <c r="E249" s="291" t="n"/>
      <c r="F249" s="290" t="n"/>
      <c r="G249" s="290" t="n"/>
    </row>
    <row r="250" ht="13" customHeight="1" s="189">
      <c r="C250" s="290" t="n"/>
      <c r="D250" s="290" t="n"/>
      <c r="E250" s="291" t="n"/>
      <c r="F250" s="290" t="n"/>
      <c r="G250" s="290" t="n"/>
    </row>
    <row r="251" ht="13" customHeight="1" s="189">
      <c r="C251" s="290" t="n"/>
      <c r="D251" s="290" t="n"/>
      <c r="E251" s="291" t="n"/>
      <c r="F251" s="290" t="n"/>
      <c r="G251" s="290" t="n"/>
    </row>
    <row r="252" ht="13" customHeight="1" s="189">
      <c r="C252" s="290" t="n"/>
      <c r="D252" s="290" t="n"/>
      <c r="E252" s="291" t="n"/>
      <c r="F252" s="290" t="n"/>
      <c r="G252" s="290" t="n"/>
    </row>
    <row r="253" ht="13" customHeight="1" s="189">
      <c r="C253" s="290" t="n"/>
      <c r="D253" s="290" t="n"/>
      <c r="E253" s="291" t="n"/>
      <c r="F253" s="290" t="n"/>
      <c r="G253" s="290" t="n"/>
    </row>
    <row r="254" ht="13" customHeight="1" s="189">
      <c r="C254" s="290" t="n"/>
      <c r="D254" s="290" t="n"/>
      <c r="E254" s="291" t="n"/>
      <c r="F254" s="290" t="n"/>
      <c r="G254" s="290" t="n"/>
    </row>
    <row r="255" ht="13" customHeight="1" s="189">
      <c r="C255" s="290" t="n"/>
      <c r="D255" s="290" t="n"/>
      <c r="E255" s="291" t="n"/>
      <c r="F255" s="290" t="n"/>
      <c r="G255" s="290" t="n"/>
    </row>
    <row r="256" ht="13" customHeight="1" s="189">
      <c r="C256" s="290" t="n"/>
      <c r="D256" s="290" t="n"/>
      <c r="E256" s="291" t="n"/>
      <c r="F256" s="290" t="n"/>
      <c r="G256" s="290" t="n"/>
    </row>
    <row r="257" ht="13" customHeight="1" s="189">
      <c r="C257" s="290" t="n"/>
      <c r="D257" s="290" t="n"/>
      <c r="E257" s="291" t="n"/>
      <c r="F257" s="290" t="n"/>
      <c r="G257" s="290" t="n"/>
    </row>
    <row r="258" ht="13" customHeight="1" s="189">
      <c r="C258" s="290" t="n"/>
      <c r="D258" s="290" t="n"/>
      <c r="E258" s="291" t="n"/>
      <c r="F258" s="290" t="n"/>
      <c r="G258" s="290" t="n"/>
    </row>
    <row r="259" ht="13" customHeight="1" s="189">
      <c r="C259" s="290" t="n"/>
      <c r="D259" s="290" t="n"/>
      <c r="E259" s="291" t="n"/>
      <c r="F259" s="290" t="n"/>
      <c r="G259" s="290" t="n"/>
    </row>
    <row r="260" ht="13" customHeight="1" s="189">
      <c r="C260" s="290" t="n"/>
      <c r="D260" s="290" t="n"/>
      <c r="E260" s="291" t="n"/>
      <c r="F260" s="290" t="n"/>
      <c r="G260" s="290" t="n"/>
    </row>
    <row r="261" ht="13" customHeight="1" s="189">
      <c r="C261" s="290" t="n"/>
      <c r="D261" s="290" t="n"/>
      <c r="E261" s="291" t="n"/>
      <c r="F261" s="290" t="n"/>
      <c r="G261" s="290" t="n"/>
    </row>
    <row r="262" ht="13" customHeight="1" s="189">
      <c r="C262" s="290" t="n"/>
      <c r="D262" s="290" t="n"/>
      <c r="E262" s="291" t="n"/>
      <c r="F262" s="290" t="n"/>
      <c r="G262" s="290" t="n"/>
    </row>
    <row r="263" ht="13" customHeight="1" s="189">
      <c r="C263" s="290" t="n"/>
      <c r="D263" s="290" t="n"/>
      <c r="E263" s="291" t="n"/>
      <c r="F263" s="290" t="n"/>
      <c r="G263" s="290" t="n"/>
    </row>
    <row r="264" ht="13" customHeight="1" s="189">
      <c r="C264" s="290" t="n"/>
      <c r="D264" s="290" t="n"/>
      <c r="E264" s="291" t="n"/>
      <c r="F264" s="290" t="n"/>
      <c r="G264" s="290" t="n"/>
    </row>
    <row r="265" ht="13" customHeight="1" s="189">
      <c r="C265" s="290" t="n"/>
      <c r="D265" s="290" t="n"/>
      <c r="E265" s="291" t="n"/>
      <c r="F265" s="290" t="n"/>
      <c r="G265" s="290" t="n"/>
    </row>
    <row r="266" ht="13" customHeight="1" s="189">
      <c r="C266" s="290" t="n"/>
      <c r="D266" s="290" t="n"/>
      <c r="E266" s="291" t="n"/>
      <c r="F266" s="290" t="n"/>
      <c r="G266" s="290" t="n"/>
    </row>
    <row r="267" ht="13" customHeight="1" s="189">
      <c r="C267" s="290" t="n"/>
      <c r="D267" s="290" t="n"/>
      <c r="E267" s="291" t="n"/>
      <c r="F267" s="290" t="n"/>
      <c r="G267" s="290" t="n"/>
    </row>
    <row r="268" ht="13" customHeight="1" s="189">
      <c r="C268" s="290" t="n"/>
      <c r="D268" s="290" t="n"/>
      <c r="E268" s="291" t="n"/>
      <c r="F268" s="290" t="n"/>
      <c r="G268" s="290" t="n"/>
    </row>
    <row r="269" ht="13" customHeight="1" s="189">
      <c r="C269" s="290" t="n"/>
      <c r="D269" s="290" t="n"/>
      <c r="E269" s="291" t="n"/>
      <c r="F269" s="290" t="n"/>
      <c r="G269" s="290" t="n"/>
    </row>
    <row r="270" ht="13" customHeight="1" s="189">
      <c r="C270" s="290" t="n"/>
      <c r="D270" s="290" t="n"/>
      <c r="E270" s="291" t="n"/>
      <c r="F270" s="290" t="n"/>
      <c r="G270" s="290" t="n"/>
    </row>
    <row r="271" ht="13" customHeight="1" s="189">
      <c r="C271" s="290" t="n"/>
      <c r="D271" s="290" t="n"/>
      <c r="E271" s="291" t="n"/>
      <c r="F271" s="290" t="n"/>
      <c r="G271" s="290" t="n"/>
    </row>
    <row r="272" ht="13" customHeight="1" s="189">
      <c r="C272" s="290" t="n"/>
      <c r="D272" s="290" t="n"/>
      <c r="E272" s="291" t="n"/>
      <c r="F272" s="290" t="n"/>
      <c r="G272" s="290" t="n"/>
    </row>
    <row r="273" ht="13" customHeight="1" s="189">
      <c r="C273" s="290" t="n"/>
      <c r="D273" s="290" t="n"/>
      <c r="E273" s="291" t="n"/>
      <c r="F273" s="290" t="n"/>
      <c r="G273" s="290" t="n"/>
    </row>
    <row r="274" ht="13" customHeight="1" s="189">
      <c r="C274" s="290" t="n"/>
      <c r="D274" s="290" t="n"/>
      <c r="E274" s="291" t="n"/>
      <c r="F274" s="290" t="n"/>
      <c r="G274" s="290" t="n"/>
    </row>
    <row r="275" ht="13" customHeight="1" s="189">
      <c r="C275" s="290" t="n"/>
      <c r="D275" s="290" t="n"/>
      <c r="E275" s="291" t="n"/>
      <c r="F275" s="290" t="n"/>
      <c r="G275" s="290" t="n"/>
    </row>
    <row r="276" ht="13" customHeight="1" s="189">
      <c r="C276" s="290" t="n"/>
      <c r="D276" s="290" t="n"/>
      <c r="E276" s="291" t="n"/>
      <c r="F276" s="290" t="n"/>
      <c r="G276" s="290" t="n"/>
    </row>
    <row r="277" ht="13" customHeight="1" s="189">
      <c r="C277" s="290" t="n"/>
      <c r="D277" s="290" t="n"/>
      <c r="E277" s="291" t="n"/>
      <c r="F277" s="290" t="n"/>
      <c r="G277" s="290" t="n"/>
    </row>
    <row r="278" ht="13" customHeight="1" s="189">
      <c r="C278" s="290" t="n"/>
      <c r="D278" s="290" t="n"/>
      <c r="E278" s="291" t="n"/>
      <c r="F278" s="290" t="n"/>
      <c r="G278" s="290" t="n"/>
    </row>
    <row r="279" ht="13" customHeight="1" s="189">
      <c r="C279" s="290" t="n"/>
      <c r="D279" s="290" t="n"/>
      <c r="E279" s="291" t="n"/>
      <c r="F279" s="290" t="n"/>
      <c r="G279" s="290" t="n"/>
    </row>
    <row r="280" ht="13" customHeight="1" s="189">
      <c r="C280" s="290" t="n"/>
      <c r="D280" s="290" t="n"/>
      <c r="E280" s="291" t="n"/>
      <c r="F280" s="290" t="n"/>
      <c r="G280" s="290" t="n"/>
    </row>
    <row r="281" ht="13" customHeight="1" s="189">
      <c r="C281" s="290" t="n"/>
      <c r="D281" s="290" t="n"/>
      <c r="E281" s="291" t="n"/>
      <c r="F281" s="290" t="n"/>
      <c r="G281" s="290" t="n"/>
    </row>
    <row r="282" ht="13" customHeight="1" s="189">
      <c r="C282" s="290" t="n"/>
      <c r="D282" s="290" t="n"/>
      <c r="E282" s="291" t="n"/>
      <c r="F282" s="290" t="n"/>
      <c r="G282" s="290" t="n"/>
    </row>
    <row r="283" ht="13" customHeight="1" s="189">
      <c r="C283" s="290" t="n"/>
      <c r="D283" s="290" t="n"/>
      <c r="E283" s="291" t="n"/>
      <c r="F283" s="290" t="n"/>
      <c r="G283" s="290" t="n"/>
    </row>
    <row r="284" ht="13" customHeight="1" s="189">
      <c r="C284" s="290" t="n"/>
      <c r="D284" s="290" t="n"/>
      <c r="E284" s="291" t="n"/>
      <c r="F284" s="290" t="n"/>
      <c r="G284" s="290" t="n"/>
    </row>
    <row r="285" ht="13" customHeight="1" s="189">
      <c r="C285" s="290" t="n"/>
      <c r="D285" s="290" t="n"/>
      <c r="E285" s="291" t="n"/>
      <c r="F285" s="290" t="n"/>
      <c r="G285" s="290" t="n"/>
    </row>
    <row r="286" ht="13" customHeight="1" s="189">
      <c r="C286" s="290" t="n"/>
      <c r="D286" s="290" t="n"/>
      <c r="E286" s="291" t="n"/>
      <c r="F286" s="290" t="n"/>
      <c r="G286" s="290" t="n"/>
    </row>
    <row r="287" ht="13" customHeight="1" s="189">
      <c r="C287" s="290" t="n"/>
      <c r="D287" s="290" t="n"/>
      <c r="E287" s="291" t="n"/>
      <c r="F287" s="290" t="n"/>
      <c r="G287" s="290" t="n"/>
    </row>
    <row r="288" ht="13" customHeight="1" s="189">
      <c r="C288" s="290" t="n"/>
      <c r="D288" s="290" t="n"/>
      <c r="E288" s="291" t="n"/>
      <c r="F288" s="290" t="n"/>
      <c r="G288" s="290" t="n"/>
    </row>
    <row r="289" ht="13" customHeight="1" s="189">
      <c r="C289" s="290" t="n"/>
      <c r="D289" s="290" t="n"/>
      <c r="E289" s="291" t="n"/>
      <c r="F289" s="290" t="n"/>
      <c r="G289" s="290" t="n"/>
    </row>
    <row r="290" ht="13" customHeight="1" s="189">
      <c r="C290" s="290" t="n"/>
      <c r="D290" s="290" t="n"/>
      <c r="E290" s="291" t="n"/>
      <c r="F290" s="290" t="n"/>
      <c r="G290" s="290" t="n"/>
    </row>
    <row r="291" ht="13" customHeight="1" s="189">
      <c r="C291" s="290" t="n"/>
      <c r="D291" s="290" t="n"/>
      <c r="E291" s="291" t="n"/>
      <c r="F291" s="290" t="n"/>
      <c r="G291" s="290" t="n"/>
    </row>
    <row r="292" ht="13" customHeight="1" s="189">
      <c r="C292" s="290" t="n"/>
      <c r="D292" s="290" t="n"/>
      <c r="E292" s="291" t="n"/>
      <c r="F292" s="290" t="n"/>
      <c r="G292" s="290" t="n"/>
    </row>
    <row r="293" ht="13" customHeight="1" s="189">
      <c r="C293" s="290" t="n"/>
      <c r="D293" s="290" t="n"/>
      <c r="E293" s="291" t="n"/>
      <c r="F293" s="290" t="n"/>
      <c r="G293" s="290" t="n"/>
    </row>
    <row r="294" ht="13" customHeight="1" s="189">
      <c r="C294" s="290" t="n"/>
      <c r="D294" s="290" t="n"/>
      <c r="E294" s="291" t="n"/>
      <c r="F294" s="290" t="n"/>
      <c r="G294" s="290" t="n"/>
    </row>
    <row r="295" ht="13" customHeight="1" s="189">
      <c r="C295" s="290" t="n"/>
      <c r="D295" s="290" t="n"/>
      <c r="E295" s="291" t="n"/>
      <c r="F295" s="290" t="n"/>
      <c r="G295" s="290" t="n"/>
    </row>
    <row r="296" ht="13" customHeight="1" s="189">
      <c r="C296" s="290" t="n"/>
      <c r="D296" s="290" t="n"/>
      <c r="E296" s="291" t="n"/>
      <c r="F296" s="290" t="n"/>
      <c r="G296" s="290" t="n"/>
    </row>
    <row r="297" ht="13" customHeight="1" s="189">
      <c r="C297" s="290" t="n"/>
      <c r="D297" s="290" t="n"/>
      <c r="E297" s="291" t="n"/>
      <c r="F297" s="290" t="n"/>
      <c r="G297" s="290" t="n"/>
    </row>
    <row r="298" ht="13" customHeight="1" s="189">
      <c r="C298" s="290" t="n"/>
      <c r="D298" s="290" t="n"/>
      <c r="E298" s="291" t="n"/>
      <c r="F298" s="290" t="n"/>
      <c r="G298" s="290" t="n"/>
    </row>
    <row r="299" ht="13" customHeight="1" s="189">
      <c r="C299" s="290" t="n"/>
      <c r="D299" s="290" t="n"/>
      <c r="E299" s="291" t="n"/>
      <c r="F299" s="290" t="n"/>
      <c r="G299" s="290" t="n"/>
    </row>
    <row r="300" ht="13" customHeight="1" s="189">
      <c r="C300" s="290" t="n"/>
      <c r="D300" s="290" t="n"/>
      <c r="E300" s="291" t="n"/>
      <c r="F300" s="290" t="n"/>
      <c r="G300" s="290" t="n"/>
    </row>
    <row r="301" ht="13" customHeight="1" s="189">
      <c r="C301" s="290" t="n"/>
      <c r="D301" s="290" t="n"/>
      <c r="E301" s="291" t="n"/>
      <c r="F301" s="290" t="n"/>
      <c r="G301" s="290" t="n"/>
    </row>
    <row r="302" ht="13" customHeight="1" s="189">
      <c r="C302" s="290" t="n"/>
      <c r="D302" s="290" t="n"/>
      <c r="E302" s="291" t="n"/>
      <c r="F302" s="290" t="n"/>
      <c r="G302" s="290" t="n"/>
    </row>
    <row r="303" ht="13" customHeight="1" s="189">
      <c r="C303" s="290" t="n"/>
      <c r="D303" s="290" t="n"/>
      <c r="E303" s="291" t="n"/>
      <c r="F303" s="290" t="n"/>
      <c r="G303" s="290" t="n"/>
    </row>
    <row r="304" ht="13" customHeight="1" s="189">
      <c r="C304" s="290" t="n"/>
      <c r="D304" s="290" t="n"/>
      <c r="E304" s="291" t="n"/>
      <c r="F304" s="290" t="n"/>
      <c r="G304" s="290" t="n"/>
    </row>
    <row r="305" ht="13" customHeight="1" s="189">
      <c r="C305" s="290" t="n"/>
      <c r="D305" s="290" t="n"/>
      <c r="E305" s="291" t="n"/>
      <c r="F305" s="290" t="n"/>
      <c r="G305" s="290" t="n"/>
    </row>
    <row r="306" ht="13" customHeight="1" s="189">
      <c r="C306" s="290" t="n"/>
      <c r="D306" s="290" t="n"/>
      <c r="E306" s="291" t="n"/>
      <c r="F306" s="290" t="n"/>
      <c r="G306" s="290" t="n"/>
    </row>
    <row r="307" ht="13" customHeight="1" s="189">
      <c r="C307" s="290" t="n"/>
      <c r="D307" s="290" t="n"/>
      <c r="E307" s="291" t="n"/>
      <c r="F307" s="290" t="n"/>
      <c r="G307" s="290" t="n"/>
    </row>
    <row r="308" ht="13" customHeight="1" s="189">
      <c r="C308" s="290" t="n"/>
      <c r="D308" s="290" t="n"/>
      <c r="E308" s="291" t="n"/>
      <c r="F308" s="290" t="n"/>
      <c r="G308" s="290" t="n"/>
    </row>
    <row r="309" ht="13" customHeight="1" s="189">
      <c r="C309" s="290" t="n"/>
      <c r="D309" s="290" t="n"/>
      <c r="E309" s="291" t="n"/>
      <c r="F309" s="290" t="n"/>
      <c r="G309" s="290" t="n"/>
    </row>
    <row r="310" ht="13" customHeight="1" s="189">
      <c r="C310" s="290" t="n"/>
      <c r="D310" s="290" t="n"/>
      <c r="E310" s="291" t="n"/>
      <c r="F310" s="290" t="n"/>
      <c r="G310" s="290" t="n"/>
    </row>
    <row r="311" ht="13" customHeight="1" s="189">
      <c r="C311" s="290" t="n"/>
      <c r="D311" s="290" t="n"/>
      <c r="E311" s="291" t="n"/>
      <c r="F311" s="290" t="n"/>
      <c r="G311" s="290" t="n"/>
    </row>
    <row r="312" ht="13" customHeight="1" s="189">
      <c r="C312" s="290" t="n"/>
      <c r="D312" s="290" t="n"/>
      <c r="E312" s="291" t="n"/>
      <c r="F312" s="290" t="n"/>
      <c r="G312" s="290" t="n"/>
    </row>
    <row r="313" ht="13" customHeight="1" s="189">
      <c r="C313" s="290" t="n"/>
      <c r="D313" s="290" t="n"/>
      <c r="E313" s="291" t="n"/>
      <c r="F313" s="290" t="n"/>
      <c r="G313" s="290" t="n"/>
    </row>
    <row r="314" ht="13" customHeight="1" s="189">
      <c r="C314" s="290" t="n"/>
      <c r="D314" s="290" t="n"/>
      <c r="E314" s="291" t="n"/>
      <c r="F314" s="290" t="n"/>
      <c r="G314" s="290" t="n"/>
    </row>
    <row r="315" ht="13" customHeight="1" s="189">
      <c r="C315" s="290" t="n"/>
      <c r="D315" s="290" t="n"/>
      <c r="E315" s="291" t="n"/>
      <c r="F315" s="290" t="n"/>
      <c r="G315" s="290" t="n"/>
    </row>
    <row r="316" ht="13" customHeight="1" s="189">
      <c r="C316" s="290" t="n"/>
      <c r="D316" s="290" t="n"/>
      <c r="E316" s="291" t="n"/>
      <c r="F316" s="290" t="n"/>
      <c r="G316" s="290" t="n"/>
    </row>
    <row r="317" ht="13" customHeight="1" s="189">
      <c r="C317" s="290" t="n"/>
      <c r="D317" s="290" t="n"/>
      <c r="E317" s="291" t="n"/>
      <c r="F317" s="290" t="n"/>
      <c r="G317" s="290" t="n"/>
    </row>
    <row r="318" ht="13" customHeight="1" s="189">
      <c r="C318" s="290" t="n"/>
      <c r="D318" s="290" t="n"/>
      <c r="E318" s="291" t="n"/>
      <c r="F318" s="290" t="n"/>
      <c r="G318" s="290" t="n"/>
    </row>
    <row r="319" ht="13" customHeight="1" s="189">
      <c r="C319" s="290" t="n"/>
      <c r="D319" s="290" t="n"/>
      <c r="E319" s="291" t="n"/>
      <c r="F319" s="290" t="n"/>
      <c r="G319" s="290" t="n"/>
    </row>
    <row r="320" ht="13" customHeight="1" s="189">
      <c r="C320" s="290" t="n"/>
      <c r="D320" s="290" t="n"/>
      <c r="E320" s="291" t="n"/>
      <c r="F320" s="290" t="n"/>
      <c r="G320" s="290" t="n"/>
    </row>
    <row r="321" ht="13" customHeight="1" s="189">
      <c r="C321" s="290" t="n"/>
      <c r="D321" s="290" t="n"/>
      <c r="E321" s="291" t="n"/>
      <c r="F321" s="290" t="n"/>
      <c r="G321" s="290" t="n"/>
    </row>
    <row r="322" ht="13" customHeight="1" s="189">
      <c r="C322" s="290" t="n"/>
      <c r="D322" s="290" t="n"/>
      <c r="E322" s="291" t="n"/>
      <c r="F322" s="290" t="n"/>
      <c r="G322" s="290" t="n"/>
    </row>
    <row r="323" ht="13" customHeight="1" s="189">
      <c r="C323" s="290" t="n"/>
      <c r="D323" s="290" t="n"/>
      <c r="E323" s="291" t="n"/>
      <c r="F323" s="290" t="n"/>
      <c r="G323" s="290" t="n"/>
    </row>
    <row r="324" ht="13" customHeight="1" s="189">
      <c r="C324" s="290" t="n"/>
      <c r="D324" s="290" t="n"/>
      <c r="E324" s="291" t="n"/>
      <c r="F324" s="290" t="n"/>
      <c r="G324" s="290" t="n"/>
    </row>
    <row r="325" ht="13" customHeight="1" s="189">
      <c r="C325" s="290" t="n"/>
      <c r="D325" s="290" t="n"/>
      <c r="E325" s="291" t="n"/>
      <c r="F325" s="290" t="n"/>
      <c r="G325" s="290" t="n"/>
    </row>
    <row r="326" ht="13" customHeight="1" s="189">
      <c r="C326" s="290" t="n"/>
      <c r="D326" s="290" t="n"/>
      <c r="E326" s="291" t="n"/>
      <c r="F326" s="290" t="n"/>
      <c r="G326" s="290" t="n"/>
    </row>
    <row r="327" ht="13" customHeight="1" s="189">
      <c r="C327" s="290" t="n"/>
      <c r="D327" s="290" t="n"/>
      <c r="E327" s="291" t="n"/>
      <c r="F327" s="290" t="n"/>
      <c r="G327" s="290" t="n"/>
    </row>
    <row r="328" ht="13" customHeight="1" s="189">
      <c r="C328" s="290" t="n"/>
      <c r="D328" s="290" t="n"/>
      <c r="E328" s="291" t="n"/>
      <c r="F328" s="290" t="n"/>
      <c r="G328" s="290" t="n"/>
    </row>
    <row r="329" ht="13" customHeight="1" s="189">
      <c r="C329" s="290" t="n"/>
      <c r="D329" s="290" t="n"/>
      <c r="E329" s="291" t="n"/>
      <c r="F329" s="290" t="n"/>
      <c r="G329" s="290" t="n"/>
    </row>
    <row r="330" ht="13" customHeight="1" s="189">
      <c r="C330" s="290" t="n"/>
      <c r="D330" s="290" t="n"/>
      <c r="E330" s="291" t="n"/>
      <c r="F330" s="290" t="n"/>
      <c r="G330" s="290" t="n"/>
    </row>
    <row r="331" ht="13" customHeight="1" s="189">
      <c r="C331" s="290" t="n"/>
      <c r="D331" s="290" t="n"/>
      <c r="E331" s="291" t="n"/>
      <c r="F331" s="290" t="n"/>
      <c r="G331" s="290" t="n"/>
    </row>
    <row r="332" ht="13" customHeight="1" s="189">
      <c r="C332" s="290" t="n"/>
      <c r="D332" s="290" t="n"/>
      <c r="E332" s="291" t="n"/>
      <c r="F332" s="290" t="n"/>
      <c r="G332" s="290" t="n"/>
    </row>
    <row r="333" ht="13" customHeight="1" s="189">
      <c r="C333" s="290" t="n"/>
      <c r="D333" s="290" t="n"/>
      <c r="E333" s="291" t="n"/>
      <c r="F333" s="290" t="n"/>
      <c r="G333" s="290" t="n"/>
    </row>
    <row r="334" ht="13" customHeight="1" s="189">
      <c r="C334" s="290" t="n"/>
      <c r="D334" s="290" t="n"/>
      <c r="E334" s="291" t="n"/>
      <c r="F334" s="290" t="n"/>
      <c r="G334" s="290" t="n"/>
    </row>
    <row r="335" ht="13" customHeight="1" s="189">
      <c r="C335" s="290" t="n"/>
      <c r="D335" s="290" t="n"/>
      <c r="E335" s="291" t="n"/>
      <c r="F335" s="290" t="n"/>
      <c r="G335" s="290" t="n"/>
    </row>
    <row r="336" ht="13" customHeight="1" s="189">
      <c r="C336" s="290" t="n"/>
      <c r="D336" s="290" t="n"/>
      <c r="E336" s="291" t="n"/>
      <c r="F336" s="290" t="n"/>
      <c r="G336" s="290" t="n"/>
    </row>
    <row r="337" ht="13" customHeight="1" s="189">
      <c r="C337" s="290" t="n"/>
      <c r="D337" s="290" t="n"/>
      <c r="E337" s="291" t="n"/>
      <c r="F337" s="290" t="n"/>
      <c r="G337" s="290" t="n"/>
    </row>
    <row r="338" ht="13" customHeight="1" s="189">
      <c r="C338" s="290" t="n"/>
      <c r="D338" s="290" t="n"/>
      <c r="E338" s="291" t="n"/>
      <c r="F338" s="290" t="n"/>
      <c r="G338" s="290" t="n"/>
    </row>
    <row r="339" ht="13" customHeight="1" s="189">
      <c r="C339" s="290" t="n"/>
      <c r="D339" s="290" t="n"/>
      <c r="E339" s="291" t="n"/>
      <c r="F339" s="290" t="n"/>
      <c r="G339" s="290" t="n"/>
    </row>
    <row r="340" ht="13" customHeight="1" s="189">
      <c r="C340" s="290" t="n"/>
      <c r="D340" s="290" t="n"/>
      <c r="E340" s="291" t="n"/>
      <c r="F340" s="290" t="n"/>
      <c r="G340" s="290" t="n"/>
    </row>
    <row r="341" ht="13" customHeight="1" s="189">
      <c r="C341" s="290" t="n"/>
      <c r="D341" s="290" t="n"/>
      <c r="E341" s="291" t="n"/>
      <c r="F341" s="290" t="n"/>
      <c r="G341" s="290" t="n"/>
    </row>
    <row r="342" ht="13" customHeight="1" s="189">
      <c r="C342" s="290" t="n"/>
      <c r="D342" s="290" t="n"/>
      <c r="E342" s="291" t="n"/>
      <c r="F342" s="290" t="n"/>
      <c r="G342" s="290" t="n"/>
    </row>
    <row r="343" ht="13" customHeight="1" s="189">
      <c r="C343" s="290" t="n"/>
      <c r="D343" s="290" t="n"/>
      <c r="E343" s="291" t="n"/>
      <c r="F343" s="290" t="n"/>
      <c r="G343" s="290" t="n"/>
    </row>
    <row r="344" ht="13" customHeight="1" s="189">
      <c r="C344" s="290" t="n"/>
      <c r="D344" s="290" t="n"/>
      <c r="E344" s="291" t="n"/>
      <c r="F344" s="290" t="n"/>
      <c r="G344" s="290" t="n"/>
    </row>
    <row r="345" ht="13" customHeight="1" s="189">
      <c r="C345" s="290" t="n"/>
      <c r="D345" s="290" t="n"/>
      <c r="E345" s="291" t="n"/>
      <c r="F345" s="290" t="n"/>
      <c r="G345" s="290" t="n"/>
    </row>
    <row r="346" ht="13" customHeight="1" s="189">
      <c r="C346" s="290" t="n"/>
      <c r="D346" s="290" t="n"/>
      <c r="E346" s="291" t="n"/>
      <c r="F346" s="290" t="n"/>
      <c r="G346" s="290" t="n"/>
    </row>
    <row r="347" ht="13" customHeight="1" s="189">
      <c r="C347" s="290" t="n"/>
      <c r="D347" s="290" t="n"/>
      <c r="E347" s="291" t="n"/>
      <c r="F347" s="290" t="n"/>
      <c r="G347" s="290" t="n"/>
    </row>
    <row r="348" ht="13" customHeight="1" s="189">
      <c r="C348" s="290" t="n"/>
      <c r="D348" s="290" t="n"/>
      <c r="E348" s="291" t="n"/>
      <c r="F348" s="290" t="n"/>
      <c r="G348" s="290" t="n"/>
    </row>
    <row r="349" ht="13" customHeight="1" s="189">
      <c r="C349" s="290" t="n"/>
      <c r="D349" s="290" t="n"/>
      <c r="E349" s="291" t="n"/>
      <c r="F349" s="290" t="n"/>
      <c r="G349" s="290" t="n"/>
    </row>
    <row r="350" ht="13" customHeight="1" s="189">
      <c r="C350" s="290" t="n"/>
      <c r="D350" s="290" t="n"/>
      <c r="E350" s="291" t="n"/>
      <c r="F350" s="290" t="n"/>
      <c r="G350" s="290" t="n"/>
    </row>
    <row r="351" ht="13" customHeight="1" s="189">
      <c r="C351" s="290" t="n"/>
      <c r="D351" s="290" t="n"/>
      <c r="E351" s="291" t="n"/>
      <c r="F351" s="290" t="n"/>
      <c r="G351" s="290" t="n"/>
    </row>
    <row r="352" ht="13" customHeight="1" s="189">
      <c r="C352" s="290" t="n"/>
      <c r="D352" s="290" t="n"/>
      <c r="E352" s="291" t="n"/>
      <c r="F352" s="290" t="n"/>
      <c r="G352" s="290" t="n"/>
    </row>
    <row r="353" ht="13" customHeight="1" s="189">
      <c r="C353" s="290" t="n"/>
      <c r="D353" s="290" t="n"/>
      <c r="E353" s="291" t="n"/>
      <c r="F353" s="290" t="n"/>
      <c r="G353" s="290" t="n"/>
    </row>
    <row r="354" ht="13" customHeight="1" s="189">
      <c r="C354" s="290" t="n"/>
      <c r="D354" s="290" t="n"/>
      <c r="E354" s="291" t="n"/>
      <c r="F354" s="290" t="n"/>
      <c r="G354" s="290" t="n"/>
    </row>
    <row r="355" ht="13" customHeight="1" s="189">
      <c r="C355" s="290" t="n"/>
      <c r="D355" s="290" t="n"/>
      <c r="E355" s="291" t="n"/>
      <c r="F355" s="290" t="n"/>
      <c r="G355" s="290" t="n"/>
    </row>
    <row r="356" ht="13" customHeight="1" s="189">
      <c r="C356" s="290" t="n"/>
      <c r="D356" s="290" t="n"/>
      <c r="E356" s="291" t="n"/>
      <c r="F356" s="290" t="n"/>
      <c r="G356" s="290" t="n"/>
    </row>
    <row r="357" ht="13" customHeight="1" s="189">
      <c r="C357" s="290" t="n"/>
      <c r="D357" s="290" t="n"/>
      <c r="E357" s="291" t="n"/>
      <c r="F357" s="290" t="n"/>
      <c r="G357" s="290" t="n"/>
    </row>
    <row r="358" ht="13" customHeight="1" s="189">
      <c r="C358" s="290" t="n"/>
      <c r="D358" s="290" t="n"/>
      <c r="E358" s="291" t="n"/>
      <c r="F358" s="290" t="n"/>
      <c r="G358" s="290" t="n"/>
    </row>
    <row r="359" ht="13" customHeight="1" s="189">
      <c r="C359" s="290" t="n"/>
      <c r="D359" s="290" t="n"/>
      <c r="E359" s="291" t="n"/>
      <c r="F359" s="290" t="n"/>
      <c r="G359" s="290" t="n"/>
    </row>
    <row r="360" ht="13" customHeight="1" s="189">
      <c r="C360" s="290" t="n"/>
      <c r="D360" s="290" t="n"/>
      <c r="E360" s="291" t="n"/>
      <c r="F360" s="290" t="n"/>
      <c r="G360" s="290" t="n"/>
    </row>
    <row r="361" ht="13" customHeight="1" s="189">
      <c r="C361" s="290" t="n"/>
      <c r="D361" s="290" t="n"/>
      <c r="E361" s="291" t="n"/>
      <c r="F361" s="290" t="n"/>
      <c r="G361" s="290" t="n"/>
    </row>
    <row r="362" ht="13" customHeight="1" s="189">
      <c r="C362" s="290" t="n"/>
      <c r="D362" s="290" t="n"/>
      <c r="E362" s="291" t="n"/>
      <c r="F362" s="290" t="n"/>
      <c r="G362" s="290" t="n"/>
    </row>
    <row r="363" ht="13" customHeight="1" s="189">
      <c r="C363" s="290" t="n"/>
      <c r="D363" s="290" t="n"/>
      <c r="E363" s="291" t="n"/>
      <c r="F363" s="290" t="n"/>
      <c r="G363" s="290" t="n"/>
    </row>
    <row r="364" ht="13" customHeight="1" s="189">
      <c r="C364" s="290" t="n"/>
      <c r="D364" s="290" t="n"/>
      <c r="E364" s="291" t="n"/>
      <c r="F364" s="290" t="n"/>
      <c r="G364" s="290" t="n"/>
    </row>
    <row r="365" ht="13" customHeight="1" s="189">
      <c r="C365" s="290" t="n"/>
      <c r="D365" s="290" t="n"/>
      <c r="E365" s="291" t="n"/>
      <c r="F365" s="290" t="n"/>
      <c r="G365" s="290" t="n"/>
    </row>
    <row r="366" ht="13" customHeight="1" s="189">
      <c r="C366" s="290" t="n"/>
      <c r="D366" s="290" t="n"/>
      <c r="E366" s="291" t="n"/>
      <c r="F366" s="290" t="n"/>
      <c r="G366" s="290" t="n"/>
    </row>
    <row r="367" ht="13" customHeight="1" s="189">
      <c r="C367" s="290" t="n"/>
      <c r="D367" s="290" t="n"/>
      <c r="E367" s="291" t="n"/>
      <c r="F367" s="290" t="n"/>
      <c r="G367" s="290" t="n"/>
    </row>
    <row r="368" ht="13" customHeight="1" s="189">
      <c r="C368" s="290" t="n"/>
      <c r="D368" s="290" t="n"/>
      <c r="E368" s="291" t="n"/>
      <c r="F368" s="290" t="n"/>
      <c r="G368" s="290" t="n"/>
    </row>
    <row r="369" ht="13" customHeight="1" s="189">
      <c r="C369" s="290" t="n"/>
      <c r="D369" s="290" t="n"/>
      <c r="E369" s="291" t="n"/>
      <c r="F369" s="290" t="n"/>
      <c r="G369" s="290" t="n"/>
    </row>
    <row r="370" ht="13" customHeight="1" s="189">
      <c r="C370" s="290" t="n"/>
      <c r="D370" s="290" t="n"/>
      <c r="E370" s="291" t="n"/>
      <c r="F370" s="290" t="n"/>
      <c r="G370" s="290" t="n"/>
    </row>
    <row r="371" ht="13" customHeight="1" s="189">
      <c r="C371" s="290" t="n"/>
      <c r="D371" s="290" t="n"/>
      <c r="E371" s="291" t="n"/>
      <c r="F371" s="290" t="n"/>
      <c r="G371" s="290" t="n"/>
    </row>
    <row r="372" ht="13" customHeight="1" s="189">
      <c r="C372" s="290" t="n"/>
      <c r="D372" s="290" t="n"/>
      <c r="E372" s="291" t="n"/>
      <c r="F372" s="290" t="n"/>
      <c r="G372" s="290" t="n"/>
    </row>
    <row r="373" ht="13" customHeight="1" s="189">
      <c r="C373" s="290" t="n"/>
      <c r="D373" s="290" t="n"/>
      <c r="E373" s="291" t="n"/>
      <c r="F373" s="290" t="n"/>
      <c r="G373" s="290" t="n"/>
    </row>
    <row r="374" ht="13" customHeight="1" s="189">
      <c r="C374" s="290" t="n"/>
      <c r="D374" s="290" t="n"/>
      <c r="E374" s="291" t="n"/>
      <c r="F374" s="290" t="n"/>
      <c r="G374" s="290" t="n"/>
    </row>
    <row r="375" ht="13" customHeight="1" s="189">
      <c r="C375" s="290" t="n"/>
      <c r="D375" s="290" t="n"/>
      <c r="E375" s="291" t="n"/>
      <c r="F375" s="290" t="n"/>
      <c r="G375" s="290" t="n"/>
    </row>
    <row r="376" ht="13" customHeight="1" s="189">
      <c r="C376" s="290" t="n"/>
      <c r="D376" s="290" t="n"/>
      <c r="E376" s="291" t="n"/>
      <c r="F376" s="290" t="n"/>
      <c r="G376" s="290" t="n"/>
    </row>
    <row r="377" ht="13" customHeight="1" s="189">
      <c r="C377" s="290" t="n"/>
      <c r="D377" s="290" t="n"/>
      <c r="E377" s="291" t="n"/>
      <c r="F377" s="290" t="n"/>
      <c r="G377" s="290" t="n"/>
    </row>
    <row r="378" ht="13" customHeight="1" s="189">
      <c r="C378" s="290" t="n"/>
      <c r="D378" s="290" t="n"/>
      <c r="E378" s="291" t="n"/>
      <c r="F378" s="290" t="n"/>
      <c r="G378" s="290" t="n"/>
    </row>
    <row r="379" ht="13" customHeight="1" s="189">
      <c r="C379" s="290" t="n"/>
      <c r="D379" s="290" t="n"/>
      <c r="E379" s="291" t="n"/>
      <c r="F379" s="290" t="n"/>
      <c r="G379" s="290" t="n"/>
    </row>
    <row r="380" ht="13" customHeight="1" s="189">
      <c r="C380" s="290" t="n"/>
      <c r="D380" s="290" t="n"/>
      <c r="E380" s="291" t="n"/>
      <c r="F380" s="290" t="n"/>
      <c r="G380" s="290" t="n"/>
    </row>
    <row r="381" ht="13" customHeight="1" s="189">
      <c r="C381" s="290" t="n"/>
      <c r="D381" s="290" t="n"/>
      <c r="E381" s="291" t="n"/>
      <c r="F381" s="290" t="n"/>
      <c r="G381" s="290" t="n"/>
    </row>
    <row r="382" ht="13" customHeight="1" s="189">
      <c r="C382" s="290" t="n"/>
      <c r="D382" s="290" t="n"/>
      <c r="E382" s="291" t="n"/>
      <c r="F382" s="290" t="n"/>
      <c r="G382" s="290" t="n"/>
    </row>
    <row r="383" ht="13" customHeight="1" s="189">
      <c r="C383" s="290" t="n"/>
      <c r="D383" s="290" t="n"/>
      <c r="E383" s="291" t="n"/>
      <c r="F383" s="290" t="n"/>
      <c r="G383" s="290" t="n"/>
    </row>
    <row r="384" ht="13" customHeight="1" s="189">
      <c r="C384" s="290" t="n"/>
      <c r="D384" s="290" t="n"/>
      <c r="E384" s="291" t="n"/>
      <c r="F384" s="290" t="n"/>
      <c r="G384" s="290" t="n"/>
    </row>
    <row r="385" ht="13" customHeight="1" s="189">
      <c r="C385" s="290" t="n"/>
      <c r="D385" s="290" t="n"/>
      <c r="E385" s="291" t="n"/>
      <c r="F385" s="290" t="n"/>
      <c r="G385" s="290" t="n"/>
    </row>
    <row r="386" ht="13" customHeight="1" s="189">
      <c r="C386" s="290" t="n"/>
      <c r="D386" s="290" t="n"/>
      <c r="E386" s="291" t="n"/>
      <c r="F386" s="290" t="n"/>
      <c r="G386" s="290" t="n"/>
    </row>
    <row r="387" ht="13" customHeight="1" s="189">
      <c r="C387" s="290" t="n"/>
      <c r="D387" s="290" t="n"/>
      <c r="E387" s="291" t="n"/>
      <c r="F387" s="290" t="n"/>
      <c r="G387" s="290" t="n"/>
    </row>
    <row r="388" ht="13" customHeight="1" s="189">
      <c r="C388" s="290" t="n"/>
      <c r="D388" s="290" t="n"/>
      <c r="E388" s="291" t="n"/>
      <c r="F388" s="290" t="n"/>
      <c r="G388" s="290" t="n"/>
    </row>
    <row r="389" ht="13" customHeight="1" s="189">
      <c r="C389" s="290" t="n"/>
      <c r="D389" s="290" t="n"/>
      <c r="E389" s="291" t="n"/>
      <c r="F389" s="290" t="n"/>
      <c r="G389" s="290" t="n"/>
    </row>
    <row r="390" ht="13" customHeight="1" s="189">
      <c r="C390" s="290" t="n"/>
      <c r="D390" s="290" t="n"/>
      <c r="E390" s="291" t="n"/>
      <c r="F390" s="290" t="n"/>
      <c r="G390" s="290" t="n"/>
    </row>
    <row r="391" ht="13" customHeight="1" s="189">
      <c r="C391" s="290" t="n"/>
      <c r="D391" s="290" t="n"/>
      <c r="E391" s="291" t="n"/>
      <c r="F391" s="290" t="n"/>
      <c r="G391" s="290" t="n"/>
    </row>
    <row r="392" ht="13" customHeight="1" s="189">
      <c r="C392" s="290" t="n"/>
      <c r="D392" s="290" t="n"/>
      <c r="E392" s="291" t="n"/>
      <c r="F392" s="290" t="n"/>
      <c r="G392" s="290" t="n"/>
    </row>
    <row r="393" ht="13" customHeight="1" s="189">
      <c r="C393" s="290" t="n"/>
      <c r="D393" s="290" t="n"/>
      <c r="E393" s="291" t="n"/>
      <c r="F393" s="290" t="n"/>
      <c r="G393" s="290" t="n"/>
    </row>
    <row r="394" ht="13" customHeight="1" s="189">
      <c r="C394" s="290" t="n"/>
      <c r="D394" s="290" t="n"/>
      <c r="E394" s="291" t="n"/>
      <c r="F394" s="290" t="n"/>
      <c r="G394" s="290" t="n"/>
    </row>
    <row r="395" ht="13" customHeight="1" s="189">
      <c r="C395" s="290" t="n"/>
      <c r="D395" s="290" t="n"/>
      <c r="E395" s="291" t="n"/>
      <c r="F395" s="290" t="n"/>
      <c r="G395" s="290" t="n"/>
    </row>
    <row r="396" ht="13" customHeight="1" s="189">
      <c r="C396" s="290" t="n"/>
      <c r="D396" s="290" t="n"/>
      <c r="E396" s="291" t="n"/>
      <c r="F396" s="290" t="n"/>
      <c r="G396" s="290" t="n"/>
    </row>
    <row r="397" ht="13" customHeight="1" s="189">
      <c r="C397" s="290" t="n"/>
      <c r="D397" s="290" t="n"/>
      <c r="E397" s="291" t="n"/>
      <c r="F397" s="290" t="n"/>
      <c r="G397" s="290" t="n"/>
    </row>
    <row r="398" ht="13" customHeight="1" s="189">
      <c r="C398" s="290" t="n"/>
      <c r="D398" s="290" t="n"/>
      <c r="E398" s="291" t="n"/>
      <c r="F398" s="290" t="n"/>
      <c r="G398" s="290" t="n"/>
    </row>
    <row r="399" ht="13" customHeight="1" s="189">
      <c r="C399" s="290" t="n"/>
      <c r="D399" s="290" t="n"/>
      <c r="E399" s="291" t="n"/>
      <c r="F399" s="290" t="n"/>
      <c r="G399" s="290" t="n"/>
    </row>
    <row r="400" ht="13" customHeight="1" s="189">
      <c r="C400" s="290" t="n"/>
      <c r="D400" s="290" t="n"/>
      <c r="E400" s="291" t="n"/>
      <c r="F400" s="290" t="n"/>
      <c r="G400" s="290" t="n"/>
    </row>
    <row r="401" ht="13" customHeight="1" s="189">
      <c r="C401" s="290" t="n"/>
      <c r="D401" s="290" t="n"/>
      <c r="E401" s="291" t="n"/>
      <c r="F401" s="290" t="n"/>
      <c r="G401" s="290" t="n"/>
    </row>
    <row r="402" ht="13" customHeight="1" s="189">
      <c r="C402" s="290" t="n"/>
      <c r="D402" s="290" t="n"/>
      <c r="E402" s="291" t="n"/>
      <c r="F402" s="290" t="n"/>
      <c r="G402" s="290" t="n"/>
    </row>
    <row r="403" ht="13" customHeight="1" s="189">
      <c r="C403" s="290" t="n"/>
      <c r="D403" s="290" t="n"/>
      <c r="E403" s="291" t="n"/>
      <c r="F403" s="290" t="n"/>
      <c r="G403" s="290" t="n"/>
    </row>
    <row r="404" ht="13" customHeight="1" s="189">
      <c r="C404" s="290" t="n"/>
      <c r="D404" s="290" t="n"/>
      <c r="E404" s="291" t="n"/>
      <c r="F404" s="290" t="n"/>
      <c r="G404" s="290" t="n"/>
    </row>
    <row r="405" ht="13" customHeight="1" s="189">
      <c r="C405" s="290" t="n"/>
      <c r="D405" s="290" t="n"/>
      <c r="E405" s="291" t="n"/>
      <c r="F405" s="290" t="n"/>
      <c r="G405" s="290" t="n"/>
    </row>
    <row r="406" ht="13" customHeight="1" s="189">
      <c r="C406" s="290" t="n"/>
      <c r="D406" s="290" t="n"/>
      <c r="E406" s="291" t="n"/>
      <c r="F406" s="290" t="n"/>
      <c r="G406" s="290" t="n"/>
    </row>
    <row r="407" ht="13" customHeight="1" s="189">
      <c r="C407" s="290" t="n"/>
      <c r="D407" s="290" t="n"/>
      <c r="E407" s="291" t="n"/>
      <c r="F407" s="290" t="n"/>
      <c r="G407" s="290" t="n"/>
    </row>
    <row r="408" ht="13" customHeight="1" s="189">
      <c r="C408" s="290" t="n"/>
      <c r="D408" s="290" t="n"/>
      <c r="E408" s="291" t="n"/>
      <c r="F408" s="290" t="n"/>
      <c r="G408" s="290" t="n"/>
    </row>
    <row r="409" ht="13" customHeight="1" s="189">
      <c r="C409" s="290" t="n"/>
      <c r="D409" s="290" t="n"/>
      <c r="E409" s="291" t="n"/>
      <c r="F409" s="290" t="n"/>
      <c r="G409" s="290" t="n"/>
    </row>
    <row r="410" ht="13" customHeight="1" s="189">
      <c r="C410" s="290" t="n"/>
      <c r="D410" s="290" t="n"/>
      <c r="E410" s="291" t="n"/>
      <c r="F410" s="290" t="n"/>
      <c r="G410" s="290" t="n"/>
    </row>
    <row r="411" ht="13" customHeight="1" s="189">
      <c r="C411" s="290" t="n"/>
      <c r="D411" s="290" t="n"/>
      <c r="E411" s="291" t="n"/>
      <c r="F411" s="290" t="n"/>
      <c r="G411" s="290" t="n"/>
    </row>
    <row r="412" ht="13" customHeight="1" s="189">
      <c r="C412" s="290" t="n"/>
      <c r="D412" s="290" t="n"/>
      <c r="E412" s="291" t="n"/>
      <c r="F412" s="290" t="n"/>
      <c r="G412" s="290" t="n"/>
    </row>
    <row r="413" ht="13" customHeight="1" s="189">
      <c r="C413" s="290" t="n"/>
      <c r="D413" s="290" t="n"/>
      <c r="E413" s="291" t="n"/>
      <c r="F413" s="290" t="n"/>
      <c r="G413" s="290" t="n"/>
    </row>
    <row r="414" ht="13" customHeight="1" s="189">
      <c r="C414" s="290" t="n"/>
      <c r="D414" s="290" t="n"/>
      <c r="E414" s="291" t="n"/>
      <c r="F414" s="290" t="n"/>
      <c r="G414" s="290" t="n"/>
    </row>
    <row r="415" ht="13" customHeight="1" s="189">
      <c r="C415" s="290" t="n"/>
      <c r="D415" s="290" t="n"/>
      <c r="E415" s="291" t="n"/>
      <c r="F415" s="290" t="n"/>
      <c r="G415" s="290" t="n"/>
    </row>
    <row r="416" ht="13" customHeight="1" s="189">
      <c r="C416" s="290" t="n"/>
      <c r="D416" s="290" t="n"/>
      <c r="E416" s="291" t="n"/>
      <c r="F416" s="290" t="n"/>
      <c r="G416" s="290" t="n"/>
    </row>
    <row r="417" ht="13" customHeight="1" s="189">
      <c r="C417" s="290" t="n"/>
      <c r="D417" s="290" t="n"/>
      <c r="E417" s="291" t="n"/>
      <c r="F417" s="290" t="n"/>
      <c r="G417" s="290" t="n"/>
    </row>
    <row r="418" ht="13" customHeight="1" s="189">
      <c r="C418" s="290" t="n"/>
      <c r="D418" s="290" t="n"/>
      <c r="E418" s="291" t="n"/>
      <c r="F418" s="290" t="n"/>
      <c r="G418" s="290" t="n"/>
    </row>
    <row r="419" ht="13" customHeight="1" s="189">
      <c r="C419" s="290" t="n"/>
      <c r="D419" s="290" t="n"/>
      <c r="E419" s="291" t="n"/>
      <c r="F419" s="290" t="n"/>
      <c r="G419" s="290" t="n"/>
    </row>
    <row r="420" ht="13" customHeight="1" s="189">
      <c r="C420" s="290" t="n"/>
      <c r="D420" s="290" t="n"/>
      <c r="E420" s="291" t="n"/>
      <c r="F420" s="290" t="n"/>
      <c r="G420" s="290" t="n"/>
    </row>
    <row r="421" ht="13" customHeight="1" s="189">
      <c r="C421" s="290" t="n"/>
      <c r="D421" s="290" t="n"/>
      <c r="E421" s="291" t="n"/>
      <c r="F421" s="290" t="n"/>
      <c r="G421" s="290" t="n"/>
    </row>
    <row r="422" ht="13" customHeight="1" s="189">
      <c r="C422" s="290" t="n"/>
      <c r="D422" s="290" t="n"/>
      <c r="E422" s="291" t="n"/>
      <c r="F422" s="290" t="n"/>
      <c r="G422" s="290" t="n"/>
    </row>
    <row r="423" ht="13" customHeight="1" s="189">
      <c r="C423" s="290" t="n"/>
      <c r="D423" s="290" t="n"/>
      <c r="E423" s="291" t="n"/>
      <c r="F423" s="290" t="n"/>
      <c r="G423" s="290" t="n"/>
    </row>
    <row r="424" ht="13" customHeight="1" s="189">
      <c r="C424" s="290" t="n"/>
      <c r="D424" s="290" t="n"/>
      <c r="E424" s="291" t="n"/>
      <c r="F424" s="290" t="n"/>
      <c r="G424" s="290" t="n"/>
    </row>
    <row r="425" ht="13" customHeight="1" s="189">
      <c r="C425" s="290" t="n"/>
      <c r="D425" s="290" t="n"/>
      <c r="E425" s="291" t="n"/>
      <c r="F425" s="290" t="n"/>
      <c r="G425" s="290" t="n"/>
    </row>
    <row r="426" ht="13" customHeight="1" s="189">
      <c r="C426" s="290" t="n"/>
      <c r="D426" s="290" t="n"/>
      <c r="E426" s="291" t="n"/>
      <c r="F426" s="290" t="n"/>
      <c r="G426" s="290" t="n"/>
    </row>
    <row r="427" ht="13" customHeight="1" s="189">
      <c r="C427" s="290" t="n"/>
      <c r="D427" s="290" t="n"/>
      <c r="E427" s="291" t="n"/>
      <c r="F427" s="290" t="n"/>
      <c r="G427" s="290" t="n"/>
    </row>
    <row r="428" ht="13" customHeight="1" s="189">
      <c r="C428" s="290" t="n"/>
      <c r="D428" s="290" t="n"/>
      <c r="E428" s="291" t="n"/>
      <c r="F428" s="290" t="n"/>
      <c r="G428" s="290" t="n"/>
    </row>
    <row r="429" ht="13" customHeight="1" s="189">
      <c r="C429" s="290" t="n"/>
      <c r="D429" s="290" t="n"/>
      <c r="E429" s="291" t="n"/>
      <c r="F429" s="290" t="n"/>
      <c r="G429" s="290" t="n"/>
    </row>
    <row r="430" ht="13" customHeight="1" s="189">
      <c r="C430" s="290" t="n"/>
      <c r="D430" s="290" t="n"/>
      <c r="E430" s="291" t="n"/>
      <c r="F430" s="290" t="n"/>
      <c r="G430" s="290" t="n"/>
    </row>
    <row r="431" ht="13" customHeight="1" s="189">
      <c r="C431" s="290" t="n"/>
      <c r="D431" s="290" t="n"/>
      <c r="E431" s="291" t="n"/>
      <c r="F431" s="290" t="n"/>
      <c r="G431" s="290" t="n"/>
    </row>
    <row r="432" ht="13" customHeight="1" s="189">
      <c r="C432" s="290" t="n"/>
      <c r="D432" s="290" t="n"/>
      <c r="E432" s="291" t="n"/>
      <c r="F432" s="290" t="n"/>
      <c r="G432" s="290" t="n"/>
    </row>
    <row r="433" ht="13" customHeight="1" s="189">
      <c r="C433" s="290" t="n"/>
      <c r="D433" s="290" t="n"/>
      <c r="E433" s="291" t="n"/>
      <c r="F433" s="290" t="n"/>
      <c r="G433" s="290" t="n"/>
    </row>
    <row r="434" ht="13" customHeight="1" s="189">
      <c r="C434" s="290" t="n"/>
      <c r="D434" s="290" t="n"/>
      <c r="E434" s="291" t="n"/>
      <c r="F434" s="290" t="n"/>
      <c r="G434" s="290" t="n"/>
    </row>
    <row r="435" ht="13" customHeight="1" s="189">
      <c r="C435" s="290" t="n"/>
      <c r="D435" s="290" t="n"/>
      <c r="E435" s="291" t="n"/>
      <c r="F435" s="290" t="n"/>
      <c r="G435" s="290" t="n"/>
    </row>
    <row r="436" ht="13" customHeight="1" s="189">
      <c r="C436" s="290" t="n"/>
      <c r="D436" s="290" t="n"/>
      <c r="E436" s="291" t="n"/>
      <c r="F436" s="290" t="n"/>
      <c r="G436" s="290" t="n"/>
    </row>
    <row r="437" ht="13" customHeight="1" s="189">
      <c r="C437" s="290" t="n"/>
      <c r="D437" s="290" t="n"/>
      <c r="E437" s="291" t="n"/>
      <c r="F437" s="290" t="n"/>
      <c r="G437" s="290" t="n"/>
    </row>
    <row r="438" ht="13" customHeight="1" s="189">
      <c r="C438" s="290" t="n"/>
      <c r="D438" s="290" t="n"/>
      <c r="E438" s="291" t="n"/>
      <c r="F438" s="290" t="n"/>
      <c r="G438" s="290" t="n"/>
    </row>
    <row r="439" ht="13" customHeight="1" s="189">
      <c r="C439" s="290" t="n"/>
      <c r="D439" s="290" t="n"/>
      <c r="E439" s="291" t="n"/>
      <c r="F439" s="290" t="n"/>
      <c r="G439" s="290" t="n"/>
    </row>
    <row r="440" ht="13" customHeight="1" s="189">
      <c r="C440" s="290" t="n"/>
      <c r="D440" s="290" t="n"/>
      <c r="E440" s="291" t="n"/>
      <c r="F440" s="290" t="n"/>
      <c r="G440" s="290" t="n"/>
    </row>
    <row r="441" ht="13" customHeight="1" s="189">
      <c r="C441" s="290" t="n"/>
      <c r="D441" s="290" t="n"/>
      <c r="E441" s="291" t="n"/>
      <c r="F441" s="290" t="n"/>
      <c r="G441" s="290" t="n"/>
    </row>
    <row r="442" ht="13" customHeight="1" s="189">
      <c r="C442" s="290" t="n"/>
      <c r="D442" s="290" t="n"/>
      <c r="E442" s="291" t="n"/>
      <c r="F442" s="290" t="n"/>
      <c r="G442" s="290" t="n"/>
    </row>
    <row r="443" ht="13" customHeight="1" s="189">
      <c r="C443" s="290" t="n"/>
      <c r="D443" s="290" t="n"/>
      <c r="E443" s="291" t="n"/>
      <c r="F443" s="290" t="n"/>
      <c r="G443" s="290" t="n"/>
    </row>
    <row r="444" ht="13" customHeight="1" s="189">
      <c r="C444" s="290" t="n"/>
      <c r="D444" s="290" t="n"/>
      <c r="E444" s="291" t="n"/>
      <c r="F444" s="290" t="n"/>
      <c r="G444" s="290" t="n"/>
    </row>
    <row r="445" ht="13" customHeight="1" s="189">
      <c r="C445" s="290" t="n"/>
      <c r="D445" s="290" t="n"/>
      <c r="E445" s="291" t="n"/>
      <c r="F445" s="290" t="n"/>
      <c r="G445" s="290" t="n"/>
    </row>
    <row r="446" ht="13" customHeight="1" s="189">
      <c r="C446" s="290" t="n"/>
      <c r="D446" s="290" t="n"/>
      <c r="E446" s="291" t="n"/>
      <c r="F446" s="290" t="n"/>
      <c r="G446" s="290" t="n"/>
    </row>
    <row r="447" ht="13" customHeight="1" s="189">
      <c r="C447" s="290" t="n"/>
      <c r="D447" s="290" t="n"/>
      <c r="E447" s="291" t="n"/>
      <c r="F447" s="290" t="n"/>
      <c r="G447" s="290" t="n"/>
    </row>
    <row r="448" ht="13" customHeight="1" s="189">
      <c r="C448" s="290" t="n"/>
      <c r="D448" s="290" t="n"/>
      <c r="E448" s="291" t="n"/>
      <c r="F448" s="290" t="n"/>
      <c r="G448" s="290" t="n"/>
    </row>
    <row r="449" ht="13" customHeight="1" s="189">
      <c r="C449" s="290" t="n"/>
      <c r="D449" s="290" t="n"/>
      <c r="E449" s="291" t="n"/>
      <c r="F449" s="290" t="n"/>
      <c r="G449" s="290" t="n"/>
    </row>
    <row r="450" ht="13" customHeight="1" s="189">
      <c r="C450" s="290" t="n"/>
      <c r="D450" s="290" t="n"/>
      <c r="E450" s="291" t="n"/>
      <c r="F450" s="290" t="n"/>
      <c r="G450" s="290" t="n"/>
    </row>
    <row r="451" ht="13" customHeight="1" s="189">
      <c r="C451" s="290" t="n"/>
      <c r="D451" s="290" t="n"/>
      <c r="E451" s="291" t="n"/>
      <c r="F451" s="290" t="n"/>
      <c r="G451" s="290" t="n"/>
    </row>
    <row r="452" ht="13" customHeight="1" s="189">
      <c r="C452" s="290" t="n"/>
      <c r="D452" s="290" t="n"/>
      <c r="E452" s="291" t="n"/>
      <c r="F452" s="290" t="n"/>
      <c r="G452" s="290" t="n"/>
    </row>
    <row r="453" ht="13" customHeight="1" s="189">
      <c r="C453" s="290" t="n"/>
      <c r="D453" s="290" t="n"/>
      <c r="E453" s="291" t="n"/>
      <c r="F453" s="290" t="n"/>
      <c r="G453" s="290" t="n"/>
    </row>
    <row r="454" ht="13" customHeight="1" s="189">
      <c r="C454" s="290" t="n"/>
      <c r="D454" s="290" t="n"/>
      <c r="E454" s="291" t="n"/>
      <c r="F454" s="290" t="n"/>
      <c r="G454" s="290" t="n"/>
    </row>
    <row r="455" ht="13" customHeight="1" s="189">
      <c r="C455" s="290" t="n"/>
      <c r="D455" s="290" t="n"/>
      <c r="E455" s="291" t="n"/>
      <c r="F455" s="290" t="n"/>
      <c r="G455" s="290" t="n"/>
    </row>
    <row r="456" ht="13" customHeight="1" s="189">
      <c r="C456" s="290" t="n"/>
      <c r="D456" s="290" t="n"/>
      <c r="E456" s="291" t="n"/>
      <c r="F456" s="290" t="n"/>
      <c r="G456" s="290" t="n"/>
    </row>
    <row r="457" ht="13" customHeight="1" s="189">
      <c r="C457" s="290" t="n"/>
      <c r="D457" s="290" t="n"/>
      <c r="E457" s="291" t="n"/>
      <c r="F457" s="290" t="n"/>
      <c r="G457" s="290" t="n"/>
    </row>
    <row r="458" ht="13" customHeight="1" s="189">
      <c r="C458" s="290" t="n"/>
      <c r="D458" s="290" t="n"/>
      <c r="E458" s="291" t="n"/>
      <c r="F458" s="290" t="n"/>
      <c r="G458" s="290" t="n"/>
    </row>
    <row r="459" ht="13" customHeight="1" s="189">
      <c r="C459" s="290" t="n"/>
      <c r="D459" s="290" t="n"/>
      <c r="E459" s="291" t="n"/>
      <c r="F459" s="290" t="n"/>
      <c r="G459" s="290" t="n"/>
    </row>
    <row r="460" ht="13" customHeight="1" s="189">
      <c r="C460" s="290" t="n"/>
      <c r="D460" s="290" t="n"/>
      <c r="E460" s="291" t="n"/>
      <c r="F460" s="290" t="n"/>
      <c r="G460" s="290" t="n"/>
    </row>
    <row r="461" ht="13" customHeight="1" s="189">
      <c r="C461" s="290" t="n"/>
      <c r="D461" s="290" t="n"/>
      <c r="E461" s="291" t="n"/>
      <c r="F461" s="290" t="n"/>
      <c r="G461" s="290" t="n"/>
    </row>
    <row r="462" ht="13" customHeight="1" s="189">
      <c r="C462" s="290" t="n"/>
      <c r="D462" s="290" t="n"/>
      <c r="E462" s="291" t="n"/>
      <c r="F462" s="290" t="n"/>
      <c r="G462" s="290" t="n"/>
    </row>
    <row r="463" ht="13" customHeight="1" s="189">
      <c r="C463" s="290" t="n"/>
      <c r="D463" s="290" t="n"/>
      <c r="E463" s="291" t="n"/>
      <c r="F463" s="290" t="n"/>
      <c r="G463" s="290" t="n"/>
    </row>
    <row r="464" ht="13" customHeight="1" s="189">
      <c r="C464" s="290" t="n"/>
      <c r="D464" s="290" t="n"/>
      <c r="E464" s="291" t="n"/>
      <c r="F464" s="290" t="n"/>
      <c r="G464" s="290" t="n"/>
    </row>
    <row r="465" ht="13" customHeight="1" s="189">
      <c r="C465" s="290" t="n"/>
      <c r="D465" s="290" t="n"/>
      <c r="E465" s="291" t="n"/>
      <c r="F465" s="290" t="n"/>
      <c r="G465" s="290" t="n"/>
    </row>
    <row r="466" ht="13" customHeight="1" s="189">
      <c r="C466" s="290" t="n"/>
      <c r="D466" s="290" t="n"/>
      <c r="E466" s="291" t="n"/>
      <c r="F466" s="290" t="n"/>
      <c r="G466" s="290" t="n"/>
    </row>
    <row r="467" ht="13" customHeight="1" s="189">
      <c r="C467" s="290" t="n"/>
      <c r="D467" s="290" t="n"/>
      <c r="E467" s="291" t="n"/>
      <c r="F467" s="290" t="n"/>
      <c r="G467" s="290" t="n"/>
    </row>
    <row r="468" ht="13" customHeight="1" s="189">
      <c r="C468" s="290" t="n"/>
      <c r="D468" s="290" t="n"/>
      <c r="E468" s="291" t="n"/>
      <c r="F468" s="290" t="n"/>
      <c r="G468" s="290" t="n"/>
    </row>
    <row r="469" ht="13" customHeight="1" s="189">
      <c r="C469" s="290" t="n"/>
      <c r="D469" s="290" t="n"/>
      <c r="E469" s="291" t="n"/>
      <c r="F469" s="290" t="n"/>
      <c r="G469" s="290" t="n"/>
    </row>
    <row r="470" ht="13" customHeight="1" s="189">
      <c r="C470" s="290" t="n"/>
      <c r="D470" s="290" t="n"/>
      <c r="E470" s="291" t="n"/>
      <c r="F470" s="290" t="n"/>
      <c r="G470" s="290" t="n"/>
    </row>
    <row r="471" ht="13" customHeight="1" s="189">
      <c r="C471" s="290" t="n"/>
      <c r="D471" s="290" t="n"/>
      <c r="E471" s="291" t="n"/>
      <c r="F471" s="290" t="n"/>
      <c r="G471" s="290" t="n"/>
    </row>
    <row r="472" ht="13" customHeight="1" s="189">
      <c r="C472" s="290" t="n"/>
      <c r="D472" s="290" t="n"/>
      <c r="E472" s="291" t="n"/>
      <c r="F472" s="290" t="n"/>
      <c r="G472" s="290" t="n"/>
    </row>
    <row r="473" ht="13" customHeight="1" s="189">
      <c r="C473" s="290" t="n"/>
      <c r="D473" s="290" t="n"/>
      <c r="E473" s="291" t="n"/>
      <c r="F473" s="290" t="n"/>
      <c r="G473" s="290" t="n"/>
    </row>
    <row r="474" ht="13" customHeight="1" s="189">
      <c r="C474" s="290" t="n"/>
      <c r="D474" s="290" t="n"/>
      <c r="E474" s="291" t="n"/>
      <c r="F474" s="290" t="n"/>
      <c r="G474" s="290" t="n"/>
    </row>
    <row r="475" ht="13" customHeight="1" s="189">
      <c r="C475" s="290" t="n"/>
      <c r="D475" s="290" t="n"/>
      <c r="E475" s="291" t="n"/>
      <c r="F475" s="290" t="n"/>
      <c r="G475" s="290" t="n"/>
    </row>
    <row r="476" ht="13" customHeight="1" s="189">
      <c r="C476" s="290" t="n"/>
      <c r="D476" s="290" t="n"/>
      <c r="E476" s="291" t="n"/>
      <c r="F476" s="290" t="n"/>
      <c r="G476" s="290" t="n"/>
    </row>
    <row r="477" ht="13" customHeight="1" s="189">
      <c r="C477" s="290" t="n"/>
      <c r="D477" s="290" t="n"/>
      <c r="E477" s="291" t="n"/>
      <c r="F477" s="290" t="n"/>
      <c r="G477" s="290" t="n"/>
    </row>
    <row r="478" ht="13" customHeight="1" s="189">
      <c r="C478" s="290" t="n"/>
      <c r="D478" s="290" t="n"/>
      <c r="E478" s="291" t="n"/>
      <c r="F478" s="290" t="n"/>
      <c r="G478" s="290" t="n"/>
    </row>
    <row r="479" ht="13" customHeight="1" s="189">
      <c r="C479" s="290" t="n"/>
      <c r="D479" s="290" t="n"/>
      <c r="E479" s="291" t="n"/>
      <c r="F479" s="290" t="n"/>
      <c r="G479" s="290" t="n"/>
    </row>
    <row r="480" ht="13" customHeight="1" s="189">
      <c r="C480" s="290" t="n"/>
      <c r="D480" s="290" t="n"/>
      <c r="E480" s="291" t="n"/>
      <c r="F480" s="290" t="n"/>
      <c r="G480" s="290" t="n"/>
    </row>
    <row r="481" ht="13" customHeight="1" s="189">
      <c r="C481" s="290" t="n"/>
      <c r="D481" s="290" t="n"/>
      <c r="E481" s="291" t="n"/>
      <c r="F481" s="290" t="n"/>
      <c r="G481" s="290" t="n"/>
    </row>
    <row r="482" ht="13" customHeight="1" s="189">
      <c r="C482" s="290" t="n"/>
      <c r="D482" s="290" t="n"/>
      <c r="E482" s="291" t="n"/>
      <c r="F482" s="290" t="n"/>
      <c r="G482" s="290" t="n"/>
    </row>
    <row r="483" ht="13" customHeight="1" s="189">
      <c r="C483" s="290" t="n"/>
      <c r="D483" s="290" t="n"/>
      <c r="E483" s="291" t="n"/>
      <c r="F483" s="290" t="n"/>
      <c r="G483" s="290" t="n"/>
    </row>
    <row r="484" ht="13" customHeight="1" s="189">
      <c r="C484" s="290" t="n"/>
      <c r="D484" s="290" t="n"/>
      <c r="E484" s="291" t="n"/>
      <c r="F484" s="290" t="n"/>
      <c r="G484" s="290" t="n"/>
    </row>
    <row r="485" ht="13" customHeight="1" s="189">
      <c r="C485" s="290" t="n"/>
      <c r="D485" s="290" t="n"/>
      <c r="E485" s="291" t="n"/>
      <c r="F485" s="290" t="n"/>
      <c r="G485" s="290" t="n"/>
    </row>
    <row r="486" ht="13" customHeight="1" s="189">
      <c r="C486" s="290" t="n"/>
      <c r="D486" s="290" t="n"/>
      <c r="E486" s="291" t="n"/>
      <c r="F486" s="290" t="n"/>
      <c r="G486" s="290" t="n"/>
    </row>
    <row r="487" ht="13" customHeight="1" s="189">
      <c r="C487" s="290" t="n"/>
      <c r="D487" s="290" t="n"/>
      <c r="E487" s="291" t="n"/>
      <c r="F487" s="290" t="n"/>
      <c r="G487" s="290" t="n"/>
    </row>
    <row r="488" ht="13" customHeight="1" s="189">
      <c r="C488" s="290" t="n"/>
      <c r="D488" s="290" t="n"/>
      <c r="E488" s="291" t="n"/>
      <c r="F488" s="290" t="n"/>
      <c r="G488" s="290" t="n"/>
    </row>
    <row r="489" ht="13" customHeight="1" s="189">
      <c r="C489" s="290" t="n"/>
      <c r="D489" s="290" t="n"/>
      <c r="E489" s="291" t="n"/>
      <c r="F489" s="290" t="n"/>
      <c r="G489" s="290" t="n"/>
    </row>
    <row r="490" ht="13" customHeight="1" s="189">
      <c r="C490" s="290" t="n"/>
      <c r="D490" s="290" t="n"/>
      <c r="E490" s="291" t="n"/>
      <c r="F490" s="290" t="n"/>
      <c r="G490" s="290" t="n"/>
    </row>
    <row r="491" ht="13" customHeight="1" s="189">
      <c r="C491" s="290" t="n"/>
      <c r="D491" s="290" t="n"/>
      <c r="E491" s="291" t="n"/>
      <c r="F491" s="290" t="n"/>
      <c r="G491" s="290" t="n"/>
    </row>
    <row r="492" ht="13" customHeight="1" s="189">
      <c r="C492" s="290" t="n"/>
      <c r="D492" s="290" t="n"/>
      <c r="E492" s="291" t="n"/>
      <c r="F492" s="290" t="n"/>
      <c r="G492" s="290" t="n"/>
    </row>
    <row r="493" ht="13" customHeight="1" s="189">
      <c r="C493" s="290" t="n"/>
      <c r="D493" s="290" t="n"/>
      <c r="E493" s="291" t="n"/>
      <c r="F493" s="290" t="n"/>
      <c r="G493" s="290" t="n"/>
    </row>
    <row r="494" ht="13" customHeight="1" s="189">
      <c r="C494" s="290" t="n"/>
      <c r="D494" s="290" t="n"/>
      <c r="E494" s="291" t="n"/>
      <c r="F494" s="290" t="n"/>
      <c r="G494" s="290" t="n"/>
    </row>
    <row r="495" ht="13" customHeight="1" s="189">
      <c r="C495" s="290" t="n"/>
      <c r="D495" s="290" t="n"/>
      <c r="E495" s="291" t="n"/>
      <c r="F495" s="290" t="n"/>
      <c r="G495" s="290" t="n"/>
    </row>
    <row r="496" ht="13" customHeight="1" s="189">
      <c r="C496" s="290" t="n"/>
      <c r="D496" s="290" t="n"/>
      <c r="E496" s="291" t="n"/>
      <c r="F496" s="290" t="n"/>
      <c r="G496" s="290" t="n"/>
    </row>
    <row r="497" ht="13" customHeight="1" s="189">
      <c r="C497" s="290" t="n"/>
      <c r="D497" s="290" t="n"/>
      <c r="E497" s="291" t="n"/>
      <c r="F497" s="290" t="n"/>
      <c r="G497" s="290" t="n"/>
    </row>
    <row r="498" ht="13" customHeight="1" s="189">
      <c r="C498" s="290" t="n"/>
      <c r="D498" s="290" t="n"/>
      <c r="E498" s="291" t="n"/>
      <c r="F498" s="290" t="n"/>
      <c r="G498" s="290" t="n"/>
    </row>
    <row r="499" ht="13" customHeight="1" s="189">
      <c r="C499" s="290" t="n"/>
      <c r="D499" s="290" t="n"/>
      <c r="E499" s="291" t="n"/>
      <c r="F499" s="290" t="n"/>
      <c r="G499" s="290" t="n"/>
    </row>
    <row r="500" ht="13" customHeight="1" s="189">
      <c r="C500" s="290" t="n"/>
      <c r="D500" s="290" t="n"/>
      <c r="E500" s="291" t="n"/>
      <c r="F500" s="290" t="n"/>
      <c r="G500" s="290" t="n"/>
    </row>
    <row r="501" ht="13" customHeight="1" s="189">
      <c r="C501" s="290" t="n"/>
      <c r="D501" s="290" t="n"/>
      <c r="E501" s="291" t="n"/>
      <c r="F501" s="290" t="n"/>
      <c r="G501" s="290" t="n"/>
    </row>
    <row r="502" ht="13" customHeight="1" s="189">
      <c r="C502" s="290" t="n"/>
      <c r="D502" s="290" t="n"/>
      <c r="E502" s="291" t="n"/>
      <c r="F502" s="290" t="n"/>
      <c r="G502" s="290" t="n"/>
    </row>
    <row r="503" ht="13" customHeight="1" s="189">
      <c r="C503" s="290" t="n"/>
      <c r="D503" s="290" t="n"/>
      <c r="E503" s="291" t="n"/>
      <c r="F503" s="290" t="n"/>
      <c r="G503" s="290" t="n"/>
    </row>
    <row r="504" ht="13" customHeight="1" s="189">
      <c r="C504" s="290" t="n"/>
      <c r="D504" s="290" t="n"/>
      <c r="E504" s="291" t="n"/>
      <c r="F504" s="290" t="n"/>
      <c r="G504" s="290" t="n"/>
    </row>
    <row r="505" ht="13" customHeight="1" s="189">
      <c r="C505" s="290" t="n"/>
      <c r="D505" s="290" t="n"/>
      <c r="E505" s="291" t="n"/>
      <c r="F505" s="290" t="n"/>
      <c r="G505" s="290" t="n"/>
    </row>
    <row r="506" ht="13" customHeight="1" s="189">
      <c r="C506" s="290" t="n"/>
      <c r="D506" s="290" t="n"/>
      <c r="E506" s="291" t="n"/>
      <c r="F506" s="290" t="n"/>
      <c r="G506" s="290" t="n"/>
    </row>
    <row r="507" ht="13" customHeight="1" s="189">
      <c r="C507" s="290" t="n"/>
      <c r="D507" s="290" t="n"/>
      <c r="E507" s="291" t="n"/>
      <c r="F507" s="290" t="n"/>
      <c r="G507" s="290" t="n"/>
    </row>
    <row r="508" ht="13" customHeight="1" s="189">
      <c r="C508" s="290" t="n"/>
      <c r="D508" s="290" t="n"/>
      <c r="E508" s="291" t="n"/>
      <c r="F508" s="290" t="n"/>
      <c r="G508" s="290" t="n"/>
    </row>
    <row r="509" ht="13" customHeight="1" s="189">
      <c r="C509" s="290" t="n"/>
      <c r="D509" s="290" t="n"/>
      <c r="E509" s="291" t="n"/>
      <c r="F509" s="290" t="n"/>
      <c r="G509" s="290" t="n"/>
    </row>
    <row r="510" ht="13" customHeight="1" s="189">
      <c r="C510" s="290" t="n"/>
      <c r="D510" s="290" t="n"/>
      <c r="E510" s="291" t="n"/>
      <c r="F510" s="290" t="n"/>
      <c r="G510" s="290" t="n"/>
    </row>
    <row r="511" ht="13" customHeight="1" s="189">
      <c r="C511" s="290" t="n"/>
      <c r="D511" s="290" t="n"/>
      <c r="E511" s="291" t="n"/>
      <c r="F511" s="290" t="n"/>
      <c r="G511" s="290" t="n"/>
    </row>
    <row r="512" ht="13" customHeight="1" s="189">
      <c r="C512" s="290" t="n"/>
      <c r="D512" s="290" t="n"/>
      <c r="E512" s="291" t="n"/>
      <c r="F512" s="290" t="n"/>
      <c r="G512" s="290" t="n"/>
    </row>
    <row r="513" ht="13" customHeight="1" s="189">
      <c r="C513" s="290" t="n"/>
      <c r="D513" s="290" t="n"/>
      <c r="E513" s="291" t="n"/>
      <c r="F513" s="290" t="n"/>
      <c r="G513" s="290" t="n"/>
    </row>
    <row r="514" ht="13" customHeight="1" s="189">
      <c r="C514" s="290" t="n"/>
      <c r="D514" s="290" t="n"/>
      <c r="E514" s="291" t="n"/>
      <c r="F514" s="290" t="n"/>
      <c r="G514" s="290" t="n"/>
    </row>
    <row r="515" ht="13" customHeight="1" s="189">
      <c r="C515" s="290" t="n"/>
      <c r="D515" s="290" t="n"/>
      <c r="E515" s="291" t="n"/>
      <c r="F515" s="290" t="n"/>
      <c r="G515" s="290" t="n"/>
    </row>
    <row r="516" ht="13" customHeight="1" s="189">
      <c r="C516" s="290" t="n"/>
      <c r="D516" s="290" t="n"/>
      <c r="E516" s="291" t="n"/>
      <c r="F516" s="290" t="n"/>
      <c r="G516" s="290" t="n"/>
    </row>
    <row r="517" ht="13" customHeight="1" s="189">
      <c r="C517" s="290" t="n"/>
      <c r="D517" s="290" t="n"/>
      <c r="E517" s="291" t="n"/>
      <c r="F517" s="290" t="n"/>
      <c r="G517" s="290" t="n"/>
    </row>
    <row r="518" ht="13" customHeight="1" s="189">
      <c r="C518" s="290" t="n"/>
      <c r="D518" s="290" t="n"/>
      <c r="E518" s="291" t="n"/>
      <c r="F518" s="290" t="n"/>
      <c r="G518" s="290" t="n"/>
    </row>
    <row r="519" ht="13" customHeight="1" s="189">
      <c r="C519" s="290" t="n"/>
      <c r="D519" s="290" t="n"/>
      <c r="E519" s="291" t="n"/>
      <c r="F519" s="290" t="n"/>
      <c r="G519" s="290" t="n"/>
    </row>
    <row r="520" ht="13" customHeight="1" s="189">
      <c r="C520" s="290" t="n"/>
      <c r="D520" s="290" t="n"/>
      <c r="E520" s="291" t="n"/>
      <c r="F520" s="290" t="n"/>
      <c r="G520" s="290" t="n"/>
    </row>
    <row r="521" ht="13" customHeight="1" s="189">
      <c r="C521" s="290" t="n"/>
      <c r="D521" s="290" t="n"/>
      <c r="E521" s="291" t="n"/>
      <c r="F521" s="290" t="n"/>
      <c r="G521" s="290" t="n"/>
    </row>
    <row r="522" ht="13" customHeight="1" s="189">
      <c r="C522" s="290" t="n"/>
      <c r="D522" s="290" t="n"/>
      <c r="E522" s="291" t="n"/>
      <c r="F522" s="290" t="n"/>
      <c r="G522" s="290" t="n"/>
    </row>
    <row r="523" ht="13" customHeight="1" s="189">
      <c r="C523" s="290" t="n"/>
      <c r="D523" s="290" t="n"/>
      <c r="E523" s="291" t="n"/>
      <c r="F523" s="290" t="n"/>
      <c r="G523" s="290" t="n"/>
    </row>
    <row r="524" ht="13" customHeight="1" s="189">
      <c r="C524" s="290" t="n"/>
      <c r="D524" s="290" t="n"/>
      <c r="E524" s="291" t="n"/>
      <c r="F524" s="290" t="n"/>
      <c r="G524" s="290" t="n"/>
    </row>
    <row r="525" ht="13" customHeight="1" s="189">
      <c r="C525" s="290" t="n"/>
      <c r="D525" s="290" t="n"/>
      <c r="E525" s="291" t="n"/>
      <c r="F525" s="290" t="n"/>
      <c r="G525" s="290" t="n"/>
    </row>
    <row r="526" ht="13" customHeight="1" s="189">
      <c r="C526" s="290" t="n"/>
      <c r="D526" s="290" t="n"/>
      <c r="E526" s="291" t="n"/>
      <c r="F526" s="290" t="n"/>
      <c r="G526" s="290" t="n"/>
    </row>
    <row r="527" ht="13" customHeight="1" s="189">
      <c r="C527" s="290" t="n"/>
      <c r="D527" s="290" t="n"/>
      <c r="E527" s="291" t="n"/>
      <c r="F527" s="290" t="n"/>
      <c r="G527" s="290" t="n"/>
    </row>
    <row r="528" ht="13" customHeight="1" s="189">
      <c r="C528" s="290" t="n"/>
      <c r="D528" s="290" t="n"/>
      <c r="E528" s="291" t="n"/>
      <c r="F528" s="290" t="n"/>
      <c r="G528" s="290" t="n"/>
    </row>
    <row r="529" ht="13" customHeight="1" s="189">
      <c r="C529" s="290" t="n"/>
      <c r="D529" s="290" t="n"/>
      <c r="E529" s="291" t="n"/>
      <c r="F529" s="290" t="n"/>
      <c r="G529" s="290" t="n"/>
    </row>
    <row r="530" ht="13" customHeight="1" s="189">
      <c r="C530" s="290" t="n"/>
      <c r="D530" s="290" t="n"/>
      <c r="E530" s="291" t="n"/>
      <c r="F530" s="290" t="n"/>
      <c r="G530" s="290" t="n"/>
    </row>
    <row r="531" ht="13" customHeight="1" s="189">
      <c r="C531" s="290" t="n"/>
      <c r="D531" s="290" t="n"/>
      <c r="E531" s="291" t="n"/>
      <c r="F531" s="290" t="n"/>
      <c r="G531" s="290" t="n"/>
    </row>
    <row r="532" ht="13" customHeight="1" s="189">
      <c r="C532" s="290" t="n"/>
      <c r="D532" s="290" t="n"/>
      <c r="E532" s="291" t="n"/>
      <c r="F532" s="290" t="n"/>
      <c r="G532" s="290" t="n"/>
    </row>
    <row r="533" ht="13" customHeight="1" s="189">
      <c r="C533" s="290" t="n"/>
      <c r="D533" s="290" t="n"/>
      <c r="E533" s="291" t="n"/>
      <c r="F533" s="290" t="n"/>
      <c r="G533" s="290" t="n"/>
    </row>
    <row r="534" ht="13" customHeight="1" s="189">
      <c r="C534" s="290" t="n"/>
      <c r="D534" s="290" t="n"/>
      <c r="E534" s="291" t="n"/>
      <c r="F534" s="290" t="n"/>
      <c r="G534" s="290" t="n"/>
    </row>
    <row r="535" ht="13" customHeight="1" s="189">
      <c r="C535" s="290" t="n"/>
      <c r="D535" s="290" t="n"/>
      <c r="E535" s="291" t="n"/>
      <c r="F535" s="290" t="n"/>
      <c r="G535" s="290" t="n"/>
    </row>
    <row r="536" ht="13" customHeight="1" s="189">
      <c r="C536" s="290" t="n"/>
      <c r="D536" s="290" t="n"/>
      <c r="E536" s="291" t="n"/>
      <c r="F536" s="290" t="n"/>
      <c r="G536" s="290" t="n"/>
    </row>
    <row r="537" ht="13" customHeight="1" s="189">
      <c r="C537" s="290" t="n"/>
      <c r="D537" s="290" t="n"/>
      <c r="E537" s="291" t="n"/>
      <c r="F537" s="290" t="n"/>
      <c r="G537" s="290" t="n"/>
    </row>
    <row r="538" ht="13" customHeight="1" s="189">
      <c r="C538" s="290" t="n"/>
      <c r="D538" s="290" t="n"/>
      <c r="E538" s="291" t="n"/>
      <c r="F538" s="290" t="n"/>
      <c r="G538" s="290" t="n"/>
    </row>
    <row r="539" ht="13" customHeight="1" s="189">
      <c r="C539" s="290" t="n"/>
      <c r="D539" s="290" t="n"/>
      <c r="E539" s="291" t="n"/>
      <c r="F539" s="290" t="n"/>
      <c r="G539" s="290" t="n"/>
    </row>
    <row r="540" ht="13" customHeight="1" s="189">
      <c r="C540" s="290" t="n"/>
      <c r="D540" s="290" t="n"/>
      <c r="E540" s="291" t="n"/>
      <c r="F540" s="290" t="n"/>
      <c r="G540" s="290" t="n"/>
    </row>
    <row r="541" ht="13" customHeight="1" s="189">
      <c r="C541" s="290" t="n"/>
      <c r="D541" s="290" t="n"/>
      <c r="E541" s="291" t="n"/>
      <c r="F541" s="290" t="n"/>
      <c r="G541" s="290" t="n"/>
    </row>
    <row r="542" ht="13" customHeight="1" s="189">
      <c r="C542" s="290" t="n"/>
      <c r="D542" s="290" t="n"/>
      <c r="E542" s="291" t="n"/>
      <c r="F542" s="290" t="n"/>
      <c r="G542" s="290" t="n"/>
    </row>
    <row r="543" ht="13" customHeight="1" s="189">
      <c r="C543" s="290" t="n"/>
      <c r="D543" s="290" t="n"/>
      <c r="E543" s="291" t="n"/>
      <c r="F543" s="290" t="n"/>
      <c r="G543" s="290" t="n"/>
    </row>
    <row r="544" ht="13" customHeight="1" s="189">
      <c r="C544" s="290" t="n"/>
      <c r="D544" s="290" t="n"/>
      <c r="E544" s="291" t="n"/>
      <c r="F544" s="290" t="n"/>
      <c r="G544" s="290" t="n"/>
    </row>
    <row r="545" ht="13" customHeight="1" s="189">
      <c r="C545" s="290" t="n"/>
      <c r="D545" s="290" t="n"/>
      <c r="E545" s="291" t="n"/>
      <c r="F545" s="290" t="n"/>
      <c r="G545" s="290" t="n"/>
    </row>
    <row r="546" ht="13" customHeight="1" s="189">
      <c r="C546" s="290" t="n"/>
      <c r="D546" s="290" t="n"/>
      <c r="E546" s="291" t="n"/>
      <c r="F546" s="290" t="n"/>
      <c r="G546" s="290" t="n"/>
    </row>
    <row r="547" ht="13" customHeight="1" s="189">
      <c r="C547" s="290" t="n"/>
      <c r="D547" s="290" t="n"/>
      <c r="E547" s="291" t="n"/>
      <c r="F547" s="290" t="n"/>
      <c r="G547" s="290" t="n"/>
    </row>
    <row r="548" ht="13" customHeight="1" s="189">
      <c r="C548" s="290" t="n"/>
      <c r="D548" s="290" t="n"/>
      <c r="E548" s="291" t="n"/>
      <c r="F548" s="290" t="n"/>
      <c r="G548" s="290" t="n"/>
    </row>
    <row r="549" ht="13" customHeight="1" s="189">
      <c r="C549" s="290" t="n"/>
      <c r="D549" s="290" t="n"/>
      <c r="E549" s="291" t="n"/>
      <c r="F549" s="290" t="n"/>
      <c r="G549" s="290" t="n"/>
    </row>
    <row r="550" ht="13" customHeight="1" s="189">
      <c r="C550" s="290" t="n"/>
      <c r="D550" s="290" t="n"/>
      <c r="E550" s="291" t="n"/>
      <c r="F550" s="290" t="n"/>
      <c r="G550" s="290" t="n"/>
    </row>
    <row r="551" ht="13" customHeight="1" s="189">
      <c r="C551" s="290" t="n"/>
      <c r="D551" s="290" t="n"/>
      <c r="E551" s="291" t="n"/>
      <c r="F551" s="290" t="n"/>
      <c r="G551" s="290" t="n"/>
    </row>
    <row r="552" ht="13" customHeight="1" s="189">
      <c r="C552" s="290" t="n"/>
      <c r="D552" s="290" t="n"/>
      <c r="E552" s="291" t="n"/>
      <c r="F552" s="290" t="n"/>
      <c r="G552" s="290" t="n"/>
    </row>
    <row r="553" ht="13" customHeight="1" s="189">
      <c r="C553" s="290" t="n"/>
      <c r="D553" s="290" t="n"/>
      <c r="E553" s="291" t="n"/>
      <c r="F553" s="290" t="n"/>
      <c r="G553" s="290" t="n"/>
    </row>
    <row r="554" ht="13" customHeight="1" s="189">
      <c r="C554" s="290" t="n"/>
      <c r="D554" s="290" t="n"/>
      <c r="E554" s="291" t="n"/>
      <c r="F554" s="290" t="n"/>
      <c r="G554" s="290" t="n"/>
    </row>
    <row r="555" ht="13" customHeight="1" s="189">
      <c r="C555" s="290" t="n"/>
      <c r="D555" s="290" t="n"/>
      <c r="E555" s="291" t="n"/>
      <c r="F555" s="290" t="n"/>
      <c r="G555" s="290" t="n"/>
    </row>
    <row r="556" ht="13" customHeight="1" s="189">
      <c r="C556" s="290" t="n"/>
      <c r="D556" s="290" t="n"/>
      <c r="E556" s="291" t="n"/>
      <c r="F556" s="290" t="n"/>
      <c r="G556" s="290" t="n"/>
    </row>
    <row r="557" ht="13" customHeight="1" s="189">
      <c r="C557" s="290" t="n"/>
      <c r="D557" s="290" t="n"/>
      <c r="E557" s="291" t="n"/>
      <c r="F557" s="290" t="n"/>
      <c r="G557" s="290" t="n"/>
    </row>
    <row r="558" ht="13" customHeight="1" s="189">
      <c r="C558" s="290" t="n"/>
      <c r="D558" s="290" t="n"/>
      <c r="E558" s="291" t="n"/>
      <c r="F558" s="290" t="n"/>
      <c r="G558" s="290" t="n"/>
    </row>
    <row r="559" ht="13" customHeight="1" s="189">
      <c r="C559" s="290" t="n"/>
      <c r="D559" s="290" t="n"/>
      <c r="E559" s="291" t="n"/>
      <c r="F559" s="290" t="n"/>
      <c r="G559" s="290" t="n"/>
    </row>
    <row r="560" ht="13" customHeight="1" s="189">
      <c r="C560" s="290" t="n"/>
      <c r="D560" s="290" t="n"/>
      <c r="E560" s="291" t="n"/>
      <c r="F560" s="290" t="n"/>
      <c r="G560" s="290" t="n"/>
    </row>
    <row r="561" ht="13" customHeight="1" s="189">
      <c r="C561" s="290" t="n"/>
      <c r="D561" s="290" t="n"/>
      <c r="E561" s="291" t="n"/>
      <c r="F561" s="290" t="n"/>
      <c r="G561" s="290" t="n"/>
    </row>
    <row r="562" ht="13" customHeight="1" s="189">
      <c r="C562" s="290" t="n"/>
      <c r="D562" s="290" t="n"/>
      <c r="E562" s="291" t="n"/>
      <c r="F562" s="290" t="n"/>
      <c r="G562" s="290" t="n"/>
    </row>
    <row r="563" ht="13" customHeight="1" s="189">
      <c r="C563" s="290" t="n"/>
      <c r="D563" s="290" t="n"/>
      <c r="E563" s="291" t="n"/>
      <c r="F563" s="290" t="n"/>
      <c r="G563" s="290" t="n"/>
    </row>
    <row r="564" ht="13" customHeight="1" s="189">
      <c r="C564" s="290" t="n"/>
      <c r="D564" s="290" t="n"/>
      <c r="E564" s="291" t="n"/>
      <c r="F564" s="290" t="n"/>
      <c r="G564" s="290" t="n"/>
    </row>
    <row r="565" ht="13" customHeight="1" s="189">
      <c r="C565" s="290" t="n"/>
      <c r="D565" s="290" t="n"/>
      <c r="E565" s="291" t="n"/>
      <c r="F565" s="290" t="n"/>
      <c r="G565" s="290" t="n"/>
    </row>
    <row r="566" ht="13" customHeight="1" s="189">
      <c r="C566" s="290" t="n"/>
      <c r="D566" s="290" t="n"/>
      <c r="E566" s="291" t="n"/>
      <c r="F566" s="290" t="n"/>
      <c r="G566" s="290" t="n"/>
    </row>
    <row r="567" ht="13" customHeight="1" s="189">
      <c r="C567" s="290" t="n"/>
      <c r="D567" s="290" t="n"/>
      <c r="E567" s="291" t="n"/>
      <c r="F567" s="290" t="n"/>
      <c r="G567" s="290" t="n"/>
    </row>
    <row r="568" ht="13" customHeight="1" s="189">
      <c r="C568" s="290" t="n"/>
      <c r="D568" s="290" t="n"/>
      <c r="E568" s="291" t="n"/>
      <c r="F568" s="290" t="n"/>
      <c r="G568" s="290" t="n"/>
    </row>
    <row r="569" ht="13" customHeight="1" s="189">
      <c r="C569" s="290" t="n"/>
      <c r="D569" s="290" t="n"/>
      <c r="E569" s="291" t="n"/>
      <c r="F569" s="290" t="n"/>
      <c r="G569" s="290" t="n"/>
    </row>
    <row r="570" ht="13" customHeight="1" s="189">
      <c r="C570" s="290" t="n"/>
      <c r="D570" s="290" t="n"/>
      <c r="E570" s="291" t="n"/>
      <c r="F570" s="290" t="n"/>
      <c r="G570" s="290" t="n"/>
    </row>
    <row r="571" ht="13" customHeight="1" s="189">
      <c r="C571" s="290" t="n"/>
      <c r="D571" s="290" t="n"/>
      <c r="E571" s="291" t="n"/>
      <c r="F571" s="290" t="n"/>
      <c r="G571" s="290" t="n"/>
    </row>
    <row r="572" ht="13" customHeight="1" s="189">
      <c r="C572" s="290" t="n"/>
      <c r="D572" s="290" t="n"/>
      <c r="E572" s="291" t="n"/>
      <c r="F572" s="290" t="n"/>
      <c r="G572" s="290" t="n"/>
    </row>
    <row r="573" ht="13" customHeight="1" s="189">
      <c r="C573" s="290" t="n"/>
      <c r="D573" s="290" t="n"/>
      <c r="E573" s="291" t="n"/>
      <c r="F573" s="290" t="n"/>
      <c r="G573" s="290" t="n"/>
    </row>
    <row r="574" ht="13" customHeight="1" s="189">
      <c r="C574" s="290" t="n"/>
      <c r="D574" s="290" t="n"/>
      <c r="E574" s="291" t="n"/>
      <c r="F574" s="290" t="n"/>
      <c r="G574" s="290" t="n"/>
    </row>
    <row r="575" ht="13" customHeight="1" s="189">
      <c r="C575" s="290" t="n"/>
      <c r="D575" s="290" t="n"/>
      <c r="E575" s="291" t="n"/>
      <c r="F575" s="290" t="n"/>
      <c r="G575" s="290" t="n"/>
    </row>
    <row r="576" ht="13" customHeight="1" s="189">
      <c r="C576" s="290" t="n"/>
      <c r="D576" s="290" t="n"/>
      <c r="E576" s="291" t="n"/>
      <c r="F576" s="290" t="n"/>
      <c r="G576" s="290" t="n"/>
    </row>
    <row r="577" ht="13" customHeight="1" s="189">
      <c r="C577" s="290" t="n"/>
      <c r="D577" s="290" t="n"/>
      <c r="E577" s="291" t="n"/>
      <c r="F577" s="290" t="n"/>
      <c r="G577" s="290" t="n"/>
    </row>
    <row r="578" ht="13" customHeight="1" s="189">
      <c r="C578" s="290" t="n"/>
      <c r="D578" s="290" t="n"/>
      <c r="E578" s="291" t="n"/>
      <c r="F578" s="290" t="n"/>
      <c r="G578" s="290" t="n"/>
    </row>
    <row r="579" ht="13" customHeight="1" s="189">
      <c r="C579" s="290" t="n"/>
      <c r="D579" s="290" t="n"/>
      <c r="E579" s="291" t="n"/>
      <c r="F579" s="290" t="n"/>
      <c r="G579" s="290" t="n"/>
    </row>
    <row r="580" ht="13" customHeight="1" s="189">
      <c r="C580" s="290" t="n"/>
      <c r="D580" s="290" t="n"/>
      <c r="E580" s="291" t="n"/>
      <c r="F580" s="290" t="n"/>
      <c r="G580" s="290" t="n"/>
    </row>
    <row r="581" ht="13" customHeight="1" s="189">
      <c r="C581" s="290" t="n"/>
      <c r="D581" s="290" t="n"/>
      <c r="E581" s="291" t="n"/>
      <c r="F581" s="290" t="n"/>
      <c r="G581" s="290" t="n"/>
    </row>
    <row r="582" ht="13" customHeight="1" s="189">
      <c r="C582" s="290" t="n"/>
      <c r="D582" s="290" t="n"/>
      <c r="E582" s="291" t="n"/>
      <c r="F582" s="290" t="n"/>
      <c r="G582" s="290" t="n"/>
    </row>
    <row r="583" ht="13" customHeight="1" s="189">
      <c r="C583" s="290" t="n"/>
      <c r="D583" s="290" t="n"/>
      <c r="E583" s="291" t="n"/>
      <c r="F583" s="290" t="n"/>
      <c r="G583" s="290" t="n"/>
    </row>
    <row r="584" ht="13" customHeight="1" s="189">
      <c r="C584" s="290" t="n"/>
      <c r="D584" s="290" t="n"/>
      <c r="E584" s="291" t="n"/>
      <c r="F584" s="290" t="n"/>
      <c r="G584" s="290" t="n"/>
    </row>
    <row r="585" ht="13" customHeight="1" s="189">
      <c r="C585" s="290" t="n"/>
      <c r="D585" s="290" t="n"/>
      <c r="E585" s="291" t="n"/>
      <c r="F585" s="290" t="n"/>
      <c r="G585" s="290" t="n"/>
    </row>
    <row r="586" ht="13" customHeight="1" s="189">
      <c r="C586" s="290" t="n"/>
      <c r="D586" s="290" t="n"/>
      <c r="E586" s="291" t="n"/>
      <c r="F586" s="290" t="n"/>
      <c r="G586" s="290" t="n"/>
    </row>
    <row r="587" ht="13" customHeight="1" s="189">
      <c r="C587" s="290" t="n"/>
      <c r="D587" s="290" t="n"/>
      <c r="E587" s="291" t="n"/>
      <c r="F587" s="290" t="n"/>
      <c r="G587" s="290" t="n"/>
    </row>
    <row r="588" ht="13" customHeight="1" s="189">
      <c r="C588" s="290" t="n"/>
      <c r="D588" s="290" t="n"/>
      <c r="E588" s="291" t="n"/>
      <c r="F588" s="290" t="n"/>
      <c r="G588" s="290" t="n"/>
    </row>
    <row r="589" ht="13" customHeight="1" s="189">
      <c r="C589" s="290" t="n"/>
      <c r="D589" s="290" t="n"/>
      <c r="E589" s="291" t="n"/>
      <c r="F589" s="290" t="n"/>
      <c r="G589" s="290" t="n"/>
    </row>
    <row r="590" ht="13" customHeight="1" s="189">
      <c r="C590" s="290" t="n"/>
      <c r="D590" s="290" t="n"/>
      <c r="E590" s="291" t="n"/>
      <c r="F590" s="290" t="n"/>
      <c r="G590" s="290" t="n"/>
    </row>
    <row r="591" ht="13" customHeight="1" s="189">
      <c r="C591" s="290" t="n"/>
      <c r="D591" s="290" t="n"/>
      <c r="E591" s="291" t="n"/>
      <c r="F591" s="290" t="n"/>
      <c r="G591" s="290" t="n"/>
    </row>
    <row r="592" ht="13" customHeight="1" s="189">
      <c r="C592" s="290" t="n"/>
      <c r="D592" s="290" t="n"/>
      <c r="E592" s="291" t="n"/>
      <c r="F592" s="290" t="n"/>
      <c r="G592" s="290" t="n"/>
    </row>
    <row r="593" ht="13" customHeight="1" s="189">
      <c r="C593" s="290" t="n"/>
      <c r="D593" s="290" t="n"/>
      <c r="E593" s="291" t="n"/>
      <c r="F593" s="290" t="n"/>
      <c r="G593" s="290" t="n"/>
    </row>
    <row r="594" ht="13" customHeight="1" s="189">
      <c r="C594" s="290" t="n"/>
      <c r="D594" s="290" t="n"/>
      <c r="E594" s="291" t="n"/>
      <c r="F594" s="290" t="n"/>
      <c r="G594" s="290" t="n"/>
    </row>
    <row r="595" ht="13" customHeight="1" s="189">
      <c r="C595" s="290" t="n"/>
      <c r="D595" s="290" t="n"/>
      <c r="E595" s="291" t="n"/>
      <c r="F595" s="290" t="n"/>
      <c r="G595" s="290" t="n"/>
    </row>
    <row r="596" ht="13" customHeight="1" s="189">
      <c r="C596" s="290" t="n"/>
      <c r="D596" s="290" t="n"/>
      <c r="E596" s="291" t="n"/>
      <c r="F596" s="290" t="n"/>
      <c r="G596" s="290" t="n"/>
    </row>
    <row r="597" ht="13" customHeight="1" s="189">
      <c r="C597" s="290" t="n"/>
      <c r="D597" s="290" t="n"/>
      <c r="E597" s="291" t="n"/>
      <c r="F597" s="290" t="n"/>
      <c r="G597" s="290" t="n"/>
    </row>
    <row r="598" ht="13" customHeight="1" s="189">
      <c r="C598" s="290" t="n"/>
      <c r="D598" s="290" t="n"/>
      <c r="E598" s="291" t="n"/>
      <c r="F598" s="290" t="n"/>
      <c r="G598" s="290" t="n"/>
    </row>
    <row r="599" ht="13" customHeight="1" s="189">
      <c r="C599" s="290" t="n"/>
      <c r="D599" s="290" t="n"/>
      <c r="E599" s="291" t="n"/>
      <c r="F599" s="290" t="n"/>
      <c r="G599" s="290" t="n"/>
    </row>
    <row r="600" ht="13" customHeight="1" s="189">
      <c r="C600" s="290" t="n"/>
      <c r="D600" s="290" t="n"/>
      <c r="E600" s="291" t="n"/>
      <c r="F600" s="290" t="n"/>
      <c r="G600" s="290" t="n"/>
    </row>
    <row r="601" ht="13" customHeight="1" s="189">
      <c r="C601" s="290" t="n"/>
      <c r="D601" s="290" t="n"/>
      <c r="E601" s="291" t="n"/>
      <c r="F601" s="290" t="n"/>
      <c r="G601" s="290" t="n"/>
    </row>
    <row r="602" ht="13" customHeight="1" s="189">
      <c r="C602" s="290" t="n"/>
      <c r="D602" s="290" t="n"/>
      <c r="E602" s="291" t="n"/>
      <c r="F602" s="290" t="n"/>
      <c r="G602" s="290" t="n"/>
    </row>
    <row r="603" ht="13" customHeight="1" s="189">
      <c r="C603" s="290" t="n"/>
      <c r="D603" s="290" t="n"/>
      <c r="E603" s="291" t="n"/>
      <c r="F603" s="290" t="n"/>
      <c r="G603" s="290" t="n"/>
    </row>
    <row r="604" ht="13" customHeight="1" s="189">
      <c r="C604" s="290" t="n"/>
      <c r="D604" s="290" t="n"/>
      <c r="E604" s="291" t="n"/>
      <c r="F604" s="290" t="n"/>
      <c r="G604" s="290" t="n"/>
    </row>
    <row r="605" ht="13" customHeight="1" s="189">
      <c r="C605" s="290" t="n"/>
      <c r="D605" s="290" t="n"/>
      <c r="E605" s="291" t="n"/>
      <c r="F605" s="290" t="n"/>
      <c r="G605" s="290" t="n"/>
    </row>
    <row r="606" ht="13" customHeight="1" s="189">
      <c r="C606" s="290" t="n"/>
      <c r="D606" s="290" t="n"/>
      <c r="E606" s="291" t="n"/>
      <c r="F606" s="290" t="n"/>
      <c r="G606" s="290" t="n"/>
    </row>
    <row r="607" ht="13" customHeight="1" s="189">
      <c r="C607" s="290" t="n"/>
      <c r="D607" s="290" t="n"/>
      <c r="E607" s="291" t="n"/>
      <c r="F607" s="290" t="n"/>
      <c r="G607" s="290" t="n"/>
    </row>
    <row r="608" ht="13" customHeight="1" s="189">
      <c r="C608" s="290" t="n"/>
      <c r="D608" s="290" t="n"/>
      <c r="E608" s="291" t="n"/>
      <c r="F608" s="290" t="n"/>
      <c r="G608" s="290" t="n"/>
    </row>
    <row r="609" ht="13" customHeight="1" s="189">
      <c r="C609" s="290" t="n"/>
      <c r="D609" s="290" t="n"/>
      <c r="E609" s="291" t="n"/>
      <c r="F609" s="290" t="n"/>
      <c r="G609" s="290" t="n"/>
    </row>
    <row r="610" ht="13" customHeight="1" s="189">
      <c r="C610" s="290" t="n"/>
      <c r="D610" s="290" t="n"/>
      <c r="E610" s="291" t="n"/>
      <c r="F610" s="290" t="n"/>
      <c r="G610" s="290" t="n"/>
    </row>
    <row r="611" ht="13" customHeight="1" s="189">
      <c r="C611" s="290" t="n"/>
      <c r="D611" s="290" t="n"/>
      <c r="E611" s="291" t="n"/>
      <c r="F611" s="290" t="n"/>
      <c r="G611" s="290" t="n"/>
    </row>
    <row r="612" ht="13" customHeight="1" s="189">
      <c r="C612" s="290" t="n"/>
      <c r="D612" s="290" t="n"/>
      <c r="E612" s="291" t="n"/>
      <c r="F612" s="290" t="n"/>
      <c r="G612" s="290" t="n"/>
    </row>
    <row r="613" ht="13" customHeight="1" s="189">
      <c r="C613" s="290" t="n"/>
      <c r="D613" s="290" t="n"/>
      <c r="E613" s="291" t="n"/>
      <c r="F613" s="290" t="n"/>
      <c r="G613" s="290" t="n"/>
    </row>
    <row r="614" ht="13" customHeight="1" s="189">
      <c r="C614" s="290" t="n"/>
      <c r="D614" s="290" t="n"/>
      <c r="E614" s="291" t="n"/>
      <c r="F614" s="290" t="n"/>
      <c r="G614" s="290" t="n"/>
    </row>
    <row r="615" ht="13" customHeight="1" s="189">
      <c r="C615" s="290" t="n"/>
      <c r="D615" s="290" t="n"/>
      <c r="E615" s="291" t="n"/>
      <c r="F615" s="290" t="n"/>
      <c r="G615" s="290" t="n"/>
    </row>
    <row r="616" ht="13" customHeight="1" s="189">
      <c r="C616" s="290" t="n"/>
      <c r="D616" s="290" t="n"/>
      <c r="E616" s="291" t="n"/>
      <c r="F616" s="290" t="n"/>
      <c r="G616" s="290" t="n"/>
    </row>
    <row r="617" ht="13" customHeight="1" s="189">
      <c r="C617" s="290" t="n"/>
      <c r="D617" s="290" t="n"/>
      <c r="E617" s="291" t="n"/>
      <c r="F617" s="290" t="n"/>
      <c r="G617" s="290" t="n"/>
    </row>
    <row r="618" ht="13" customHeight="1" s="189">
      <c r="C618" s="290" t="n"/>
      <c r="D618" s="290" t="n"/>
      <c r="E618" s="291" t="n"/>
      <c r="F618" s="290" t="n"/>
      <c r="G618" s="290" t="n"/>
    </row>
    <row r="619" ht="13" customHeight="1" s="189">
      <c r="C619" s="290" t="n"/>
      <c r="D619" s="290" t="n"/>
      <c r="E619" s="291" t="n"/>
      <c r="F619" s="290" t="n"/>
      <c r="G619" s="290" t="n"/>
    </row>
    <row r="620" ht="13" customHeight="1" s="189">
      <c r="C620" s="290" t="n"/>
      <c r="D620" s="290" t="n"/>
      <c r="E620" s="291" t="n"/>
      <c r="F620" s="290" t="n"/>
      <c r="G620" s="290" t="n"/>
    </row>
    <row r="621" ht="13" customHeight="1" s="189">
      <c r="C621" s="290" t="n"/>
      <c r="D621" s="290" t="n"/>
      <c r="E621" s="291" t="n"/>
      <c r="F621" s="290" t="n"/>
      <c r="G621" s="290" t="n"/>
    </row>
    <row r="622" ht="13" customHeight="1" s="189">
      <c r="C622" s="290" t="n"/>
      <c r="D622" s="290" t="n"/>
      <c r="E622" s="291" t="n"/>
      <c r="F622" s="290" t="n"/>
      <c r="G622" s="290" t="n"/>
    </row>
    <row r="623" ht="13" customHeight="1" s="189">
      <c r="C623" s="290" t="n"/>
      <c r="D623" s="290" t="n"/>
      <c r="E623" s="291" t="n"/>
      <c r="F623" s="290" t="n"/>
      <c r="G623" s="290" t="n"/>
    </row>
    <row r="624" ht="13" customHeight="1" s="189">
      <c r="C624" s="290" t="n"/>
      <c r="D624" s="290" t="n"/>
      <c r="E624" s="291" t="n"/>
      <c r="F624" s="290" t="n"/>
      <c r="G624" s="290" t="n"/>
    </row>
    <row r="625" ht="13" customHeight="1" s="189">
      <c r="C625" s="290" t="n"/>
      <c r="D625" s="290" t="n"/>
      <c r="E625" s="291" t="n"/>
      <c r="F625" s="290" t="n"/>
      <c r="G625" s="290" t="n"/>
    </row>
    <row r="626" ht="13" customHeight="1" s="189">
      <c r="C626" s="290" t="n"/>
      <c r="D626" s="290" t="n"/>
      <c r="E626" s="291" t="n"/>
      <c r="F626" s="290" t="n"/>
      <c r="G626" s="290" t="n"/>
    </row>
    <row r="627" ht="13" customHeight="1" s="189">
      <c r="C627" s="290" t="n"/>
      <c r="D627" s="290" t="n"/>
      <c r="E627" s="291" t="n"/>
      <c r="F627" s="290" t="n"/>
      <c r="G627" s="290" t="n"/>
    </row>
    <row r="628" ht="13" customHeight="1" s="189">
      <c r="C628" s="290" t="n"/>
      <c r="D628" s="290" t="n"/>
      <c r="E628" s="291" t="n"/>
      <c r="F628" s="290" t="n"/>
      <c r="G628" s="290" t="n"/>
    </row>
    <row r="629" ht="13" customHeight="1" s="189">
      <c r="C629" s="290" t="n"/>
      <c r="D629" s="290" t="n"/>
      <c r="E629" s="291" t="n"/>
      <c r="F629" s="290" t="n"/>
      <c r="G629" s="290" t="n"/>
    </row>
    <row r="630" ht="13" customHeight="1" s="189">
      <c r="C630" s="290" t="n"/>
      <c r="D630" s="290" t="n"/>
      <c r="E630" s="291" t="n"/>
      <c r="F630" s="290" t="n"/>
      <c r="G630" s="290" t="n"/>
    </row>
    <row r="631" ht="13" customHeight="1" s="189">
      <c r="C631" s="290" t="n"/>
      <c r="D631" s="290" t="n"/>
      <c r="E631" s="291" t="n"/>
      <c r="F631" s="290" t="n"/>
      <c r="G631" s="290" t="n"/>
    </row>
    <row r="632" ht="13" customHeight="1" s="189">
      <c r="C632" s="290" t="n"/>
      <c r="D632" s="290" t="n"/>
      <c r="E632" s="291" t="n"/>
      <c r="F632" s="290" t="n"/>
      <c r="G632" s="290" t="n"/>
    </row>
    <row r="633" ht="13" customHeight="1" s="189">
      <c r="C633" s="290" t="n"/>
      <c r="D633" s="290" t="n"/>
      <c r="E633" s="291" t="n"/>
      <c r="F633" s="290" t="n"/>
      <c r="G633" s="290" t="n"/>
    </row>
    <row r="634" ht="13" customHeight="1" s="189">
      <c r="C634" s="290" t="n"/>
      <c r="D634" s="290" t="n"/>
      <c r="E634" s="291" t="n"/>
      <c r="F634" s="290" t="n"/>
      <c r="G634" s="290" t="n"/>
    </row>
    <row r="635" ht="13" customHeight="1" s="189">
      <c r="C635" s="290" t="n"/>
      <c r="D635" s="290" t="n"/>
      <c r="E635" s="291" t="n"/>
      <c r="F635" s="290" t="n"/>
      <c r="G635" s="290" t="n"/>
    </row>
    <row r="636" ht="13" customHeight="1" s="189">
      <c r="C636" s="290" t="n"/>
      <c r="D636" s="290" t="n"/>
      <c r="E636" s="291" t="n"/>
      <c r="F636" s="290" t="n"/>
      <c r="G636" s="290" t="n"/>
    </row>
    <row r="637" ht="13" customHeight="1" s="189">
      <c r="C637" s="290" t="n"/>
      <c r="D637" s="290" t="n"/>
      <c r="E637" s="291" t="n"/>
      <c r="F637" s="290" t="n"/>
      <c r="G637" s="290" t="n"/>
    </row>
    <row r="638" ht="13" customHeight="1" s="189">
      <c r="C638" s="290" t="n"/>
      <c r="D638" s="290" t="n"/>
      <c r="E638" s="291" t="n"/>
      <c r="F638" s="290" t="n"/>
      <c r="G638" s="290" t="n"/>
    </row>
    <row r="639" ht="13" customHeight="1" s="189">
      <c r="C639" s="290" t="n"/>
      <c r="D639" s="290" t="n"/>
      <c r="E639" s="291" t="n"/>
      <c r="F639" s="290" t="n"/>
      <c r="G639" s="290" t="n"/>
    </row>
    <row r="640" ht="13" customHeight="1" s="189">
      <c r="C640" s="290" t="n"/>
      <c r="D640" s="290" t="n"/>
      <c r="E640" s="291" t="n"/>
      <c r="F640" s="290" t="n"/>
      <c r="G640" s="290" t="n"/>
    </row>
    <row r="641" ht="13" customHeight="1" s="189">
      <c r="C641" s="290" t="n"/>
      <c r="D641" s="290" t="n"/>
      <c r="E641" s="291" t="n"/>
      <c r="F641" s="290" t="n"/>
      <c r="G641" s="290" t="n"/>
    </row>
    <row r="642" ht="13" customHeight="1" s="189">
      <c r="C642" s="290" t="n"/>
      <c r="D642" s="290" t="n"/>
      <c r="E642" s="291" t="n"/>
      <c r="F642" s="290" t="n"/>
      <c r="G642" s="290" t="n"/>
    </row>
    <row r="643" ht="13" customHeight="1" s="189">
      <c r="C643" s="290" t="n"/>
      <c r="D643" s="290" t="n"/>
      <c r="E643" s="291" t="n"/>
      <c r="F643" s="290" t="n"/>
      <c r="G643" s="290" t="n"/>
    </row>
    <row r="644" ht="13" customHeight="1" s="189">
      <c r="C644" s="290" t="n"/>
      <c r="D644" s="290" t="n"/>
      <c r="E644" s="291" t="n"/>
      <c r="F644" s="290" t="n"/>
      <c r="G644" s="290" t="n"/>
    </row>
    <row r="645" ht="13" customHeight="1" s="189">
      <c r="C645" s="290" t="n"/>
      <c r="D645" s="290" t="n"/>
      <c r="E645" s="291" t="n"/>
      <c r="F645" s="290" t="n"/>
      <c r="G645" s="290" t="n"/>
    </row>
    <row r="646" ht="13" customHeight="1" s="189">
      <c r="C646" s="290" t="n"/>
      <c r="D646" s="290" t="n"/>
      <c r="E646" s="291" t="n"/>
      <c r="F646" s="290" t="n"/>
      <c r="G646" s="290" t="n"/>
    </row>
    <row r="647" ht="13" customHeight="1" s="189">
      <c r="C647" s="290" t="n"/>
      <c r="D647" s="290" t="n"/>
      <c r="E647" s="291" t="n"/>
      <c r="F647" s="290" t="n"/>
      <c r="G647" s="290" t="n"/>
    </row>
    <row r="648" ht="13" customHeight="1" s="189">
      <c r="C648" s="290" t="n"/>
      <c r="D648" s="290" t="n"/>
      <c r="E648" s="291" t="n"/>
      <c r="F648" s="290" t="n"/>
      <c r="G648" s="290" t="n"/>
    </row>
    <row r="649" ht="13" customHeight="1" s="189">
      <c r="C649" s="290" t="n"/>
      <c r="D649" s="290" t="n"/>
      <c r="E649" s="291" t="n"/>
      <c r="F649" s="290" t="n"/>
      <c r="G649" s="290" t="n"/>
    </row>
    <row r="650" ht="13" customHeight="1" s="189">
      <c r="C650" s="290" t="n"/>
      <c r="D650" s="290" t="n"/>
      <c r="E650" s="291" t="n"/>
      <c r="F650" s="290" t="n"/>
      <c r="G650" s="290" t="n"/>
    </row>
    <row r="651" ht="13" customHeight="1" s="189">
      <c r="C651" s="290" t="n"/>
      <c r="D651" s="290" t="n"/>
      <c r="E651" s="291" t="n"/>
      <c r="F651" s="290" t="n"/>
      <c r="G651" s="290" t="n"/>
    </row>
    <row r="652" ht="13" customHeight="1" s="189">
      <c r="C652" s="290" t="n"/>
      <c r="D652" s="290" t="n"/>
      <c r="E652" s="291" t="n"/>
      <c r="F652" s="290" t="n"/>
      <c r="G652" s="290" t="n"/>
    </row>
    <row r="653" ht="13" customHeight="1" s="189">
      <c r="C653" s="290" t="n"/>
      <c r="D653" s="290" t="n"/>
      <c r="E653" s="291" t="n"/>
      <c r="F653" s="290" t="n"/>
      <c r="G653" s="290" t="n"/>
    </row>
    <row r="654" ht="13" customHeight="1" s="189">
      <c r="C654" s="290" t="n"/>
      <c r="D654" s="290" t="n"/>
      <c r="E654" s="291" t="n"/>
      <c r="F654" s="290" t="n"/>
      <c r="G654" s="290" t="n"/>
    </row>
    <row r="655" ht="13" customHeight="1" s="189">
      <c r="C655" s="290" t="n"/>
      <c r="D655" s="290" t="n"/>
      <c r="E655" s="291" t="n"/>
      <c r="F655" s="290" t="n"/>
      <c r="G655" s="290" t="n"/>
    </row>
    <row r="656" ht="13" customHeight="1" s="189">
      <c r="C656" s="290" t="n"/>
      <c r="D656" s="290" t="n"/>
      <c r="E656" s="291" t="n"/>
      <c r="F656" s="290" t="n"/>
      <c r="G656" s="290" t="n"/>
    </row>
    <row r="657" ht="13" customHeight="1" s="189">
      <c r="C657" s="290" t="n"/>
      <c r="D657" s="290" t="n"/>
      <c r="E657" s="291" t="n"/>
      <c r="F657" s="290" t="n"/>
      <c r="G657" s="290" t="n"/>
    </row>
    <row r="658" ht="13" customHeight="1" s="189">
      <c r="C658" s="290" t="n"/>
      <c r="D658" s="290" t="n"/>
      <c r="E658" s="291" t="n"/>
      <c r="F658" s="290" t="n"/>
      <c r="G658" s="290" t="n"/>
    </row>
    <row r="659" ht="13" customHeight="1" s="189">
      <c r="C659" s="290" t="n"/>
      <c r="D659" s="290" t="n"/>
      <c r="E659" s="291" t="n"/>
      <c r="F659" s="290" t="n"/>
      <c r="G659" s="290" t="n"/>
    </row>
    <row r="660" ht="13" customHeight="1" s="189">
      <c r="C660" s="290" t="n"/>
      <c r="D660" s="290" t="n"/>
      <c r="E660" s="291" t="n"/>
      <c r="F660" s="290" t="n"/>
      <c r="G660" s="290" t="n"/>
    </row>
    <row r="661" ht="13" customHeight="1" s="189">
      <c r="C661" s="290" t="n"/>
      <c r="D661" s="290" t="n"/>
      <c r="E661" s="291" t="n"/>
      <c r="F661" s="290" t="n"/>
      <c r="G661" s="290" t="n"/>
    </row>
    <row r="662" ht="13" customHeight="1" s="189">
      <c r="C662" s="290" t="n"/>
      <c r="D662" s="290" t="n"/>
      <c r="E662" s="291" t="n"/>
      <c r="F662" s="290" t="n"/>
      <c r="G662" s="290" t="n"/>
    </row>
    <row r="663" ht="13" customHeight="1" s="189">
      <c r="C663" s="290" t="n"/>
      <c r="D663" s="290" t="n"/>
      <c r="E663" s="291" t="n"/>
      <c r="F663" s="290" t="n"/>
      <c r="G663" s="290" t="n"/>
    </row>
    <row r="664" ht="13" customHeight="1" s="189">
      <c r="C664" s="290" t="n"/>
      <c r="D664" s="290" t="n"/>
      <c r="E664" s="291" t="n"/>
      <c r="F664" s="290" t="n"/>
      <c r="G664" s="290" t="n"/>
    </row>
    <row r="665" ht="13" customHeight="1" s="189">
      <c r="C665" s="290" t="n"/>
      <c r="D665" s="290" t="n"/>
      <c r="E665" s="291" t="n"/>
      <c r="F665" s="290" t="n"/>
      <c r="G665" s="290" t="n"/>
    </row>
    <row r="666" ht="13" customHeight="1" s="189">
      <c r="C666" s="290" t="n"/>
      <c r="D666" s="290" t="n"/>
      <c r="E666" s="291" t="n"/>
      <c r="F666" s="290" t="n"/>
      <c r="G666" s="290" t="n"/>
    </row>
    <row r="667" ht="13" customHeight="1" s="189">
      <c r="C667" s="290" t="n"/>
      <c r="D667" s="290" t="n"/>
      <c r="E667" s="291" t="n"/>
      <c r="F667" s="290" t="n"/>
      <c r="G667" s="290" t="n"/>
    </row>
    <row r="668" ht="13" customHeight="1" s="189">
      <c r="C668" s="290" t="n"/>
      <c r="D668" s="290" t="n"/>
      <c r="E668" s="291" t="n"/>
      <c r="F668" s="290" t="n"/>
      <c r="G668" s="290" t="n"/>
    </row>
    <row r="669" ht="13" customHeight="1" s="189">
      <c r="C669" s="290" t="n"/>
      <c r="D669" s="290" t="n"/>
      <c r="E669" s="291" t="n"/>
      <c r="F669" s="290" t="n"/>
      <c r="G669" s="290" t="n"/>
    </row>
    <row r="670" ht="13" customHeight="1" s="189">
      <c r="C670" s="290" t="n"/>
      <c r="D670" s="290" t="n"/>
      <c r="E670" s="291" t="n"/>
      <c r="F670" s="290" t="n"/>
      <c r="G670" s="290" t="n"/>
    </row>
    <row r="671" ht="13" customHeight="1" s="189">
      <c r="C671" s="290" t="n"/>
      <c r="D671" s="290" t="n"/>
      <c r="E671" s="291" t="n"/>
      <c r="F671" s="290" t="n"/>
      <c r="G671" s="290" t="n"/>
    </row>
    <row r="672" ht="13" customHeight="1" s="189">
      <c r="C672" s="290" t="n"/>
      <c r="D672" s="290" t="n"/>
      <c r="E672" s="291" t="n"/>
      <c r="F672" s="290" t="n"/>
      <c r="G672" s="290" t="n"/>
    </row>
    <row r="673" ht="13" customHeight="1" s="189">
      <c r="C673" s="290" t="n"/>
      <c r="D673" s="290" t="n"/>
      <c r="E673" s="291" t="n"/>
      <c r="F673" s="290" t="n"/>
      <c r="G673" s="290" t="n"/>
    </row>
    <row r="674" ht="13" customHeight="1" s="189">
      <c r="C674" s="290" t="n"/>
      <c r="D674" s="290" t="n"/>
      <c r="E674" s="291" t="n"/>
      <c r="F674" s="290" t="n"/>
      <c r="G674" s="290" t="n"/>
    </row>
    <row r="675" ht="13" customHeight="1" s="189">
      <c r="C675" s="290" t="n"/>
      <c r="D675" s="290" t="n"/>
      <c r="E675" s="291" t="n"/>
      <c r="F675" s="290" t="n"/>
      <c r="G675" s="290" t="n"/>
    </row>
    <row r="676" ht="13" customHeight="1" s="189">
      <c r="C676" s="290" t="n"/>
      <c r="D676" s="290" t="n"/>
      <c r="E676" s="291" t="n"/>
      <c r="F676" s="290" t="n"/>
      <c r="G676" s="290" t="n"/>
    </row>
    <row r="677" ht="13" customHeight="1" s="189">
      <c r="C677" s="290" t="n"/>
      <c r="D677" s="290" t="n"/>
      <c r="E677" s="291" t="n"/>
      <c r="F677" s="290" t="n"/>
      <c r="G677" s="290" t="n"/>
    </row>
    <row r="678" ht="13" customHeight="1" s="189">
      <c r="C678" s="290" t="n"/>
      <c r="D678" s="290" t="n"/>
      <c r="E678" s="291" t="n"/>
      <c r="F678" s="290" t="n"/>
      <c r="G678" s="290" t="n"/>
    </row>
    <row r="679" ht="13" customHeight="1" s="189">
      <c r="C679" s="290" t="n"/>
      <c r="D679" s="290" t="n"/>
      <c r="E679" s="291" t="n"/>
      <c r="F679" s="290" t="n"/>
      <c r="G679" s="290" t="n"/>
    </row>
    <row r="680" ht="13" customHeight="1" s="189">
      <c r="C680" s="290" t="n"/>
      <c r="D680" s="290" t="n"/>
      <c r="E680" s="291" t="n"/>
      <c r="F680" s="290" t="n"/>
      <c r="G680" s="290" t="n"/>
    </row>
    <row r="681" ht="13" customHeight="1" s="189">
      <c r="C681" s="290" t="n"/>
      <c r="D681" s="290" t="n"/>
      <c r="E681" s="291" t="n"/>
      <c r="F681" s="290" t="n"/>
      <c r="G681" s="290" t="n"/>
    </row>
    <row r="682" ht="13" customHeight="1" s="189">
      <c r="C682" s="290" t="n"/>
      <c r="D682" s="290" t="n"/>
      <c r="E682" s="291" t="n"/>
      <c r="F682" s="290" t="n"/>
      <c r="G682" s="290" t="n"/>
    </row>
    <row r="683" ht="13" customHeight="1" s="189">
      <c r="C683" s="290" t="n"/>
      <c r="D683" s="290" t="n"/>
      <c r="E683" s="291" t="n"/>
      <c r="F683" s="290" t="n"/>
      <c r="G683" s="290" t="n"/>
    </row>
    <row r="684" ht="13" customHeight="1" s="189">
      <c r="C684" s="290" t="n"/>
      <c r="D684" s="290" t="n"/>
      <c r="E684" s="291" t="n"/>
      <c r="F684" s="290" t="n"/>
      <c r="G684" s="290" t="n"/>
    </row>
    <row r="685" ht="13" customHeight="1" s="189">
      <c r="C685" s="290" t="n"/>
      <c r="D685" s="290" t="n"/>
      <c r="E685" s="291" t="n"/>
      <c r="F685" s="290" t="n"/>
      <c r="G685" s="290" t="n"/>
    </row>
    <row r="686" ht="13" customHeight="1" s="189">
      <c r="C686" s="290" t="n"/>
      <c r="D686" s="290" t="n"/>
      <c r="E686" s="291" t="n"/>
      <c r="F686" s="290" t="n"/>
      <c r="G686" s="290" t="n"/>
    </row>
    <row r="687" ht="13" customHeight="1" s="189">
      <c r="C687" s="290" t="n"/>
      <c r="D687" s="290" t="n"/>
      <c r="E687" s="291" t="n"/>
      <c r="F687" s="290" t="n"/>
      <c r="G687" s="290" t="n"/>
    </row>
    <row r="688" ht="13" customHeight="1" s="189">
      <c r="C688" s="290" t="n"/>
      <c r="D688" s="290" t="n"/>
      <c r="E688" s="291" t="n"/>
      <c r="F688" s="290" t="n"/>
      <c r="G688" s="290" t="n"/>
    </row>
    <row r="689" ht="13" customHeight="1" s="189">
      <c r="C689" s="290" t="n"/>
      <c r="D689" s="290" t="n"/>
      <c r="E689" s="291" t="n"/>
      <c r="F689" s="290" t="n"/>
      <c r="G689" s="290" t="n"/>
    </row>
    <row r="690" ht="13" customHeight="1" s="189">
      <c r="C690" s="290" t="n"/>
      <c r="D690" s="290" t="n"/>
      <c r="E690" s="291" t="n"/>
      <c r="F690" s="290" t="n"/>
      <c r="G690" s="290" t="n"/>
    </row>
    <row r="691" ht="13" customHeight="1" s="189">
      <c r="C691" s="290" t="n"/>
      <c r="D691" s="290" t="n"/>
      <c r="E691" s="291" t="n"/>
      <c r="F691" s="290" t="n"/>
      <c r="G691" s="290" t="n"/>
    </row>
    <row r="692" ht="13" customHeight="1" s="189">
      <c r="C692" s="290" t="n"/>
      <c r="D692" s="290" t="n"/>
      <c r="E692" s="291" t="n"/>
      <c r="F692" s="290" t="n"/>
      <c r="G692" s="290" t="n"/>
    </row>
    <row r="693" ht="13" customHeight="1" s="189">
      <c r="C693" s="290" t="n"/>
      <c r="D693" s="290" t="n"/>
      <c r="E693" s="291" t="n"/>
      <c r="F693" s="290" t="n"/>
      <c r="G693" s="290" t="n"/>
    </row>
    <row r="694" ht="13" customHeight="1" s="189">
      <c r="C694" s="290" t="n"/>
      <c r="D694" s="290" t="n"/>
      <c r="E694" s="291" t="n"/>
      <c r="F694" s="290" t="n"/>
      <c r="G694" s="290" t="n"/>
    </row>
    <row r="695" ht="13" customHeight="1" s="189">
      <c r="C695" s="290" t="n"/>
      <c r="D695" s="290" t="n"/>
      <c r="E695" s="291" t="n"/>
      <c r="F695" s="290" t="n"/>
      <c r="G695" s="290" t="n"/>
    </row>
    <row r="696" ht="13" customHeight="1" s="189">
      <c r="C696" s="290" t="n"/>
      <c r="D696" s="290" t="n"/>
      <c r="E696" s="291" t="n"/>
      <c r="F696" s="290" t="n"/>
      <c r="G696" s="290" t="n"/>
    </row>
    <row r="697" ht="13" customHeight="1" s="189">
      <c r="C697" s="290" t="n"/>
      <c r="D697" s="290" t="n"/>
      <c r="E697" s="291" t="n"/>
      <c r="F697" s="290" t="n"/>
      <c r="G697" s="290" t="n"/>
    </row>
    <row r="698" ht="13" customHeight="1" s="189">
      <c r="C698" s="290" t="n"/>
      <c r="D698" s="290" t="n"/>
      <c r="E698" s="291" t="n"/>
      <c r="F698" s="290" t="n"/>
      <c r="G698" s="290" t="n"/>
    </row>
    <row r="699" ht="13" customHeight="1" s="189">
      <c r="C699" s="290" t="n"/>
      <c r="D699" s="290" t="n"/>
      <c r="E699" s="291" t="n"/>
      <c r="F699" s="290" t="n"/>
      <c r="G699" s="290" t="n"/>
    </row>
    <row r="700" ht="13" customHeight="1" s="189">
      <c r="C700" s="290" t="n"/>
      <c r="D700" s="290" t="n"/>
      <c r="E700" s="291" t="n"/>
      <c r="F700" s="290" t="n"/>
      <c r="G700" s="290" t="n"/>
    </row>
    <row r="701" ht="13" customHeight="1" s="189">
      <c r="C701" s="290" t="n"/>
      <c r="D701" s="290" t="n"/>
      <c r="E701" s="291" t="n"/>
      <c r="F701" s="290" t="n"/>
      <c r="G701" s="290" t="n"/>
    </row>
    <row r="702" ht="13" customHeight="1" s="189">
      <c r="C702" s="290" t="n"/>
      <c r="D702" s="290" t="n"/>
      <c r="E702" s="291" t="n"/>
      <c r="F702" s="290" t="n"/>
      <c r="G702" s="290" t="n"/>
    </row>
    <row r="703" ht="13" customHeight="1" s="189">
      <c r="C703" s="290" t="n"/>
      <c r="D703" s="290" t="n"/>
      <c r="E703" s="291" t="n"/>
      <c r="F703" s="290" t="n"/>
      <c r="G703" s="290" t="n"/>
    </row>
    <row r="704" ht="13" customHeight="1" s="189">
      <c r="C704" s="290" t="n"/>
      <c r="D704" s="290" t="n"/>
      <c r="E704" s="291" t="n"/>
      <c r="F704" s="290" t="n"/>
      <c r="G704" s="290" t="n"/>
    </row>
    <row r="705" ht="13" customHeight="1" s="189">
      <c r="C705" s="290" t="n"/>
      <c r="D705" s="290" t="n"/>
      <c r="E705" s="291" t="n"/>
      <c r="F705" s="290" t="n"/>
      <c r="G705" s="290" t="n"/>
    </row>
    <row r="706" ht="13" customHeight="1" s="189">
      <c r="C706" s="290" t="n"/>
      <c r="D706" s="290" t="n"/>
      <c r="E706" s="291" t="n"/>
      <c r="F706" s="290" t="n"/>
      <c r="G706" s="290" t="n"/>
    </row>
    <row r="707" ht="13" customHeight="1" s="189">
      <c r="C707" s="290" t="n"/>
      <c r="D707" s="290" t="n"/>
      <c r="E707" s="291" t="n"/>
      <c r="F707" s="290" t="n"/>
      <c r="G707" s="290" t="n"/>
    </row>
    <row r="708" ht="13" customHeight="1" s="189">
      <c r="C708" s="290" t="n"/>
      <c r="D708" s="290" t="n"/>
      <c r="E708" s="291" t="n"/>
      <c r="F708" s="290" t="n"/>
      <c r="G708" s="290" t="n"/>
    </row>
    <row r="709" ht="13" customHeight="1" s="189">
      <c r="C709" s="290" t="n"/>
      <c r="D709" s="290" t="n"/>
      <c r="E709" s="291" t="n"/>
      <c r="F709" s="290" t="n"/>
      <c r="G709" s="290" t="n"/>
    </row>
    <row r="710" ht="13" customHeight="1" s="189">
      <c r="C710" s="290" t="n"/>
      <c r="D710" s="290" t="n"/>
      <c r="E710" s="291" t="n"/>
      <c r="F710" s="290" t="n"/>
      <c r="G710" s="290" t="n"/>
    </row>
    <row r="711" ht="13" customHeight="1" s="189">
      <c r="C711" s="290" t="n"/>
      <c r="D711" s="290" t="n"/>
      <c r="E711" s="291" t="n"/>
      <c r="F711" s="290" t="n"/>
      <c r="G711" s="290" t="n"/>
    </row>
    <row r="712" ht="13" customHeight="1" s="189">
      <c r="C712" s="290" t="n"/>
      <c r="D712" s="290" t="n"/>
      <c r="E712" s="291" t="n"/>
      <c r="F712" s="290" t="n"/>
      <c r="G712" s="290" t="n"/>
    </row>
    <row r="713" ht="13" customHeight="1" s="189">
      <c r="C713" s="290" t="n"/>
      <c r="D713" s="290" t="n"/>
      <c r="E713" s="291" t="n"/>
      <c r="F713" s="290" t="n"/>
      <c r="G713" s="290" t="n"/>
    </row>
    <row r="714" ht="13" customHeight="1" s="189">
      <c r="C714" s="290" t="n"/>
      <c r="D714" s="290" t="n"/>
      <c r="E714" s="291" t="n"/>
      <c r="F714" s="290" t="n"/>
      <c r="G714" s="290" t="n"/>
    </row>
    <row r="715" ht="13" customHeight="1" s="189">
      <c r="C715" s="290" t="n"/>
      <c r="D715" s="290" t="n"/>
      <c r="E715" s="291" t="n"/>
      <c r="F715" s="290" t="n"/>
      <c r="G715" s="290" t="n"/>
    </row>
    <row r="716" ht="13" customHeight="1" s="189">
      <c r="C716" s="290" t="n"/>
      <c r="D716" s="290" t="n"/>
      <c r="E716" s="291" t="n"/>
      <c r="F716" s="290" t="n"/>
      <c r="G716" s="290" t="n"/>
    </row>
    <row r="717" ht="13" customHeight="1" s="189">
      <c r="C717" s="290" t="n"/>
      <c r="D717" s="290" t="n"/>
      <c r="E717" s="291" t="n"/>
      <c r="F717" s="290" t="n"/>
      <c r="G717" s="290" t="n"/>
    </row>
    <row r="718" ht="13" customHeight="1" s="189">
      <c r="C718" s="290" t="n"/>
      <c r="D718" s="290" t="n"/>
      <c r="E718" s="291" t="n"/>
      <c r="F718" s="290" t="n"/>
      <c r="G718" s="290" t="n"/>
    </row>
    <row r="719" ht="13" customHeight="1" s="189">
      <c r="C719" s="290" t="n"/>
      <c r="D719" s="290" t="n"/>
      <c r="E719" s="291" t="n"/>
      <c r="F719" s="290" t="n"/>
      <c r="G719" s="290" t="n"/>
    </row>
    <row r="720" ht="13" customHeight="1" s="189">
      <c r="C720" s="290" t="n"/>
      <c r="D720" s="290" t="n"/>
      <c r="E720" s="291" t="n"/>
      <c r="F720" s="290" t="n"/>
      <c r="G720" s="290" t="n"/>
    </row>
    <row r="721" ht="13" customHeight="1" s="189">
      <c r="C721" s="290" t="n"/>
      <c r="D721" s="290" t="n"/>
      <c r="E721" s="291" t="n"/>
      <c r="F721" s="290" t="n"/>
      <c r="G721" s="290" t="n"/>
    </row>
    <row r="722" ht="13" customHeight="1" s="189">
      <c r="C722" s="290" t="n"/>
      <c r="D722" s="290" t="n"/>
      <c r="E722" s="291" t="n"/>
      <c r="F722" s="290" t="n"/>
      <c r="G722" s="290" t="n"/>
    </row>
    <row r="723" ht="13" customHeight="1" s="189">
      <c r="C723" s="290" t="n"/>
      <c r="D723" s="290" t="n"/>
      <c r="E723" s="291" t="n"/>
      <c r="F723" s="290" t="n"/>
      <c r="G723" s="290" t="n"/>
    </row>
    <row r="724" ht="13" customHeight="1" s="189">
      <c r="C724" s="290" t="n"/>
      <c r="D724" s="290" t="n"/>
      <c r="E724" s="291" t="n"/>
      <c r="F724" s="290" t="n"/>
      <c r="G724" s="290" t="n"/>
    </row>
    <row r="725" ht="13" customHeight="1" s="189">
      <c r="C725" s="290" t="n"/>
      <c r="D725" s="290" t="n"/>
      <c r="E725" s="291" t="n"/>
      <c r="F725" s="290" t="n"/>
      <c r="G725" s="290" t="n"/>
    </row>
    <row r="726" ht="13" customHeight="1" s="189">
      <c r="C726" s="290" t="n"/>
      <c r="D726" s="290" t="n"/>
      <c r="E726" s="291" t="n"/>
      <c r="F726" s="290" t="n"/>
      <c r="G726" s="290" t="n"/>
    </row>
    <row r="727" ht="13" customHeight="1" s="189">
      <c r="C727" s="290" t="n"/>
      <c r="D727" s="290" t="n"/>
      <c r="E727" s="291" t="n"/>
      <c r="F727" s="290" t="n"/>
      <c r="G727" s="290" t="n"/>
    </row>
    <row r="728" ht="13" customHeight="1" s="189">
      <c r="C728" s="290" t="n"/>
      <c r="D728" s="290" t="n"/>
      <c r="E728" s="291" t="n"/>
      <c r="F728" s="290" t="n"/>
      <c r="G728" s="290" t="n"/>
    </row>
    <row r="729" ht="13" customHeight="1" s="189">
      <c r="C729" s="290" t="n"/>
      <c r="D729" s="290" t="n"/>
      <c r="E729" s="291" t="n"/>
      <c r="F729" s="290" t="n"/>
      <c r="G729" s="290" t="n"/>
    </row>
    <row r="730" ht="13" customHeight="1" s="189">
      <c r="C730" s="290" t="n"/>
      <c r="D730" s="290" t="n"/>
      <c r="E730" s="291" t="n"/>
      <c r="F730" s="290" t="n"/>
      <c r="G730" s="290" t="n"/>
    </row>
    <row r="731" ht="13" customHeight="1" s="189">
      <c r="C731" s="290" t="n"/>
      <c r="D731" s="290" t="n"/>
      <c r="E731" s="291" t="n"/>
      <c r="F731" s="290" t="n"/>
      <c r="G731" s="290" t="n"/>
    </row>
    <row r="732" ht="13" customHeight="1" s="189">
      <c r="C732" s="290" t="n"/>
      <c r="D732" s="290" t="n"/>
      <c r="E732" s="291" t="n"/>
      <c r="F732" s="290" t="n"/>
      <c r="G732" s="290" t="n"/>
    </row>
    <row r="733" ht="13" customHeight="1" s="189">
      <c r="C733" s="290" t="n"/>
      <c r="D733" s="290" t="n"/>
      <c r="E733" s="291" t="n"/>
      <c r="F733" s="290" t="n"/>
      <c r="G733" s="290" t="n"/>
    </row>
    <row r="734" ht="13" customHeight="1" s="189">
      <c r="C734" s="290" t="n"/>
      <c r="D734" s="290" t="n"/>
      <c r="E734" s="291" t="n"/>
      <c r="F734" s="290" t="n"/>
      <c r="G734" s="290" t="n"/>
    </row>
    <row r="735" ht="13" customHeight="1" s="189">
      <c r="C735" s="290" t="n"/>
      <c r="D735" s="290" t="n"/>
      <c r="E735" s="291" t="n"/>
      <c r="F735" s="290" t="n"/>
      <c r="G735" s="290" t="n"/>
    </row>
    <row r="736" ht="13" customHeight="1" s="189">
      <c r="C736" s="290" t="n"/>
      <c r="D736" s="290" t="n"/>
      <c r="E736" s="291" t="n"/>
      <c r="F736" s="290" t="n"/>
      <c r="G736" s="290" t="n"/>
    </row>
    <row r="737" ht="13" customHeight="1" s="189">
      <c r="C737" s="290" t="n"/>
      <c r="D737" s="290" t="n"/>
      <c r="E737" s="291" t="n"/>
      <c r="F737" s="290" t="n"/>
      <c r="G737" s="290" t="n"/>
    </row>
    <row r="738" ht="13" customHeight="1" s="189">
      <c r="C738" s="290" t="n"/>
      <c r="D738" s="290" t="n"/>
      <c r="E738" s="291" t="n"/>
      <c r="F738" s="290" t="n"/>
      <c r="G738" s="290" t="n"/>
    </row>
    <row r="739" ht="13" customHeight="1" s="189">
      <c r="C739" s="290" t="n"/>
      <c r="D739" s="290" t="n"/>
      <c r="E739" s="291" t="n"/>
      <c r="F739" s="290" t="n"/>
      <c r="G739" s="290" t="n"/>
    </row>
    <row r="740" ht="13" customHeight="1" s="189">
      <c r="C740" s="290" t="n"/>
      <c r="D740" s="290" t="n"/>
      <c r="E740" s="291" t="n"/>
      <c r="F740" s="290" t="n"/>
      <c r="G740" s="290" t="n"/>
    </row>
    <row r="741" ht="13" customHeight="1" s="189">
      <c r="C741" s="290" t="n"/>
      <c r="D741" s="290" t="n"/>
      <c r="E741" s="291" t="n"/>
      <c r="F741" s="290" t="n"/>
      <c r="G741" s="290" t="n"/>
    </row>
    <row r="742" ht="13" customHeight="1" s="189">
      <c r="C742" s="290" t="n"/>
      <c r="D742" s="290" t="n"/>
      <c r="E742" s="291" t="n"/>
      <c r="F742" s="290" t="n"/>
      <c r="G742" s="290" t="n"/>
    </row>
    <row r="743" ht="13" customHeight="1" s="189">
      <c r="C743" s="290" t="n"/>
      <c r="D743" s="290" t="n"/>
      <c r="E743" s="291" t="n"/>
      <c r="F743" s="290" t="n"/>
      <c r="G743" s="290" t="n"/>
    </row>
    <row r="744" ht="13" customHeight="1" s="189">
      <c r="C744" s="290" t="n"/>
      <c r="D744" s="290" t="n"/>
      <c r="E744" s="291" t="n"/>
      <c r="F744" s="290" t="n"/>
      <c r="G744" s="290" t="n"/>
    </row>
    <row r="745" ht="13" customHeight="1" s="189">
      <c r="C745" s="290" t="n"/>
      <c r="D745" s="290" t="n"/>
      <c r="E745" s="291" t="n"/>
      <c r="F745" s="290" t="n"/>
      <c r="G745" s="290" t="n"/>
    </row>
    <row r="746" ht="13" customHeight="1" s="189">
      <c r="C746" s="290" t="n"/>
      <c r="D746" s="290" t="n"/>
      <c r="E746" s="291" t="n"/>
      <c r="F746" s="290" t="n"/>
      <c r="G746" s="290" t="n"/>
    </row>
    <row r="747" ht="13" customHeight="1" s="189">
      <c r="C747" s="290" t="n"/>
      <c r="D747" s="290" t="n"/>
      <c r="E747" s="291" t="n"/>
      <c r="F747" s="290" t="n"/>
      <c r="G747" s="290" t="n"/>
    </row>
    <row r="748" ht="13" customHeight="1" s="189">
      <c r="C748" s="290" t="n"/>
      <c r="D748" s="290" t="n"/>
      <c r="E748" s="291" t="n"/>
      <c r="F748" s="290" t="n"/>
      <c r="G748" s="290" t="n"/>
    </row>
    <row r="749" ht="13" customHeight="1" s="189">
      <c r="C749" s="290" t="n"/>
      <c r="D749" s="290" t="n"/>
      <c r="E749" s="291" t="n"/>
      <c r="F749" s="290" t="n"/>
      <c r="G749" s="290" t="n"/>
    </row>
    <row r="750" ht="13" customHeight="1" s="189">
      <c r="C750" s="290" t="n"/>
      <c r="D750" s="290" t="n"/>
      <c r="E750" s="291" t="n"/>
      <c r="F750" s="290" t="n"/>
      <c r="G750" s="290" t="n"/>
    </row>
    <row r="751" ht="13" customHeight="1" s="189">
      <c r="C751" s="290" t="n"/>
      <c r="D751" s="290" t="n"/>
      <c r="E751" s="291" t="n"/>
      <c r="F751" s="290" t="n"/>
      <c r="G751" s="290" t="n"/>
    </row>
    <row r="752" ht="13" customHeight="1" s="189">
      <c r="C752" s="290" t="n"/>
      <c r="D752" s="290" t="n"/>
      <c r="E752" s="291" t="n"/>
      <c r="F752" s="290" t="n"/>
      <c r="G752" s="290" t="n"/>
    </row>
    <row r="753" ht="13" customHeight="1" s="189">
      <c r="C753" s="290" t="n"/>
      <c r="D753" s="290" t="n"/>
      <c r="E753" s="291" t="n"/>
      <c r="F753" s="290" t="n"/>
      <c r="G753" s="290" t="n"/>
    </row>
    <row r="754" ht="13" customHeight="1" s="189">
      <c r="C754" s="290" t="n"/>
      <c r="D754" s="290" t="n"/>
      <c r="E754" s="291" t="n"/>
      <c r="F754" s="290" t="n"/>
      <c r="G754" s="290" t="n"/>
    </row>
    <row r="755" ht="13" customHeight="1" s="189">
      <c r="C755" s="290" t="n"/>
      <c r="D755" s="290" t="n"/>
      <c r="E755" s="291" t="n"/>
      <c r="F755" s="290" t="n"/>
      <c r="G755" s="290" t="n"/>
    </row>
    <row r="756" ht="13" customHeight="1" s="189">
      <c r="C756" s="290" t="n"/>
      <c r="D756" s="290" t="n"/>
      <c r="E756" s="291" t="n"/>
      <c r="F756" s="290" t="n"/>
      <c r="G756" s="290" t="n"/>
    </row>
    <row r="757" ht="13" customHeight="1" s="189">
      <c r="C757" s="290" t="n"/>
      <c r="D757" s="290" t="n"/>
      <c r="E757" s="291" t="n"/>
      <c r="F757" s="290" t="n"/>
      <c r="G757" s="290" t="n"/>
    </row>
    <row r="758" ht="13" customHeight="1" s="189">
      <c r="C758" s="290" t="n"/>
      <c r="D758" s="290" t="n"/>
      <c r="E758" s="291" t="n"/>
      <c r="F758" s="290" t="n"/>
      <c r="G758" s="290" t="n"/>
    </row>
    <row r="759" ht="13" customHeight="1" s="189">
      <c r="C759" s="290" t="n"/>
      <c r="D759" s="290" t="n"/>
      <c r="E759" s="291" t="n"/>
      <c r="F759" s="290" t="n"/>
      <c r="G759" s="290" t="n"/>
    </row>
    <row r="760" ht="13" customHeight="1" s="189">
      <c r="C760" s="290" t="n"/>
      <c r="D760" s="290" t="n"/>
      <c r="E760" s="291" t="n"/>
      <c r="F760" s="290" t="n"/>
      <c r="G760" s="290" t="n"/>
    </row>
    <row r="761" ht="13" customHeight="1" s="189">
      <c r="C761" s="290" t="n"/>
      <c r="D761" s="290" t="n"/>
      <c r="E761" s="291" t="n"/>
      <c r="F761" s="290" t="n"/>
      <c r="G761" s="290" t="n"/>
    </row>
    <row r="762" ht="13" customHeight="1" s="189">
      <c r="C762" s="290" t="n"/>
      <c r="D762" s="290" t="n"/>
      <c r="E762" s="291" t="n"/>
      <c r="F762" s="290" t="n"/>
      <c r="G762" s="290" t="n"/>
    </row>
    <row r="763" ht="13" customHeight="1" s="189">
      <c r="C763" s="290" t="n"/>
      <c r="D763" s="290" t="n"/>
      <c r="E763" s="291" t="n"/>
      <c r="F763" s="290" t="n"/>
      <c r="G763" s="290" t="n"/>
    </row>
    <row r="764" ht="13" customHeight="1" s="189">
      <c r="C764" s="290" t="n"/>
      <c r="D764" s="290" t="n"/>
      <c r="E764" s="291" t="n"/>
      <c r="F764" s="290" t="n"/>
      <c r="G764" s="290" t="n"/>
    </row>
    <row r="765" ht="13" customHeight="1" s="189">
      <c r="C765" s="290" t="n"/>
      <c r="D765" s="290" t="n"/>
      <c r="E765" s="291" t="n"/>
      <c r="F765" s="290" t="n"/>
      <c r="G765" s="290" t="n"/>
    </row>
    <row r="766" ht="13" customHeight="1" s="189">
      <c r="C766" s="290" t="n"/>
      <c r="D766" s="290" t="n"/>
      <c r="E766" s="291" t="n"/>
      <c r="F766" s="290" t="n"/>
      <c r="G766" s="290" t="n"/>
    </row>
    <row r="767" ht="13" customHeight="1" s="189">
      <c r="C767" s="290" t="n"/>
      <c r="D767" s="290" t="n"/>
      <c r="E767" s="291" t="n"/>
      <c r="F767" s="290" t="n"/>
      <c r="G767" s="290" t="n"/>
    </row>
    <row r="768" ht="13" customHeight="1" s="189">
      <c r="C768" s="290" t="n"/>
      <c r="D768" s="290" t="n"/>
      <c r="E768" s="291" t="n"/>
      <c r="F768" s="290" t="n"/>
      <c r="G768" s="290" t="n"/>
    </row>
    <row r="769" ht="13" customHeight="1" s="189">
      <c r="C769" s="290" t="n"/>
      <c r="D769" s="290" t="n"/>
      <c r="E769" s="291" t="n"/>
      <c r="F769" s="290" t="n"/>
      <c r="G769" s="290" t="n"/>
    </row>
    <row r="770" ht="13" customHeight="1" s="189">
      <c r="C770" s="290" t="n"/>
      <c r="D770" s="290" t="n"/>
      <c r="E770" s="291" t="n"/>
      <c r="F770" s="290" t="n"/>
      <c r="G770" s="290" t="n"/>
    </row>
    <row r="771" ht="13" customHeight="1" s="189">
      <c r="C771" s="290" t="n"/>
      <c r="D771" s="290" t="n"/>
      <c r="E771" s="291" t="n"/>
      <c r="F771" s="290" t="n"/>
      <c r="G771" s="290" t="n"/>
    </row>
    <row r="772" ht="13" customHeight="1" s="189">
      <c r="C772" s="290" t="n"/>
      <c r="D772" s="290" t="n"/>
      <c r="E772" s="291" t="n"/>
      <c r="F772" s="290" t="n"/>
      <c r="G772" s="290" t="n"/>
    </row>
    <row r="773" ht="13" customHeight="1" s="189">
      <c r="C773" s="290" t="n"/>
      <c r="D773" s="290" t="n"/>
      <c r="E773" s="291" t="n"/>
      <c r="F773" s="290" t="n"/>
      <c r="G773" s="290" t="n"/>
    </row>
    <row r="774" ht="13" customHeight="1" s="189">
      <c r="C774" s="290" t="n"/>
      <c r="D774" s="290" t="n"/>
      <c r="E774" s="291" t="n"/>
      <c r="F774" s="290" t="n"/>
      <c r="G774" s="290" t="n"/>
    </row>
    <row r="775" ht="13" customHeight="1" s="189">
      <c r="C775" s="290" t="n"/>
      <c r="D775" s="290" t="n"/>
      <c r="E775" s="291" t="n"/>
      <c r="F775" s="290" t="n"/>
      <c r="G775" s="290" t="n"/>
    </row>
    <row r="776" ht="13" customHeight="1" s="189">
      <c r="C776" s="290" t="n"/>
      <c r="D776" s="290" t="n"/>
      <c r="E776" s="291" t="n"/>
      <c r="F776" s="290" t="n"/>
      <c r="G776" s="290" t="n"/>
    </row>
    <row r="777" ht="13" customHeight="1" s="189">
      <c r="C777" s="290" t="n"/>
      <c r="D777" s="290" t="n"/>
      <c r="E777" s="291" t="n"/>
      <c r="F777" s="290" t="n"/>
      <c r="G777" s="290" t="n"/>
    </row>
    <row r="778" ht="13" customHeight="1" s="189">
      <c r="C778" s="290" t="n"/>
      <c r="D778" s="290" t="n"/>
      <c r="E778" s="291" t="n"/>
      <c r="F778" s="290" t="n"/>
      <c r="G778" s="290" t="n"/>
    </row>
    <row r="779" ht="13" customHeight="1" s="189">
      <c r="C779" s="290" t="n"/>
      <c r="D779" s="290" t="n"/>
      <c r="E779" s="291" t="n"/>
      <c r="F779" s="290" t="n"/>
      <c r="G779" s="290" t="n"/>
    </row>
    <row r="780" ht="13" customHeight="1" s="189">
      <c r="C780" s="290" t="n"/>
      <c r="D780" s="290" t="n"/>
      <c r="E780" s="291" t="n"/>
      <c r="F780" s="290" t="n"/>
      <c r="G780" s="290" t="n"/>
    </row>
    <row r="781" ht="13" customHeight="1" s="189">
      <c r="C781" s="290" t="n"/>
      <c r="D781" s="290" t="n"/>
      <c r="E781" s="291" t="n"/>
      <c r="F781" s="290" t="n"/>
      <c r="G781" s="290" t="n"/>
    </row>
    <row r="782" ht="13" customHeight="1" s="189">
      <c r="C782" s="290" t="n"/>
      <c r="D782" s="290" t="n"/>
      <c r="E782" s="291" t="n"/>
      <c r="F782" s="290" t="n"/>
      <c r="G782" s="290" t="n"/>
    </row>
    <row r="783" ht="13" customHeight="1" s="189">
      <c r="C783" s="290" t="n"/>
      <c r="D783" s="290" t="n"/>
      <c r="E783" s="291" t="n"/>
      <c r="F783" s="290" t="n"/>
      <c r="G783" s="290" t="n"/>
    </row>
    <row r="784" ht="13" customHeight="1" s="189">
      <c r="C784" s="290" t="n"/>
      <c r="D784" s="290" t="n"/>
      <c r="E784" s="291" t="n"/>
      <c r="F784" s="290" t="n"/>
      <c r="G784" s="290" t="n"/>
    </row>
    <row r="785" ht="13" customHeight="1" s="189">
      <c r="C785" s="290" t="n"/>
      <c r="D785" s="290" t="n"/>
      <c r="E785" s="291" t="n"/>
      <c r="F785" s="290" t="n"/>
      <c r="G785" s="290" t="n"/>
    </row>
    <row r="786" ht="13" customHeight="1" s="189">
      <c r="C786" s="290" t="n"/>
      <c r="D786" s="290" t="n"/>
      <c r="E786" s="291" t="n"/>
      <c r="F786" s="290" t="n"/>
      <c r="G786" s="290" t="n"/>
    </row>
    <row r="787" ht="13" customHeight="1" s="189">
      <c r="C787" s="290" t="n"/>
      <c r="D787" s="290" t="n"/>
      <c r="E787" s="291" t="n"/>
      <c r="F787" s="290" t="n"/>
      <c r="G787" s="290" t="n"/>
    </row>
    <row r="788" ht="13" customHeight="1" s="189">
      <c r="C788" s="290" t="n"/>
      <c r="D788" s="290" t="n"/>
      <c r="E788" s="291" t="n"/>
      <c r="F788" s="290" t="n"/>
      <c r="G788" s="290" t="n"/>
    </row>
    <row r="789" ht="13" customHeight="1" s="189">
      <c r="C789" s="290" t="n"/>
      <c r="D789" s="290" t="n"/>
      <c r="E789" s="291" t="n"/>
      <c r="F789" s="290" t="n"/>
      <c r="G789" s="290" t="n"/>
    </row>
    <row r="790" ht="13" customHeight="1" s="189">
      <c r="C790" s="290" t="n"/>
      <c r="D790" s="290" t="n"/>
      <c r="E790" s="291" t="n"/>
      <c r="F790" s="290" t="n"/>
      <c r="G790" s="290" t="n"/>
    </row>
    <row r="791" ht="13" customHeight="1" s="189">
      <c r="C791" s="290" t="n"/>
      <c r="D791" s="290" t="n"/>
      <c r="E791" s="291" t="n"/>
      <c r="F791" s="290" t="n"/>
      <c r="G791" s="290" t="n"/>
    </row>
    <row r="792" ht="13" customHeight="1" s="189">
      <c r="C792" s="290" t="n"/>
      <c r="D792" s="290" t="n"/>
      <c r="E792" s="291" t="n"/>
      <c r="F792" s="290" t="n"/>
      <c r="G792" s="290" t="n"/>
    </row>
    <row r="793" ht="13" customHeight="1" s="189">
      <c r="C793" s="290" t="n"/>
      <c r="D793" s="290" t="n"/>
      <c r="E793" s="291" t="n"/>
      <c r="F793" s="290" t="n"/>
      <c r="G793" s="290" t="n"/>
    </row>
    <row r="794" ht="13" customHeight="1" s="189">
      <c r="C794" s="290" t="n"/>
      <c r="D794" s="290" t="n"/>
      <c r="E794" s="291" t="n"/>
      <c r="F794" s="290" t="n"/>
      <c r="G794" s="290" t="n"/>
    </row>
    <row r="795" ht="13" customHeight="1" s="189">
      <c r="C795" s="290" t="n"/>
      <c r="D795" s="290" t="n"/>
      <c r="E795" s="291" t="n"/>
      <c r="F795" s="290" t="n"/>
      <c r="G795" s="290" t="n"/>
    </row>
    <row r="796" ht="13" customHeight="1" s="189">
      <c r="C796" s="290" t="n"/>
      <c r="D796" s="290" t="n"/>
      <c r="E796" s="291" t="n"/>
      <c r="F796" s="290" t="n"/>
      <c r="G796" s="290" t="n"/>
    </row>
    <row r="797" ht="13" customHeight="1" s="189">
      <c r="C797" s="290" t="n"/>
      <c r="D797" s="290" t="n"/>
      <c r="E797" s="291" t="n"/>
      <c r="F797" s="290" t="n"/>
      <c r="G797" s="290" t="n"/>
    </row>
    <row r="798" ht="13" customHeight="1" s="189">
      <c r="C798" s="290" t="n"/>
      <c r="D798" s="290" t="n"/>
      <c r="E798" s="291" t="n"/>
      <c r="F798" s="290" t="n"/>
      <c r="G798" s="290" t="n"/>
    </row>
    <row r="799" ht="13" customHeight="1" s="189">
      <c r="C799" s="290" t="n"/>
      <c r="D799" s="290" t="n"/>
      <c r="E799" s="291" t="n"/>
      <c r="F799" s="290" t="n"/>
      <c r="G799" s="290" t="n"/>
    </row>
    <row r="800" ht="13" customHeight="1" s="189">
      <c r="C800" s="290" t="n"/>
      <c r="D800" s="290" t="n"/>
      <c r="E800" s="291" t="n"/>
      <c r="F800" s="290" t="n"/>
      <c r="G800" s="290" t="n"/>
    </row>
    <row r="801" ht="13" customHeight="1" s="189">
      <c r="C801" s="290" t="n"/>
      <c r="D801" s="290" t="n"/>
      <c r="E801" s="291" t="n"/>
      <c r="F801" s="290" t="n"/>
      <c r="G801" s="290" t="n"/>
    </row>
    <row r="802" ht="13" customHeight="1" s="189">
      <c r="C802" s="290" t="n"/>
      <c r="D802" s="290" t="n"/>
      <c r="E802" s="291" t="n"/>
      <c r="F802" s="290" t="n"/>
      <c r="G802" s="290" t="n"/>
    </row>
    <row r="803" ht="13" customHeight="1" s="189">
      <c r="C803" s="290" t="n"/>
      <c r="D803" s="290" t="n"/>
      <c r="E803" s="291" t="n"/>
      <c r="F803" s="290" t="n"/>
      <c r="G803" s="290" t="n"/>
    </row>
    <row r="804" ht="13" customHeight="1" s="189">
      <c r="C804" s="290" t="n"/>
      <c r="D804" s="290" t="n"/>
      <c r="E804" s="291" t="n"/>
      <c r="F804" s="290" t="n"/>
      <c r="G804" s="290" t="n"/>
    </row>
    <row r="805" ht="13" customHeight="1" s="189">
      <c r="C805" s="290" t="n"/>
      <c r="D805" s="290" t="n"/>
      <c r="E805" s="291" t="n"/>
      <c r="F805" s="290" t="n"/>
      <c r="G805" s="290" t="n"/>
    </row>
    <row r="806" ht="13" customHeight="1" s="189">
      <c r="C806" s="290" t="n"/>
      <c r="D806" s="290" t="n"/>
      <c r="E806" s="291" t="n"/>
      <c r="F806" s="290" t="n"/>
      <c r="G806" s="290" t="n"/>
    </row>
    <row r="807" ht="13" customHeight="1" s="189">
      <c r="C807" s="290" t="n"/>
      <c r="D807" s="290" t="n"/>
      <c r="E807" s="291" t="n"/>
      <c r="F807" s="290" t="n"/>
      <c r="G807" s="290" t="n"/>
    </row>
    <row r="808" ht="13" customHeight="1" s="189">
      <c r="C808" s="290" t="n"/>
      <c r="D808" s="290" t="n"/>
      <c r="E808" s="291" t="n"/>
      <c r="F808" s="290" t="n"/>
      <c r="G808" s="290" t="n"/>
    </row>
    <row r="809" ht="13" customHeight="1" s="189">
      <c r="C809" s="290" t="n"/>
      <c r="D809" s="290" t="n"/>
      <c r="E809" s="291" t="n"/>
      <c r="F809" s="290" t="n"/>
      <c r="G809" s="290" t="n"/>
    </row>
    <row r="810" ht="13" customHeight="1" s="189">
      <c r="C810" s="290" t="n"/>
      <c r="D810" s="290" t="n"/>
      <c r="E810" s="291" t="n"/>
      <c r="F810" s="290" t="n"/>
      <c r="G810" s="290" t="n"/>
    </row>
    <row r="811" ht="13" customHeight="1" s="189">
      <c r="C811" s="290" t="n"/>
      <c r="D811" s="290" t="n"/>
      <c r="E811" s="291" t="n"/>
      <c r="F811" s="290" t="n"/>
      <c r="G811" s="290" t="n"/>
    </row>
    <row r="812" ht="13" customHeight="1" s="189">
      <c r="C812" s="290" t="n"/>
      <c r="D812" s="290" t="n"/>
      <c r="E812" s="291" t="n"/>
      <c r="F812" s="290" t="n"/>
      <c r="G812" s="290" t="n"/>
    </row>
    <row r="813" ht="13" customHeight="1" s="189">
      <c r="C813" s="290" t="n"/>
      <c r="D813" s="290" t="n"/>
      <c r="E813" s="291" t="n"/>
      <c r="F813" s="290" t="n"/>
      <c r="G813" s="290" t="n"/>
    </row>
    <row r="814" ht="13" customHeight="1" s="189">
      <c r="C814" s="290" t="n"/>
      <c r="D814" s="290" t="n"/>
      <c r="E814" s="291" t="n"/>
      <c r="F814" s="290" t="n"/>
      <c r="G814" s="290" t="n"/>
    </row>
    <row r="815" ht="13" customHeight="1" s="189">
      <c r="C815" s="290" t="n"/>
      <c r="D815" s="290" t="n"/>
      <c r="E815" s="291" t="n"/>
      <c r="F815" s="290" t="n"/>
      <c r="G815" s="290" t="n"/>
    </row>
    <row r="816" ht="13" customHeight="1" s="189">
      <c r="C816" s="290" t="n"/>
      <c r="D816" s="290" t="n"/>
      <c r="E816" s="291" t="n"/>
      <c r="F816" s="290" t="n"/>
      <c r="G816" s="290" t="n"/>
    </row>
    <row r="817" ht="13" customHeight="1" s="189">
      <c r="C817" s="290" t="n"/>
      <c r="D817" s="290" t="n"/>
      <c r="E817" s="291" t="n"/>
      <c r="F817" s="290" t="n"/>
      <c r="G817" s="290" t="n"/>
    </row>
    <row r="818" ht="13" customHeight="1" s="189">
      <c r="C818" s="290" t="n"/>
      <c r="D818" s="290" t="n"/>
      <c r="E818" s="291" t="n"/>
      <c r="F818" s="290" t="n"/>
      <c r="G818" s="290" t="n"/>
    </row>
    <row r="819" ht="13" customHeight="1" s="189">
      <c r="C819" s="290" t="n"/>
      <c r="D819" s="290" t="n"/>
      <c r="E819" s="291" t="n"/>
      <c r="F819" s="290" t="n"/>
      <c r="G819" s="290" t="n"/>
    </row>
    <row r="820" ht="13" customHeight="1" s="189">
      <c r="C820" s="290" t="n"/>
      <c r="D820" s="290" t="n"/>
      <c r="E820" s="291" t="n"/>
      <c r="F820" s="290" t="n"/>
      <c r="G820" s="290" t="n"/>
    </row>
    <row r="821" ht="13" customHeight="1" s="189">
      <c r="C821" s="290" t="n"/>
      <c r="D821" s="290" t="n"/>
      <c r="E821" s="291" t="n"/>
      <c r="F821" s="290" t="n"/>
      <c r="G821" s="290" t="n"/>
    </row>
    <row r="822" ht="13" customHeight="1" s="189">
      <c r="C822" s="290" t="n"/>
      <c r="D822" s="290" t="n"/>
      <c r="E822" s="291" t="n"/>
      <c r="F822" s="290" t="n"/>
      <c r="G822" s="290" t="n"/>
    </row>
    <row r="823" ht="13" customHeight="1" s="189">
      <c r="C823" s="290" t="n"/>
      <c r="D823" s="290" t="n"/>
      <c r="E823" s="291" t="n"/>
      <c r="F823" s="290" t="n"/>
      <c r="G823" s="290" t="n"/>
    </row>
    <row r="824" ht="13" customHeight="1" s="189">
      <c r="C824" s="290" t="n"/>
      <c r="D824" s="290" t="n"/>
      <c r="E824" s="291" t="n"/>
      <c r="F824" s="290" t="n"/>
      <c r="G824" s="290" t="n"/>
    </row>
    <row r="825" ht="13" customHeight="1" s="189">
      <c r="C825" s="290" t="n"/>
      <c r="D825" s="290" t="n"/>
      <c r="E825" s="291" t="n"/>
      <c r="F825" s="290" t="n"/>
      <c r="G825" s="290" t="n"/>
    </row>
    <row r="826" ht="13" customHeight="1" s="189">
      <c r="C826" s="290" t="n"/>
      <c r="D826" s="290" t="n"/>
      <c r="E826" s="291" t="n"/>
      <c r="F826" s="290" t="n"/>
      <c r="G826" s="290" t="n"/>
    </row>
    <row r="827" ht="13" customHeight="1" s="189">
      <c r="C827" s="290" t="n"/>
      <c r="D827" s="290" t="n"/>
      <c r="E827" s="291" t="n"/>
      <c r="F827" s="290" t="n"/>
      <c r="G827" s="290" t="n"/>
    </row>
    <row r="828" ht="13" customHeight="1" s="189">
      <c r="C828" s="290" t="n"/>
      <c r="D828" s="290" t="n"/>
      <c r="E828" s="291" t="n"/>
      <c r="F828" s="290" t="n"/>
      <c r="G828" s="290" t="n"/>
    </row>
    <row r="829" ht="13" customHeight="1" s="189">
      <c r="C829" s="290" t="n"/>
      <c r="D829" s="290" t="n"/>
      <c r="E829" s="291" t="n"/>
      <c r="F829" s="290" t="n"/>
      <c r="G829" s="290" t="n"/>
    </row>
    <row r="830" ht="13" customHeight="1" s="189">
      <c r="C830" s="290" t="n"/>
      <c r="D830" s="290" t="n"/>
      <c r="E830" s="291" t="n"/>
      <c r="F830" s="290" t="n"/>
      <c r="G830" s="290" t="n"/>
    </row>
    <row r="831" ht="13" customHeight="1" s="189">
      <c r="C831" s="290" t="n"/>
      <c r="D831" s="290" t="n"/>
      <c r="E831" s="291" t="n"/>
      <c r="F831" s="290" t="n"/>
      <c r="G831" s="290" t="n"/>
    </row>
    <row r="832" ht="13" customHeight="1" s="189">
      <c r="C832" s="290" t="n"/>
      <c r="D832" s="290" t="n"/>
      <c r="E832" s="291" t="n"/>
      <c r="F832" s="290" t="n"/>
      <c r="G832" s="290" t="n"/>
    </row>
    <row r="833" ht="13" customHeight="1" s="189">
      <c r="C833" s="290" t="n"/>
      <c r="D833" s="290" t="n"/>
      <c r="E833" s="291" t="n"/>
      <c r="F833" s="290" t="n"/>
      <c r="G833" s="290" t="n"/>
    </row>
    <row r="834" ht="13" customHeight="1" s="189">
      <c r="C834" s="290" t="n"/>
      <c r="D834" s="290" t="n"/>
      <c r="E834" s="291" t="n"/>
      <c r="F834" s="290" t="n"/>
      <c r="G834" s="290" t="n"/>
    </row>
    <row r="835" ht="13" customHeight="1" s="189">
      <c r="C835" s="290" t="n"/>
      <c r="D835" s="290" t="n"/>
      <c r="E835" s="291" t="n"/>
      <c r="F835" s="290" t="n"/>
      <c r="G835" s="290" t="n"/>
    </row>
    <row r="836" ht="13" customHeight="1" s="189">
      <c r="C836" s="290" t="n"/>
      <c r="D836" s="290" t="n"/>
      <c r="E836" s="291" t="n"/>
      <c r="F836" s="290" t="n"/>
      <c r="G836" s="290" t="n"/>
    </row>
    <row r="837" ht="13" customHeight="1" s="189">
      <c r="C837" s="290" t="n"/>
      <c r="D837" s="290" t="n"/>
      <c r="E837" s="291" t="n"/>
      <c r="F837" s="290" t="n"/>
      <c r="G837" s="290" t="n"/>
    </row>
    <row r="838" ht="13" customHeight="1" s="189">
      <c r="C838" s="290" t="n"/>
      <c r="D838" s="290" t="n"/>
      <c r="E838" s="291" t="n"/>
      <c r="F838" s="290" t="n"/>
      <c r="G838" s="290" t="n"/>
    </row>
    <row r="839" ht="13" customHeight="1" s="189">
      <c r="C839" s="290" t="n"/>
      <c r="D839" s="290" t="n"/>
      <c r="E839" s="291" t="n"/>
      <c r="F839" s="290" t="n"/>
      <c r="G839" s="290" t="n"/>
    </row>
    <row r="840" ht="13" customHeight="1" s="189">
      <c r="C840" s="290" t="n"/>
      <c r="D840" s="290" t="n"/>
      <c r="E840" s="291" t="n"/>
      <c r="F840" s="290" t="n"/>
      <c r="G840" s="290" t="n"/>
    </row>
    <row r="841" ht="13" customHeight="1" s="189">
      <c r="C841" s="290" t="n"/>
      <c r="D841" s="290" t="n"/>
      <c r="E841" s="291" t="n"/>
      <c r="F841" s="290" t="n"/>
      <c r="G841" s="290" t="n"/>
    </row>
    <row r="842" ht="13" customHeight="1" s="189">
      <c r="C842" s="290" t="n"/>
      <c r="D842" s="290" t="n"/>
      <c r="E842" s="291" t="n"/>
      <c r="F842" s="290" t="n"/>
      <c r="G842" s="290" t="n"/>
    </row>
    <row r="843" ht="13" customHeight="1" s="189">
      <c r="C843" s="290" t="n"/>
      <c r="D843" s="290" t="n"/>
      <c r="E843" s="291" t="n"/>
      <c r="F843" s="290" t="n"/>
      <c r="G843" s="290" t="n"/>
    </row>
    <row r="844" ht="13" customHeight="1" s="189">
      <c r="C844" s="290" t="n"/>
      <c r="D844" s="290" t="n"/>
      <c r="E844" s="291" t="n"/>
      <c r="F844" s="290" t="n"/>
      <c r="G844" s="290" t="n"/>
    </row>
    <row r="845" ht="13" customHeight="1" s="189">
      <c r="C845" s="290" t="n"/>
      <c r="D845" s="290" t="n"/>
      <c r="E845" s="291" t="n"/>
      <c r="F845" s="290" t="n"/>
      <c r="G845" s="290" t="n"/>
    </row>
    <row r="846" ht="13" customHeight="1" s="189">
      <c r="C846" s="290" t="n"/>
      <c r="D846" s="290" t="n"/>
      <c r="E846" s="291" t="n"/>
      <c r="F846" s="290" t="n"/>
      <c r="G846" s="290" t="n"/>
    </row>
    <row r="847" ht="13" customHeight="1" s="189">
      <c r="C847" s="290" t="n"/>
      <c r="D847" s="290" t="n"/>
      <c r="E847" s="291" t="n"/>
      <c r="F847" s="290" t="n"/>
      <c r="G847" s="290" t="n"/>
    </row>
    <row r="848" ht="13" customHeight="1" s="189">
      <c r="C848" s="290" t="n"/>
      <c r="D848" s="290" t="n"/>
      <c r="E848" s="291" t="n"/>
      <c r="F848" s="290" t="n"/>
      <c r="G848" s="290" t="n"/>
    </row>
    <row r="849" ht="13" customHeight="1" s="189">
      <c r="C849" s="290" t="n"/>
      <c r="D849" s="290" t="n"/>
      <c r="E849" s="291" t="n"/>
      <c r="F849" s="290" t="n"/>
      <c r="G849" s="290" t="n"/>
    </row>
    <row r="850" ht="13" customHeight="1" s="189">
      <c r="C850" s="290" t="n"/>
      <c r="D850" s="290" t="n"/>
      <c r="E850" s="291" t="n"/>
      <c r="F850" s="290" t="n"/>
      <c r="G850" s="290" t="n"/>
    </row>
    <row r="851" ht="13" customHeight="1" s="189">
      <c r="C851" s="290" t="n"/>
      <c r="D851" s="290" t="n"/>
      <c r="E851" s="291" t="n"/>
      <c r="F851" s="290" t="n"/>
      <c r="G851" s="290" t="n"/>
    </row>
    <row r="852" ht="13" customHeight="1" s="189">
      <c r="C852" s="290" t="n"/>
      <c r="D852" s="290" t="n"/>
      <c r="E852" s="291" t="n"/>
      <c r="F852" s="290" t="n"/>
      <c r="G852" s="290" t="n"/>
    </row>
    <row r="853" ht="13" customHeight="1" s="189">
      <c r="C853" s="290" t="n"/>
      <c r="D853" s="290" t="n"/>
      <c r="E853" s="291" t="n"/>
      <c r="F853" s="290" t="n"/>
      <c r="G853" s="290" t="n"/>
    </row>
    <row r="854" ht="13" customHeight="1" s="189">
      <c r="C854" s="290" t="n"/>
      <c r="D854" s="290" t="n"/>
      <c r="E854" s="291" t="n"/>
      <c r="F854" s="290" t="n"/>
      <c r="G854" s="290" t="n"/>
    </row>
    <row r="855" ht="13" customHeight="1" s="189">
      <c r="C855" s="290" t="n"/>
      <c r="D855" s="290" t="n"/>
      <c r="E855" s="291" t="n"/>
      <c r="F855" s="290" t="n"/>
      <c r="G855" s="290" t="n"/>
    </row>
    <row r="856" ht="13" customHeight="1" s="189">
      <c r="C856" s="290" t="n"/>
      <c r="D856" s="290" t="n"/>
      <c r="E856" s="291" t="n"/>
      <c r="F856" s="290" t="n"/>
      <c r="G856" s="290" t="n"/>
    </row>
    <row r="857" ht="13" customHeight="1" s="189">
      <c r="C857" s="290" t="n"/>
      <c r="D857" s="290" t="n"/>
      <c r="E857" s="291" t="n"/>
      <c r="F857" s="290" t="n"/>
      <c r="G857" s="290" t="n"/>
    </row>
    <row r="858" ht="13" customHeight="1" s="189">
      <c r="C858" s="290" t="n"/>
      <c r="D858" s="290" t="n"/>
      <c r="E858" s="291" t="n"/>
      <c r="F858" s="290" t="n"/>
      <c r="G858" s="290" t="n"/>
    </row>
    <row r="859" ht="13" customHeight="1" s="189">
      <c r="C859" s="290" t="n"/>
      <c r="D859" s="290" t="n"/>
      <c r="E859" s="291" t="n"/>
      <c r="F859" s="290" t="n"/>
      <c r="G859" s="290" t="n"/>
    </row>
    <row r="860" ht="13" customHeight="1" s="189">
      <c r="C860" s="290" t="n"/>
      <c r="D860" s="290" t="n"/>
      <c r="E860" s="291" t="n"/>
      <c r="F860" s="290" t="n"/>
      <c r="G860" s="290" t="n"/>
    </row>
    <row r="861" ht="13" customHeight="1" s="189">
      <c r="C861" s="290" t="n"/>
      <c r="D861" s="290" t="n"/>
      <c r="E861" s="291" t="n"/>
      <c r="F861" s="290" t="n"/>
      <c r="G861" s="290" t="n"/>
    </row>
    <row r="862" ht="13" customHeight="1" s="189">
      <c r="C862" s="290" t="n"/>
      <c r="D862" s="290" t="n"/>
      <c r="E862" s="291" t="n"/>
      <c r="F862" s="290" t="n"/>
      <c r="G862" s="290" t="n"/>
    </row>
    <row r="863" ht="13" customHeight="1" s="189">
      <c r="C863" s="290" t="n"/>
      <c r="D863" s="290" t="n"/>
      <c r="E863" s="291" t="n"/>
      <c r="F863" s="290" t="n"/>
      <c r="G863" s="290" t="n"/>
    </row>
    <row r="864" ht="13" customHeight="1" s="189">
      <c r="C864" s="290" t="n"/>
      <c r="D864" s="290" t="n"/>
      <c r="E864" s="291" t="n"/>
      <c r="F864" s="290" t="n"/>
      <c r="G864" s="290" t="n"/>
    </row>
    <row r="865" ht="13" customHeight="1" s="189">
      <c r="C865" s="290" t="n"/>
      <c r="D865" s="290" t="n"/>
      <c r="E865" s="291" t="n"/>
      <c r="F865" s="290" t="n"/>
      <c r="G865" s="290" t="n"/>
    </row>
    <row r="866" ht="13" customHeight="1" s="189">
      <c r="C866" s="290" t="n"/>
      <c r="D866" s="290" t="n"/>
      <c r="E866" s="291" t="n"/>
      <c r="F866" s="290" t="n"/>
      <c r="G866" s="290" t="n"/>
    </row>
    <row r="867" ht="13" customHeight="1" s="189">
      <c r="C867" s="290" t="n"/>
      <c r="D867" s="290" t="n"/>
      <c r="E867" s="291" t="n"/>
      <c r="F867" s="290" t="n"/>
      <c r="G867" s="290" t="n"/>
    </row>
    <row r="868" ht="13" customHeight="1" s="189">
      <c r="C868" s="290" t="n"/>
      <c r="D868" s="290" t="n"/>
      <c r="E868" s="291" t="n"/>
      <c r="F868" s="290" t="n"/>
      <c r="G868" s="290" t="n"/>
    </row>
    <row r="869" ht="13" customHeight="1" s="189">
      <c r="C869" s="290" t="n"/>
      <c r="D869" s="290" t="n"/>
      <c r="E869" s="291" t="n"/>
      <c r="F869" s="290" t="n"/>
      <c r="G869" s="290" t="n"/>
    </row>
    <row r="870" ht="13" customHeight="1" s="189">
      <c r="C870" s="290" t="n"/>
      <c r="D870" s="290" t="n"/>
      <c r="E870" s="291" t="n"/>
      <c r="F870" s="290" t="n"/>
      <c r="G870" s="290" t="n"/>
    </row>
    <row r="871" ht="13" customHeight="1" s="189">
      <c r="C871" s="290" t="n"/>
      <c r="D871" s="290" t="n"/>
      <c r="E871" s="291" t="n"/>
      <c r="F871" s="290" t="n"/>
      <c r="G871" s="290" t="n"/>
    </row>
    <row r="872" ht="13" customHeight="1" s="189">
      <c r="C872" s="290" t="n"/>
      <c r="D872" s="290" t="n"/>
      <c r="E872" s="291" t="n"/>
      <c r="F872" s="290" t="n"/>
      <c r="G872" s="290" t="n"/>
    </row>
    <row r="873" ht="13" customHeight="1" s="189">
      <c r="C873" s="290" t="n"/>
      <c r="D873" s="290" t="n"/>
      <c r="E873" s="291" t="n"/>
      <c r="F873" s="290" t="n"/>
      <c r="G873" s="290" t="n"/>
    </row>
    <row r="874" ht="13" customHeight="1" s="189">
      <c r="C874" s="290" t="n"/>
      <c r="D874" s="290" t="n"/>
      <c r="E874" s="291" t="n"/>
      <c r="F874" s="290" t="n"/>
      <c r="G874" s="290" t="n"/>
    </row>
    <row r="875" ht="13" customHeight="1" s="189">
      <c r="C875" s="290" t="n"/>
      <c r="D875" s="290" t="n"/>
      <c r="E875" s="291" t="n"/>
      <c r="F875" s="290" t="n"/>
      <c r="G875" s="290" t="n"/>
    </row>
    <row r="876" ht="13" customHeight="1" s="189">
      <c r="C876" s="290" t="n"/>
      <c r="D876" s="290" t="n"/>
      <c r="E876" s="291" t="n"/>
      <c r="F876" s="290" t="n"/>
      <c r="G876" s="290" t="n"/>
    </row>
    <row r="877" ht="13" customHeight="1" s="189">
      <c r="C877" s="290" t="n"/>
      <c r="D877" s="290" t="n"/>
      <c r="E877" s="291" t="n"/>
      <c r="F877" s="290" t="n"/>
      <c r="G877" s="290" t="n"/>
    </row>
    <row r="878" ht="13" customHeight="1" s="189">
      <c r="C878" s="290" t="n"/>
      <c r="D878" s="290" t="n"/>
      <c r="E878" s="291" t="n"/>
      <c r="F878" s="290" t="n"/>
      <c r="G878" s="290" t="n"/>
    </row>
    <row r="879" ht="13" customHeight="1" s="189">
      <c r="C879" s="290" t="n"/>
      <c r="D879" s="290" t="n"/>
      <c r="E879" s="291" t="n"/>
      <c r="F879" s="290" t="n"/>
      <c r="G879" s="290" t="n"/>
    </row>
    <row r="880" ht="13" customHeight="1" s="189">
      <c r="C880" s="290" t="n"/>
      <c r="D880" s="290" t="n"/>
      <c r="E880" s="291" t="n"/>
      <c r="F880" s="290" t="n"/>
      <c r="G880" s="290" t="n"/>
    </row>
    <row r="881" ht="13" customHeight="1" s="189">
      <c r="C881" s="290" t="n"/>
      <c r="D881" s="290" t="n"/>
      <c r="E881" s="291" t="n"/>
      <c r="F881" s="290" t="n"/>
      <c r="G881" s="290" t="n"/>
    </row>
    <row r="882" ht="13" customHeight="1" s="189">
      <c r="C882" s="290" t="n"/>
      <c r="D882" s="290" t="n"/>
      <c r="E882" s="291" t="n"/>
      <c r="F882" s="290" t="n"/>
      <c r="G882" s="290" t="n"/>
    </row>
    <row r="883" ht="13" customHeight="1" s="189">
      <c r="C883" s="290" t="n"/>
      <c r="D883" s="290" t="n"/>
      <c r="E883" s="291" t="n"/>
      <c r="F883" s="290" t="n"/>
      <c r="G883" s="290" t="n"/>
    </row>
    <row r="884" ht="13" customHeight="1" s="189">
      <c r="C884" s="290" t="n"/>
      <c r="D884" s="290" t="n"/>
      <c r="E884" s="291" t="n"/>
      <c r="F884" s="290" t="n"/>
      <c r="G884" s="290" t="n"/>
    </row>
    <row r="885" ht="13" customHeight="1" s="189">
      <c r="C885" s="290" t="n"/>
      <c r="D885" s="290" t="n"/>
      <c r="E885" s="291" t="n"/>
      <c r="F885" s="290" t="n"/>
      <c r="G885" s="290" t="n"/>
    </row>
    <row r="886" ht="13" customHeight="1" s="189">
      <c r="C886" s="290" t="n"/>
      <c r="D886" s="290" t="n"/>
      <c r="E886" s="291" t="n"/>
      <c r="F886" s="290" t="n"/>
      <c r="G886" s="290" t="n"/>
    </row>
    <row r="887" ht="13" customHeight="1" s="189">
      <c r="C887" s="290" t="n"/>
      <c r="D887" s="290" t="n"/>
      <c r="E887" s="291" t="n"/>
      <c r="F887" s="290" t="n"/>
      <c r="G887" s="290" t="n"/>
    </row>
    <row r="888" ht="13" customHeight="1" s="189">
      <c r="C888" s="290" t="n"/>
      <c r="D888" s="290" t="n"/>
      <c r="E888" s="291" t="n"/>
      <c r="F888" s="290" t="n"/>
      <c r="G888" s="290" t="n"/>
    </row>
    <row r="889" ht="13" customHeight="1" s="189">
      <c r="C889" s="290" t="n"/>
      <c r="D889" s="290" t="n"/>
      <c r="E889" s="291" t="n"/>
      <c r="F889" s="290" t="n"/>
      <c r="G889" s="290" t="n"/>
    </row>
    <row r="890" ht="13" customHeight="1" s="189">
      <c r="C890" s="290" t="n"/>
      <c r="D890" s="290" t="n"/>
      <c r="E890" s="291" t="n"/>
      <c r="F890" s="290" t="n"/>
      <c r="G890" s="290" t="n"/>
    </row>
    <row r="891" ht="13" customHeight="1" s="189">
      <c r="C891" s="290" t="n"/>
      <c r="D891" s="290" t="n"/>
      <c r="E891" s="291" t="n"/>
      <c r="F891" s="290" t="n"/>
      <c r="G891" s="290" t="n"/>
    </row>
    <row r="892" ht="13" customHeight="1" s="189">
      <c r="C892" s="290" t="n"/>
      <c r="D892" s="290" t="n"/>
      <c r="E892" s="291" t="n"/>
      <c r="F892" s="290" t="n"/>
      <c r="G892" s="290" t="n"/>
    </row>
    <row r="893" ht="13" customHeight="1" s="189">
      <c r="C893" s="290" t="n"/>
      <c r="D893" s="290" t="n"/>
      <c r="E893" s="291" t="n"/>
      <c r="F893" s="290" t="n"/>
      <c r="G893" s="290" t="n"/>
    </row>
    <row r="894" ht="13" customHeight="1" s="189">
      <c r="C894" s="290" t="n"/>
      <c r="D894" s="290" t="n"/>
      <c r="E894" s="291" t="n"/>
      <c r="F894" s="290" t="n"/>
      <c r="G894" s="290" t="n"/>
    </row>
    <row r="895" ht="13" customHeight="1" s="189">
      <c r="C895" s="290" t="n"/>
      <c r="D895" s="290" t="n"/>
      <c r="E895" s="291" t="n"/>
      <c r="F895" s="290" t="n"/>
      <c r="G895" s="290" t="n"/>
    </row>
    <row r="896" ht="13" customHeight="1" s="189">
      <c r="C896" s="290" t="n"/>
      <c r="D896" s="290" t="n"/>
      <c r="E896" s="291" t="n"/>
      <c r="F896" s="290" t="n"/>
      <c r="G896" s="290" t="n"/>
    </row>
    <row r="897" ht="13" customHeight="1" s="189">
      <c r="C897" s="290" t="n"/>
      <c r="D897" s="290" t="n"/>
      <c r="E897" s="291" t="n"/>
      <c r="F897" s="290" t="n"/>
      <c r="G897" s="290" t="n"/>
    </row>
    <row r="898" ht="13" customHeight="1" s="189">
      <c r="C898" s="290" t="n"/>
      <c r="D898" s="290" t="n"/>
      <c r="E898" s="291" t="n"/>
      <c r="F898" s="290" t="n"/>
      <c r="G898" s="290" t="n"/>
    </row>
    <row r="899" ht="13" customHeight="1" s="189">
      <c r="C899" s="290" t="n"/>
      <c r="D899" s="290" t="n"/>
      <c r="E899" s="291" t="n"/>
      <c r="F899" s="290" t="n"/>
      <c r="G899" s="290" t="n"/>
    </row>
    <row r="900" ht="13" customHeight="1" s="189">
      <c r="C900" s="290" t="n"/>
      <c r="D900" s="290" t="n"/>
      <c r="E900" s="291" t="n"/>
      <c r="F900" s="290" t="n"/>
      <c r="G900" s="290" t="n"/>
    </row>
    <row r="901" ht="13" customHeight="1" s="189">
      <c r="C901" s="290" t="n"/>
      <c r="D901" s="290" t="n"/>
      <c r="E901" s="291" t="n"/>
      <c r="F901" s="290" t="n"/>
      <c r="G901" s="203" t="n"/>
    </row>
    <row r="902" ht="13" customHeight="1" s="189">
      <c r="C902" s="203" t="n"/>
      <c r="D902" s="203" t="n"/>
      <c r="E902" s="289" t="n"/>
      <c r="F902" s="203" t="n"/>
      <c r="G902" s="203" t="n"/>
    </row>
    <row r="903" ht="13" customHeight="1" s="189">
      <c r="C903" s="203" t="n"/>
      <c r="D903" s="203" t="n"/>
      <c r="E903" s="289" t="n"/>
      <c r="F903" s="203" t="n"/>
      <c r="G903" s="203" t="n"/>
    </row>
    <row r="904" ht="13" customHeight="1" s="189">
      <c r="C904" s="203" t="n"/>
      <c r="D904" s="203" t="n"/>
      <c r="E904" s="289" t="n"/>
      <c r="F904" s="203" t="n"/>
      <c r="G904" s="203" t="n"/>
    </row>
    <row r="905" ht="13" customHeight="1" s="189">
      <c r="C905" s="203" t="n"/>
      <c r="D905" s="203" t="n"/>
      <c r="E905" s="289" t="n"/>
      <c r="F905" s="203" t="n"/>
      <c r="G905" s="203" t="n"/>
    </row>
    <row r="906" ht="13" customHeight="1" s="189">
      <c r="C906" s="203" t="n"/>
      <c r="D906" s="203" t="n"/>
      <c r="E906" s="289" t="n"/>
      <c r="F906" s="203" t="n"/>
      <c r="G906" s="203" t="n"/>
    </row>
    <row r="907" ht="13" customHeight="1" s="189">
      <c r="C907" s="203" t="n"/>
      <c r="D907" s="203" t="n"/>
      <c r="E907" s="289" t="n"/>
      <c r="F907" s="203" t="n"/>
      <c r="G907" s="203" t="n"/>
    </row>
    <row r="908" ht="13" customHeight="1" s="189">
      <c r="C908" s="203" t="n"/>
      <c r="D908" s="203" t="n"/>
      <c r="E908" s="289" t="n"/>
      <c r="F908" s="203" t="n"/>
      <c r="G908" s="203" t="n"/>
    </row>
    <row r="909" ht="13" customHeight="1" s="189">
      <c r="C909" s="203" t="n"/>
      <c r="D909" s="203" t="n"/>
      <c r="E909" s="289" t="n"/>
      <c r="F909" s="203" t="n"/>
      <c r="G909" s="203" t="n"/>
    </row>
    <row r="910" ht="13" customHeight="1" s="189">
      <c r="C910" s="203" t="n"/>
      <c r="D910" s="203" t="n"/>
      <c r="E910" s="289" t="n"/>
      <c r="F910" s="203" t="n"/>
      <c r="G910" s="203" t="n"/>
    </row>
    <row r="911" ht="13" customHeight="1" s="189">
      <c r="C911" s="203" t="n"/>
      <c r="D911" s="203" t="n"/>
      <c r="E911" s="289" t="n"/>
      <c r="F911" s="203" t="n"/>
      <c r="G911" s="203" t="n"/>
    </row>
    <row r="912" ht="13" customHeight="1" s="189">
      <c r="C912" s="203" t="n"/>
      <c r="D912" s="203" t="n"/>
      <c r="E912" s="289" t="n"/>
      <c r="F912" s="203" t="n"/>
      <c r="G912" s="203" t="n"/>
    </row>
    <row r="913" ht="13" customHeight="1" s="189">
      <c r="C913" s="203" t="n"/>
      <c r="D913" s="203" t="n"/>
      <c r="E913" s="289" t="n"/>
      <c r="F913" s="203" t="n"/>
      <c r="G913" s="203" t="n"/>
    </row>
    <row r="914" ht="13" customHeight="1" s="189">
      <c r="C914" s="203" t="n"/>
      <c r="D914" s="203" t="n"/>
      <c r="E914" s="289" t="n"/>
      <c r="F914" s="203" t="n"/>
      <c r="G914" s="203" t="n"/>
    </row>
    <row r="915" ht="13" customHeight="1" s="189">
      <c r="C915" s="203" t="n"/>
      <c r="D915" s="203" t="n"/>
      <c r="E915" s="289" t="n"/>
      <c r="F915" s="203" t="n"/>
      <c r="G915" s="203" t="n"/>
    </row>
    <row r="916" ht="13" customHeight="1" s="189">
      <c r="C916" s="203" t="n"/>
      <c r="D916" s="203" t="n"/>
      <c r="E916" s="289" t="n"/>
      <c r="F916" s="203" t="n"/>
      <c r="G916" s="203" t="n"/>
    </row>
    <row r="917" ht="13" customHeight="1" s="189">
      <c r="C917" s="203" t="n"/>
      <c r="D917" s="203" t="n"/>
      <c r="E917" s="289" t="n"/>
      <c r="F917" s="203" t="n"/>
      <c r="G917" s="203" t="n"/>
    </row>
    <row r="918" ht="13" customHeight="1" s="189">
      <c r="C918" s="203" t="n"/>
      <c r="D918" s="203" t="n"/>
      <c r="E918" s="289" t="n"/>
      <c r="F918" s="203" t="n"/>
      <c r="G918" s="203" t="n"/>
    </row>
    <row r="919" ht="13" customHeight="1" s="189">
      <c r="C919" s="203" t="n"/>
      <c r="D919" s="203" t="n"/>
      <c r="E919" s="289" t="n"/>
      <c r="F919" s="203" t="n"/>
      <c r="G919" s="203" t="n"/>
    </row>
    <row r="920" ht="13" customHeight="1" s="189">
      <c r="C920" s="203" t="n"/>
      <c r="D920" s="203" t="n"/>
      <c r="E920" s="289" t="n"/>
      <c r="F920" s="203" t="n"/>
      <c r="G920" s="203" t="n"/>
    </row>
    <row r="921" ht="13" customHeight="1" s="189">
      <c r="C921" s="203" t="n"/>
      <c r="D921" s="203" t="n"/>
      <c r="E921" s="289" t="n"/>
      <c r="F921" s="203" t="n"/>
      <c r="G921" s="203" t="n"/>
    </row>
    <row r="922" ht="13" customHeight="1" s="189">
      <c r="C922" s="203" t="n"/>
      <c r="D922" s="203" t="n"/>
      <c r="E922" s="289" t="n"/>
      <c r="F922" s="203" t="n"/>
      <c r="G922" s="203" t="n"/>
    </row>
    <row r="923" ht="13" customHeight="1" s="189">
      <c r="C923" s="203" t="n"/>
      <c r="D923" s="203" t="n"/>
      <c r="E923" s="289" t="n"/>
      <c r="F923" s="203" t="n"/>
      <c r="G923" s="203" t="n"/>
    </row>
    <row r="924" ht="13" customHeight="1" s="189">
      <c r="C924" s="203" t="n"/>
      <c r="D924" s="203" t="n"/>
      <c r="E924" s="289" t="n"/>
      <c r="F924" s="203" t="n"/>
      <c r="G924" s="203" t="n"/>
    </row>
    <row r="925" ht="13" customHeight="1" s="189">
      <c r="C925" s="203" t="n"/>
      <c r="D925" s="203" t="n"/>
      <c r="E925" s="289" t="n"/>
      <c r="F925" s="203" t="n"/>
      <c r="G925" s="203" t="n"/>
    </row>
    <row r="926" ht="13" customHeight="1" s="189">
      <c r="C926" s="203" t="n"/>
      <c r="D926" s="203" t="n"/>
      <c r="E926" s="289" t="n"/>
      <c r="F926" s="203" t="n"/>
      <c r="G926" s="203" t="n"/>
    </row>
    <row r="927" ht="13" customHeight="1" s="189">
      <c r="C927" s="203" t="n"/>
      <c r="D927" s="203" t="n"/>
      <c r="E927" s="289" t="n"/>
      <c r="F927" s="203" t="n"/>
      <c r="G927" s="203" t="n"/>
    </row>
    <row r="928" ht="13" customHeight="1" s="189">
      <c r="C928" s="203" t="n"/>
      <c r="D928" s="203" t="n"/>
      <c r="E928" s="289" t="n"/>
      <c r="F928" s="203" t="n"/>
      <c r="G928" s="203" t="n"/>
    </row>
    <row r="929" ht="13" customHeight="1" s="189">
      <c r="C929" s="203" t="n"/>
      <c r="D929" s="203" t="n"/>
      <c r="E929" s="289" t="n"/>
      <c r="F929" s="203" t="n"/>
      <c r="G929" s="203" t="n"/>
    </row>
    <row r="930" ht="13" customHeight="1" s="189">
      <c r="C930" s="203" t="n"/>
      <c r="D930" s="203" t="n"/>
      <c r="E930" s="289" t="n"/>
      <c r="F930" s="203" t="n"/>
      <c r="G930" s="203" t="n"/>
    </row>
    <row r="931" ht="13" customHeight="1" s="189">
      <c r="C931" s="203" t="n"/>
      <c r="D931" s="203" t="n"/>
      <c r="E931" s="289" t="n"/>
      <c r="F931" s="203" t="n"/>
      <c r="G931" s="203" t="n"/>
    </row>
    <row r="932" ht="13" customHeight="1" s="189">
      <c r="C932" s="203" t="n"/>
      <c r="D932" s="203" t="n"/>
      <c r="E932" s="289" t="n"/>
      <c r="F932" s="203" t="n"/>
      <c r="G932" s="203" t="n"/>
    </row>
    <row r="933" ht="13" customHeight="1" s="189">
      <c r="C933" s="203" t="n"/>
      <c r="D933" s="203" t="n"/>
      <c r="E933" s="289" t="n"/>
      <c r="F933" s="203" t="n"/>
      <c r="G933" s="203" t="n"/>
    </row>
    <row r="934" ht="13" customHeight="1" s="189">
      <c r="C934" s="203" t="n"/>
      <c r="D934" s="203" t="n"/>
      <c r="E934" s="289" t="n"/>
      <c r="F934" s="203" t="n"/>
      <c r="G934" s="203" t="n"/>
    </row>
    <row r="935" ht="13" customHeight="1" s="189">
      <c r="C935" s="203" t="n"/>
      <c r="D935" s="203" t="n"/>
      <c r="E935" s="289" t="n"/>
      <c r="F935" s="203" t="n"/>
      <c r="G935" s="203" t="n"/>
    </row>
    <row r="936" ht="13" customHeight="1" s="189">
      <c r="C936" s="203" t="n"/>
      <c r="D936" s="203" t="n"/>
      <c r="E936" s="289" t="n"/>
      <c r="F936" s="203" t="n"/>
      <c r="G936" s="203" t="n"/>
    </row>
    <row r="937" ht="13" customHeight="1" s="189">
      <c r="C937" s="203" t="n"/>
      <c r="D937" s="203" t="n"/>
      <c r="E937" s="289" t="n"/>
      <c r="F937" s="203" t="n"/>
      <c r="G937" s="203" t="n"/>
    </row>
    <row r="938" ht="13" customHeight="1" s="189">
      <c r="C938" s="203" t="n"/>
      <c r="D938" s="203" t="n"/>
      <c r="E938" s="289" t="n"/>
      <c r="F938" s="203" t="n"/>
      <c r="G938" s="203" t="n"/>
    </row>
    <row r="939" ht="13" customHeight="1" s="189">
      <c r="C939" s="203" t="n"/>
      <c r="D939" s="203" t="n"/>
      <c r="E939" s="289" t="n"/>
      <c r="F939" s="203" t="n"/>
      <c r="G939" s="203" t="n"/>
    </row>
    <row r="940" ht="13" customHeight="1" s="189">
      <c r="C940" s="203" t="n"/>
      <c r="D940" s="203" t="n"/>
      <c r="E940" s="289" t="n"/>
      <c r="F940" s="203" t="n"/>
      <c r="G940" s="203" t="n"/>
    </row>
    <row r="941" ht="13" customHeight="1" s="189">
      <c r="C941" s="203" t="n"/>
      <c r="D941" s="203" t="n"/>
      <c r="E941" s="289" t="n"/>
      <c r="F941" s="203" t="n"/>
      <c r="G941" s="203" t="n"/>
    </row>
    <row r="942" ht="13" customHeight="1" s="189">
      <c r="C942" s="203" t="n"/>
      <c r="D942" s="203" t="n"/>
      <c r="E942" s="289" t="n"/>
      <c r="F942" s="203" t="n"/>
      <c r="G942" s="203" t="n"/>
    </row>
    <row r="943" ht="13" customHeight="1" s="189">
      <c r="C943" s="203" t="n"/>
      <c r="D943" s="203" t="n"/>
      <c r="E943" s="289" t="n"/>
      <c r="F943" s="203" t="n"/>
      <c r="G943" s="203" t="n"/>
    </row>
    <row r="944" ht="13" customHeight="1" s="189">
      <c r="C944" s="203" t="n"/>
      <c r="D944" s="203" t="n"/>
      <c r="E944" s="289" t="n"/>
      <c r="F944" s="203" t="n"/>
      <c r="G944" s="203" t="n"/>
    </row>
    <row r="945" ht="13" customHeight="1" s="189">
      <c r="C945" s="203" t="n"/>
      <c r="D945" s="203" t="n"/>
      <c r="E945" s="289" t="n"/>
      <c r="F945" s="203" t="n"/>
      <c r="G945" s="203" t="n"/>
    </row>
    <row r="946" ht="13" customHeight="1" s="189">
      <c r="C946" s="203" t="n"/>
      <c r="D946" s="203" t="n"/>
      <c r="E946" s="289" t="n"/>
      <c r="F946" s="203" t="n"/>
      <c r="G946" s="203" t="n"/>
    </row>
    <row r="947" ht="13" customHeight="1" s="189">
      <c r="C947" s="203" t="n"/>
      <c r="D947" s="203" t="n"/>
      <c r="E947" s="289" t="n"/>
      <c r="F947" s="203" t="n"/>
      <c r="G947" s="203" t="n"/>
    </row>
    <row r="948" ht="13" customHeight="1" s="189">
      <c r="C948" s="203" t="n"/>
      <c r="D948" s="203" t="n"/>
      <c r="E948" s="289" t="n"/>
      <c r="F948" s="203" t="n"/>
      <c r="G948" s="203" t="n"/>
    </row>
    <row r="949" ht="13" customHeight="1" s="189">
      <c r="C949" s="203" t="n"/>
      <c r="D949" s="203" t="n"/>
      <c r="E949" s="289" t="n"/>
      <c r="F949" s="203" t="n"/>
      <c r="G949" s="203" t="n"/>
    </row>
    <row r="950" ht="13" customHeight="1" s="189">
      <c r="C950" s="203" t="n"/>
      <c r="D950" s="203" t="n"/>
      <c r="E950" s="289" t="n"/>
      <c r="F950" s="203" t="n"/>
      <c r="G950" s="203" t="n"/>
    </row>
    <row r="951" ht="13" customHeight="1" s="189">
      <c r="C951" s="203" t="n"/>
      <c r="D951" s="203" t="n"/>
      <c r="E951" s="289" t="n"/>
      <c r="F951" s="203" t="n"/>
      <c r="G951" s="203" t="n"/>
    </row>
    <row r="952" ht="13" customHeight="1" s="189">
      <c r="C952" s="203" t="n"/>
      <c r="D952" s="203" t="n"/>
      <c r="E952" s="289" t="n"/>
      <c r="F952" s="203" t="n"/>
      <c r="G952" s="203" t="n"/>
    </row>
    <row r="953" ht="13" customHeight="1" s="189">
      <c r="C953" s="203" t="n"/>
      <c r="D953" s="203" t="n"/>
      <c r="E953" s="289" t="n"/>
      <c r="F953" s="203" t="n"/>
      <c r="G953" s="203" t="n"/>
    </row>
    <row r="954" ht="13" customHeight="1" s="189">
      <c r="C954" s="203" t="n"/>
      <c r="D954" s="203" t="n"/>
      <c r="E954" s="289" t="n"/>
      <c r="F954" s="203" t="n"/>
      <c r="G954" s="203" t="n"/>
    </row>
    <row r="955" ht="13" customHeight="1" s="189">
      <c r="C955" s="203" t="n"/>
      <c r="D955" s="203" t="n"/>
      <c r="E955" s="289" t="n"/>
      <c r="F955" s="203" t="n"/>
      <c r="G955" s="203" t="n"/>
    </row>
    <row r="956" ht="13" customHeight="1" s="189">
      <c r="C956" s="203" t="n"/>
      <c r="D956" s="203" t="n"/>
      <c r="E956" s="289" t="n"/>
      <c r="F956" s="203" t="n"/>
      <c r="G956" s="203" t="n"/>
    </row>
    <row r="957" ht="13" customHeight="1" s="189">
      <c r="C957" s="203" t="n"/>
      <c r="D957" s="203" t="n"/>
      <c r="E957" s="289" t="n"/>
      <c r="F957" s="203" t="n"/>
      <c r="G957" s="203" t="n"/>
    </row>
    <row r="958" ht="13" customHeight="1" s="189">
      <c r="C958" s="203" t="n"/>
      <c r="D958" s="203" t="n"/>
      <c r="E958" s="289" t="n"/>
      <c r="F958" s="203" t="n"/>
      <c r="G958" s="203" t="n"/>
    </row>
    <row r="959" ht="13" customHeight="1" s="189">
      <c r="C959" s="203" t="n"/>
      <c r="D959" s="203" t="n"/>
      <c r="E959" s="289" t="n"/>
      <c r="F959" s="203" t="n"/>
      <c r="G959" s="203" t="n"/>
    </row>
    <row r="960" ht="13" customHeight="1" s="189">
      <c r="C960" s="203" t="n"/>
      <c r="D960" s="203" t="n"/>
      <c r="E960" s="289" t="n"/>
      <c r="F960" s="203" t="n"/>
      <c r="G960" s="203" t="n"/>
    </row>
    <row r="961" ht="13" customHeight="1" s="189">
      <c r="C961" s="203" t="n"/>
      <c r="D961" s="203" t="n"/>
      <c r="E961" s="289" t="n"/>
      <c r="F961" s="203" t="n"/>
      <c r="G961" s="203" t="n"/>
    </row>
    <row r="962" ht="13" customHeight="1" s="189">
      <c r="C962" s="203" t="n"/>
      <c r="D962" s="203" t="n"/>
      <c r="E962" s="289" t="n"/>
      <c r="F962" s="203" t="n"/>
      <c r="G962" s="203" t="n"/>
    </row>
    <row r="963" ht="13" customHeight="1" s="189">
      <c r="C963" s="203" t="n"/>
      <c r="D963" s="203" t="n"/>
      <c r="E963" s="289" t="n"/>
      <c r="F963" s="203" t="n"/>
      <c r="G963" s="203" t="n"/>
    </row>
    <row r="964" ht="13" customHeight="1" s="189">
      <c r="C964" s="203" t="n"/>
      <c r="D964" s="203" t="n"/>
      <c r="E964" s="289" t="n"/>
      <c r="F964" s="203" t="n"/>
      <c r="G964" s="203" t="n"/>
    </row>
    <row r="965" ht="13" customHeight="1" s="189">
      <c r="C965" s="203" t="n"/>
      <c r="D965" s="203" t="n"/>
      <c r="E965" s="289" t="n"/>
      <c r="F965" s="203" t="n"/>
      <c r="G965" s="203" t="n"/>
    </row>
    <row r="966" ht="13" customHeight="1" s="189">
      <c r="C966" s="203" t="n"/>
      <c r="D966" s="203" t="n"/>
      <c r="E966" s="289" t="n"/>
      <c r="F966" s="203" t="n"/>
      <c r="G966" s="203" t="n"/>
    </row>
    <row r="967" ht="13" customHeight="1" s="189">
      <c r="C967" s="203" t="n"/>
      <c r="D967" s="203" t="n"/>
      <c r="E967" s="289" t="n"/>
      <c r="F967" s="203" t="n"/>
      <c r="G967" s="203" t="n"/>
    </row>
    <row r="968" ht="13" customHeight="1" s="189">
      <c r="C968" s="203" t="n"/>
      <c r="D968" s="203" t="n"/>
      <c r="E968" s="289" t="n"/>
      <c r="F968" s="203" t="n"/>
      <c r="G968" s="203" t="n"/>
    </row>
    <row r="969" ht="13" customHeight="1" s="189">
      <c r="C969" s="203" t="n"/>
      <c r="D969" s="203" t="n"/>
      <c r="E969" s="289" t="n"/>
      <c r="F969" s="203" t="n"/>
      <c r="G969" s="203" t="n"/>
    </row>
    <row r="970" ht="13" customHeight="1" s="189">
      <c r="C970" s="203" t="n"/>
      <c r="D970" s="203" t="n"/>
      <c r="E970" s="289" t="n"/>
      <c r="F970" s="203" t="n"/>
      <c r="G970" s="203" t="n"/>
    </row>
    <row r="971" ht="13" customHeight="1" s="189">
      <c r="C971" s="203" t="n"/>
      <c r="D971" s="203" t="n"/>
      <c r="E971" s="289" t="n"/>
      <c r="F971" s="203" t="n"/>
      <c r="G971" s="203" t="n"/>
    </row>
    <row r="972" ht="13" customHeight="1" s="189">
      <c r="C972" s="203" t="n"/>
      <c r="D972" s="203" t="n"/>
      <c r="E972" s="289" t="n"/>
      <c r="F972" s="203" t="n"/>
      <c r="G972" s="203" t="n"/>
    </row>
    <row r="973" ht="13" customHeight="1" s="189">
      <c r="C973" s="203" t="n"/>
      <c r="D973" s="203" t="n"/>
      <c r="E973" s="289" t="n"/>
      <c r="F973" s="203" t="n"/>
      <c r="G973" s="203" t="n"/>
    </row>
    <row r="974" ht="13" customHeight="1" s="189">
      <c r="C974" s="203" t="n"/>
      <c r="D974" s="203" t="n"/>
      <c r="E974" s="289" t="n"/>
      <c r="F974" s="203" t="n"/>
      <c r="G974" s="203" t="n"/>
    </row>
    <row r="975" ht="13" customHeight="1" s="189">
      <c r="C975" s="203" t="n"/>
      <c r="D975" s="203" t="n"/>
      <c r="E975" s="289" t="n"/>
      <c r="F975" s="203" t="n"/>
      <c r="G975" s="203" t="n"/>
    </row>
    <row r="976" ht="13" customHeight="1" s="189">
      <c r="C976" s="203" t="n"/>
      <c r="D976" s="203" t="n"/>
      <c r="E976" s="289" t="n"/>
      <c r="F976" s="203" t="n"/>
      <c r="G976" s="203" t="n"/>
    </row>
    <row r="977" ht="13" customHeight="1" s="189">
      <c r="C977" s="203" t="n"/>
      <c r="D977" s="203" t="n"/>
      <c r="E977" s="289" t="n"/>
      <c r="F977" s="203" t="n"/>
      <c r="G977" s="203" t="n"/>
    </row>
    <row r="978" ht="13" customHeight="1" s="189">
      <c r="C978" s="203" t="n"/>
      <c r="D978" s="203" t="n"/>
      <c r="E978" s="289" t="n"/>
      <c r="F978" s="203" t="n"/>
      <c r="G978" s="203" t="n"/>
    </row>
    <row r="979" ht="13" customHeight="1" s="189">
      <c r="C979" s="203" t="n"/>
      <c r="D979" s="203" t="n"/>
      <c r="E979" s="289" t="n"/>
      <c r="F979" s="203" t="n"/>
      <c r="G979" s="203" t="n"/>
    </row>
    <row r="980" ht="13" customHeight="1" s="189">
      <c r="C980" s="203" t="n"/>
      <c r="D980" s="203" t="n"/>
      <c r="E980" s="289" t="n"/>
      <c r="F980" s="203" t="n"/>
      <c r="G980" s="203" t="n"/>
    </row>
    <row r="981" ht="13" customHeight="1" s="189">
      <c r="C981" s="203" t="n"/>
      <c r="D981" s="203" t="n"/>
      <c r="E981" s="289" t="n"/>
      <c r="F981" s="203" t="n"/>
      <c r="G981" s="203" t="n"/>
    </row>
    <row r="982" ht="13" customHeight="1" s="189">
      <c r="C982" s="203" t="n"/>
      <c r="D982" s="203" t="n"/>
      <c r="E982" s="289" t="n"/>
      <c r="F982" s="203" t="n"/>
      <c r="G982" s="203" t="n"/>
    </row>
    <row r="983" ht="13" customHeight="1" s="189">
      <c r="C983" s="203" t="n"/>
      <c r="D983" s="203" t="n"/>
      <c r="E983" s="289" t="n"/>
      <c r="F983" s="203" t="n"/>
      <c r="G983" s="203" t="n"/>
    </row>
    <row r="984" ht="13" customHeight="1" s="189">
      <c r="C984" s="203" t="n"/>
      <c r="D984" s="203" t="n"/>
      <c r="E984" s="289" t="n"/>
      <c r="F984" s="203" t="n"/>
      <c r="G984" s="203" t="n"/>
    </row>
    <row r="985" ht="13" customHeight="1" s="189">
      <c r="C985" s="203" t="n"/>
      <c r="D985" s="203" t="n"/>
      <c r="E985" s="289" t="n"/>
      <c r="F985" s="203" t="n"/>
      <c r="G985" s="203" t="n"/>
    </row>
    <row r="986" ht="13" customHeight="1" s="189">
      <c r="C986" s="203" t="n"/>
      <c r="D986" s="203" t="n"/>
      <c r="E986" s="289" t="n"/>
      <c r="F986" s="203" t="n"/>
      <c r="G986" s="203" t="n"/>
    </row>
    <row r="987" ht="13" customHeight="1" s="189">
      <c r="C987" s="203" t="n"/>
      <c r="D987" s="203" t="n"/>
      <c r="E987" s="289" t="n"/>
      <c r="F987" s="203" t="n"/>
      <c r="G987" s="203" t="n"/>
    </row>
    <row r="988" ht="13" customHeight="1" s="189">
      <c r="C988" s="203" t="n"/>
      <c r="D988" s="203" t="n"/>
      <c r="E988" s="289" t="n"/>
      <c r="F988" s="203" t="n"/>
      <c r="G988" s="203" t="n"/>
    </row>
    <row r="989" ht="13" customHeight="1" s="189">
      <c r="C989" s="203" t="n"/>
      <c r="D989" s="203" t="n"/>
      <c r="E989" s="289" t="n"/>
      <c r="F989" s="203" t="n"/>
      <c r="G989" s="203" t="n"/>
    </row>
    <row r="990" ht="13" customHeight="1" s="189">
      <c r="C990" s="203" t="n"/>
      <c r="D990" s="203" t="n"/>
      <c r="E990" s="289" t="n"/>
      <c r="F990" s="203" t="n"/>
      <c r="G990" s="203" t="n"/>
    </row>
    <row r="991" ht="13" customHeight="1" s="189">
      <c r="C991" s="203" t="n"/>
      <c r="D991" s="203" t="n"/>
      <c r="E991" s="289" t="n"/>
      <c r="F991" s="203" t="n"/>
      <c r="G991" s="203" t="n"/>
    </row>
    <row r="992" ht="13" customHeight="1" s="189">
      <c r="C992" s="203" t="n"/>
      <c r="D992" s="203" t="n"/>
      <c r="E992" s="289" t="n"/>
      <c r="F992" s="203" t="n"/>
      <c r="G992" s="203" t="n"/>
    </row>
    <row r="993" ht="13" customHeight="1" s="189">
      <c r="C993" s="203" t="n"/>
      <c r="D993" s="203" t="n"/>
      <c r="E993" s="289" t="n"/>
      <c r="F993" s="203" t="n"/>
      <c r="G993" s="203" t="n"/>
    </row>
    <row r="994" ht="13" customHeight="1" s="189">
      <c r="C994" s="203" t="n"/>
      <c r="D994" s="203" t="n"/>
      <c r="E994" s="289" t="n"/>
      <c r="F994" s="203" t="n"/>
      <c r="G994" s="203" t="n"/>
    </row>
    <row r="995" ht="13" customHeight="1" s="189">
      <c r="C995" s="203" t="n"/>
      <c r="D995" s="203" t="n"/>
      <c r="E995" s="289" t="n"/>
      <c r="F995" s="203" t="n"/>
      <c r="G995" s="203" t="n"/>
    </row>
    <row r="996" ht="13" customHeight="1" s="189">
      <c r="C996" s="203" t="n"/>
      <c r="D996" s="203" t="n"/>
      <c r="E996" s="289" t="n"/>
      <c r="F996" s="203" t="n"/>
      <c r="G996" s="203" t="n"/>
    </row>
    <row r="997" ht="13" customHeight="1" s="189">
      <c r="C997" s="203" t="n"/>
      <c r="D997" s="203" t="n"/>
      <c r="E997" s="289" t="n"/>
      <c r="F997" s="203" t="n"/>
      <c r="G997" s="203" t="n"/>
    </row>
    <row r="998" ht="13" customHeight="1" s="189">
      <c r="C998" s="203" t="n"/>
      <c r="D998" s="203" t="n"/>
      <c r="E998" s="289" t="n"/>
      <c r="F998" s="203" t="n"/>
      <c r="G998" s="203" t="n"/>
    </row>
    <row r="999" ht="13" customHeight="1" s="189">
      <c r="C999" s="203" t="n"/>
      <c r="D999" s="203" t="n"/>
      <c r="E999" s="289" t="n"/>
      <c r="F999" s="203" t="n"/>
      <c r="G999" s="203" t="n"/>
    </row>
    <row r="1000" ht="13" customHeight="1" s="189">
      <c r="C1000" s="203" t="n"/>
      <c r="D1000" s="203" t="n"/>
      <c r="E1000" s="289" t="n"/>
      <c r="F1000" s="203" t="n"/>
      <c r="G1000" s="203" t="n"/>
    </row>
    <row r="1001" ht="13" customHeight="1" s="189">
      <c r="C1001" s="203" t="n"/>
      <c r="D1001" s="203" t="n"/>
      <c r="E1001" s="289" t="n"/>
      <c r="F1001" s="203" t="n"/>
      <c r="G1001" s="203" t="n"/>
    </row>
    <row r="1002" ht="13" customHeight="1" s="189">
      <c r="C1002" s="203" t="n"/>
      <c r="D1002" s="203" t="n"/>
      <c r="E1002" s="289" t="n"/>
      <c r="F1002" s="203" t="n"/>
      <c r="G1002" s="203" t="n"/>
    </row>
    <row r="1003" ht="13" customHeight="1" s="189">
      <c r="C1003" s="203" t="n"/>
      <c r="D1003" s="203" t="n"/>
      <c r="E1003" s="289" t="n"/>
      <c r="F1003" s="203" t="n"/>
      <c r="G1003" s="203" t="n"/>
    </row>
    <row r="1004" ht="13" customHeight="1" s="189">
      <c r="C1004" s="203" t="n"/>
      <c r="D1004" s="203" t="n"/>
      <c r="E1004" s="289" t="n"/>
      <c r="F1004" s="203" t="n"/>
      <c r="G1004" s="203" t="n"/>
    </row>
    <row r="1005" ht="13" customHeight="1" s="189">
      <c r="C1005" s="203" t="n"/>
      <c r="D1005" s="203" t="n"/>
      <c r="E1005" s="289" t="n"/>
      <c r="F1005" s="203" t="n"/>
      <c r="G1005" s="203" t="n"/>
    </row>
    <row r="1006" ht="13" customHeight="1" s="189">
      <c r="C1006" s="203" t="n"/>
      <c r="D1006" s="203" t="n"/>
      <c r="E1006" s="289" t="n"/>
      <c r="F1006" s="203" t="n"/>
      <c r="G1006" s="203" t="n"/>
    </row>
    <row r="1007" ht="13" customHeight="1" s="189">
      <c r="C1007" s="203" t="n"/>
      <c r="D1007" s="203" t="n"/>
      <c r="E1007" s="289" t="n"/>
      <c r="F1007" s="203" t="n"/>
      <c r="G1007" s="203" t="n"/>
    </row>
    <row r="1008" ht="13" customHeight="1" s="189">
      <c r="C1008" s="203" t="n"/>
      <c r="D1008" s="203" t="n"/>
      <c r="E1008" s="289" t="n"/>
      <c r="F1008" s="203" t="n"/>
      <c r="G1008" s="203" t="n"/>
    </row>
    <row r="1009" ht="13" customHeight="1" s="189">
      <c r="C1009" s="203" t="n"/>
      <c r="D1009" s="203" t="n"/>
      <c r="E1009" s="289" t="n"/>
      <c r="F1009" s="203" t="n"/>
      <c r="G1009" s="203" t="n"/>
    </row>
    <row r="1010" ht="13" customHeight="1" s="189">
      <c r="C1010" s="203" t="n"/>
      <c r="D1010" s="203" t="n"/>
      <c r="E1010" s="289" t="n"/>
      <c r="F1010" s="203" t="n"/>
      <c r="G1010" s="203" t="n"/>
    </row>
    <row r="1011" ht="13" customHeight="1" s="189">
      <c r="C1011" s="203" t="n"/>
      <c r="D1011" s="203" t="n"/>
      <c r="E1011" s="289" t="n"/>
      <c r="F1011" s="203" t="n"/>
      <c r="G1011" s="203" t="n"/>
    </row>
    <row r="1012" ht="13" customHeight="1" s="189">
      <c r="C1012" s="203" t="n"/>
      <c r="D1012" s="203" t="n"/>
      <c r="E1012" s="289" t="n"/>
      <c r="F1012" s="203" t="n"/>
      <c r="G1012" s="203" t="n"/>
    </row>
    <row r="1013" ht="13" customHeight="1" s="189">
      <c r="C1013" s="203" t="n"/>
      <c r="D1013" s="203" t="n"/>
      <c r="E1013" s="289" t="n"/>
      <c r="F1013" s="203" t="n"/>
      <c r="G1013" s="203" t="n"/>
    </row>
    <row r="1014" ht="13" customHeight="1" s="189">
      <c r="C1014" s="203" t="n"/>
      <c r="D1014" s="203" t="n"/>
      <c r="E1014" s="289" t="n"/>
      <c r="F1014" s="203" t="n"/>
      <c r="G1014" s="203" t="n"/>
    </row>
    <row r="1015" ht="13" customHeight="1" s="189">
      <c r="C1015" s="203" t="n"/>
      <c r="D1015" s="203" t="n"/>
      <c r="E1015" s="289" t="n"/>
      <c r="F1015" s="203" t="n"/>
      <c r="G1015" s="203" t="n"/>
    </row>
    <row r="1016" ht="13" customHeight="1" s="189">
      <c r="C1016" s="203" t="n"/>
      <c r="D1016" s="203" t="n"/>
      <c r="E1016" s="289" t="n"/>
      <c r="F1016" s="203" t="n"/>
      <c r="G1016" s="203" t="n"/>
    </row>
    <row r="1017" ht="13" customHeight="1" s="189">
      <c r="C1017" s="203" t="n"/>
      <c r="D1017" s="203" t="n"/>
      <c r="E1017" s="289" t="n"/>
      <c r="F1017" s="203" t="n"/>
      <c r="G1017" s="203" t="n"/>
    </row>
    <row r="1018" ht="13" customHeight="1" s="189">
      <c r="C1018" s="203" t="n"/>
      <c r="D1018" s="203" t="n"/>
      <c r="E1018" s="289" t="n"/>
      <c r="F1018" s="203" t="n"/>
      <c r="G1018" s="203" t="n"/>
    </row>
    <row r="1019" ht="13" customHeight="1" s="189">
      <c r="C1019" s="203" t="n"/>
      <c r="D1019" s="203" t="n"/>
      <c r="E1019" s="289" t="n"/>
      <c r="F1019" s="203" t="n"/>
      <c r="G1019" s="203" t="n"/>
    </row>
    <row r="1020" ht="13" customHeight="1" s="189">
      <c r="C1020" s="203" t="n"/>
      <c r="D1020" s="203" t="n"/>
      <c r="E1020" s="289" t="n"/>
      <c r="F1020" s="203" t="n"/>
      <c r="G1020" s="203" t="n"/>
    </row>
    <row r="1021" ht="13" customHeight="1" s="189">
      <c r="C1021" s="203" t="n"/>
      <c r="D1021" s="203" t="n"/>
      <c r="E1021" s="289" t="n"/>
      <c r="F1021" s="203" t="n"/>
      <c r="G1021" s="203" t="n"/>
    </row>
    <row r="1022" ht="13" customHeight="1" s="189">
      <c r="C1022" s="203" t="n"/>
      <c r="D1022" s="203" t="n"/>
      <c r="E1022" s="289" t="n"/>
      <c r="F1022" s="203" t="n"/>
      <c r="G1022" s="203" t="n"/>
    </row>
    <row r="1023" ht="13" customHeight="1" s="189">
      <c r="C1023" s="203" t="n"/>
      <c r="D1023" s="203" t="n"/>
      <c r="E1023" s="289" t="n"/>
      <c r="F1023" s="203" t="n"/>
      <c r="G1023" s="203" t="n"/>
    </row>
    <row r="1024" ht="13" customHeight="1" s="189">
      <c r="C1024" s="203" t="n"/>
      <c r="D1024" s="203" t="n"/>
      <c r="E1024" s="289" t="n"/>
      <c r="F1024" s="203" t="n"/>
      <c r="G1024" s="203" t="n"/>
    </row>
    <row r="1025" ht="13" customHeight="1" s="189">
      <c r="C1025" s="203" t="n"/>
      <c r="D1025" s="203" t="n"/>
      <c r="E1025" s="289" t="n"/>
      <c r="F1025" s="203" t="n"/>
      <c r="G1025" s="203" t="n"/>
    </row>
    <row r="1026" ht="13" customHeight="1" s="189">
      <c r="C1026" s="203" t="n"/>
      <c r="D1026" s="203" t="n"/>
      <c r="E1026" s="289" t="n"/>
      <c r="F1026" s="203" t="n"/>
      <c r="G1026" s="203" t="n"/>
    </row>
    <row r="1027" ht="13" customHeight="1" s="189">
      <c r="C1027" s="203" t="n"/>
      <c r="D1027" s="203" t="n"/>
      <c r="E1027" s="289" t="n"/>
      <c r="F1027" s="203" t="n"/>
      <c r="G1027" s="203" t="n"/>
    </row>
    <row r="1028" ht="13" customHeight="1" s="189">
      <c r="C1028" s="203" t="n"/>
      <c r="D1028" s="203" t="n"/>
      <c r="E1028" s="289" t="n"/>
      <c r="F1028" s="203" t="n"/>
      <c r="G1028" s="203" t="n"/>
    </row>
    <row r="1029" ht="13" customHeight="1" s="189">
      <c r="C1029" s="203" t="n"/>
      <c r="D1029" s="203" t="n"/>
      <c r="E1029" s="289" t="n"/>
      <c r="F1029" s="203" t="n"/>
      <c r="G1029" s="203" t="n"/>
    </row>
    <row r="1030" ht="13" customHeight="1" s="189">
      <c r="C1030" s="203" t="n"/>
      <c r="D1030" s="203" t="n"/>
      <c r="E1030" s="289" t="n"/>
      <c r="F1030" s="203" t="n"/>
      <c r="G1030" s="203" t="n"/>
    </row>
    <row r="1031" ht="13" customHeight="1" s="189">
      <c r="C1031" s="203" t="n"/>
      <c r="D1031" s="203" t="n"/>
      <c r="E1031" s="289" t="n"/>
      <c r="F1031" s="203" t="n"/>
      <c r="G1031" s="203" t="n"/>
    </row>
    <row r="1032" ht="13" customHeight="1" s="189">
      <c r="C1032" s="203" t="n"/>
      <c r="D1032" s="203" t="n"/>
      <c r="E1032" s="289" t="n"/>
      <c r="F1032" s="203" t="n"/>
      <c r="G1032" s="203" t="n"/>
    </row>
    <row r="1033" ht="13" customHeight="1" s="189">
      <c r="C1033" s="203" t="n"/>
      <c r="D1033" s="203" t="n"/>
      <c r="E1033" s="289" t="n"/>
      <c r="F1033" s="203" t="n"/>
      <c r="G1033" s="203" t="n"/>
    </row>
    <row r="1034" ht="13" customHeight="1" s="189">
      <c r="C1034" s="203" t="n"/>
      <c r="D1034" s="203" t="n"/>
      <c r="E1034" s="289" t="n"/>
      <c r="F1034" s="203" t="n"/>
      <c r="G1034" s="203" t="n"/>
    </row>
    <row r="1035" ht="13" customHeight="1" s="189">
      <c r="C1035" s="203" t="n"/>
      <c r="D1035" s="203" t="n"/>
      <c r="E1035" s="289" t="n"/>
      <c r="F1035" s="203" t="n"/>
      <c r="G1035" s="203" t="n"/>
    </row>
    <row r="1036" ht="13" customHeight="1" s="189">
      <c r="C1036" s="203" t="n"/>
      <c r="D1036" s="203" t="n"/>
      <c r="E1036" s="289" t="n"/>
      <c r="F1036" s="203" t="n"/>
      <c r="G1036" s="203" t="n"/>
    </row>
    <row r="1037" ht="13" customHeight="1" s="189">
      <c r="C1037" s="203" t="n"/>
      <c r="D1037" s="203" t="n"/>
      <c r="E1037" s="289" t="n"/>
      <c r="F1037" s="203" t="n"/>
      <c r="G1037" s="203" t="n"/>
    </row>
    <row r="1038" ht="13" customHeight="1" s="189">
      <c r="C1038" s="203" t="n"/>
      <c r="D1038" s="203" t="n"/>
      <c r="E1038" s="289" t="n"/>
      <c r="F1038" s="203" t="n"/>
      <c r="G1038" s="203" t="n"/>
    </row>
    <row r="1039" ht="13" customHeight="1" s="189">
      <c r="C1039" s="203" t="n"/>
      <c r="D1039" s="203" t="n"/>
      <c r="E1039" s="289" t="n"/>
      <c r="F1039" s="203" t="n"/>
      <c r="G1039" s="203" t="n"/>
    </row>
    <row r="1040" ht="13" customHeight="1" s="189"/>
    <row r="1041" ht="13" customHeight="1" s="189"/>
    <row r="1042" ht="13" customHeight="1" s="189"/>
    <row r="1043" ht="13" customHeight="1" s="189"/>
    <row r="1044" ht="13" customHeight="1" s="189"/>
    <row r="1045" ht="13" customHeight="1" s="189"/>
    <row r="1046" ht="13" customHeight="1" s="189"/>
    <row r="1047" ht="13" customHeight="1" s="189"/>
    <row r="1048" ht="13" customHeight="1" s="189"/>
    <row r="1049" ht="13" customHeight="1" s="189"/>
    <row r="1050" ht="13" customHeight="1" s="189"/>
    <row r="1051" ht="13" customHeight="1" s="189"/>
    <row r="1052" ht="13" customHeight="1" s="189"/>
    <row r="1053" ht="13" customHeight="1" s="189"/>
    <row r="1054" ht="13" customHeight="1" s="189"/>
    <row r="1055" ht="13" customHeight="1" s="189"/>
    <row r="1056" ht="13" customHeight="1" s="189"/>
    <row r="1057" ht="13" customHeight="1" s="189"/>
    <row r="1058" ht="13" customHeight="1" s="189"/>
    <row r="1059" ht="13" customHeight="1" s="189"/>
    <row r="1060" ht="13" customHeight="1" s="189"/>
    <row r="1061" ht="13" customHeight="1" s="189"/>
    <row r="1062" ht="13" customHeight="1" s="189"/>
    <row r="1063" ht="13" customHeight="1" s="189"/>
    <row r="1064" ht="13" customHeight="1" s="189"/>
    <row r="1065" ht="13" customHeight="1" s="189"/>
    <row r="1066" ht="13" customHeight="1" s="189"/>
    <row r="1067" ht="13" customHeight="1" s="189"/>
    <row r="1068" ht="13" customHeight="1" s="189"/>
    <row r="1069" ht="13" customHeight="1" s="189"/>
    <row r="1070" ht="13" customHeight="1" s="189"/>
    <row r="1071" ht="13" customHeight="1" s="189"/>
    <row r="1072" ht="13" customHeight="1" s="189"/>
    <row r="1073" ht="13" customHeight="1" s="189"/>
    <row r="1074" ht="13" customHeight="1" s="189"/>
    <row r="1075" ht="13" customHeight="1" s="189"/>
    <row r="1076" ht="13" customHeight="1" s="189"/>
    <row r="1077" ht="13" customHeight="1" s="189"/>
    <row r="1078" ht="13" customHeight="1" s="189"/>
    <row r="1079" ht="13" customHeight="1" s="189"/>
    <row r="1080" ht="13" customHeight="1" s="189"/>
    <row r="1081" ht="13" customHeight="1" s="189"/>
    <row r="1082" ht="13" customHeight="1" s="189"/>
    <row r="1083" ht="13" customHeight="1" s="189"/>
    <row r="1084" ht="13" customHeight="1" s="189"/>
    <row r="1085" ht="13" customHeight="1" s="189"/>
    <row r="1086" ht="13" customHeight="1" s="189"/>
    <row r="1087" ht="13" customHeight="1" s="189"/>
    <row r="1088" ht="13" customHeight="1" s="189"/>
    <row r="1089" ht="13" customHeight="1" s="189"/>
    <row r="1090" ht="13" customHeight="1" s="189"/>
    <row r="1091" ht="13" customHeight="1" s="189"/>
    <row r="1092" ht="13" customHeight="1" s="189"/>
    <row r="1093" ht="13" customHeight="1" s="189"/>
    <row r="1094" ht="13" customHeight="1" s="189"/>
    <row r="1095" ht="13" customHeight="1" s="189"/>
    <row r="1096" ht="13" customHeight="1" s="189"/>
    <row r="1097" ht="13" customHeight="1" s="189"/>
    <row r="1098" ht="13" customHeight="1" s="189"/>
    <row r="1099" ht="13" customHeight="1" s="189"/>
    <row r="1100" ht="13" customHeight="1" s="189"/>
    <row r="1101" ht="13" customHeight="1" s="189"/>
    <row r="1102" ht="13" customHeight="1" s="189"/>
    <row r="1103" ht="13" customHeight="1" s="189"/>
    <row r="1104" ht="13" customHeight="1" s="189"/>
    <row r="1105" ht="13" customHeight="1" s="189"/>
    <row r="1106" ht="13" customHeight="1" s="189"/>
    <row r="1107" ht="13" customHeight="1" s="189"/>
    <row r="1108" ht="13" customHeight="1" s="189"/>
    <row r="1109" ht="13" customHeight="1" s="189"/>
    <row r="1110" ht="13" customHeight="1" s="189"/>
    <row r="1111" ht="13" customHeight="1" s="189"/>
    <row r="1112" ht="13" customHeight="1" s="189"/>
    <row r="1113" ht="13" customHeight="1" s="189"/>
    <row r="1114" ht="13" customHeight="1" s="189"/>
    <row r="1115" ht="13" customHeight="1" s="189"/>
    <row r="1116" ht="13" customHeight="1" s="189"/>
    <row r="1117" ht="13" customHeight="1" s="189"/>
    <row r="1118" ht="13" customHeight="1" s="189"/>
    <row r="1119" ht="13" customHeight="1" s="189"/>
    <row r="1120" ht="13" customHeight="1" s="189"/>
    <row r="1121" ht="13" customHeight="1" s="189"/>
    <row r="1122" ht="13" customHeight="1" s="189"/>
    <row r="1123" ht="13" customHeight="1" s="189"/>
    <row r="1124" ht="13" customHeight="1" s="189"/>
    <row r="1125" ht="13" customHeight="1" s="189"/>
    <row r="1126" ht="13" customHeight="1" s="189"/>
    <row r="1127" ht="13" customHeight="1" s="189"/>
    <row r="1128" ht="13" customHeight="1" s="189"/>
    <row r="1129" ht="13" customHeight="1" s="189"/>
    <row r="1130" ht="13" customHeight="1" s="189"/>
    <row r="1131" ht="13" customHeight="1" s="189"/>
    <row r="1132" ht="13" customHeight="1" s="189"/>
    <row r="1133" ht="13" customHeight="1" s="189"/>
    <row r="1134" ht="13" customHeight="1" s="189"/>
    <row r="1135" ht="13" customHeight="1" s="189"/>
    <row r="1136" ht="13" customHeight="1" s="189"/>
    <row r="1137" ht="13" customHeight="1" s="189"/>
    <row r="1138" ht="13" customHeight="1" s="189"/>
    <row r="1139" ht="13" customHeight="1" s="189"/>
    <row r="1140" ht="13" customHeight="1" s="189"/>
    <row r="1141" ht="13" customHeight="1" s="189"/>
    <row r="1142" ht="13" customHeight="1" s="189"/>
    <row r="1143" ht="13" customHeight="1" s="189"/>
    <row r="1144" ht="13" customHeight="1" s="189"/>
    <row r="1145" ht="13" customHeight="1" s="189"/>
    <row r="1146" ht="13" customHeight="1" s="189"/>
    <row r="1147" ht="13" customHeight="1" s="189"/>
    <row r="1148" ht="13" customHeight="1" s="189"/>
    <row r="1149" ht="13" customHeight="1" s="189"/>
    <row r="1150" ht="13" customHeight="1" s="189"/>
    <row r="1151" ht="13" customHeight="1" s="189"/>
    <row r="1152" ht="13" customHeight="1" s="189"/>
    <row r="1153" ht="13" customHeight="1" s="189"/>
    <row r="1154" ht="13" customHeight="1" s="189"/>
    <row r="1155" ht="13" customHeight="1" s="189"/>
    <row r="1156" ht="13" customHeight="1" s="189"/>
    <row r="1157" ht="13" customHeight="1" s="189"/>
    <row r="1158" ht="13" customHeight="1" s="189"/>
    <row r="1159" ht="13" customHeight="1" s="189"/>
    <row r="1160" ht="13" customHeight="1" s="189"/>
    <row r="1161" ht="13" customHeight="1" s="189"/>
    <row r="1162" ht="13" customHeight="1" s="189"/>
    <row r="1163" ht="13" customHeight="1" s="189"/>
    <row r="1164" ht="13" customHeight="1" s="189"/>
    <row r="1165" ht="13" customHeight="1" s="189"/>
    <row r="1166" ht="13" customHeight="1" s="189"/>
    <row r="1167" ht="13" customHeight="1" s="189"/>
    <row r="1168" ht="13" customHeight="1" s="189"/>
    <row r="1169" ht="13" customHeight="1" s="189"/>
    <row r="1170" ht="13" customHeight="1" s="189"/>
    <row r="1171" ht="13" customHeight="1" s="189"/>
    <row r="1172" ht="13" customHeight="1" s="189"/>
    <row r="1173" ht="13" customHeight="1" s="189"/>
    <row r="1174" ht="13" customHeight="1" s="189"/>
    <row r="1175" ht="13" customHeight="1" s="189"/>
    <row r="1176" ht="13" customHeight="1" s="189"/>
    <row r="1177" ht="13" customHeight="1" s="189"/>
    <row r="1178" ht="13" customHeight="1" s="189"/>
    <row r="1179" ht="13" customHeight="1" s="189"/>
    <row r="1180" ht="13" customHeight="1" s="189"/>
    <row r="1181" ht="13" customHeight="1" s="189"/>
    <row r="1182" ht="13" customHeight="1" s="189"/>
  </sheetData>
  <mergeCells count="9">
    <mergeCell ref="E4:F4"/>
    <mergeCell ref="B2:C2"/>
    <mergeCell ref="E2:F2"/>
    <mergeCell ref="B3:C3"/>
    <mergeCell ref="A1:F1"/>
    <mergeCell ref="A5:F5"/>
    <mergeCell ref="A6:F6"/>
    <mergeCell ref="B4:C4"/>
    <mergeCell ref="E3:F3"/>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29.xml><?xml version="1.0" encoding="utf-8"?>
<worksheet xmlns="http://schemas.openxmlformats.org/spreadsheetml/2006/main">
  <sheetPr filterMode="0">
    <outlinePr summaryBelow="1" summaryRight="1"/>
    <pageSetUpPr fitToPage="0"/>
  </sheetPr>
  <dimension ref="A1:H1032"/>
  <sheetViews>
    <sheetView showFormulas="0" showGridLines="1" showRowColHeaders="1" showZeros="1" rightToLeft="0" tabSelected="0" showOutlineSymbols="1" defaultGridColor="1" view="normal" topLeftCell="A22" colorId="64" zoomScale="100" zoomScaleNormal="100" zoomScalePageLayoutView="100" workbookViewId="0">
      <selection pane="topLeft" activeCell="G32" activeCellId="0" sqref="G32:H32"/>
    </sheetView>
  </sheetViews>
  <sheetFormatPr baseColWidth="8" defaultColWidth="9.0546875" defaultRowHeight="12.5" zeroHeight="0" outlineLevelRow="0"/>
  <cols>
    <col width="14.17" customWidth="1" style="287" min="1" max="1"/>
    <col width="22.17" customWidth="1" style="188" min="2" max="2"/>
    <col width="9.99" customWidth="1" style="188" min="3" max="3"/>
    <col width="14.53" customWidth="1" style="188" min="4" max="4"/>
    <col width="7.26" customWidth="1" style="293" min="5" max="5"/>
    <col width="24.44" customWidth="1" style="188" min="6" max="6"/>
    <col width="9.44" customWidth="1" style="188" min="7" max="7"/>
    <col width="26.81" customWidth="1" style="188" min="8" max="8"/>
  </cols>
  <sheetData>
    <row r="1" ht="15.5" customHeight="1" s="189">
      <c r="A1" s="243" t="inlineStr">
        <is>
          <t>Project Quality Metrics</t>
        </is>
      </c>
      <c r="B1" s="213" t="n"/>
      <c r="C1" s="213" t="n"/>
      <c r="D1" s="213" t="n"/>
      <c r="E1" s="213" t="n"/>
      <c r="F1" s="213" t="n"/>
      <c r="G1" s="213" t="n"/>
      <c r="H1" s="214" t="n"/>
    </row>
    <row r="2" ht="13" customHeight="1" s="189">
      <c r="A2" s="266" t="inlineStr">
        <is>
          <t>Project</t>
        </is>
      </c>
      <c r="B2" s="208">
        <f>Data!B1</f>
        <v/>
      </c>
      <c r="C2" s="214" t="n"/>
      <c r="D2" s="266" t="inlineStr">
        <is>
          <t>Project #</t>
        </is>
      </c>
      <c r="E2" s="208">
        <f>Data!B2</f>
        <v/>
      </c>
      <c r="F2" s="213" t="n"/>
      <c r="G2" s="213" t="n"/>
      <c r="H2" s="214" t="n"/>
    </row>
    <row r="3" ht="13" customHeight="1" s="189">
      <c r="A3" s="266" t="inlineStr">
        <is>
          <t>Project Manager</t>
        </is>
      </c>
      <c r="B3" s="208">
        <f>Data!B3</f>
        <v/>
      </c>
      <c r="C3" s="214" t="n"/>
      <c r="D3" s="266" t="inlineStr">
        <is>
          <t>Sponsor</t>
        </is>
      </c>
      <c r="E3" s="208">
        <f>Data!B4</f>
        <v/>
      </c>
      <c r="F3" s="213" t="n"/>
      <c r="G3" s="213" t="n"/>
      <c r="H3" s="214" t="n"/>
    </row>
    <row r="4" ht="13" customHeight="1" s="189">
      <c r="A4" s="266" t="inlineStr">
        <is>
          <t>Project Artifacts</t>
        </is>
      </c>
      <c r="B4" s="208">
        <f>Data!B5</f>
        <v/>
      </c>
      <c r="C4" s="214" t="n"/>
      <c r="D4" s="266" t="inlineStr">
        <is>
          <t>Updated</t>
        </is>
      </c>
      <c r="E4" s="208">
        <f>Data!B6</f>
        <v/>
      </c>
      <c r="F4" s="213" t="n"/>
      <c r="G4" s="213" t="n"/>
      <c r="H4" s="214" t="n"/>
    </row>
    <row r="5" ht="12.5" customHeight="1" s="189">
      <c r="A5" s="288" t="n"/>
      <c r="B5" s="213" t="n"/>
      <c r="C5" s="213" t="n"/>
      <c r="D5" s="213" t="n"/>
      <c r="E5" s="213" t="n"/>
      <c r="F5" s="213" t="n"/>
      <c r="G5" s="213" t="n"/>
      <c r="H5" s="214" t="n"/>
    </row>
    <row r="6" ht="61.5" customHeight="1" s="189">
      <c r="A6" s="281" t="inlineStr">
        <is>
          <t>ID</t>
        </is>
      </c>
      <c r="B6" s="281" t="inlineStr">
        <is>
          <t>Critical Success Criteria</t>
        </is>
      </c>
      <c r="C6" s="281" t="inlineStr">
        <is>
          <t>Potential Quality Metric</t>
        </is>
      </c>
      <c r="D6" s="214" t="n"/>
      <c r="E6" s="281" t="inlineStr">
        <is>
          <t>Priority</t>
        </is>
      </c>
      <c r="F6" s="281" t="inlineStr">
        <is>
          <t>Metric Target</t>
        </is>
      </c>
      <c r="G6" s="281" t="inlineStr">
        <is>
          <t>Action Plan</t>
        </is>
      </c>
      <c r="H6" s="214" t="n"/>
    </row>
    <row r="7" ht="21.75" customHeight="1" s="189">
      <c r="A7" s="272" t="n"/>
      <c r="B7" s="199" t="n"/>
      <c r="C7" s="199" t="n"/>
      <c r="D7" s="214" t="n"/>
      <c r="E7" s="285" t="n"/>
      <c r="F7" s="285" t="n"/>
      <c r="G7" s="285" t="n"/>
      <c r="H7" s="214" t="n"/>
    </row>
    <row r="8" ht="21.75" customHeight="1" s="189">
      <c r="A8" s="272" t="n"/>
      <c r="B8" s="199" t="n"/>
      <c r="C8" s="199" t="n"/>
      <c r="D8" s="214" t="n"/>
      <c r="E8" s="285" t="n"/>
      <c r="F8" s="285" t="n"/>
      <c r="G8" s="285" t="n"/>
      <c r="H8" s="214" t="n"/>
    </row>
    <row r="9" ht="21.75" customHeight="1" s="189">
      <c r="A9" s="272" t="n"/>
      <c r="B9" s="199" t="n"/>
      <c r="C9" s="199" t="n"/>
      <c r="D9" s="214" t="n"/>
      <c r="E9" s="285" t="n"/>
      <c r="F9" s="285" t="n"/>
      <c r="G9" s="285" t="n"/>
      <c r="H9" s="214" t="n"/>
    </row>
    <row r="10" ht="21.75" customHeight="1" s="189">
      <c r="A10" s="272" t="n"/>
      <c r="B10" s="199" t="n"/>
      <c r="C10" s="199" t="n"/>
      <c r="D10" s="214" t="n"/>
      <c r="E10" s="285" t="n"/>
      <c r="F10" s="285" t="n"/>
      <c r="G10" s="285" t="n"/>
      <c r="H10" s="214" t="n"/>
    </row>
    <row r="11" ht="21.75" customHeight="1" s="189">
      <c r="A11" s="272" t="n"/>
      <c r="B11" s="199" t="n"/>
      <c r="C11" s="199" t="n"/>
      <c r="D11" s="214" t="n"/>
      <c r="E11" s="285" t="n"/>
      <c r="F11" s="285" t="n"/>
      <c r="G11" s="285" t="n"/>
      <c r="H11" s="214" t="n"/>
    </row>
    <row r="12" ht="21.75" customHeight="1" s="189">
      <c r="A12" s="272" t="n"/>
      <c r="B12" s="199" t="n"/>
      <c r="C12" s="199" t="n"/>
      <c r="D12" s="214" t="n"/>
      <c r="E12" s="285" t="n"/>
      <c r="F12" s="285" t="n"/>
      <c r="G12" s="285" t="n"/>
      <c r="H12" s="214" t="n"/>
    </row>
    <row r="13" ht="21.75" customHeight="1" s="189">
      <c r="A13" s="272" t="n"/>
      <c r="B13" s="199" t="n"/>
      <c r="C13" s="199" t="n"/>
      <c r="D13" s="214" t="n"/>
      <c r="E13" s="285" t="n"/>
      <c r="F13" s="285" t="n"/>
      <c r="G13" s="285" t="n"/>
      <c r="H13" s="214" t="n"/>
    </row>
    <row r="14" ht="21.75" customHeight="1" s="189">
      <c r="A14" s="272" t="n"/>
      <c r="B14" s="199" t="n"/>
      <c r="C14" s="199" t="n"/>
      <c r="D14" s="214" t="n"/>
      <c r="E14" s="285" t="n"/>
      <c r="F14" s="285" t="n"/>
      <c r="G14" s="285" t="n"/>
      <c r="H14" s="214" t="n"/>
    </row>
    <row r="15" ht="21.75" customHeight="1" s="189">
      <c r="A15" s="272" t="n"/>
      <c r="B15" s="199" t="n"/>
      <c r="C15" s="199" t="n"/>
      <c r="D15" s="214" t="n"/>
      <c r="E15" s="285" t="n"/>
      <c r="F15" s="285" t="n"/>
      <c r="G15" s="285" t="n"/>
      <c r="H15" s="214" t="n"/>
    </row>
    <row r="16" ht="21.75" customHeight="1" s="189">
      <c r="A16" s="272" t="n"/>
      <c r="B16" s="199" t="n"/>
      <c r="C16" s="199" t="n"/>
      <c r="D16" s="214" t="n"/>
      <c r="E16" s="285" t="n"/>
      <c r="F16" s="285" t="n"/>
      <c r="G16" s="285" t="n"/>
      <c r="H16" s="214" t="n"/>
    </row>
    <row r="17" ht="21.75" customHeight="1" s="189">
      <c r="A17" s="272" t="n"/>
      <c r="B17" s="199" t="n"/>
      <c r="C17" s="199" t="n"/>
      <c r="D17" s="214" t="n"/>
      <c r="E17" s="285" t="n"/>
      <c r="F17" s="285" t="n"/>
      <c r="G17" s="285" t="n"/>
      <c r="H17" s="214" t="n"/>
    </row>
    <row r="18" ht="21.75" customHeight="1" s="189">
      <c r="A18" s="272" t="n"/>
      <c r="B18" s="199" t="n"/>
      <c r="C18" s="199" t="n"/>
      <c r="D18" s="214" t="n"/>
      <c r="E18" s="285" t="n"/>
      <c r="F18" s="285" t="n"/>
      <c r="G18" s="285" t="n"/>
      <c r="H18" s="214" t="n"/>
    </row>
    <row r="19" ht="21.75" customHeight="1" s="189">
      <c r="A19" s="272" t="n"/>
      <c r="B19" s="199" t="n"/>
      <c r="C19" s="199" t="n"/>
      <c r="D19" s="214" t="n"/>
      <c r="E19" s="285" t="n"/>
      <c r="F19" s="285" t="n"/>
      <c r="G19" s="285" t="n"/>
      <c r="H19" s="214" t="n"/>
    </row>
    <row r="20" ht="21.75" customHeight="1" s="189">
      <c r="A20" s="272" t="n"/>
      <c r="B20" s="199" t="n"/>
      <c r="C20" s="199" t="n"/>
      <c r="D20" s="214" t="n"/>
      <c r="E20" s="285" t="n"/>
      <c r="F20" s="285" t="n"/>
      <c r="G20" s="285" t="n"/>
      <c r="H20" s="214" t="n"/>
    </row>
    <row r="21" ht="21.75" customHeight="1" s="189">
      <c r="A21" s="272" t="n"/>
      <c r="B21" s="199" t="n"/>
      <c r="C21" s="199" t="n"/>
      <c r="D21" s="214" t="n"/>
      <c r="E21" s="285" t="n"/>
      <c r="F21" s="285" t="n"/>
      <c r="G21" s="285" t="n"/>
      <c r="H21" s="214" t="n"/>
    </row>
    <row r="22" ht="21.75" customHeight="1" s="189">
      <c r="A22" s="272" t="n"/>
      <c r="B22" s="199" t="n"/>
      <c r="C22" s="199" t="n"/>
      <c r="D22" s="214" t="n"/>
      <c r="E22" s="285" t="n"/>
      <c r="F22" s="285" t="n"/>
      <c r="G22" s="285" t="n"/>
      <c r="H22" s="214" t="n"/>
    </row>
    <row r="23" ht="21.75" customHeight="1" s="189">
      <c r="A23" s="272" t="n"/>
      <c r="B23" s="199" t="n"/>
      <c r="C23" s="199" t="n"/>
      <c r="D23" s="214" t="n"/>
      <c r="E23" s="285" t="n"/>
      <c r="F23" s="285" t="n"/>
      <c r="G23" s="285" t="n"/>
      <c r="H23" s="214" t="n"/>
    </row>
    <row r="24" ht="21.75" customHeight="1" s="189">
      <c r="A24" s="272" t="n"/>
      <c r="B24" s="199" t="n"/>
      <c r="C24" s="199" t="n"/>
      <c r="D24" s="214" t="n"/>
      <c r="E24" s="285" t="n"/>
      <c r="F24" s="285" t="n"/>
      <c r="G24" s="285" t="n"/>
      <c r="H24" s="214" t="n"/>
    </row>
    <row r="25" ht="21.75" customHeight="1" s="189">
      <c r="A25" s="272" t="n"/>
      <c r="B25" s="199" t="n"/>
      <c r="C25" s="199" t="n"/>
      <c r="D25" s="214" t="n"/>
      <c r="E25" s="285" t="n"/>
      <c r="F25" s="285" t="n"/>
      <c r="G25" s="285" t="n"/>
      <c r="H25" s="214" t="n"/>
    </row>
    <row r="26" ht="21.75" customHeight="1" s="189">
      <c r="A26" s="272" t="n"/>
      <c r="B26" s="199" t="n"/>
      <c r="C26" s="199" t="n"/>
      <c r="D26" s="214" t="n"/>
      <c r="E26" s="285" t="n"/>
      <c r="F26" s="285" t="n"/>
      <c r="G26" s="285" t="n"/>
      <c r="H26" s="214" t="n"/>
    </row>
    <row r="27" ht="21.75" customHeight="1" s="189">
      <c r="A27" s="272" t="n"/>
      <c r="B27" s="199" t="n"/>
      <c r="C27" s="199" t="n"/>
      <c r="D27" s="214" t="n"/>
      <c r="E27" s="285" t="n"/>
      <c r="F27" s="285" t="n"/>
      <c r="G27" s="285" t="n"/>
      <c r="H27" s="214" t="n"/>
    </row>
    <row r="28" ht="21.75" customHeight="1" s="189">
      <c r="A28" s="272" t="n"/>
      <c r="B28" s="199" t="n"/>
      <c r="C28" s="199" t="n"/>
      <c r="D28" s="214" t="n"/>
      <c r="E28" s="285" t="n"/>
      <c r="F28" s="285" t="n"/>
      <c r="G28" s="285" t="n"/>
      <c r="H28" s="214" t="n"/>
    </row>
    <row r="29" ht="21.75" customHeight="1" s="189">
      <c r="A29" s="272" t="n"/>
      <c r="B29" s="199" t="n"/>
      <c r="C29" s="199" t="n"/>
      <c r="D29" s="214" t="n"/>
      <c r="E29" s="285" t="n"/>
      <c r="F29" s="285" t="n"/>
      <c r="G29" s="285" t="n"/>
      <c r="H29" s="214" t="n"/>
    </row>
    <row r="30" ht="21.75" customHeight="1" s="189">
      <c r="A30" s="272" t="n"/>
      <c r="B30" s="199" t="n"/>
      <c r="C30" s="199" t="n"/>
      <c r="D30" s="214" t="n"/>
      <c r="E30" s="285" t="n"/>
      <c r="F30" s="285" t="n"/>
      <c r="G30" s="285" t="n"/>
      <c r="H30" s="214" t="n"/>
    </row>
    <row r="31" ht="21.75" customHeight="1" s="189">
      <c r="A31" s="289" t="n"/>
      <c r="B31" s="290" t="n"/>
      <c r="C31" s="290" t="n"/>
      <c r="E31" s="291" t="n"/>
      <c r="F31" s="291" t="n"/>
      <c r="G31" s="291" t="n"/>
    </row>
    <row r="32" ht="13" customHeight="1" s="189">
      <c r="A32" s="289" t="n"/>
      <c r="B32" s="290" t="n"/>
      <c r="C32" s="290" t="n"/>
      <c r="E32" s="291" t="n"/>
      <c r="F32" s="291" t="n"/>
      <c r="G32" s="342" t="inlineStr">
        <is>
          <t>© Global Knowledge Training LLC</t>
        </is>
      </c>
    </row>
    <row r="33" ht="21.75" customHeight="1" s="189">
      <c r="A33" s="289" t="n"/>
      <c r="B33" s="290" t="n"/>
      <c r="C33" s="290" t="n"/>
      <c r="E33" s="291" t="n"/>
      <c r="F33" s="291" t="n"/>
      <c r="G33" s="291" t="n"/>
    </row>
    <row r="34" ht="21.75" customHeight="1" s="189">
      <c r="A34" s="289" t="n"/>
      <c r="B34" s="290" t="n"/>
      <c r="C34" s="290" t="n"/>
      <c r="E34" s="291" t="n"/>
      <c r="F34" s="291" t="n"/>
      <c r="G34" s="291" t="n"/>
    </row>
    <row r="35" ht="13" customHeight="1" s="189">
      <c r="A35" s="289" t="n"/>
      <c r="B35" s="290" t="n"/>
      <c r="C35" s="290" t="n"/>
      <c r="D35" s="290" t="n"/>
      <c r="E35" s="291" t="n"/>
      <c r="F35" s="291" t="n"/>
      <c r="G35" s="291" t="n"/>
      <c r="H35" s="297" t="n"/>
    </row>
    <row r="36" ht="13" customHeight="1" s="189">
      <c r="A36" s="289" t="n"/>
      <c r="B36" s="290" t="n"/>
      <c r="C36" s="290" t="n"/>
      <c r="D36" s="290" t="n"/>
      <c r="E36" s="291" t="n"/>
      <c r="F36" s="291" t="n"/>
      <c r="G36" s="291" t="n"/>
      <c r="H36" s="297" t="n"/>
    </row>
    <row r="37" ht="13" customHeight="1" s="189">
      <c r="A37" s="289" t="n"/>
      <c r="B37" s="290" t="n"/>
      <c r="C37" s="290" t="n"/>
      <c r="D37" s="290" t="n"/>
      <c r="E37" s="291" t="n"/>
      <c r="F37" s="291" t="n"/>
      <c r="G37" s="291" t="n"/>
      <c r="H37" s="297" t="n"/>
    </row>
    <row r="38" ht="13" customHeight="1" s="189">
      <c r="A38" s="289" t="n"/>
      <c r="B38" s="290" t="n"/>
      <c r="C38" s="290" t="n"/>
      <c r="D38" s="290" t="n"/>
      <c r="E38" s="291" t="n"/>
      <c r="F38" s="291" t="n"/>
      <c r="G38" s="291" t="n"/>
      <c r="H38" s="297" t="n"/>
    </row>
    <row r="39" ht="13" customHeight="1" s="189">
      <c r="A39" s="289" t="n"/>
      <c r="B39" s="290" t="n"/>
      <c r="C39" s="290" t="n"/>
      <c r="D39" s="290" t="n"/>
      <c r="E39" s="291" t="n"/>
      <c r="F39" s="291" t="n"/>
      <c r="G39" s="291" t="n"/>
      <c r="H39" s="297" t="n"/>
    </row>
    <row r="40" ht="13" customHeight="1" s="189">
      <c r="A40" s="289" t="n"/>
      <c r="B40" s="290" t="n"/>
      <c r="C40" s="290" t="n"/>
      <c r="D40" s="290" t="n"/>
      <c r="E40" s="291" t="n"/>
      <c r="F40" s="291" t="n"/>
      <c r="G40" s="291" t="n"/>
      <c r="H40" s="297" t="n"/>
    </row>
    <row r="41" ht="13" customHeight="1" s="189">
      <c r="A41" s="289" t="n"/>
      <c r="B41" s="290" t="n"/>
      <c r="C41" s="290" t="n"/>
      <c r="D41" s="290" t="n"/>
      <c r="E41" s="291" t="n"/>
      <c r="F41" s="291" t="n"/>
      <c r="G41" s="291" t="n"/>
      <c r="H41" s="297" t="n"/>
    </row>
    <row r="42" ht="13" customHeight="1" s="189">
      <c r="A42" s="289" t="n"/>
      <c r="B42" s="290" t="n"/>
      <c r="C42" s="290" t="n"/>
      <c r="D42" s="290" t="n"/>
      <c r="E42" s="291" t="n"/>
      <c r="F42" s="291" t="n"/>
      <c r="G42" s="291" t="n"/>
      <c r="H42" s="297" t="n"/>
    </row>
    <row r="43" ht="13" customHeight="1" s="189">
      <c r="A43" s="289" t="n"/>
      <c r="B43" s="290" t="n"/>
      <c r="C43" s="290" t="n"/>
      <c r="D43" s="290" t="n"/>
      <c r="E43" s="291" t="n"/>
      <c r="F43" s="291" t="n"/>
      <c r="G43" s="291" t="n"/>
      <c r="H43" s="297" t="n"/>
    </row>
    <row r="44" ht="13" customHeight="1" s="189">
      <c r="A44" s="289" t="n"/>
      <c r="B44" s="290" t="n"/>
      <c r="C44" s="290" t="n"/>
      <c r="D44" s="290" t="n"/>
      <c r="E44" s="291" t="n"/>
      <c r="F44" s="291" t="n"/>
      <c r="G44" s="291" t="n"/>
      <c r="H44" s="297" t="n"/>
    </row>
    <row r="45" ht="13" customHeight="1" s="189">
      <c r="A45" s="289" t="n"/>
      <c r="B45" s="290" t="n"/>
      <c r="C45" s="290" t="n"/>
      <c r="D45" s="290" t="n"/>
      <c r="E45" s="291" t="n"/>
      <c r="F45" s="291" t="n"/>
      <c r="G45" s="291" t="n"/>
      <c r="H45" s="297" t="n"/>
    </row>
    <row r="46" ht="13" customHeight="1" s="189">
      <c r="A46" s="289" t="n"/>
      <c r="B46" s="290" t="n"/>
      <c r="C46" s="290" t="n"/>
      <c r="D46" s="290" t="n"/>
      <c r="E46" s="291" t="n"/>
      <c r="F46" s="291" t="n"/>
      <c r="G46" s="291" t="n"/>
      <c r="H46" s="297" t="n"/>
    </row>
    <row r="47" ht="13" customHeight="1" s="189">
      <c r="A47" s="289" t="n"/>
      <c r="B47" s="290" t="n"/>
      <c r="C47" s="290" t="n"/>
      <c r="D47" s="290" t="n"/>
      <c r="E47" s="291" t="n"/>
      <c r="F47" s="291" t="n"/>
      <c r="G47" s="291" t="n"/>
      <c r="H47" s="297" t="n"/>
    </row>
    <row r="48" ht="13" customHeight="1" s="189">
      <c r="A48" s="289" t="n"/>
      <c r="B48" s="290" t="n"/>
      <c r="C48" s="290" t="n"/>
      <c r="D48" s="290" t="n"/>
      <c r="E48" s="291" t="n"/>
      <c r="F48" s="291" t="n"/>
      <c r="G48" s="291" t="n"/>
      <c r="H48" s="297" t="n"/>
    </row>
    <row r="49" ht="13" customHeight="1" s="189">
      <c r="A49" s="289" t="n"/>
      <c r="B49" s="290" t="n"/>
      <c r="C49" s="290" t="n"/>
      <c r="D49" s="290" t="n"/>
      <c r="E49" s="291" t="n"/>
      <c r="F49" s="291" t="n"/>
      <c r="G49" s="291" t="n"/>
      <c r="H49" s="297" t="n"/>
    </row>
    <row r="50" ht="13" customHeight="1" s="189">
      <c r="A50" s="289" t="n"/>
      <c r="B50" s="290" t="n"/>
      <c r="C50" s="290" t="n"/>
      <c r="D50" s="290" t="n"/>
      <c r="E50" s="291" t="n"/>
      <c r="F50" s="291" t="n"/>
      <c r="G50" s="291" t="n"/>
      <c r="H50" s="297" t="n"/>
    </row>
    <row r="51" ht="13" customHeight="1" s="189">
      <c r="A51" s="289" t="n"/>
      <c r="B51" s="290" t="n"/>
      <c r="C51" s="290" t="n"/>
      <c r="D51" s="290" t="n"/>
      <c r="E51" s="291" t="n"/>
      <c r="F51" s="291" t="n"/>
      <c r="G51" s="291" t="n"/>
      <c r="H51" s="297" t="n"/>
    </row>
    <row r="52" ht="13" customHeight="1" s="189">
      <c r="A52" s="289" t="n"/>
      <c r="B52" s="290" t="n"/>
      <c r="C52" s="290" t="n"/>
      <c r="D52" s="290" t="n"/>
      <c r="E52" s="291" t="n"/>
      <c r="F52" s="291" t="n"/>
      <c r="G52" s="291" t="n"/>
      <c r="H52" s="297" t="n"/>
    </row>
    <row r="53" ht="13" customHeight="1" s="189">
      <c r="A53" s="289" t="n"/>
      <c r="B53" s="290" t="n"/>
      <c r="C53" s="290" t="n"/>
      <c r="D53" s="290" t="n"/>
      <c r="E53" s="291" t="n"/>
      <c r="F53" s="291" t="n"/>
      <c r="G53" s="291" t="n"/>
      <c r="H53" s="297" t="n"/>
    </row>
    <row r="54" ht="13" customHeight="1" s="189">
      <c r="A54" s="289" t="n"/>
      <c r="B54" s="290" t="n"/>
      <c r="C54" s="290" t="n"/>
      <c r="D54" s="290" t="n"/>
      <c r="E54" s="291" t="n"/>
      <c r="F54" s="291" t="n"/>
      <c r="G54" s="291" t="n"/>
      <c r="H54" s="297" t="n"/>
    </row>
    <row r="55" ht="13" customHeight="1" s="189">
      <c r="A55" s="289" t="n"/>
      <c r="B55" s="290" t="n"/>
      <c r="C55" s="290" t="n"/>
      <c r="D55" s="290" t="n"/>
      <c r="E55" s="291" t="n"/>
      <c r="F55" s="291" t="n"/>
      <c r="G55" s="291" t="n"/>
      <c r="H55" s="297" t="n"/>
    </row>
    <row r="56" ht="13" customHeight="1" s="189">
      <c r="A56" s="289" t="n"/>
      <c r="B56" s="290" t="n"/>
      <c r="C56" s="290" t="n"/>
      <c r="D56" s="290" t="n"/>
      <c r="E56" s="291" t="n"/>
      <c r="F56" s="291" t="n"/>
      <c r="G56" s="291" t="n"/>
      <c r="H56" s="297" t="n"/>
    </row>
    <row r="57" ht="13" customHeight="1" s="189">
      <c r="A57" s="289" t="n"/>
      <c r="B57" s="290" t="n"/>
      <c r="C57" s="290" t="n"/>
      <c r="D57" s="290" t="n"/>
      <c r="E57" s="291" t="n"/>
      <c r="F57" s="291" t="n"/>
      <c r="G57" s="291" t="n"/>
      <c r="H57" s="297" t="n"/>
    </row>
    <row r="58" ht="13" customHeight="1" s="189">
      <c r="A58" s="289" t="n"/>
      <c r="B58" s="290" t="n"/>
      <c r="C58" s="290" t="n"/>
      <c r="D58" s="290" t="n"/>
      <c r="E58" s="291" t="n"/>
      <c r="F58" s="291" t="n"/>
      <c r="G58" s="291" t="n"/>
      <c r="H58" s="297" t="n"/>
    </row>
    <row r="59" ht="13" customHeight="1" s="189">
      <c r="A59" s="289" t="n"/>
      <c r="B59" s="290" t="n"/>
      <c r="C59" s="290" t="n"/>
      <c r="D59" s="290" t="n"/>
      <c r="E59" s="291" t="n"/>
      <c r="F59" s="291" t="n"/>
      <c r="G59" s="291" t="n"/>
      <c r="H59" s="297" t="n"/>
    </row>
    <row r="60" ht="13" customHeight="1" s="189">
      <c r="A60" s="289" t="n"/>
      <c r="B60" s="290" t="n"/>
      <c r="C60" s="290" t="n"/>
      <c r="D60" s="290" t="n"/>
      <c r="E60" s="291" t="n"/>
      <c r="F60" s="291" t="n"/>
      <c r="G60" s="291" t="n"/>
      <c r="H60" s="297" t="n"/>
    </row>
    <row r="61" ht="13" customHeight="1" s="189">
      <c r="A61" s="289" t="n"/>
      <c r="B61" s="290" t="n"/>
      <c r="C61" s="290" t="n"/>
      <c r="D61" s="290" t="n"/>
      <c r="E61" s="291" t="n"/>
      <c r="F61" s="291" t="n"/>
      <c r="G61" s="291" t="n"/>
      <c r="H61" s="297" t="n"/>
    </row>
    <row r="62" ht="13" customHeight="1" s="189">
      <c r="A62" s="289" t="n"/>
      <c r="B62" s="290" t="n"/>
      <c r="C62" s="290" t="n"/>
      <c r="D62" s="290" t="n"/>
      <c r="E62" s="291" t="n"/>
      <c r="F62" s="291" t="n"/>
      <c r="G62" s="291" t="n"/>
      <c r="H62" s="297" t="n"/>
    </row>
    <row r="63" ht="13" customHeight="1" s="189">
      <c r="A63" s="289" t="n"/>
      <c r="B63" s="290" t="n"/>
      <c r="C63" s="290" t="n"/>
      <c r="D63" s="290" t="n"/>
      <c r="E63" s="291" t="n"/>
      <c r="F63" s="291" t="n"/>
      <c r="G63" s="291" t="n"/>
      <c r="H63" s="297" t="n"/>
    </row>
    <row r="64" ht="13" customHeight="1" s="189">
      <c r="A64" s="289" t="n"/>
      <c r="B64" s="290" t="n"/>
      <c r="C64" s="290" t="n"/>
      <c r="D64" s="290" t="n"/>
      <c r="E64" s="291" t="n"/>
      <c r="F64" s="291" t="n"/>
      <c r="G64" s="291" t="n"/>
      <c r="H64" s="297" t="n"/>
    </row>
    <row r="65" ht="13" customHeight="1" s="189">
      <c r="A65" s="289" t="n"/>
      <c r="B65" s="290" t="n"/>
      <c r="C65" s="290" t="n"/>
      <c r="D65" s="290" t="n"/>
      <c r="E65" s="291" t="n"/>
      <c r="F65" s="291" t="n"/>
      <c r="G65" s="291" t="n"/>
      <c r="H65" s="297" t="n"/>
    </row>
    <row r="66" ht="13" customHeight="1" s="189">
      <c r="A66" s="289" t="n"/>
      <c r="B66" s="290" t="n"/>
      <c r="C66" s="290" t="n"/>
      <c r="D66" s="290" t="n"/>
      <c r="E66" s="291" t="n"/>
      <c r="F66" s="291" t="n"/>
      <c r="G66" s="291" t="n"/>
      <c r="H66" s="297" t="n"/>
    </row>
    <row r="67" ht="13" customHeight="1" s="189">
      <c r="A67" s="289" t="n"/>
      <c r="B67" s="290" t="n"/>
      <c r="C67" s="290" t="n"/>
      <c r="D67" s="290" t="n"/>
      <c r="E67" s="291" t="n"/>
      <c r="F67" s="291" t="n"/>
      <c r="G67" s="291" t="n"/>
      <c r="H67" s="297" t="n"/>
    </row>
    <row r="68" ht="13" customHeight="1" s="189">
      <c r="A68" s="289" t="n"/>
      <c r="B68" s="290" t="n"/>
      <c r="C68" s="290" t="n"/>
      <c r="D68" s="290" t="n"/>
      <c r="E68" s="291" t="n"/>
      <c r="F68" s="291" t="n"/>
      <c r="G68" s="291" t="n"/>
      <c r="H68" s="297" t="n"/>
    </row>
    <row r="69" ht="13" customHeight="1" s="189">
      <c r="A69" s="289" t="n"/>
      <c r="B69" s="290" t="n"/>
      <c r="C69" s="290" t="n"/>
      <c r="D69" s="290" t="n"/>
      <c r="E69" s="291" t="n"/>
      <c r="F69" s="291" t="n"/>
      <c r="G69" s="291" t="n"/>
      <c r="H69" s="297" t="n"/>
    </row>
    <row r="70" ht="13" customHeight="1" s="189">
      <c r="A70" s="289" t="n"/>
      <c r="B70" s="290" t="n"/>
      <c r="C70" s="290" t="n"/>
      <c r="D70" s="290" t="n"/>
      <c r="E70" s="291" t="n"/>
      <c r="F70" s="291" t="n"/>
      <c r="G70" s="291" t="n"/>
      <c r="H70" s="297" t="n"/>
    </row>
    <row r="71" ht="13" customHeight="1" s="189">
      <c r="A71" s="289" t="n"/>
      <c r="B71" s="290" t="n"/>
      <c r="C71" s="290" t="n"/>
      <c r="D71" s="290" t="n"/>
      <c r="E71" s="291" t="n"/>
      <c r="F71" s="291" t="n"/>
      <c r="G71" s="291" t="n"/>
      <c r="H71" s="297" t="n"/>
    </row>
    <row r="72" ht="13" customHeight="1" s="189">
      <c r="A72" s="289" t="n"/>
      <c r="B72" s="290" t="n"/>
      <c r="C72" s="290" t="n"/>
      <c r="D72" s="290" t="n"/>
      <c r="E72" s="291" t="n"/>
      <c r="F72" s="291" t="n"/>
      <c r="G72" s="291" t="n"/>
      <c r="H72" s="297" t="n"/>
    </row>
    <row r="73" ht="13" customHeight="1" s="189">
      <c r="A73" s="289" t="n"/>
      <c r="B73" s="290" t="n"/>
      <c r="C73" s="290" t="n"/>
      <c r="D73" s="290" t="n"/>
      <c r="E73" s="291" t="n"/>
      <c r="F73" s="291" t="n"/>
      <c r="G73" s="291" t="n"/>
      <c r="H73" s="297" t="n"/>
    </row>
    <row r="74" ht="13" customHeight="1" s="189">
      <c r="A74" s="289" t="n"/>
      <c r="B74" s="290" t="n"/>
      <c r="C74" s="290" t="n"/>
      <c r="D74" s="290" t="n"/>
      <c r="E74" s="291" t="n"/>
      <c r="F74" s="291" t="n"/>
      <c r="G74" s="291" t="n"/>
      <c r="H74" s="297" t="n"/>
    </row>
    <row r="75" ht="13" customHeight="1" s="189">
      <c r="A75" s="289" t="n"/>
      <c r="B75" s="290" t="n"/>
      <c r="C75" s="290" t="n"/>
      <c r="D75" s="290" t="n"/>
      <c r="E75" s="291" t="n"/>
      <c r="F75" s="291" t="n"/>
      <c r="G75" s="291" t="n"/>
      <c r="H75" s="297" t="n"/>
    </row>
    <row r="76" ht="13" customHeight="1" s="189">
      <c r="A76" s="289" t="n"/>
      <c r="B76" s="290" t="n"/>
      <c r="C76" s="290" t="n"/>
      <c r="D76" s="290" t="n"/>
      <c r="E76" s="291" t="n"/>
      <c r="F76" s="291" t="n"/>
      <c r="G76" s="291" t="n"/>
      <c r="H76" s="297" t="n"/>
    </row>
    <row r="77" ht="13" customHeight="1" s="189">
      <c r="A77" s="289" t="n"/>
      <c r="B77" s="290" t="n"/>
      <c r="C77" s="290" t="n"/>
      <c r="D77" s="290" t="n"/>
      <c r="E77" s="291" t="n"/>
      <c r="F77" s="291" t="n"/>
      <c r="G77" s="291" t="n"/>
      <c r="H77" s="297" t="n"/>
    </row>
    <row r="78" ht="13" customHeight="1" s="189">
      <c r="A78" s="289" t="n"/>
      <c r="B78" s="290" t="n"/>
      <c r="C78" s="290" t="n"/>
      <c r="D78" s="290" t="n"/>
      <c r="E78" s="291" t="n"/>
      <c r="F78" s="291" t="n"/>
      <c r="G78" s="291" t="n"/>
      <c r="H78" s="297" t="n"/>
    </row>
    <row r="79" ht="13" customHeight="1" s="189">
      <c r="A79" s="289" t="n"/>
      <c r="B79" s="290" t="n"/>
      <c r="C79" s="290" t="n"/>
      <c r="D79" s="290" t="n"/>
      <c r="E79" s="291" t="n"/>
      <c r="F79" s="291" t="n"/>
      <c r="G79" s="291" t="n"/>
      <c r="H79" s="297" t="n"/>
    </row>
    <row r="80" ht="13" customHeight="1" s="189">
      <c r="A80" s="289" t="n"/>
      <c r="B80" s="290" t="n"/>
      <c r="C80" s="290" t="n"/>
      <c r="D80" s="290" t="n"/>
      <c r="E80" s="291" t="n"/>
      <c r="F80" s="291" t="n"/>
      <c r="G80" s="291" t="n"/>
      <c r="H80" s="297" t="n"/>
    </row>
    <row r="81" ht="13" customHeight="1" s="189">
      <c r="A81" s="289" t="n"/>
      <c r="B81" s="290" t="n"/>
      <c r="C81" s="290" t="n"/>
      <c r="D81" s="290" t="n"/>
      <c r="E81" s="291" t="n"/>
      <c r="F81" s="291" t="n"/>
      <c r="G81" s="291" t="n"/>
      <c r="H81" s="297" t="n"/>
    </row>
    <row r="82" ht="13" customHeight="1" s="189">
      <c r="A82" s="289" t="n"/>
      <c r="B82" s="290" t="n"/>
      <c r="C82" s="290" t="n"/>
      <c r="D82" s="290" t="n"/>
      <c r="E82" s="291" t="n"/>
      <c r="F82" s="291" t="n"/>
      <c r="G82" s="291" t="n"/>
      <c r="H82" s="297" t="n"/>
    </row>
    <row r="83" ht="13" customHeight="1" s="189">
      <c r="A83" s="289" t="n"/>
      <c r="B83" s="290" t="n"/>
      <c r="C83" s="290" t="n"/>
      <c r="D83" s="290" t="n"/>
      <c r="E83" s="291" t="n"/>
      <c r="F83" s="291" t="n"/>
      <c r="G83" s="291" t="n"/>
      <c r="H83" s="297" t="n"/>
    </row>
    <row r="84" ht="13" customHeight="1" s="189">
      <c r="A84" s="289" t="n"/>
      <c r="B84" s="290" t="n"/>
      <c r="C84" s="290" t="n"/>
      <c r="D84" s="290" t="n"/>
      <c r="E84" s="291" t="n"/>
      <c r="F84" s="291" t="n"/>
      <c r="G84" s="291" t="n"/>
      <c r="H84" s="297" t="n"/>
    </row>
    <row r="85" ht="13" customHeight="1" s="189">
      <c r="A85" s="289" t="n"/>
      <c r="B85" s="290" t="n"/>
      <c r="C85" s="290" t="n"/>
      <c r="D85" s="290" t="n"/>
      <c r="E85" s="291" t="n"/>
      <c r="F85" s="291" t="n"/>
      <c r="G85" s="291" t="n"/>
      <c r="H85" s="297" t="n"/>
    </row>
    <row r="86" ht="13" customHeight="1" s="189">
      <c r="A86" s="289" t="n"/>
      <c r="B86" s="290" t="n"/>
      <c r="C86" s="290" t="n"/>
      <c r="D86" s="290" t="n"/>
      <c r="E86" s="291" t="n"/>
      <c r="F86" s="291" t="n"/>
      <c r="G86" s="291" t="n"/>
      <c r="H86" s="297" t="n"/>
    </row>
    <row r="87" ht="13" customHeight="1" s="189">
      <c r="A87" s="289" t="n"/>
      <c r="B87" s="290" t="n"/>
      <c r="C87" s="290" t="n"/>
      <c r="D87" s="290" t="n"/>
      <c r="E87" s="291" t="n"/>
      <c r="F87" s="291" t="n"/>
      <c r="G87" s="291" t="n"/>
      <c r="H87" s="297" t="n"/>
    </row>
    <row r="88" ht="13" customHeight="1" s="189">
      <c r="A88" s="289" t="n"/>
      <c r="B88" s="290" t="n"/>
      <c r="C88" s="290" t="n"/>
      <c r="D88" s="290" t="n"/>
      <c r="E88" s="291" t="n"/>
      <c r="F88" s="291" t="n"/>
      <c r="G88" s="291" t="n"/>
      <c r="H88" s="297" t="n"/>
    </row>
    <row r="89" ht="13" customHeight="1" s="189">
      <c r="A89" s="289" t="n"/>
      <c r="B89" s="290" t="n"/>
      <c r="C89" s="290" t="n"/>
      <c r="D89" s="290" t="n"/>
      <c r="E89" s="291" t="n"/>
      <c r="F89" s="291" t="n"/>
      <c r="G89" s="291" t="n"/>
      <c r="H89" s="297" t="n"/>
    </row>
    <row r="90" ht="13" customHeight="1" s="189">
      <c r="A90" s="289" t="n"/>
      <c r="B90" s="290" t="n"/>
      <c r="C90" s="290" t="n"/>
      <c r="D90" s="290" t="n"/>
      <c r="E90" s="291" t="n"/>
      <c r="F90" s="291" t="n"/>
      <c r="G90" s="291" t="n"/>
      <c r="H90" s="297" t="n"/>
    </row>
    <row r="91" ht="13" customHeight="1" s="189">
      <c r="A91" s="289" t="n"/>
      <c r="B91" s="290" t="n"/>
      <c r="C91" s="290" t="n"/>
      <c r="D91" s="290" t="n"/>
      <c r="E91" s="291" t="n"/>
      <c r="F91" s="291" t="n"/>
      <c r="G91" s="291" t="n"/>
      <c r="H91" s="297" t="n"/>
    </row>
    <row r="92" ht="13" customHeight="1" s="189">
      <c r="A92" s="289" t="n"/>
      <c r="B92" s="290" t="n"/>
      <c r="C92" s="290" t="n"/>
      <c r="D92" s="290" t="n"/>
      <c r="E92" s="291" t="n"/>
      <c r="F92" s="291" t="n"/>
      <c r="G92" s="291" t="n"/>
      <c r="H92" s="297" t="n"/>
    </row>
    <row r="93" ht="13" customHeight="1" s="189">
      <c r="A93" s="289" t="n"/>
      <c r="B93" s="290" t="n"/>
      <c r="C93" s="290" t="n"/>
      <c r="D93" s="290" t="n"/>
      <c r="E93" s="291" t="n"/>
      <c r="F93" s="291" t="n"/>
      <c r="G93" s="291" t="n"/>
      <c r="H93" s="297" t="n"/>
    </row>
    <row r="94" ht="13" customHeight="1" s="189">
      <c r="A94" s="289" t="n"/>
      <c r="B94" s="290" t="n"/>
      <c r="C94" s="290" t="n"/>
      <c r="D94" s="290" t="n"/>
      <c r="E94" s="291" t="n"/>
      <c r="F94" s="291" t="n"/>
      <c r="G94" s="291" t="n"/>
      <c r="H94" s="297" t="n"/>
    </row>
    <row r="95" ht="13" customHeight="1" s="189">
      <c r="A95" s="289" t="n"/>
      <c r="B95" s="290" t="n"/>
      <c r="C95" s="290" t="n"/>
      <c r="D95" s="290" t="n"/>
      <c r="E95" s="291" t="n"/>
      <c r="F95" s="291" t="n"/>
      <c r="G95" s="291" t="n"/>
      <c r="H95" s="297" t="n"/>
    </row>
    <row r="96" ht="13" customHeight="1" s="189">
      <c r="A96" s="289" t="n"/>
      <c r="B96" s="290" t="n"/>
      <c r="C96" s="290" t="n"/>
      <c r="D96" s="290" t="n"/>
      <c r="E96" s="291" t="n"/>
      <c r="F96" s="291" t="n"/>
      <c r="G96" s="291" t="n"/>
      <c r="H96" s="297" t="n"/>
    </row>
    <row r="97" ht="13" customHeight="1" s="189">
      <c r="A97" s="289" t="n"/>
      <c r="B97" s="290" t="n"/>
      <c r="C97" s="290" t="n"/>
      <c r="D97" s="290" t="n"/>
      <c r="E97" s="291" t="n"/>
      <c r="F97" s="291" t="n"/>
      <c r="G97" s="291" t="n"/>
      <c r="H97" s="297" t="n"/>
    </row>
    <row r="98" ht="13" customHeight="1" s="189">
      <c r="A98" s="289" t="n"/>
      <c r="B98" s="290" t="n"/>
      <c r="C98" s="290" t="n"/>
      <c r="D98" s="290" t="n"/>
      <c r="E98" s="291" t="n"/>
      <c r="F98" s="291" t="n"/>
      <c r="G98" s="291" t="n"/>
      <c r="H98" s="297" t="n"/>
    </row>
    <row r="99" ht="13" customHeight="1" s="189">
      <c r="A99" s="289" t="n"/>
      <c r="B99" s="290" t="n"/>
      <c r="C99" s="290" t="n"/>
      <c r="D99" s="290" t="n"/>
      <c r="E99" s="291" t="n"/>
      <c r="F99" s="291" t="n"/>
      <c r="G99" s="291" t="n"/>
      <c r="H99" s="297" t="n"/>
    </row>
    <row r="100" ht="13" customHeight="1" s="189">
      <c r="A100" s="289" t="n"/>
      <c r="B100" s="290" t="n"/>
      <c r="C100" s="290" t="n"/>
      <c r="D100" s="290" t="n"/>
      <c r="E100" s="291" t="n"/>
      <c r="F100" s="291" t="n"/>
      <c r="G100" s="291" t="n"/>
      <c r="H100" s="297" t="n"/>
    </row>
    <row r="101" ht="13" customHeight="1" s="189">
      <c r="A101" s="289" t="n"/>
      <c r="B101" s="290" t="n"/>
      <c r="C101" s="290" t="n"/>
      <c r="D101" s="290" t="n"/>
      <c r="E101" s="291" t="n"/>
      <c r="F101" s="291" t="n"/>
      <c r="G101" s="291" t="n"/>
      <c r="H101" s="297" t="n"/>
    </row>
    <row r="102" ht="13" customHeight="1" s="189">
      <c r="A102" s="289" t="n"/>
      <c r="B102" s="290" t="n"/>
      <c r="C102" s="290" t="n"/>
      <c r="D102" s="290" t="n"/>
      <c r="E102" s="291" t="n"/>
      <c r="F102" s="291" t="n"/>
      <c r="G102" s="291" t="n"/>
      <c r="H102" s="297" t="n"/>
    </row>
    <row r="103" ht="13" customHeight="1" s="189">
      <c r="A103" s="289" t="n"/>
      <c r="B103" s="290" t="n"/>
      <c r="C103" s="290" t="n"/>
      <c r="D103" s="290" t="n"/>
      <c r="E103" s="291" t="n"/>
      <c r="F103" s="291" t="n"/>
      <c r="G103" s="291" t="n"/>
      <c r="H103" s="297" t="n"/>
    </row>
    <row r="104" ht="13" customHeight="1" s="189">
      <c r="A104" s="289" t="n"/>
      <c r="B104" s="290" t="n"/>
      <c r="C104" s="290" t="n"/>
      <c r="D104" s="290" t="n"/>
      <c r="E104" s="291" t="n"/>
      <c r="F104" s="291" t="n"/>
      <c r="G104" s="291" t="n"/>
      <c r="H104" s="297" t="n"/>
    </row>
    <row r="105" ht="13" customHeight="1" s="189">
      <c r="A105" s="289" t="n"/>
      <c r="B105" s="290" t="n"/>
      <c r="C105" s="290" t="n"/>
      <c r="D105" s="290" t="n"/>
      <c r="E105" s="291" t="n"/>
      <c r="F105" s="291" t="n"/>
      <c r="G105" s="291" t="n"/>
      <c r="H105" s="297" t="n"/>
    </row>
    <row r="106" ht="13" customHeight="1" s="189">
      <c r="A106" s="289" t="n"/>
      <c r="B106" s="290" t="n"/>
      <c r="C106" s="290" t="n"/>
      <c r="D106" s="290" t="n"/>
      <c r="E106" s="291" t="n"/>
      <c r="F106" s="291" t="n"/>
      <c r="G106" s="291" t="n"/>
      <c r="H106" s="297" t="n"/>
    </row>
    <row r="107" ht="13" customHeight="1" s="189">
      <c r="A107" s="289" t="n"/>
      <c r="B107" s="290" t="n"/>
      <c r="C107" s="290" t="n"/>
      <c r="D107" s="290" t="n"/>
      <c r="E107" s="291" t="n"/>
      <c r="F107" s="291" t="n"/>
      <c r="G107" s="291" t="n"/>
      <c r="H107" s="297" t="n"/>
    </row>
    <row r="108" ht="13" customHeight="1" s="189">
      <c r="A108" s="289" t="n"/>
      <c r="B108" s="290" t="n"/>
      <c r="C108" s="290" t="n"/>
      <c r="D108" s="290" t="n"/>
      <c r="E108" s="291" t="n"/>
      <c r="F108" s="291" t="n"/>
      <c r="G108" s="291" t="n"/>
      <c r="H108" s="297" t="n"/>
    </row>
    <row r="109" ht="13" customHeight="1" s="189">
      <c r="A109" s="289" t="n"/>
      <c r="B109" s="290" t="n"/>
      <c r="C109" s="290" t="n"/>
      <c r="D109" s="290" t="n"/>
      <c r="E109" s="291" t="n"/>
      <c r="F109" s="291" t="n"/>
      <c r="G109" s="291" t="n"/>
      <c r="H109" s="297" t="n"/>
    </row>
    <row r="110" ht="13" customHeight="1" s="189">
      <c r="A110" s="289" t="n"/>
      <c r="B110" s="290" t="n"/>
      <c r="C110" s="290" t="n"/>
      <c r="D110" s="290" t="n"/>
      <c r="E110" s="291" t="n"/>
      <c r="F110" s="291" t="n"/>
      <c r="G110" s="291" t="n"/>
      <c r="H110" s="297" t="n"/>
    </row>
    <row r="111" ht="13" customHeight="1" s="189">
      <c r="A111" s="289" t="n"/>
      <c r="B111" s="290" t="n"/>
      <c r="C111" s="290" t="n"/>
      <c r="D111" s="290" t="n"/>
      <c r="E111" s="291" t="n"/>
      <c r="F111" s="291" t="n"/>
      <c r="G111" s="291" t="n"/>
      <c r="H111" s="297" t="n"/>
    </row>
    <row r="112" ht="13" customHeight="1" s="189">
      <c r="A112" s="289" t="n"/>
      <c r="B112" s="290" t="n"/>
      <c r="C112" s="290" t="n"/>
      <c r="D112" s="290" t="n"/>
      <c r="E112" s="291" t="n"/>
      <c r="F112" s="291" t="n"/>
      <c r="G112" s="291" t="n"/>
      <c r="H112" s="297" t="n"/>
    </row>
    <row r="113" ht="13" customHeight="1" s="189">
      <c r="A113" s="289" t="n"/>
      <c r="B113" s="290" t="n"/>
      <c r="C113" s="290" t="n"/>
      <c r="D113" s="290" t="n"/>
      <c r="E113" s="291" t="n"/>
      <c r="F113" s="291" t="n"/>
      <c r="G113" s="291" t="n"/>
      <c r="H113" s="297" t="n"/>
    </row>
    <row r="114" ht="13" customHeight="1" s="189">
      <c r="A114" s="289" t="n"/>
      <c r="B114" s="290" t="n"/>
      <c r="C114" s="290" t="n"/>
      <c r="D114" s="290" t="n"/>
      <c r="E114" s="291" t="n"/>
      <c r="F114" s="291" t="n"/>
      <c r="G114" s="291" t="n"/>
      <c r="H114" s="297" t="n"/>
    </row>
    <row r="115" ht="13" customHeight="1" s="189">
      <c r="A115" s="289" t="n"/>
      <c r="B115" s="290" t="n"/>
      <c r="C115" s="290" t="n"/>
      <c r="D115" s="290" t="n"/>
      <c r="E115" s="291" t="n"/>
      <c r="F115" s="291" t="n"/>
      <c r="G115" s="291" t="n"/>
      <c r="H115" s="297" t="n"/>
    </row>
    <row r="116" ht="13" customHeight="1" s="189">
      <c r="A116" s="289" t="n"/>
      <c r="B116" s="290" t="n"/>
      <c r="C116" s="290" t="n"/>
      <c r="D116" s="290" t="n"/>
      <c r="E116" s="291" t="n"/>
      <c r="F116" s="291" t="n"/>
      <c r="G116" s="291" t="n"/>
      <c r="H116" s="297" t="n"/>
    </row>
    <row r="117" ht="13" customHeight="1" s="189">
      <c r="A117" s="289" t="n"/>
      <c r="B117" s="290" t="n"/>
      <c r="C117" s="290" t="n"/>
      <c r="D117" s="290" t="n"/>
      <c r="E117" s="291" t="n"/>
      <c r="F117" s="291" t="n"/>
      <c r="G117" s="291" t="n"/>
      <c r="H117" s="297" t="n"/>
    </row>
    <row r="118" ht="13" customHeight="1" s="189">
      <c r="A118" s="289" t="n"/>
      <c r="B118" s="290" t="n"/>
      <c r="C118" s="290" t="n"/>
      <c r="D118" s="290" t="n"/>
      <c r="E118" s="291" t="n"/>
      <c r="F118" s="291" t="n"/>
      <c r="G118" s="291" t="n"/>
      <c r="H118" s="297" t="n"/>
    </row>
    <row r="119" ht="13" customHeight="1" s="189">
      <c r="A119" s="289" t="n"/>
      <c r="B119" s="290" t="n"/>
      <c r="C119" s="290" t="n"/>
      <c r="D119" s="290" t="n"/>
      <c r="E119" s="291" t="n"/>
      <c r="F119" s="291" t="n"/>
      <c r="G119" s="291" t="n"/>
      <c r="H119" s="297" t="n"/>
    </row>
    <row r="120" ht="13" customHeight="1" s="189">
      <c r="A120" s="289" t="n"/>
      <c r="B120" s="290" t="n"/>
      <c r="C120" s="290" t="n"/>
      <c r="D120" s="290" t="n"/>
      <c r="E120" s="291" t="n"/>
      <c r="F120" s="291" t="n"/>
      <c r="G120" s="291" t="n"/>
      <c r="H120" s="297" t="n"/>
    </row>
    <row r="121" ht="13" customHeight="1" s="189">
      <c r="A121" s="289" t="n"/>
      <c r="B121" s="290" t="n"/>
      <c r="C121" s="290" t="n"/>
      <c r="D121" s="290" t="n"/>
      <c r="E121" s="291" t="n"/>
      <c r="F121" s="291" t="n"/>
      <c r="G121" s="291" t="n"/>
      <c r="H121" s="297" t="n"/>
    </row>
    <row r="122" ht="13" customHeight="1" s="189">
      <c r="A122" s="289" t="n"/>
      <c r="B122" s="290" t="n"/>
      <c r="C122" s="290" t="n"/>
      <c r="D122" s="290" t="n"/>
      <c r="E122" s="291" t="n"/>
      <c r="F122" s="291" t="n"/>
      <c r="G122" s="291" t="n"/>
      <c r="H122" s="297" t="n"/>
    </row>
    <row r="123" ht="13" customHeight="1" s="189">
      <c r="A123" s="289" t="n"/>
      <c r="B123" s="290" t="n"/>
      <c r="C123" s="290" t="n"/>
      <c r="D123" s="290" t="n"/>
      <c r="E123" s="291" t="n"/>
      <c r="F123" s="291" t="n"/>
      <c r="G123" s="291" t="n"/>
      <c r="H123" s="297" t="n"/>
    </row>
    <row r="124" ht="13" customHeight="1" s="189">
      <c r="A124" s="289" t="n"/>
      <c r="B124" s="290" t="n"/>
      <c r="C124" s="290" t="n"/>
      <c r="D124" s="290" t="n"/>
      <c r="E124" s="291" t="n"/>
      <c r="F124" s="291" t="n"/>
      <c r="G124" s="291" t="n"/>
      <c r="H124" s="297" t="n"/>
    </row>
    <row r="125" ht="13" customHeight="1" s="189">
      <c r="A125" s="289" t="n"/>
      <c r="B125" s="290" t="n"/>
      <c r="C125" s="290" t="n"/>
      <c r="D125" s="290" t="n"/>
      <c r="E125" s="291" t="n"/>
      <c r="F125" s="291" t="n"/>
      <c r="G125" s="291" t="n"/>
      <c r="H125" s="297" t="n"/>
    </row>
    <row r="126" ht="13" customHeight="1" s="189">
      <c r="A126" s="289" t="n"/>
      <c r="B126" s="290" t="n"/>
      <c r="C126" s="290" t="n"/>
      <c r="D126" s="290" t="n"/>
      <c r="E126" s="291" t="n"/>
      <c r="F126" s="291" t="n"/>
      <c r="G126" s="291" t="n"/>
      <c r="H126" s="297" t="n"/>
    </row>
    <row r="127" ht="13" customHeight="1" s="189">
      <c r="A127" s="289" t="n"/>
      <c r="B127" s="290" t="n"/>
      <c r="C127" s="290" t="n"/>
      <c r="D127" s="290" t="n"/>
      <c r="E127" s="291" t="n"/>
      <c r="F127" s="291" t="n"/>
      <c r="G127" s="291" t="n"/>
      <c r="H127" s="297" t="n"/>
    </row>
    <row r="128" ht="13" customHeight="1" s="189">
      <c r="A128" s="289" t="n"/>
      <c r="B128" s="290" t="n"/>
      <c r="C128" s="290" t="n"/>
      <c r="D128" s="290" t="n"/>
      <c r="E128" s="291" t="n"/>
      <c r="F128" s="291" t="n"/>
      <c r="G128" s="291" t="n"/>
      <c r="H128" s="297" t="n"/>
    </row>
    <row r="129" ht="13" customHeight="1" s="189">
      <c r="A129" s="289" t="n"/>
      <c r="B129" s="290" t="n"/>
      <c r="C129" s="290" t="n"/>
      <c r="D129" s="290" t="n"/>
      <c r="E129" s="291" t="n"/>
      <c r="F129" s="291" t="n"/>
      <c r="G129" s="291" t="n"/>
      <c r="H129" s="297" t="n"/>
    </row>
    <row r="130" ht="13" customHeight="1" s="189">
      <c r="A130" s="289" t="n"/>
      <c r="B130" s="290" t="n"/>
      <c r="C130" s="290" t="n"/>
      <c r="D130" s="290" t="n"/>
      <c r="E130" s="291" t="n"/>
      <c r="F130" s="291" t="n"/>
      <c r="G130" s="291" t="n"/>
      <c r="H130" s="297" t="n"/>
    </row>
    <row r="131" ht="13" customHeight="1" s="189">
      <c r="A131" s="289" t="n"/>
      <c r="B131" s="290" t="n"/>
      <c r="C131" s="290" t="n"/>
      <c r="D131" s="290" t="n"/>
      <c r="E131" s="291" t="n"/>
      <c r="F131" s="291" t="n"/>
      <c r="G131" s="291" t="n"/>
      <c r="H131" s="297" t="n"/>
    </row>
    <row r="132" ht="13" customHeight="1" s="189">
      <c r="A132" s="289" t="n"/>
      <c r="B132" s="290" t="n"/>
      <c r="C132" s="290" t="n"/>
      <c r="D132" s="290" t="n"/>
      <c r="E132" s="291" t="n"/>
      <c r="F132" s="291" t="n"/>
      <c r="G132" s="291" t="n"/>
      <c r="H132" s="297" t="n"/>
    </row>
    <row r="133" ht="13" customHeight="1" s="189">
      <c r="A133" s="289" t="n"/>
      <c r="B133" s="290" t="n"/>
      <c r="C133" s="290" t="n"/>
      <c r="D133" s="290" t="n"/>
      <c r="E133" s="291" t="n"/>
      <c r="F133" s="291" t="n"/>
      <c r="G133" s="291" t="n"/>
      <c r="H133" s="297" t="n"/>
    </row>
    <row r="134" ht="13" customHeight="1" s="189">
      <c r="A134" s="289" t="n"/>
      <c r="B134" s="290" t="n"/>
      <c r="C134" s="290" t="n"/>
      <c r="D134" s="290" t="n"/>
      <c r="E134" s="291" t="n"/>
      <c r="F134" s="291" t="n"/>
      <c r="G134" s="291" t="n"/>
      <c r="H134" s="297" t="n"/>
    </row>
    <row r="135" ht="13" customHeight="1" s="189">
      <c r="A135" s="289" t="n"/>
      <c r="B135" s="290" t="n"/>
      <c r="C135" s="290" t="n"/>
      <c r="D135" s="290" t="n"/>
      <c r="E135" s="291" t="n"/>
      <c r="F135" s="291" t="n"/>
      <c r="G135" s="291" t="n"/>
      <c r="H135" s="297" t="n"/>
    </row>
    <row r="136" ht="13" customHeight="1" s="189">
      <c r="A136" s="289" t="n"/>
      <c r="B136" s="290" t="n"/>
      <c r="C136" s="290" t="n"/>
      <c r="D136" s="290" t="n"/>
      <c r="E136" s="291" t="n"/>
      <c r="F136" s="291" t="n"/>
      <c r="G136" s="291" t="n"/>
      <c r="H136" s="297" t="n"/>
    </row>
    <row r="137" ht="13" customHeight="1" s="189">
      <c r="A137" s="289" t="n"/>
      <c r="B137" s="290" t="n"/>
      <c r="C137" s="290" t="n"/>
      <c r="D137" s="290" t="n"/>
      <c r="E137" s="291" t="n"/>
      <c r="F137" s="291" t="n"/>
      <c r="G137" s="291" t="n"/>
      <c r="H137" s="297" t="n"/>
    </row>
    <row r="138" ht="13" customHeight="1" s="189">
      <c r="A138" s="289" t="n"/>
      <c r="B138" s="290" t="n"/>
      <c r="C138" s="290" t="n"/>
      <c r="D138" s="290" t="n"/>
      <c r="E138" s="291" t="n"/>
      <c r="F138" s="291" t="n"/>
      <c r="G138" s="291" t="n"/>
      <c r="H138" s="297" t="n"/>
    </row>
    <row r="139" ht="13" customHeight="1" s="189">
      <c r="A139" s="289" t="n"/>
      <c r="B139" s="290" t="n"/>
      <c r="C139" s="290" t="n"/>
      <c r="D139" s="290" t="n"/>
      <c r="E139" s="291" t="n"/>
      <c r="F139" s="291" t="n"/>
      <c r="G139" s="291" t="n"/>
      <c r="H139" s="297" t="n"/>
    </row>
    <row r="140" ht="13" customHeight="1" s="189">
      <c r="A140" s="289" t="n"/>
      <c r="B140" s="290" t="n"/>
      <c r="C140" s="290" t="n"/>
      <c r="D140" s="290" t="n"/>
      <c r="E140" s="291" t="n"/>
      <c r="F140" s="291" t="n"/>
      <c r="G140" s="291" t="n"/>
      <c r="H140" s="297" t="n"/>
    </row>
    <row r="141" ht="13" customHeight="1" s="189">
      <c r="A141" s="289" t="n"/>
      <c r="B141" s="290" t="n"/>
      <c r="C141" s="290" t="n"/>
      <c r="D141" s="290" t="n"/>
      <c r="E141" s="291" t="n"/>
      <c r="F141" s="291" t="n"/>
      <c r="G141" s="291" t="n"/>
      <c r="H141" s="297" t="n"/>
    </row>
    <row r="142" ht="13" customHeight="1" s="189">
      <c r="A142" s="289" t="n"/>
      <c r="B142" s="290" t="n"/>
      <c r="C142" s="290" t="n"/>
      <c r="D142" s="290" t="n"/>
      <c r="E142" s="291" t="n"/>
      <c r="F142" s="291" t="n"/>
      <c r="G142" s="291" t="n"/>
      <c r="H142" s="297" t="n"/>
    </row>
    <row r="143" ht="13" customHeight="1" s="189">
      <c r="A143" s="289" t="n"/>
      <c r="B143" s="290" t="n"/>
      <c r="C143" s="290" t="n"/>
      <c r="D143" s="290" t="n"/>
      <c r="E143" s="291" t="n"/>
      <c r="F143" s="291" t="n"/>
      <c r="G143" s="291" t="n"/>
      <c r="H143" s="297" t="n"/>
    </row>
    <row r="144" ht="13" customHeight="1" s="189">
      <c r="A144" s="289" t="n"/>
      <c r="B144" s="290" t="n"/>
      <c r="C144" s="290" t="n"/>
      <c r="D144" s="290" t="n"/>
      <c r="E144" s="291" t="n"/>
      <c r="F144" s="291" t="n"/>
      <c r="G144" s="291" t="n"/>
      <c r="H144" s="297" t="n"/>
    </row>
    <row r="145" ht="13" customHeight="1" s="189">
      <c r="A145" s="289" t="n"/>
      <c r="B145" s="290" t="n"/>
      <c r="C145" s="290" t="n"/>
      <c r="D145" s="290" t="n"/>
      <c r="E145" s="291" t="n"/>
      <c r="F145" s="291" t="n"/>
      <c r="G145" s="291" t="n"/>
      <c r="H145" s="297" t="n"/>
    </row>
    <row r="146" ht="13" customHeight="1" s="189">
      <c r="A146" s="289" t="n"/>
      <c r="B146" s="290" t="n"/>
      <c r="C146" s="290" t="n"/>
      <c r="D146" s="290" t="n"/>
      <c r="E146" s="291" t="n"/>
      <c r="F146" s="291" t="n"/>
      <c r="G146" s="291" t="n"/>
      <c r="H146" s="297" t="n"/>
    </row>
    <row r="147" ht="13" customHeight="1" s="189">
      <c r="A147" s="289" t="n"/>
      <c r="B147" s="290" t="n"/>
      <c r="C147" s="290" t="n"/>
      <c r="D147" s="290" t="n"/>
      <c r="E147" s="291" t="n"/>
      <c r="F147" s="291" t="n"/>
      <c r="G147" s="291" t="n"/>
      <c r="H147" s="297" t="n"/>
    </row>
    <row r="148" ht="13" customHeight="1" s="189">
      <c r="A148" s="289" t="n"/>
      <c r="B148" s="290" t="n"/>
      <c r="C148" s="290" t="n"/>
      <c r="D148" s="290" t="n"/>
      <c r="E148" s="291" t="n"/>
      <c r="F148" s="291" t="n"/>
      <c r="G148" s="291" t="n"/>
      <c r="H148" s="297" t="n"/>
    </row>
    <row r="149" ht="13" customHeight="1" s="189">
      <c r="A149" s="289" t="n"/>
      <c r="B149" s="290" t="n"/>
      <c r="C149" s="290" t="n"/>
      <c r="D149" s="290" t="n"/>
      <c r="E149" s="291" t="n"/>
      <c r="F149" s="291" t="n"/>
      <c r="G149" s="291" t="n"/>
      <c r="H149" s="297" t="n"/>
    </row>
    <row r="150" ht="13" customHeight="1" s="189">
      <c r="A150" s="289" t="n"/>
      <c r="B150" s="290" t="n"/>
      <c r="C150" s="290" t="n"/>
      <c r="D150" s="290" t="n"/>
      <c r="E150" s="291" t="n"/>
      <c r="F150" s="291" t="n"/>
      <c r="G150" s="291" t="n"/>
      <c r="H150" s="297" t="n"/>
    </row>
    <row r="151" ht="13" customHeight="1" s="189">
      <c r="A151" s="289" t="n"/>
      <c r="B151" s="290" t="n"/>
      <c r="C151" s="290" t="n"/>
      <c r="D151" s="290" t="n"/>
      <c r="E151" s="291" t="n"/>
      <c r="F151" s="291" t="n"/>
      <c r="G151" s="291" t="n"/>
      <c r="H151" s="297" t="n"/>
    </row>
    <row r="152" ht="13" customHeight="1" s="189">
      <c r="A152" s="289" t="n"/>
      <c r="B152" s="290" t="n"/>
      <c r="C152" s="290" t="n"/>
      <c r="D152" s="290" t="n"/>
      <c r="E152" s="291" t="n"/>
      <c r="F152" s="291" t="n"/>
      <c r="G152" s="291" t="n"/>
      <c r="H152" s="297" t="n"/>
    </row>
    <row r="153" ht="13" customHeight="1" s="189">
      <c r="A153" s="289" t="n"/>
      <c r="B153" s="290" t="n"/>
      <c r="C153" s="290" t="n"/>
      <c r="D153" s="290" t="n"/>
      <c r="E153" s="291" t="n"/>
      <c r="F153" s="291" t="n"/>
      <c r="G153" s="291" t="n"/>
      <c r="H153" s="297" t="n"/>
    </row>
    <row r="154" ht="13" customHeight="1" s="189">
      <c r="A154" s="289" t="n"/>
      <c r="B154" s="290" t="n"/>
      <c r="C154" s="290" t="n"/>
      <c r="D154" s="290" t="n"/>
      <c r="E154" s="291" t="n"/>
      <c r="F154" s="291" t="n"/>
      <c r="G154" s="291" t="n"/>
      <c r="H154" s="297" t="n"/>
    </row>
    <row r="155" ht="13" customHeight="1" s="189">
      <c r="A155" s="289" t="n"/>
      <c r="B155" s="290" t="n"/>
      <c r="C155" s="290" t="n"/>
      <c r="D155" s="290" t="n"/>
      <c r="E155" s="291" t="n"/>
      <c r="F155" s="291" t="n"/>
      <c r="G155" s="291" t="n"/>
      <c r="H155" s="297" t="n"/>
    </row>
    <row r="156" ht="13" customHeight="1" s="189">
      <c r="A156" s="289" t="n"/>
      <c r="B156" s="290" t="n"/>
      <c r="C156" s="290" t="n"/>
      <c r="D156" s="290" t="n"/>
      <c r="E156" s="291" t="n"/>
      <c r="F156" s="291" t="n"/>
      <c r="G156" s="291" t="n"/>
      <c r="H156" s="297" t="n"/>
    </row>
    <row r="157" ht="13" customHeight="1" s="189">
      <c r="A157" s="289" t="n"/>
      <c r="B157" s="290" t="n"/>
      <c r="C157" s="290" t="n"/>
      <c r="D157" s="290" t="n"/>
      <c r="E157" s="291" t="n"/>
      <c r="F157" s="291" t="n"/>
      <c r="G157" s="291" t="n"/>
      <c r="H157" s="297" t="n"/>
    </row>
    <row r="158" ht="13" customHeight="1" s="189">
      <c r="A158" s="289" t="n"/>
      <c r="B158" s="290" t="n"/>
      <c r="C158" s="290" t="n"/>
      <c r="D158" s="290" t="n"/>
      <c r="E158" s="291" t="n"/>
      <c r="F158" s="291" t="n"/>
      <c r="G158" s="291" t="n"/>
      <c r="H158" s="297" t="n"/>
    </row>
    <row r="159" ht="13" customHeight="1" s="189">
      <c r="A159" s="289" t="n"/>
      <c r="B159" s="290" t="n"/>
      <c r="C159" s="290" t="n"/>
      <c r="D159" s="290" t="n"/>
      <c r="E159" s="291" t="n"/>
      <c r="F159" s="291" t="n"/>
      <c r="G159" s="291" t="n"/>
      <c r="H159" s="297" t="n"/>
    </row>
    <row r="160" ht="13" customHeight="1" s="189">
      <c r="A160" s="289" t="n"/>
      <c r="B160" s="290" t="n"/>
      <c r="C160" s="290" t="n"/>
      <c r="D160" s="290" t="n"/>
      <c r="E160" s="291" t="n"/>
      <c r="F160" s="291" t="n"/>
      <c r="G160" s="291" t="n"/>
      <c r="H160" s="297" t="n"/>
    </row>
    <row r="161" ht="13" customHeight="1" s="189">
      <c r="A161" s="289" t="n"/>
      <c r="B161" s="290" t="n"/>
      <c r="C161" s="290" t="n"/>
      <c r="D161" s="290" t="n"/>
      <c r="E161" s="291" t="n"/>
      <c r="F161" s="291" t="n"/>
      <c r="G161" s="291" t="n"/>
      <c r="H161" s="297" t="n"/>
    </row>
    <row r="162" ht="13" customHeight="1" s="189">
      <c r="A162" s="289" t="n"/>
      <c r="B162" s="290" t="n"/>
      <c r="C162" s="290" t="n"/>
      <c r="D162" s="290" t="n"/>
      <c r="E162" s="291" t="n"/>
      <c r="F162" s="291" t="n"/>
      <c r="G162" s="291" t="n"/>
      <c r="H162" s="297" t="n"/>
    </row>
    <row r="163" ht="13" customHeight="1" s="189">
      <c r="A163" s="289" t="n"/>
      <c r="B163" s="290" t="n"/>
      <c r="C163" s="290" t="n"/>
      <c r="D163" s="290" t="n"/>
      <c r="E163" s="291" t="n"/>
      <c r="F163" s="291" t="n"/>
      <c r="G163" s="291" t="n"/>
      <c r="H163" s="297" t="n"/>
    </row>
    <row r="164" ht="13" customHeight="1" s="189">
      <c r="A164" s="289" t="n"/>
      <c r="B164" s="290" t="n"/>
      <c r="C164" s="290" t="n"/>
      <c r="D164" s="290" t="n"/>
      <c r="E164" s="291" t="n"/>
      <c r="F164" s="291" t="n"/>
      <c r="G164" s="291" t="n"/>
      <c r="H164" s="297" t="n"/>
    </row>
    <row r="165" ht="13" customHeight="1" s="189">
      <c r="A165" s="289" t="n"/>
      <c r="B165" s="290" t="n"/>
      <c r="C165" s="290" t="n"/>
      <c r="D165" s="290" t="n"/>
      <c r="E165" s="291" t="n"/>
      <c r="F165" s="291" t="n"/>
      <c r="G165" s="291" t="n"/>
      <c r="H165" s="297" t="n"/>
    </row>
    <row r="166" ht="13" customHeight="1" s="189">
      <c r="A166" s="289" t="n"/>
      <c r="B166" s="290" t="n"/>
      <c r="C166" s="290" t="n"/>
      <c r="D166" s="290" t="n"/>
      <c r="E166" s="291" t="n"/>
      <c r="F166" s="291" t="n"/>
      <c r="G166" s="291" t="n"/>
      <c r="H166" s="297" t="n"/>
    </row>
    <row r="167" ht="13" customHeight="1" s="189">
      <c r="A167" s="289" t="n"/>
      <c r="B167" s="290" t="n"/>
      <c r="C167" s="290" t="n"/>
      <c r="D167" s="290" t="n"/>
      <c r="E167" s="291" t="n"/>
      <c r="F167" s="291" t="n"/>
      <c r="G167" s="291" t="n"/>
      <c r="H167" s="297" t="n"/>
    </row>
    <row r="168" ht="13" customHeight="1" s="189">
      <c r="A168" s="289" t="n"/>
      <c r="B168" s="290" t="n"/>
      <c r="C168" s="290" t="n"/>
      <c r="D168" s="290" t="n"/>
      <c r="E168" s="291" t="n"/>
      <c r="F168" s="291" t="n"/>
      <c r="G168" s="291" t="n"/>
      <c r="H168" s="297" t="n"/>
    </row>
    <row r="169" ht="13" customHeight="1" s="189">
      <c r="A169" s="289" t="n"/>
      <c r="B169" s="290" t="n"/>
      <c r="C169" s="290" t="n"/>
      <c r="D169" s="290" t="n"/>
      <c r="E169" s="291" t="n"/>
      <c r="F169" s="291" t="n"/>
      <c r="G169" s="291" t="n"/>
      <c r="H169" s="297" t="n"/>
    </row>
    <row r="170" ht="13" customHeight="1" s="189">
      <c r="A170" s="289" t="n"/>
      <c r="B170" s="290" t="n"/>
      <c r="C170" s="290" t="n"/>
      <c r="D170" s="290" t="n"/>
      <c r="E170" s="291" t="n"/>
      <c r="F170" s="291" t="n"/>
      <c r="G170" s="291" t="n"/>
      <c r="H170" s="297" t="n"/>
    </row>
    <row r="171" ht="13" customHeight="1" s="189">
      <c r="A171" s="289" t="n"/>
      <c r="B171" s="290" t="n"/>
      <c r="C171" s="290" t="n"/>
      <c r="D171" s="290" t="n"/>
      <c r="E171" s="291" t="n"/>
      <c r="F171" s="291" t="n"/>
      <c r="G171" s="291" t="n"/>
      <c r="H171" s="297" t="n"/>
    </row>
    <row r="172" ht="13" customHeight="1" s="189">
      <c r="A172" s="289" t="n"/>
      <c r="B172" s="290" t="n"/>
      <c r="C172" s="290" t="n"/>
      <c r="D172" s="290" t="n"/>
      <c r="E172" s="291" t="n"/>
      <c r="F172" s="291" t="n"/>
      <c r="G172" s="291" t="n"/>
      <c r="H172" s="297" t="n"/>
    </row>
    <row r="173" ht="13" customHeight="1" s="189">
      <c r="A173" s="289" t="n"/>
      <c r="B173" s="290" t="n"/>
      <c r="C173" s="290" t="n"/>
      <c r="D173" s="290" t="n"/>
      <c r="E173" s="291" t="n"/>
      <c r="F173" s="291" t="n"/>
      <c r="G173" s="291" t="n"/>
      <c r="H173" s="297" t="n"/>
    </row>
    <row r="174" ht="13" customHeight="1" s="189">
      <c r="A174" s="289" t="n"/>
      <c r="B174" s="290" t="n"/>
      <c r="C174" s="290" t="n"/>
      <c r="D174" s="290" t="n"/>
      <c r="E174" s="291" t="n"/>
      <c r="F174" s="291" t="n"/>
      <c r="G174" s="291" t="n"/>
      <c r="H174" s="297" t="n"/>
    </row>
    <row r="175" ht="13" customHeight="1" s="189">
      <c r="A175" s="289" t="n"/>
      <c r="B175" s="290" t="n"/>
      <c r="C175" s="290" t="n"/>
      <c r="D175" s="290" t="n"/>
      <c r="E175" s="291" t="n"/>
      <c r="F175" s="291" t="n"/>
      <c r="G175" s="291" t="n"/>
      <c r="H175" s="297" t="n"/>
    </row>
    <row r="176" ht="13" customHeight="1" s="189">
      <c r="A176" s="289" t="n"/>
      <c r="B176" s="290" t="n"/>
      <c r="C176" s="290" t="n"/>
      <c r="D176" s="290" t="n"/>
      <c r="E176" s="291" t="n"/>
      <c r="F176" s="291" t="n"/>
      <c r="G176" s="291" t="n"/>
      <c r="H176" s="297" t="n"/>
    </row>
    <row r="177" ht="13" customHeight="1" s="189">
      <c r="A177" s="289" t="n"/>
      <c r="B177" s="290" t="n"/>
      <c r="C177" s="290" t="n"/>
      <c r="D177" s="290" t="n"/>
      <c r="E177" s="291" t="n"/>
      <c r="F177" s="291" t="n"/>
      <c r="G177" s="291" t="n"/>
      <c r="H177" s="297" t="n"/>
    </row>
    <row r="178" ht="13" customHeight="1" s="189">
      <c r="A178" s="289" t="n"/>
      <c r="B178" s="290" t="n"/>
      <c r="C178" s="290" t="n"/>
      <c r="D178" s="290" t="n"/>
      <c r="E178" s="291" t="n"/>
      <c r="F178" s="291" t="n"/>
      <c r="G178" s="291" t="n"/>
      <c r="H178" s="297" t="n"/>
    </row>
    <row r="179" ht="13" customHeight="1" s="189">
      <c r="A179" s="289" t="n"/>
      <c r="B179" s="290" t="n"/>
      <c r="C179" s="290" t="n"/>
      <c r="D179" s="290" t="n"/>
      <c r="E179" s="291" t="n"/>
      <c r="F179" s="291" t="n"/>
      <c r="G179" s="291" t="n"/>
      <c r="H179" s="297" t="n"/>
    </row>
    <row r="180" ht="13" customHeight="1" s="189">
      <c r="A180" s="289" t="n"/>
      <c r="B180" s="290" t="n"/>
      <c r="C180" s="290" t="n"/>
      <c r="D180" s="290" t="n"/>
      <c r="E180" s="291" t="n"/>
      <c r="F180" s="291" t="n"/>
      <c r="G180" s="291" t="n"/>
      <c r="H180" s="297" t="n"/>
    </row>
    <row r="181" ht="13" customHeight="1" s="189">
      <c r="A181" s="289" t="n"/>
      <c r="B181" s="290" t="n"/>
      <c r="C181" s="290" t="n"/>
      <c r="D181" s="290" t="n"/>
      <c r="E181" s="291" t="n"/>
      <c r="F181" s="291" t="n"/>
      <c r="G181" s="291" t="n"/>
      <c r="H181" s="297" t="n"/>
    </row>
    <row r="182" ht="13" customHeight="1" s="189">
      <c r="A182" s="289" t="n"/>
      <c r="B182" s="290" t="n"/>
      <c r="C182" s="290" t="n"/>
      <c r="D182" s="290" t="n"/>
      <c r="E182" s="291" t="n"/>
      <c r="F182" s="291" t="n"/>
      <c r="G182" s="291" t="n"/>
      <c r="H182" s="297" t="n"/>
    </row>
    <row r="183" ht="13" customHeight="1" s="189">
      <c r="A183" s="289" t="n"/>
      <c r="B183" s="290" t="n"/>
      <c r="C183" s="290" t="n"/>
      <c r="D183" s="290" t="n"/>
      <c r="E183" s="291" t="n"/>
      <c r="F183" s="291" t="n"/>
      <c r="G183" s="291" t="n"/>
      <c r="H183" s="297" t="n"/>
    </row>
    <row r="184" ht="13" customHeight="1" s="189">
      <c r="A184" s="289" t="n"/>
      <c r="B184" s="290" t="n"/>
      <c r="C184" s="290" t="n"/>
      <c r="D184" s="290" t="n"/>
      <c r="E184" s="291" t="n"/>
      <c r="F184" s="291" t="n"/>
      <c r="G184" s="291" t="n"/>
      <c r="H184" s="297" t="n"/>
    </row>
    <row r="185" ht="13" customHeight="1" s="189">
      <c r="A185" s="289" t="n"/>
      <c r="B185" s="290" t="n"/>
      <c r="C185" s="290" t="n"/>
      <c r="D185" s="290" t="n"/>
      <c r="E185" s="291" t="n"/>
      <c r="F185" s="291" t="n"/>
      <c r="G185" s="291" t="n"/>
      <c r="H185" s="297" t="n"/>
    </row>
    <row r="186" ht="13" customHeight="1" s="189">
      <c r="A186" s="289" t="n"/>
      <c r="B186" s="290" t="n"/>
      <c r="C186" s="290" t="n"/>
      <c r="D186" s="290" t="n"/>
      <c r="E186" s="291" t="n"/>
      <c r="F186" s="291" t="n"/>
      <c r="G186" s="291" t="n"/>
      <c r="H186" s="297" t="n"/>
    </row>
    <row r="187" ht="13" customHeight="1" s="189">
      <c r="A187" s="289" t="n"/>
      <c r="B187" s="290" t="n"/>
      <c r="C187" s="290" t="n"/>
      <c r="D187" s="290" t="n"/>
      <c r="E187" s="291" t="n"/>
      <c r="F187" s="291" t="n"/>
      <c r="G187" s="291" t="n"/>
      <c r="H187" s="297" t="n"/>
    </row>
    <row r="188" ht="13" customHeight="1" s="189">
      <c r="A188" s="289" t="n"/>
      <c r="B188" s="290" t="n"/>
      <c r="C188" s="290" t="n"/>
      <c r="D188" s="290" t="n"/>
      <c r="E188" s="291" t="n"/>
      <c r="F188" s="291" t="n"/>
      <c r="G188" s="291" t="n"/>
      <c r="H188" s="297" t="n"/>
    </row>
    <row r="189" ht="13" customHeight="1" s="189">
      <c r="A189" s="289" t="n"/>
      <c r="B189" s="290" t="n"/>
      <c r="C189" s="290" t="n"/>
      <c r="D189" s="290" t="n"/>
      <c r="E189" s="291" t="n"/>
      <c r="F189" s="291" t="n"/>
      <c r="G189" s="291" t="n"/>
      <c r="H189" s="297" t="n"/>
    </row>
    <row r="190" ht="13" customHeight="1" s="189">
      <c r="A190" s="289" t="n"/>
      <c r="B190" s="290" t="n"/>
      <c r="C190" s="290" t="n"/>
      <c r="D190" s="290" t="n"/>
      <c r="E190" s="291" t="n"/>
      <c r="F190" s="291" t="n"/>
      <c r="G190" s="291" t="n"/>
      <c r="H190" s="297" t="n"/>
    </row>
    <row r="191" ht="13" customHeight="1" s="189">
      <c r="A191" s="289" t="n"/>
      <c r="B191" s="290" t="n"/>
      <c r="C191" s="290" t="n"/>
      <c r="D191" s="290" t="n"/>
      <c r="E191" s="291" t="n"/>
      <c r="F191" s="291" t="n"/>
      <c r="G191" s="291" t="n"/>
      <c r="H191" s="297" t="n"/>
    </row>
    <row r="192" ht="13" customHeight="1" s="189">
      <c r="A192" s="289" t="n"/>
      <c r="B192" s="290" t="n"/>
      <c r="C192" s="290" t="n"/>
      <c r="D192" s="290" t="n"/>
      <c r="E192" s="291" t="n"/>
      <c r="F192" s="291" t="n"/>
      <c r="G192" s="291" t="n"/>
      <c r="H192" s="297" t="n"/>
    </row>
    <row r="193" ht="13" customHeight="1" s="189">
      <c r="A193" s="289" t="n"/>
      <c r="B193" s="290" t="n"/>
      <c r="C193" s="290" t="n"/>
      <c r="D193" s="290" t="n"/>
      <c r="E193" s="291" t="n"/>
      <c r="F193" s="291" t="n"/>
      <c r="G193" s="291" t="n"/>
      <c r="H193" s="297" t="n"/>
    </row>
    <row r="194" ht="13" customHeight="1" s="189">
      <c r="A194" s="289" t="n"/>
      <c r="B194" s="290" t="n"/>
      <c r="C194" s="290" t="n"/>
      <c r="D194" s="290" t="n"/>
      <c r="E194" s="291" t="n"/>
      <c r="F194" s="291" t="n"/>
      <c r="G194" s="291" t="n"/>
      <c r="H194" s="297" t="n"/>
    </row>
    <row r="195" ht="13" customHeight="1" s="189">
      <c r="A195" s="289" t="n"/>
      <c r="B195" s="290" t="n"/>
      <c r="C195" s="290" t="n"/>
      <c r="D195" s="290" t="n"/>
      <c r="E195" s="291" t="n"/>
      <c r="F195" s="291" t="n"/>
      <c r="G195" s="291" t="n"/>
      <c r="H195" s="297" t="n"/>
    </row>
    <row r="196" ht="13" customHeight="1" s="189">
      <c r="A196" s="289" t="n"/>
      <c r="B196" s="290" t="n"/>
      <c r="C196" s="290" t="n"/>
      <c r="D196" s="290" t="n"/>
      <c r="E196" s="291" t="n"/>
      <c r="F196" s="291" t="n"/>
      <c r="G196" s="291" t="n"/>
      <c r="H196" s="297" t="n"/>
    </row>
    <row r="197" ht="13" customHeight="1" s="189">
      <c r="A197" s="289" t="n"/>
      <c r="B197" s="290" t="n"/>
      <c r="C197" s="290" t="n"/>
      <c r="D197" s="290" t="n"/>
      <c r="E197" s="291" t="n"/>
      <c r="F197" s="291" t="n"/>
      <c r="G197" s="291" t="n"/>
      <c r="H197" s="297" t="n"/>
    </row>
    <row r="198" ht="13" customHeight="1" s="189">
      <c r="A198" s="289" t="n"/>
      <c r="B198" s="290" t="n"/>
      <c r="C198" s="290" t="n"/>
      <c r="D198" s="290" t="n"/>
      <c r="E198" s="291" t="n"/>
      <c r="F198" s="291" t="n"/>
      <c r="G198" s="291" t="n"/>
      <c r="H198" s="297" t="n"/>
    </row>
    <row r="199" ht="13" customHeight="1" s="189">
      <c r="A199" s="289" t="n"/>
      <c r="B199" s="290" t="n"/>
      <c r="C199" s="290" t="n"/>
      <c r="D199" s="290" t="n"/>
      <c r="E199" s="291" t="n"/>
      <c r="F199" s="291" t="n"/>
      <c r="G199" s="291" t="n"/>
      <c r="H199" s="297" t="n"/>
    </row>
    <row r="200" ht="13" customHeight="1" s="189">
      <c r="A200" s="289" t="n"/>
      <c r="B200" s="290" t="n"/>
      <c r="C200" s="290" t="n"/>
      <c r="D200" s="290" t="n"/>
      <c r="E200" s="291" t="n"/>
      <c r="F200" s="291" t="n"/>
      <c r="G200" s="291" t="n"/>
      <c r="H200" s="297" t="n"/>
    </row>
    <row r="201" ht="13" customHeight="1" s="189">
      <c r="A201" s="289" t="n"/>
      <c r="B201" s="290" t="n"/>
      <c r="C201" s="290" t="n"/>
      <c r="D201" s="290" t="n"/>
      <c r="E201" s="291" t="n"/>
      <c r="F201" s="291" t="n"/>
      <c r="G201" s="291" t="n"/>
      <c r="H201" s="297" t="n"/>
    </row>
    <row r="202" ht="13" customHeight="1" s="189">
      <c r="A202" s="289" t="n"/>
      <c r="B202" s="290" t="n"/>
      <c r="C202" s="290" t="n"/>
      <c r="D202" s="290" t="n"/>
      <c r="E202" s="291" t="n"/>
      <c r="F202" s="291" t="n"/>
      <c r="G202" s="291" t="n"/>
      <c r="H202" s="297" t="n"/>
    </row>
    <row r="203" ht="13" customHeight="1" s="189">
      <c r="A203" s="289" t="n"/>
      <c r="B203" s="290" t="n"/>
      <c r="C203" s="290" t="n"/>
      <c r="D203" s="290" t="n"/>
      <c r="E203" s="291" t="n"/>
      <c r="F203" s="291" t="n"/>
      <c r="G203" s="291" t="n"/>
      <c r="H203" s="297" t="n"/>
    </row>
    <row r="204" ht="13" customHeight="1" s="189">
      <c r="A204" s="289" t="n"/>
      <c r="B204" s="290" t="n"/>
      <c r="C204" s="290" t="n"/>
      <c r="D204" s="290" t="n"/>
      <c r="E204" s="291" t="n"/>
      <c r="F204" s="291" t="n"/>
      <c r="G204" s="291" t="n"/>
      <c r="H204" s="297" t="n"/>
    </row>
    <row r="205" ht="13" customHeight="1" s="189">
      <c r="A205" s="289" t="n"/>
      <c r="B205" s="290" t="n"/>
      <c r="C205" s="290" t="n"/>
      <c r="D205" s="290" t="n"/>
      <c r="E205" s="291" t="n"/>
      <c r="F205" s="291" t="n"/>
      <c r="G205" s="291" t="n"/>
      <c r="H205" s="297" t="n"/>
    </row>
    <row r="206" ht="13" customHeight="1" s="189">
      <c r="A206" s="289" t="n"/>
      <c r="B206" s="290" t="n"/>
      <c r="C206" s="290" t="n"/>
      <c r="D206" s="290" t="n"/>
      <c r="E206" s="291" t="n"/>
      <c r="F206" s="291" t="n"/>
      <c r="G206" s="291" t="n"/>
      <c r="H206" s="297" t="n"/>
    </row>
    <row r="207" ht="13" customHeight="1" s="189">
      <c r="A207" s="289" t="n"/>
      <c r="B207" s="290" t="n"/>
      <c r="C207" s="290" t="n"/>
      <c r="D207" s="290" t="n"/>
      <c r="E207" s="291" t="n"/>
      <c r="F207" s="291" t="n"/>
      <c r="G207" s="291" t="n"/>
      <c r="H207" s="297" t="n"/>
    </row>
    <row r="208" ht="13" customHeight="1" s="189">
      <c r="A208" s="289" t="n"/>
      <c r="B208" s="290" t="n"/>
      <c r="C208" s="290" t="n"/>
      <c r="D208" s="290" t="n"/>
      <c r="E208" s="291" t="n"/>
      <c r="F208" s="291" t="n"/>
      <c r="G208" s="291" t="n"/>
      <c r="H208" s="297" t="n"/>
    </row>
    <row r="209" ht="13" customHeight="1" s="189">
      <c r="A209" s="289" t="n"/>
      <c r="B209" s="290" t="n"/>
      <c r="C209" s="290" t="n"/>
      <c r="D209" s="290" t="n"/>
      <c r="E209" s="291" t="n"/>
      <c r="F209" s="291" t="n"/>
      <c r="G209" s="291" t="n"/>
      <c r="H209" s="297" t="n"/>
    </row>
    <row r="210" ht="13" customHeight="1" s="189">
      <c r="A210" s="289" t="n"/>
      <c r="B210" s="290" t="n"/>
      <c r="C210" s="290" t="n"/>
      <c r="D210" s="290" t="n"/>
      <c r="E210" s="291" t="n"/>
      <c r="F210" s="291" t="n"/>
      <c r="G210" s="291" t="n"/>
      <c r="H210" s="297" t="n"/>
    </row>
    <row r="211" ht="13" customHeight="1" s="189">
      <c r="A211" s="289" t="n"/>
      <c r="B211" s="290" t="n"/>
      <c r="C211" s="290" t="n"/>
      <c r="D211" s="290" t="n"/>
      <c r="E211" s="291" t="n"/>
      <c r="F211" s="291" t="n"/>
      <c r="G211" s="291" t="n"/>
      <c r="H211" s="297" t="n"/>
    </row>
    <row r="212" ht="13" customHeight="1" s="189">
      <c r="A212" s="289" t="n"/>
      <c r="B212" s="290" t="n"/>
      <c r="C212" s="290" t="n"/>
      <c r="D212" s="290" t="n"/>
      <c r="E212" s="291" t="n"/>
      <c r="F212" s="291" t="n"/>
      <c r="G212" s="291" t="n"/>
      <c r="H212" s="297" t="n"/>
    </row>
    <row r="213" ht="13" customHeight="1" s="189">
      <c r="A213" s="289" t="n"/>
      <c r="B213" s="290" t="n"/>
      <c r="C213" s="290" t="n"/>
      <c r="D213" s="290" t="n"/>
      <c r="E213" s="291" t="n"/>
      <c r="F213" s="291" t="n"/>
      <c r="G213" s="291" t="n"/>
      <c r="H213" s="297" t="n"/>
    </row>
    <row r="214" ht="13" customHeight="1" s="189">
      <c r="A214" s="289" t="n"/>
      <c r="B214" s="290" t="n"/>
      <c r="C214" s="290" t="n"/>
      <c r="D214" s="290" t="n"/>
      <c r="E214" s="291" t="n"/>
      <c r="F214" s="291" t="n"/>
      <c r="G214" s="291" t="n"/>
      <c r="H214" s="297" t="n"/>
    </row>
    <row r="215" ht="13" customHeight="1" s="189">
      <c r="A215" s="289" t="n"/>
      <c r="B215" s="290" t="n"/>
      <c r="C215" s="290" t="n"/>
      <c r="D215" s="290" t="n"/>
      <c r="E215" s="291" t="n"/>
      <c r="F215" s="291" t="n"/>
      <c r="G215" s="291" t="n"/>
      <c r="H215" s="297" t="n"/>
    </row>
    <row r="216" ht="13" customHeight="1" s="189">
      <c r="A216" s="289" t="n"/>
      <c r="B216" s="290" t="n"/>
      <c r="C216" s="290" t="n"/>
      <c r="D216" s="290" t="n"/>
      <c r="E216" s="291" t="n"/>
      <c r="F216" s="291" t="n"/>
      <c r="G216" s="291" t="n"/>
      <c r="H216" s="297" t="n"/>
    </row>
    <row r="217" ht="13" customHeight="1" s="189">
      <c r="A217" s="289" t="n"/>
      <c r="B217" s="290" t="n"/>
      <c r="C217" s="290" t="n"/>
      <c r="D217" s="290" t="n"/>
      <c r="E217" s="291" t="n"/>
      <c r="F217" s="291" t="n"/>
      <c r="G217" s="291" t="n"/>
      <c r="H217" s="297" t="n"/>
    </row>
    <row r="218" ht="13" customHeight="1" s="189">
      <c r="A218" s="289" t="n"/>
      <c r="B218" s="290" t="n"/>
      <c r="C218" s="290" t="n"/>
      <c r="D218" s="290" t="n"/>
      <c r="E218" s="291" t="n"/>
      <c r="F218" s="291" t="n"/>
      <c r="G218" s="291" t="n"/>
      <c r="H218" s="297" t="n"/>
    </row>
    <row r="219" ht="13" customHeight="1" s="189">
      <c r="A219" s="289" t="n"/>
      <c r="B219" s="290" t="n"/>
      <c r="C219" s="290" t="n"/>
      <c r="D219" s="290" t="n"/>
      <c r="E219" s="291" t="n"/>
      <c r="F219" s="291" t="n"/>
      <c r="G219" s="291" t="n"/>
      <c r="H219" s="297" t="n"/>
    </row>
    <row r="220" ht="13" customHeight="1" s="189">
      <c r="A220" s="289" t="n"/>
      <c r="B220" s="290" t="n"/>
      <c r="C220" s="290" t="n"/>
      <c r="D220" s="290" t="n"/>
      <c r="E220" s="291" t="n"/>
      <c r="F220" s="291" t="n"/>
      <c r="G220" s="291" t="n"/>
      <c r="H220" s="297" t="n"/>
    </row>
    <row r="221" ht="13" customHeight="1" s="189">
      <c r="A221" s="289" t="n"/>
      <c r="B221" s="290" t="n"/>
      <c r="C221" s="290" t="n"/>
      <c r="D221" s="290" t="n"/>
      <c r="E221" s="291" t="n"/>
      <c r="F221" s="291" t="n"/>
      <c r="G221" s="291" t="n"/>
      <c r="H221" s="297" t="n"/>
    </row>
    <row r="222" ht="13" customHeight="1" s="189">
      <c r="A222" s="289" t="n"/>
      <c r="B222" s="290" t="n"/>
      <c r="C222" s="290" t="n"/>
      <c r="D222" s="290" t="n"/>
      <c r="E222" s="291" t="n"/>
      <c r="F222" s="291" t="n"/>
      <c r="G222" s="291" t="n"/>
      <c r="H222" s="297" t="n"/>
    </row>
    <row r="223" ht="13" customHeight="1" s="189">
      <c r="A223" s="289" t="n"/>
      <c r="B223" s="290" t="n"/>
      <c r="C223" s="290" t="n"/>
      <c r="D223" s="290" t="n"/>
      <c r="E223" s="291" t="n"/>
      <c r="F223" s="291" t="n"/>
      <c r="G223" s="291" t="n"/>
      <c r="H223" s="297" t="n"/>
    </row>
    <row r="224" ht="13" customHeight="1" s="189">
      <c r="A224" s="289" t="n"/>
      <c r="B224" s="290" t="n"/>
      <c r="C224" s="290" t="n"/>
      <c r="D224" s="290" t="n"/>
      <c r="E224" s="291" t="n"/>
      <c r="F224" s="291" t="n"/>
      <c r="G224" s="291" t="n"/>
      <c r="H224" s="297" t="n"/>
    </row>
    <row r="225" ht="13" customHeight="1" s="189">
      <c r="A225" s="289" t="n"/>
      <c r="B225" s="290" t="n"/>
      <c r="C225" s="290" t="n"/>
      <c r="D225" s="290" t="n"/>
      <c r="E225" s="291" t="n"/>
      <c r="F225" s="291" t="n"/>
      <c r="G225" s="291" t="n"/>
      <c r="H225" s="297" t="n"/>
    </row>
    <row r="226" ht="13" customHeight="1" s="189">
      <c r="A226" s="289" t="n"/>
      <c r="B226" s="290" t="n"/>
      <c r="C226" s="290" t="n"/>
      <c r="D226" s="290" t="n"/>
      <c r="E226" s="291" t="n"/>
      <c r="F226" s="291" t="n"/>
      <c r="G226" s="291" t="n"/>
      <c r="H226" s="297" t="n"/>
    </row>
    <row r="227" ht="13" customHeight="1" s="189">
      <c r="A227" s="289" t="n"/>
      <c r="B227" s="290" t="n"/>
      <c r="C227" s="290" t="n"/>
      <c r="D227" s="290" t="n"/>
      <c r="E227" s="291" t="n"/>
      <c r="F227" s="291" t="n"/>
      <c r="G227" s="291" t="n"/>
      <c r="H227" s="297" t="n"/>
    </row>
    <row r="228" ht="13" customHeight="1" s="189">
      <c r="A228" s="289" t="n"/>
      <c r="B228" s="290" t="n"/>
      <c r="C228" s="290" t="n"/>
      <c r="D228" s="290" t="n"/>
      <c r="E228" s="291" t="n"/>
      <c r="F228" s="291" t="n"/>
      <c r="G228" s="291" t="n"/>
      <c r="H228" s="297" t="n"/>
    </row>
    <row r="229" ht="13" customHeight="1" s="189">
      <c r="A229" s="289" t="n"/>
      <c r="B229" s="290" t="n"/>
      <c r="C229" s="290" t="n"/>
      <c r="D229" s="290" t="n"/>
      <c r="E229" s="291" t="n"/>
      <c r="F229" s="291" t="n"/>
      <c r="G229" s="291" t="n"/>
      <c r="H229" s="297" t="n"/>
    </row>
    <row r="230" ht="13" customHeight="1" s="189">
      <c r="A230" s="289" t="n"/>
      <c r="B230" s="290" t="n"/>
      <c r="C230" s="290" t="n"/>
      <c r="D230" s="290" t="n"/>
      <c r="E230" s="291" t="n"/>
      <c r="F230" s="291" t="n"/>
      <c r="G230" s="291" t="n"/>
      <c r="H230" s="297" t="n"/>
    </row>
    <row r="231" ht="13" customHeight="1" s="189">
      <c r="A231" s="289" t="n"/>
      <c r="B231" s="290" t="n"/>
      <c r="C231" s="290" t="n"/>
      <c r="D231" s="290" t="n"/>
      <c r="E231" s="291" t="n"/>
      <c r="F231" s="291" t="n"/>
      <c r="G231" s="291" t="n"/>
      <c r="H231" s="297" t="n"/>
    </row>
    <row r="232" ht="13" customHeight="1" s="189">
      <c r="A232" s="289" t="n"/>
      <c r="B232" s="290" t="n"/>
      <c r="C232" s="290" t="n"/>
      <c r="D232" s="290" t="n"/>
      <c r="E232" s="291" t="n"/>
      <c r="F232" s="291" t="n"/>
      <c r="G232" s="291" t="n"/>
      <c r="H232" s="297" t="n"/>
    </row>
    <row r="233" ht="13" customHeight="1" s="189">
      <c r="A233" s="289" t="n"/>
      <c r="B233" s="290" t="n"/>
      <c r="C233" s="290" t="n"/>
      <c r="D233" s="290" t="n"/>
      <c r="E233" s="291" t="n"/>
      <c r="F233" s="291" t="n"/>
      <c r="G233" s="291" t="n"/>
      <c r="H233" s="297" t="n"/>
    </row>
    <row r="234" ht="13" customHeight="1" s="189">
      <c r="A234" s="289" t="n"/>
      <c r="B234" s="290" t="n"/>
      <c r="C234" s="290" t="n"/>
      <c r="D234" s="290" t="n"/>
      <c r="E234" s="291" t="n"/>
      <c r="F234" s="291" t="n"/>
      <c r="G234" s="291" t="n"/>
      <c r="H234" s="297" t="n"/>
    </row>
    <row r="235" ht="13" customHeight="1" s="189">
      <c r="A235" s="289" t="n"/>
      <c r="B235" s="290" t="n"/>
      <c r="C235" s="290" t="n"/>
      <c r="D235" s="290" t="n"/>
      <c r="E235" s="291" t="n"/>
      <c r="F235" s="291" t="n"/>
      <c r="G235" s="291" t="n"/>
      <c r="H235" s="297" t="n"/>
    </row>
    <row r="236" ht="13" customHeight="1" s="189">
      <c r="A236" s="289" t="n"/>
      <c r="B236" s="290" t="n"/>
      <c r="C236" s="290" t="n"/>
      <c r="D236" s="290" t="n"/>
      <c r="E236" s="291" t="n"/>
      <c r="F236" s="291" t="n"/>
      <c r="G236" s="291" t="n"/>
      <c r="H236" s="297" t="n"/>
    </row>
    <row r="237" ht="13" customHeight="1" s="189">
      <c r="A237" s="289" t="n"/>
      <c r="B237" s="290" t="n"/>
      <c r="C237" s="290" t="n"/>
      <c r="D237" s="290" t="n"/>
      <c r="E237" s="291" t="n"/>
      <c r="F237" s="291" t="n"/>
      <c r="G237" s="291" t="n"/>
      <c r="H237" s="297" t="n"/>
    </row>
    <row r="238" ht="13" customHeight="1" s="189">
      <c r="A238" s="289" t="n"/>
      <c r="B238" s="290" t="n"/>
      <c r="C238" s="290" t="n"/>
      <c r="D238" s="290" t="n"/>
      <c r="E238" s="291" t="n"/>
      <c r="F238" s="291" t="n"/>
      <c r="G238" s="291" t="n"/>
      <c r="H238" s="297" t="n"/>
    </row>
    <row r="239" ht="13" customHeight="1" s="189">
      <c r="A239" s="289" t="n"/>
      <c r="B239" s="290" t="n"/>
      <c r="C239" s="290" t="n"/>
      <c r="D239" s="290" t="n"/>
      <c r="E239" s="291" t="n"/>
      <c r="F239" s="291" t="n"/>
      <c r="G239" s="291" t="n"/>
      <c r="H239" s="297" t="n"/>
    </row>
    <row r="240" ht="13" customHeight="1" s="189">
      <c r="A240" s="289" t="n"/>
      <c r="B240" s="290" t="n"/>
      <c r="C240" s="290" t="n"/>
      <c r="D240" s="290" t="n"/>
      <c r="E240" s="291" t="n"/>
      <c r="F240" s="291" t="n"/>
      <c r="G240" s="291" t="n"/>
      <c r="H240" s="297" t="n"/>
    </row>
    <row r="241" ht="13" customHeight="1" s="189">
      <c r="A241" s="289" t="n"/>
      <c r="B241" s="290" t="n"/>
      <c r="C241" s="290" t="n"/>
      <c r="D241" s="290" t="n"/>
      <c r="E241" s="291" t="n"/>
      <c r="F241" s="291" t="n"/>
      <c r="G241" s="291" t="n"/>
      <c r="H241" s="297" t="n"/>
    </row>
    <row r="242" ht="13" customHeight="1" s="189">
      <c r="A242" s="289" t="n"/>
      <c r="B242" s="290" t="n"/>
      <c r="C242" s="290" t="n"/>
      <c r="D242" s="290" t="n"/>
      <c r="E242" s="291" t="n"/>
      <c r="F242" s="291" t="n"/>
      <c r="G242" s="291" t="n"/>
      <c r="H242" s="297" t="n"/>
    </row>
    <row r="243" ht="13" customHeight="1" s="189">
      <c r="A243" s="289" t="n"/>
      <c r="B243" s="290" t="n"/>
      <c r="C243" s="290" t="n"/>
      <c r="D243" s="290" t="n"/>
      <c r="E243" s="291" t="n"/>
      <c r="F243" s="291" t="n"/>
      <c r="G243" s="291" t="n"/>
      <c r="H243" s="297" t="n"/>
    </row>
    <row r="244" ht="13" customHeight="1" s="189">
      <c r="A244" s="289" t="n"/>
      <c r="B244" s="290" t="n"/>
      <c r="C244" s="290" t="n"/>
      <c r="D244" s="290" t="n"/>
      <c r="E244" s="291" t="n"/>
      <c r="F244" s="291" t="n"/>
      <c r="G244" s="291" t="n"/>
      <c r="H244" s="297" t="n"/>
    </row>
    <row r="245" ht="13" customHeight="1" s="189">
      <c r="A245" s="289" t="n"/>
      <c r="B245" s="290" t="n"/>
      <c r="C245" s="290" t="n"/>
      <c r="D245" s="290" t="n"/>
      <c r="E245" s="291" t="n"/>
      <c r="F245" s="291" t="n"/>
      <c r="G245" s="291" t="n"/>
      <c r="H245" s="297" t="n"/>
    </row>
    <row r="246" ht="13" customHeight="1" s="189">
      <c r="A246" s="289" t="n"/>
      <c r="B246" s="290" t="n"/>
      <c r="C246" s="290" t="n"/>
      <c r="D246" s="290" t="n"/>
      <c r="E246" s="291" t="n"/>
      <c r="F246" s="291" t="n"/>
      <c r="G246" s="291" t="n"/>
      <c r="H246" s="297" t="n"/>
    </row>
    <row r="247" ht="13" customHeight="1" s="189">
      <c r="A247" s="289" t="n"/>
      <c r="B247" s="290" t="n"/>
      <c r="C247" s="290" t="n"/>
      <c r="D247" s="290" t="n"/>
      <c r="E247" s="291" t="n"/>
      <c r="F247" s="291" t="n"/>
      <c r="G247" s="291" t="n"/>
      <c r="H247" s="297" t="n"/>
    </row>
    <row r="248" ht="13" customHeight="1" s="189">
      <c r="A248" s="289" t="n"/>
      <c r="B248" s="290" t="n"/>
      <c r="C248" s="290" t="n"/>
      <c r="D248" s="290" t="n"/>
      <c r="E248" s="291" t="n"/>
      <c r="F248" s="291" t="n"/>
      <c r="G248" s="291" t="n"/>
      <c r="H248" s="297" t="n"/>
    </row>
    <row r="249" ht="13" customHeight="1" s="189">
      <c r="A249" s="289" t="n"/>
      <c r="B249" s="290" t="n"/>
      <c r="C249" s="290" t="n"/>
      <c r="D249" s="290" t="n"/>
      <c r="E249" s="291" t="n"/>
      <c r="F249" s="291" t="n"/>
      <c r="G249" s="291" t="n"/>
      <c r="H249" s="297" t="n"/>
    </row>
    <row r="250" ht="13" customHeight="1" s="189">
      <c r="A250" s="289" t="n"/>
      <c r="B250" s="290" t="n"/>
      <c r="C250" s="290" t="n"/>
      <c r="D250" s="290" t="n"/>
      <c r="E250" s="291" t="n"/>
      <c r="F250" s="291" t="n"/>
      <c r="G250" s="291" t="n"/>
      <c r="H250" s="297" t="n"/>
    </row>
    <row r="251" ht="13" customHeight="1" s="189">
      <c r="A251" s="289" t="n"/>
      <c r="B251" s="290" t="n"/>
      <c r="C251" s="290" t="n"/>
      <c r="D251" s="290" t="n"/>
      <c r="E251" s="291" t="n"/>
      <c r="F251" s="291" t="n"/>
      <c r="G251" s="291" t="n"/>
      <c r="H251" s="297" t="n"/>
    </row>
    <row r="252" ht="13" customHeight="1" s="189">
      <c r="A252" s="289" t="n"/>
      <c r="B252" s="290" t="n"/>
      <c r="C252" s="290" t="n"/>
      <c r="D252" s="290" t="n"/>
      <c r="E252" s="291" t="n"/>
      <c r="F252" s="291" t="n"/>
      <c r="G252" s="291" t="n"/>
      <c r="H252" s="297" t="n"/>
    </row>
    <row r="253" ht="13" customHeight="1" s="189">
      <c r="A253" s="289" t="n"/>
      <c r="B253" s="290" t="n"/>
      <c r="C253" s="290" t="n"/>
      <c r="D253" s="290" t="n"/>
      <c r="E253" s="291" t="n"/>
      <c r="F253" s="291" t="n"/>
      <c r="G253" s="291" t="n"/>
      <c r="H253" s="297" t="n"/>
    </row>
    <row r="254" ht="13" customHeight="1" s="189">
      <c r="A254" s="289" t="n"/>
      <c r="B254" s="290" t="n"/>
      <c r="C254" s="290" t="n"/>
      <c r="D254" s="290" t="n"/>
      <c r="E254" s="291" t="n"/>
      <c r="F254" s="291" t="n"/>
      <c r="G254" s="291" t="n"/>
      <c r="H254" s="297" t="n"/>
    </row>
    <row r="255" ht="13" customHeight="1" s="189">
      <c r="A255" s="289" t="n"/>
      <c r="B255" s="290" t="n"/>
      <c r="C255" s="290" t="n"/>
      <c r="D255" s="290" t="n"/>
      <c r="E255" s="291" t="n"/>
      <c r="F255" s="291" t="n"/>
      <c r="G255" s="291" t="n"/>
      <c r="H255" s="297" t="n"/>
    </row>
    <row r="256" ht="13" customHeight="1" s="189">
      <c r="A256" s="289" t="n"/>
      <c r="B256" s="290" t="n"/>
      <c r="C256" s="290" t="n"/>
      <c r="D256" s="290" t="n"/>
      <c r="E256" s="291" t="n"/>
      <c r="F256" s="291" t="n"/>
      <c r="G256" s="291" t="n"/>
      <c r="H256" s="297" t="n"/>
    </row>
    <row r="257" ht="13" customHeight="1" s="189">
      <c r="A257" s="289" t="n"/>
      <c r="B257" s="290" t="n"/>
      <c r="C257" s="290" t="n"/>
      <c r="D257" s="290" t="n"/>
      <c r="E257" s="291" t="n"/>
      <c r="F257" s="291" t="n"/>
      <c r="G257" s="291" t="n"/>
      <c r="H257" s="297" t="n"/>
    </row>
    <row r="258" ht="13" customHeight="1" s="189">
      <c r="A258" s="289" t="n"/>
      <c r="B258" s="290" t="n"/>
      <c r="C258" s="290" t="n"/>
      <c r="D258" s="290" t="n"/>
      <c r="E258" s="291" t="n"/>
      <c r="F258" s="291" t="n"/>
      <c r="G258" s="291" t="n"/>
      <c r="H258" s="297" t="n"/>
    </row>
    <row r="259" ht="13" customHeight="1" s="189">
      <c r="A259" s="289" t="n"/>
      <c r="B259" s="290" t="n"/>
      <c r="C259" s="290" t="n"/>
      <c r="D259" s="290" t="n"/>
      <c r="E259" s="291" t="n"/>
      <c r="F259" s="291" t="n"/>
      <c r="G259" s="291" t="n"/>
      <c r="H259" s="297" t="n"/>
    </row>
    <row r="260" ht="13" customHeight="1" s="189">
      <c r="A260" s="289" t="n"/>
      <c r="B260" s="290" t="n"/>
      <c r="C260" s="290" t="n"/>
      <c r="D260" s="290" t="n"/>
      <c r="E260" s="291" t="n"/>
      <c r="F260" s="291" t="n"/>
      <c r="G260" s="291" t="n"/>
      <c r="H260" s="297" t="n"/>
    </row>
    <row r="261" ht="13" customHeight="1" s="189">
      <c r="A261" s="289" t="n"/>
      <c r="B261" s="290" t="n"/>
      <c r="C261" s="290" t="n"/>
      <c r="D261" s="290" t="n"/>
      <c r="E261" s="291" t="n"/>
      <c r="F261" s="291" t="n"/>
      <c r="G261" s="291" t="n"/>
      <c r="H261" s="297" t="n"/>
    </row>
    <row r="262" ht="13" customHeight="1" s="189">
      <c r="A262" s="289" t="n"/>
      <c r="B262" s="290" t="n"/>
      <c r="C262" s="290" t="n"/>
      <c r="D262" s="290" t="n"/>
      <c r="E262" s="291" t="n"/>
      <c r="F262" s="291" t="n"/>
      <c r="G262" s="291" t="n"/>
      <c r="H262" s="297" t="n"/>
    </row>
    <row r="263" ht="13" customHeight="1" s="189">
      <c r="A263" s="289" t="n"/>
      <c r="B263" s="290" t="n"/>
      <c r="C263" s="290" t="n"/>
      <c r="D263" s="290" t="n"/>
      <c r="E263" s="291" t="n"/>
      <c r="F263" s="291" t="n"/>
      <c r="G263" s="291" t="n"/>
      <c r="H263" s="297" t="n"/>
    </row>
    <row r="264" ht="13" customHeight="1" s="189">
      <c r="A264" s="289" t="n"/>
      <c r="B264" s="290" t="n"/>
      <c r="C264" s="290" t="n"/>
      <c r="D264" s="290" t="n"/>
      <c r="E264" s="291" t="n"/>
      <c r="F264" s="291" t="n"/>
      <c r="G264" s="291" t="n"/>
      <c r="H264" s="297" t="n"/>
    </row>
    <row r="265" ht="13" customHeight="1" s="189">
      <c r="A265" s="289" t="n"/>
      <c r="B265" s="290" t="n"/>
      <c r="C265" s="290" t="n"/>
      <c r="D265" s="290" t="n"/>
      <c r="E265" s="291" t="n"/>
      <c r="F265" s="291" t="n"/>
      <c r="G265" s="291" t="n"/>
      <c r="H265" s="297" t="n"/>
    </row>
    <row r="266" ht="13" customHeight="1" s="189">
      <c r="A266" s="289" t="n"/>
      <c r="B266" s="290" t="n"/>
      <c r="C266" s="290" t="n"/>
      <c r="D266" s="290" t="n"/>
      <c r="E266" s="291" t="n"/>
      <c r="F266" s="291" t="n"/>
      <c r="G266" s="291" t="n"/>
      <c r="H266" s="297" t="n"/>
    </row>
    <row r="267" ht="13" customHeight="1" s="189">
      <c r="A267" s="289" t="n"/>
      <c r="B267" s="290" t="n"/>
      <c r="C267" s="290" t="n"/>
      <c r="D267" s="290" t="n"/>
      <c r="E267" s="291" t="n"/>
      <c r="F267" s="291" t="n"/>
      <c r="G267" s="291" t="n"/>
      <c r="H267" s="297" t="n"/>
    </row>
    <row r="268" ht="13" customHeight="1" s="189">
      <c r="A268" s="289" t="n"/>
      <c r="B268" s="290" t="n"/>
      <c r="C268" s="290" t="n"/>
      <c r="D268" s="290" t="n"/>
      <c r="E268" s="291" t="n"/>
      <c r="F268" s="291" t="n"/>
      <c r="G268" s="291" t="n"/>
      <c r="H268" s="297" t="n"/>
    </row>
    <row r="269" ht="13" customHeight="1" s="189">
      <c r="A269" s="289" t="n"/>
      <c r="B269" s="290" t="n"/>
      <c r="C269" s="290" t="n"/>
      <c r="D269" s="290" t="n"/>
      <c r="E269" s="291" t="n"/>
      <c r="F269" s="291" t="n"/>
      <c r="G269" s="291" t="n"/>
      <c r="H269" s="297" t="n"/>
    </row>
    <row r="270" ht="13" customHeight="1" s="189">
      <c r="A270" s="289" t="n"/>
      <c r="B270" s="290" t="n"/>
      <c r="C270" s="290" t="n"/>
      <c r="D270" s="290" t="n"/>
      <c r="E270" s="291" t="n"/>
      <c r="F270" s="291" t="n"/>
      <c r="G270" s="291" t="n"/>
      <c r="H270" s="297" t="n"/>
    </row>
    <row r="271" ht="13" customHeight="1" s="189">
      <c r="A271" s="289" t="n"/>
      <c r="B271" s="290" t="n"/>
      <c r="C271" s="290" t="n"/>
      <c r="D271" s="290" t="n"/>
      <c r="E271" s="291" t="n"/>
      <c r="F271" s="291" t="n"/>
      <c r="G271" s="291" t="n"/>
      <c r="H271" s="297" t="n"/>
    </row>
    <row r="272" ht="13" customHeight="1" s="189">
      <c r="A272" s="289" t="n"/>
      <c r="B272" s="290" t="n"/>
      <c r="C272" s="290" t="n"/>
      <c r="D272" s="290" t="n"/>
      <c r="E272" s="291" t="n"/>
      <c r="F272" s="291" t="n"/>
      <c r="G272" s="291" t="n"/>
      <c r="H272" s="297" t="n"/>
    </row>
    <row r="273" ht="13" customHeight="1" s="189">
      <c r="A273" s="289" t="n"/>
      <c r="B273" s="290" t="n"/>
      <c r="C273" s="290" t="n"/>
      <c r="D273" s="290" t="n"/>
      <c r="E273" s="291" t="n"/>
      <c r="F273" s="291" t="n"/>
      <c r="G273" s="291" t="n"/>
      <c r="H273" s="297" t="n"/>
    </row>
    <row r="274" ht="13" customHeight="1" s="189">
      <c r="A274" s="289" t="n"/>
      <c r="B274" s="290" t="n"/>
      <c r="C274" s="290" t="n"/>
      <c r="D274" s="290" t="n"/>
      <c r="E274" s="291" t="n"/>
      <c r="F274" s="291" t="n"/>
      <c r="G274" s="291" t="n"/>
      <c r="H274" s="297" t="n"/>
    </row>
    <row r="275" ht="13" customHeight="1" s="189">
      <c r="A275" s="289" t="n"/>
      <c r="B275" s="290" t="n"/>
      <c r="C275" s="290" t="n"/>
      <c r="D275" s="290" t="n"/>
      <c r="E275" s="291" t="n"/>
      <c r="F275" s="291" t="n"/>
      <c r="G275" s="291" t="n"/>
      <c r="H275" s="297" t="n"/>
    </row>
    <row r="276" ht="13" customHeight="1" s="189">
      <c r="A276" s="289" t="n"/>
      <c r="B276" s="290" t="n"/>
      <c r="C276" s="290" t="n"/>
      <c r="D276" s="290" t="n"/>
      <c r="E276" s="291" t="n"/>
      <c r="F276" s="291" t="n"/>
      <c r="G276" s="291" t="n"/>
      <c r="H276" s="297" t="n"/>
    </row>
    <row r="277" ht="13" customHeight="1" s="189">
      <c r="A277" s="289" t="n"/>
      <c r="B277" s="290" t="n"/>
      <c r="C277" s="290" t="n"/>
      <c r="D277" s="290" t="n"/>
      <c r="E277" s="291" t="n"/>
      <c r="F277" s="291" t="n"/>
      <c r="G277" s="291" t="n"/>
      <c r="H277" s="297" t="n"/>
    </row>
    <row r="278" ht="13" customHeight="1" s="189">
      <c r="A278" s="289" t="n"/>
      <c r="B278" s="290" t="n"/>
      <c r="C278" s="290" t="n"/>
      <c r="D278" s="290" t="n"/>
      <c r="E278" s="291" t="n"/>
      <c r="F278" s="291" t="n"/>
      <c r="G278" s="291" t="n"/>
      <c r="H278" s="297" t="n"/>
    </row>
    <row r="279" ht="13" customHeight="1" s="189">
      <c r="A279" s="289" t="n"/>
      <c r="B279" s="290" t="n"/>
      <c r="C279" s="290" t="n"/>
      <c r="D279" s="290" t="n"/>
      <c r="E279" s="291" t="n"/>
      <c r="F279" s="291" t="n"/>
      <c r="G279" s="291" t="n"/>
      <c r="H279" s="297" t="n"/>
    </row>
    <row r="280" ht="13" customHeight="1" s="189">
      <c r="A280" s="289" t="n"/>
      <c r="B280" s="290" t="n"/>
      <c r="C280" s="290" t="n"/>
      <c r="D280" s="290" t="n"/>
      <c r="E280" s="291" t="n"/>
      <c r="F280" s="291" t="n"/>
      <c r="G280" s="291" t="n"/>
      <c r="H280" s="297" t="n"/>
    </row>
    <row r="281" ht="13" customHeight="1" s="189">
      <c r="A281" s="289" t="n"/>
      <c r="B281" s="290" t="n"/>
      <c r="C281" s="290" t="n"/>
      <c r="D281" s="290" t="n"/>
      <c r="E281" s="291" t="n"/>
      <c r="F281" s="291" t="n"/>
      <c r="G281" s="291" t="n"/>
      <c r="H281" s="297" t="n"/>
    </row>
    <row r="282" ht="13" customHeight="1" s="189">
      <c r="A282" s="289" t="n"/>
      <c r="B282" s="290" t="n"/>
      <c r="C282" s="290" t="n"/>
      <c r="D282" s="290" t="n"/>
      <c r="E282" s="291" t="n"/>
      <c r="F282" s="291" t="n"/>
      <c r="G282" s="291" t="n"/>
      <c r="H282" s="297" t="n"/>
    </row>
    <row r="283" ht="13" customHeight="1" s="189">
      <c r="A283" s="289" t="n"/>
      <c r="B283" s="290" t="n"/>
      <c r="C283" s="290" t="n"/>
      <c r="D283" s="290" t="n"/>
      <c r="E283" s="291" t="n"/>
      <c r="F283" s="291" t="n"/>
      <c r="G283" s="291" t="n"/>
      <c r="H283" s="297" t="n"/>
    </row>
    <row r="284" ht="13" customHeight="1" s="189">
      <c r="A284" s="289" t="n"/>
      <c r="B284" s="290" t="n"/>
      <c r="C284" s="290" t="n"/>
      <c r="D284" s="290" t="n"/>
      <c r="E284" s="291" t="n"/>
      <c r="F284" s="291" t="n"/>
      <c r="G284" s="291" t="n"/>
      <c r="H284" s="297" t="n"/>
    </row>
    <row r="285" ht="13" customHeight="1" s="189">
      <c r="A285" s="289" t="n"/>
      <c r="B285" s="290" t="n"/>
      <c r="C285" s="290" t="n"/>
      <c r="D285" s="290" t="n"/>
      <c r="E285" s="291" t="n"/>
      <c r="F285" s="291" t="n"/>
      <c r="G285" s="291" t="n"/>
      <c r="H285" s="297" t="n"/>
    </row>
    <row r="286" ht="13" customHeight="1" s="189">
      <c r="A286" s="289" t="n"/>
      <c r="B286" s="290" t="n"/>
      <c r="C286" s="290" t="n"/>
      <c r="D286" s="290" t="n"/>
      <c r="E286" s="291" t="n"/>
      <c r="F286" s="291" t="n"/>
      <c r="G286" s="291" t="n"/>
      <c r="H286" s="297" t="n"/>
    </row>
    <row r="287" ht="13" customHeight="1" s="189">
      <c r="A287" s="289" t="n"/>
      <c r="B287" s="290" t="n"/>
      <c r="C287" s="290" t="n"/>
      <c r="D287" s="290" t="n"/>
      <c r="E287" s="291" t="n"/>
      <c r="F287" s="291" t="n"/>
      <c r="G287" s="291" t="n"/>
      <c r="H287" s="297" t="n"/>
    </row>
    <row r="288" ht="13" customHeight="1" s="189">
      <c r="A288" s="289" t="n"/>
      <c r="B288" s="290" t="n"/>
      <c r="C288" s="290" t="n"/>
      <c r="D288" s="290" t="n"/>
      <c r="E288" s="291" t="n"/>
      <c r="F288" s="291" t="n"/>
      <c r="G288" s="291" t="n"/>
      <c r="H288" s="297" t="n"/>
    </row>
    <row r="289" ht="13" customHeight="1" s="189">
      <c r="A289" s="289" t="n"/>
      <c r="B289" s="290" t="n"/>
      <c r="C289" s="290" t="n"/>
      <c r="D289" s="290" t="n"/>
      <c r="E289" s="291" t="n"/>
      <c r="F289" s="291" t="n"/>
      <c r="G289" s="291" t="n"/>
      <c r="H289" s="297" t="n"/>
    </row>
    <row r="290" ht="13" customHeight="1" s="189">
      <c r="A290" s="289" t="n"/>
      <c r="B290" s="290" t="n"/>
      <c r="C290" s="290" t="n"/>
      <c r="D290" s="290" t="n"/>
      <c r="E290" s="291" t="n"/>
      <c r="F290" s="291" t="n"/>
      <c r="G290" s="291" t="n"/>
      <c r="H290" s="297" t="n"/>
    </row>
    <row r="291" ht="13" customHeight="1" s="189">
      <c r="A291" s="289" t="n"/>
      <c r="B291" s="290" t="n"/>
      <c r="C291" s="290" t="n"/>
      <c r="D291" s="290" t="n"/>
      <c r="E291" s="291" t="n"/>
      <c r="F291" s="291" t="n"/>
      <c r="G291" s="291" t="n"/>
      <c r="H291" s="297" t="n"/>
    </row>
    <row r="292" ht="13" customHeight="1" s="189">
      <c r="A292" s="289" t="n"/>
      <c r="B292" s="290" t="n"/>
      <c r="C292" s="290" t="n"/>
      <c r="D292" s="290" t="n"/>
      <c r="E292" s="291" t="n"/>
      <c r="F292" s="291" t="n"/>
      <c r="G292" s="291" t="n"/>
      <c r="H292" s="297" t="n"/>
    </row>
    <row r="293" ht="13" customHeight="1" s="189">
      <c r="A293" s="289" t="n"/>
      <c r="B293" s="290" t="n"/>
      <c r="C293" s="290" t="n"/>
      <c r="D293" s="290" t="n"/>
      <c r="E293" s="291" t="n"/>
      <c r="F293" s="291" t="n"/>
      <c r="G293" s="291" t="n"/>
      <c r="H293" s="297" t="n"/>
    </row>
    <row r="294" ht="13" customHeight="1" s="189">
      <c r="A294" s="289" t="n"/>
      <c r="B294" s="290" t="n"/>
      <c r="C294" s="290" t="n"/>
      <c r="D294" s="290" t="n"/>
      <c r="E294" s="291" t="n"/>
      <c r="F294" s="291" t="n"/>
      <c r="G294" s="291" t="n"/>
      <c r="H294" s="297" t="n"/>
    </row>
    <row r="295" ht="13" customHeight="1" s="189">
      <c r="A295" s="289" t="n"/>
      <c r="B295" s="290" t="n"/>
      <c r="C295" s="290" t="n"/>
      <c r="D295" s="290" t="n"/>
      <c r="E295" s="291" t="n"/>
      <c r="F295" s="291" t="n"/>
      <c r="G295" s="291" t="n"/>
      <c r="H295" s="297" t="n"/>
    </row>
    <row r="296" ht="13" customHeight="1" s="189">
      <c r="A296" s="289" t="n"/>
      <c r="B296" s="290" t="n"/>
      <c r="C296" s="290" t="n"/>
      <c r="D296" s="290" t="n"/>
      <c r="E296" s="291" t="n"/>
      <c r="F296" s="291" t="n"/>
      <c r="G296" s="291" t="n"/>
      <c r="H296" s="297" t="n"/>
    </row>
    <row r="297" ht="13" customHeight="1" s="189">
      <c r="A297" s="289" t="n"/>
      <c r="B297" s="290" t="n"/>
      <c r="C297" s="290" t="n"/>
      <c r="D297" s="290" t="n"/>
      <c r="E297" s="291" t="n"/>
      <c r="F297" s="291" t="n"/>
      <c r="G297" s="291" t="n"/>
      <c r="H297" s="297" t="n"/>
    </row>
    <row r="298" ht="13" customHeight="1" s="189">
      <c r="A298" s="289" t="n"/>
      <c r="B298" s="290" t="n"/>
      <c r="C298" s="290" t="n"/>
      <c r="D298" s="290" t="n"/>
      <c r="E298" s="291" t="n"/>
      <c r="F298" s="291" t="n"/>
      <c r="G298" s="291" t="n"/>
      <c r="H298" s="297" t="n"/>
    </row>
    <row r="299" ht="13" customHeight="1" s="189">
      <c r="A299" s="289" t="n"/>
      <c r="B299" s="290" t="n"/>
      <c r="C299" s="290" t="n"/>
      <c r="D299" s="290" t="n"/>
      <c r="E299" s="291" t="n"/>
      <c r="F299" s="291" t="n"/>
      <c r="G299" s="291" t="n"/>
      <c r="H299" s="297" t="n"/>
    </row>
    <row r="300" ht="13" customHeight="1" s="189">
      <c r="A300" s="289" t="n"/>
      <c r="B300" s="290" t="n"/>
      <c r="C300" s="290" t="n"/>
      <c r="D300" s="290" t="n"/>
      <c r="E300" s="291" t="n"/>
      <c r="F300" s="291" t="n"/>
      <c r="G300" s="291" t="n"/>
      <c r="H300" s="297" t="n"/>
    </row>
    <row r="301" ht="13" customHeight="1" s="189">
      <c r="A301" s="289" t="n"/>
      <c r="B301" s="290" t="n"/>
      <c r="C301" s="290" t="n"/>
      <c r="D301" s="290" t="n"/>
      <c r="E301" s="291" t="n"/>
      <c r="F301" s="291" t="n"/>
      <c r="G301" s="291" t="n"/>
      <c r="H301" s="297" t="n"/>
    </row>
    <row r="302" ht="13" customHeight="1" s="189">
      <c r="A302" s="289" t="n"/>
      <c r="B302" s="290" t="n"/>
      <c r="C302" s="290" t="n"/>
      <c r="D302" s="290" t="n"/>
      <c r="E302" s="291" t="n"/>
      <c r="F302" s="291" t="n"/>
      <c r="G302" s="291" t="n"/>
      <c r="H302" s="297" t="n"/>
    </row>
    <row r="303" ht="13" customHeight="1" s="189">
      <c r="A303" s="289" t="n"/>
      <c r="B303" s="290" t="n"/>
      <c r="C303" s="290" t="n"/>
      <c r="D303" s="290" t="n"/>
      <c r="E303" s="291" t="n"/>
      <c r="F303" s="291" t="n"/>
      <c r="G303" s="291" t="n"/>
      <c r="H303" s="297" t="n"/>
    </row>
    <row r="304" ht="13" customHeight="1" s="189">
      <c r="A304" s="289" t="n"/>
      <c r="B304" s="290" t="n"/>
      <c r="C304" s="290" t="n"/>
      <c r="D304" s="290" t="n"/>
      <c r="E304" s="291" t="n"/>
      <c r="F304" s="291" t="n"/>
      <c r="G304" s="291" t="n"/>
      <c r="H304" s="297" t="n"/>
    </row>
    <row r="305" ht="13" customHeight="1" s="189">
      <c r="A305" s="289" t="n"/>
      <c r="B305" s="290" t="n"/>
      <c r="C305" s="290" t="n"/>
      <c r="D305" s="290" t="n"/>
      <c r="E305" s="291" t="n"/>
      <c r="F305" s="291" t="n"/>
      <c r="G305" s="291" t="n"/>
      <c r="H305" s="297" t="n"/>
    </row>
    <row r="306" ht="13" customHeight="1" s="189">
      <c r="A306" s="289" t="n"/>
      <c r="B306" s="290" t="n"/>
      <c r="C306" s="290" t="n"/>
      <c r="D306" s="290" t="n"/>
      <c r="E306" s="291" t="n"/>
      <c r="F306" s="291" t="n"/>
      <c r="G306" s="291" t="n"/>
      <c r="H306" s="297" t="n"/>
    </row>
    <row r="307" ht="13" customHeight="1" s="189">
      <c r="A307" s="289" t="n"/>
      <c r="B307" s="290" t="n"/>
      <c r="C307" s="290" t="n"/>
      <c r="D307" s="290" t="n"/>
      <c r="E307" s="291" t="n"/>
      <c r="F307" s="291" t="n"/>
      <c r="G307" s="291" t="n"/>
      <c r="H307" s="297" t="n"/>
    </row>
    <row r="308" ht="13" customHeight="1" s="189">
      <c r="A308" s="289" t="n"/>
      <c r="B308" s="290" t="n"/>
      <c r="C308" s="290" t="n"/>
      <c r="D308" s="290" t="n"/>
      <c r="E308" s="291" t="n"/>
      <c r="F308" s="291" t="n"/>
      <c r="G308" s="291" t="n"/>
      <c r="H308" s="297" t="n"/>
    </row>
    <row r="309" ht="13" customHeight="1" s="189">
      <c r="A309" s="289" t="n"/>
      <c r="B309" s="290" t="n"/>
      <c r="C309" s="290" t="n"/>
      <c r="D309" s="290" t="n"/>
      <c r="E309" s="291" t="n"/>
      <c r="F309" s="291" t="n"/>
      <c r="G309" s="291" t="n"/>
      <c r="H309" s="297" t="n"/>
    </row>
    <row r="310" ht="13" customHeight="1" s="189">
      <c r="A310" s="289" t="n"/>
      <c r="B310" s="290" t="n"/>
      <c r="C310" s="290" t="n"/>
      <c r="D310" s="290" t="n"/>
      <c r="E310" s="291" t="n"/>
      <c r="F310" s="291" t="n"/>
      <c r="G310" s="291" t="n"/>
      <c r="H310" s="297" t="n"/>
    </row>
    <row r="311" ht="13" customHeight="1" s="189">
      <c r="A311" s="289" t="n"/>
      <c r="B311" s="290" t="n"/>
      <c r="C311" s="290" t="n"/>
      <c r="D311" s="290" t="n"/>
      <c r="E311" s="291" t="n"/>
      <c r="F311" s="291" t="n"/>
      <c r="G311" s="291" t="n"/>
      <c r="H311" s="297" t="n"/>
    </row>
    <row r="312" ht="13" customHeight="1" s="189">
      <c r="A312" s="289" t="n"/>
      <c r="B312" s="290" t="n"/>
      <c r="C312" s="290" t="n"/>
      <c r="D312" s="290" t="n"/>
      <c r="E312" s="291" t="n"/>
      <c r="F312" s="291" t="n"/>
      <c r="G312" s="291" t="n"/>
      <c r="H312" s="297" t="n"/>
    </row>
    <row r="313" ht="13" customHeight="1" s="189">
      <c r="A313" s="289" t="n"/>
      <c r="B313" s="290" t="n"/>
      <c r="C313" s="290" t="n"/>
      <c r="D313" s="290" t="n"/>
      <c r="E313" s="291" t="n"/>
      <c r="F313" s="291" t="n"/>
      <c r="G313" s="291" t="n"/>
      <c r="H313" s="297" t="n"/>
    </row>
    <row r="314" ht="13" customHeight="1" s="189">
      <c r="A314" s="289" t="n"/>
      <c r="B314" s="290" t="n"/>
      <c r="C314" s="290" t="n"/>
      <c r="D314" s="290" t="n"/>
      <c r="E314" s="291" t="n"/>
      <c r="F314" s="291" t="n"/>
      <c r="G314" s="291" t="n"/>
      <c r="H314" s="297" t="n"/>
    </row>
    <row r="315" ht="13" customHeight="1" s="189">
      <c r="A315" s="289" t="n"/>
      <c r="B315" s="290" t="n"/>
      <c r="C315" s="290" t="n"/>
      <c r="D315" s="290" t="n"/>
      <c r="E315" s="291" t="n"/>
      <c r="F315" s="291" t="n"/>
      <c r="G315" s="291" t="n"/>
      <c r="H315" s="297" t="n"/>
    </row>
    <row r="316" ht="13" customHeight="1" s="189">
      <c r="A316" s="289" t="n"/>
      <c r="B316" s="290" t="n"/>
      <c r="C316" s="290" t="n"/>
      <c r="D316" s="290" t="n"/>
      <c r="E316" s="291" t="n"/>
      <c r="F316" s="291" t="n"/>
      <c r="G316" s="291" t="n"/>
      <c r="H316" s="297" t="n"/>
    </row>
    <row r="317" ht="13" customHeight="1" s="189">
      <c r="A317" s="289" t="n"/>
      <c r="B317" s="290" t="n"/>
      <c r="C317" s="290" t="n"/>
      <c r="D317" s="290" t="n"/>
      <c r="E317" s="291" t="n"/>
      <c r="F317" s="291" t="n"/>
      <c r="G317" s="291" t="n"/>
      <c r="H317" s="297" t="n"/>
    </row>
    <row r="318" ht="13" customHeight="1" s="189">
      <c r="A318" s="289" t="n"/>
      <c r="B318" s="290" t="n"/>
      <c r="C318" s="290" t="n"/>
      <c r="D318" s="290" t="n"/>
      <c r="E318" s="291" t="n"/>
      <c r="F318" s="291" t="n"/>
      <c r="G318" s="291" t="n"/>
      <c r="H318" s="297" t="n"/>
    </row>
    <row r="319" ht="13" customHeight="1" s="189">
      <c r="A319" s="289" t="n"/>
      <c r="B319" s="290" t="n"/>
      <c r="C319" s="290" t="n"/>
      <c r="D319" s="290" t="n"/>
      <c r="E319" s="291" t="n"/>
      <c r="F319" s="291" t="n"/>
      <c r="G319" s="291" t="n"/>
      <c r="H319" s="297" t="n"/>
    </row>
    <row r="320" ht="13" customHeight="1" s="189">
      <c r="A320" s="289" t="n"/>
      <c r="B320" s="290" t="n"/>
      <c r="C320" s="290" t="n"/>
      <c r="D320" s="290" t="n"/>
      <c r="E320" s="291" t="n"/>
      <c r="F320" s="291" t="n"/>
      <c r="G320" s="291" t="n"/>
      <c r="H320" s="297" t="n"/>
    </row>
    <row r="321" ht="13" customHeight="1" s="189">
      <c r="A321" s="289" t="n"/>
      <c r="B321" s="290" t="n"/>
      <c r="C321" s="290" t="n"/>
      <c r="D321" s="290" t="n"/>
      <c r="E321" s="291" t="n"/>
      <c r="F321" s="291" t="n"/>
      <c r="G321" s="291" t="n"/>
      <c r="H321" s="297" t="n"/>
    </row>
    <row r="322" ht="13" customHeight="1" s="189">
      <c r="A322" s="289" t="n"/>
      <c r="B322" s="290" t="n"/>
      <c r="C322" s="290" t="n"/>
      <c r="D322" s="290" t="n"/>
      <c r="E322" s="291" t="n"/>
      <c r="F322" s="291" t="n"/>
      <c r="G322" s="291" t="n"/>
      <c r="H322" s="297" t="n"/>
    </row>
    <row r="323" ht="13" customHeight="1" s="189">
      <c r="A323" s="289" t="n"/>
      <c r="B323" s="290" t="n"/>
      <c r="C323" s="290" t="n"/>
      <c r="D323" s="290" t="n"/>
      <c r="E323" s="291" t="n"/>
      <c r="F323" s="291" t="n"/>
      <c r="G323" s="291" t="n"/>
      <c r="H323" s="297" t="n"/>
    </row>
    <row r="324" ht="13" customHeight="1" s="189">
      <c r="A324" s="289" t="n"/>
      <c r="B324" s="290" t="n"/>
      <c r="C324" s="290" t="n"/>
      <c r="D324" s="290" t="n"/>
      <c r="E324" s="291" t="n"/>
      <c r="F324" s="291" t="n"/>
      <c r="G324" s="291" t="n"/>
      <c r="H324" s="297" t="n"/>
    </row>
    <row r="325" ht="13" customHeight="1" s="189">
      <c r="A325" s="289" t="n"/>
      <c r="B325" s="290" t="n"/>
      <c r="C325" s="290" t="n"/>
      <c r="D325" s="290" t="n"/>
      <c r="E325" s="291" t="n"/>
      <c r="F325" s="291" t="n"/>
      <c r="G325" s="291" t="n"/>
      <c r="H325" s="297" t="n"/>
    </row>
    <row r="326" ht="13" customHeight="1" s="189">
      <c r="A326" s="289" t="n"/>
      <c r="B326" s="290" t="n"/>
      <c r="C326" s="290" t="n"/>
      <c r="D326" s="290" t="n"/>
      <c r="E326" s="291" t="n"/>
      <c r="F326" s="291" t="n"/>
      <c r="G326" s="291" t="n"/>
      <c r="H326" s="297" t="n"/>
    </row>
    <row r="327" ht="13" customHeight="1" s="189">
      <c r="A327" s="289" t="n"/>
      <c r="B327" s="290" t="n"/>
      <c r="C327" s="290" t="n"/>
      <c r="D327" s="290" t="n"/>
      <c r="E327" s="291" t="n"/>
      <c r="F327" s="291" t="n"/>
      <c r="G327" s="291" t="n"/>
      <c r="H327" s="297" t="n"/>
    </row>
    <row r="328" ht="13" customHeight="1" s="189">
      <c r="A328" s="289" t="n"/>
      <c r="B328" s="290" t="n"/>
      <c r="C328" s="290" t="n"/>
      <c r="D328" s="290" t="n"/>
      <c r="E328" s="291" t="n"/>
      <c r="F328" s="291" t="n"/>
      <c r="G328" s="291" t="n"/>
      <c r="H328" s="297" t="n"/>
    </row>
    <row r="329" ht="13" customHeight="1" s="189">
      <c r="A329" s="289" t="n"/>
      <c r="B329" s="290" t="n"/>
      <c r="C329" s="290" t="n"/>
      <c r="D329" s="290" t="n"/>
      <c r="E329" s="291" t="n"/>
      <c r="F329" s="291" t="n"/>
      <c r="G329" s="291" t="n"/>
      <c r="H329" s="297" t="n"/>
    </row>
    <row r="330" ht="13" customHeight="1" s="189">
      <c r="A330" s="289" t="n"/>
      <c r="B330" s="290" t="n"/>
      <c r="C330" s="290" t="n"/>
      <c r="D330" s="290" t="n"/>
      <c r="E330" s="291" t="n"/>
      <c r="F330" s="291" t="n"/>
      <c r="G330" s="291" t="n"/>
      <c r="H330" s="297" t="n"/>
    </row>
    <row r="331" ht="13" customHeight="1" s="189">
      <c r="A331" s="289" t="n"/>
      <c r="B331" s="290" t="n"/>
      <c r="C331" s="290" t="n"/>
      <c r="D331" s="290" t="n"/>
      <c r="E331" s="291" t="n"/>
      <c r="F331" s="291" t="n"/>
      <c r="G331" s="291" t="n"/>
      <c r="H331" s="297" t="n"/>
    </row>
    <row r="332" ht="13" customHeight="1" s="189">
      <c r="A332" s="289" t="n"/>
      <c r="B332" s="290" t="n"/>
      <c r="C332" s="290" t="n"/>
      <c r="D332" s="290" t="n"/>
      <c r="E332" s="291" t="n"/>
      <c r="F332" s="291" t="n"/>
      <c r="G332" s="291" t="n"/>
      <c r="H332" s="297" t="n"/>
    </row>
    <row r="333" ht="13" customHeight="1" s="189">
      <c r="A333" s="289" t="n"/>
      <c r="B333" s="290" t="n"/>
      <c r="C333" s="290" t="n"/>
      <c r="D333" s="290" t="n"/>
      <c r="E333" s="291" t="n"/>
      <c r="F333" s="291" t="n"/>
      <c r="G333" s="291" t="n"/>
      <c r="H333" s="297" t="n"/>
    </row>
    <row r="334" ht="13" customHeight="1" s="189">
      <c r="A334" s="289" t="n"/>
      <c r="B334" s="290" t="n"/>
      <c r="C334" s="290" t="n"/>
      <c r="D334" s="290" t="n"/>
      <c r="E334" s="291" t="n"/>
      <c r="F334" s="291" t="n"/>
      <c r="G334" s="291" t="n"/>
      <c r="H334" s="297" t="n"/>
    </row>
    <row r="335" ht="13" customHeight="1" s="189">
      <c r="A335" s="289" t="n"/>
      <c r="B335" s="290" t="n"/>
      <c r="C335" s="290" t="n"/>
      <c r="D335" s="290" t="n"/>
      <c r="E335" s="291" t="n"/>
      <c r="F335" s="291" t="n"/>
      <c r="G335" s="291" t="n"/>
      <c r="H335" s="297" t="n"/>
    </row>
    <row r="336" ht="13" customHeight="1" s="189">
      <c r="A336" s="289" t="n"/>
      <c r="B336" s="290" t="n"/>
      <c r="C336" s="290" t="n"/>
      <c r="D336" s="290" t="n"/>
      <c r="E336" s="291" t="n"/>
      <c r="F336" s="291" t="n"/>
      <c r="G336" s="291" t="n"/>
      <c r="H336" s="297" t="n"/>
    </row>
    <row r="337" ht="13" customHeight="1" s="189">
      <c r="A337" s="289" t="n"/>
      <c r="B337" s="290" t="n"/>
      <c r="C337" s="290" t="n"/>
      <c r="D337" s="290" t="n"/>
      <c r="E337" s="291" t="n"/>
      <c r="F337" s="291" t="n"/>
      <c r="G337" s="291" t="n"/>
      <c r="H337" s="297" t="n"/>
    </row>
    <row r="338" ht="13" customHeight="1" s="189">
      <c r="A338" s="289" t="n"/>
      <c r="B338" s="290" t="n"/>
      <c r="C338" s="290" t="n"/>
      <c r="D338" s="290" t="n"/>
      <c r="E338" s="291" t="n"/>
      <c r="F338" s="291" t="n"/>
      <c r="G338" s="291" t="n"/>
      <c r="H338" s="297" t="n"/>
    </row>
    <row r="339" ht="13" customHeight="1" s="189">
      <c r="A339" s="289" t="n"/>
      <c r="B339" s="290" t="n"/>
      <c r="C339" s="290" t="n"/>
      <c r="D339" s="290" t="n"/>
      <c r="E339" s="291" t="n"/>
      <c r="F339" s="291" t="n"/>
      <c r="G339" s="291" t="n"/>
      <c r="H339" s="297" t="n"/>
    </row>
    <row r="340" ht="13" customHeight="1" s="189">
      <c r="A340" s="289" t="n"/>
      <c r="B340" s="290" t="n"/>
      <c r="C340" s="290" t="n"/>
      <c r="D340" s="290" t="n"/>
      <c r="E340" s="291" t="n"/>
      <c r="F340" s="291" t="n"/>
      <c r="G340" s="291" t="n"/>
      <c r="H340" s="297" t="n"/>
    </row>
    <row r="341" ht="13" customHeight="1" s="189">
      <c r="A341" s="289" t="n"/>
      <c r="B341" s="290" t="n"/>
      <c r="C341" s="290" t="n"/>
      <c r="D341" s="290" t="n"/>
      <c r="E341" s="291" t="n"/>
      <c r="F341" s="291" t="n"/>
      <c r="G341" s="291" t="n"/>
      <c r="H341" s="297" t="n"/>
    </row>
    <row r="342" ht="13" customHeight="1" s="189">
      <c r="A342" s="289" t="n"/>
      <c r="B342" s="290" t="n"/>
      <c r="C342" s="290" t="n"/>
      <c r="D342" s="290" t="n"/>
      <c r="E342" s="291" t="n"/>
      <c r="F342" s="291" t="n"/>
      <c r="G342" s="291" t="n"/>
      <c r="H342" s="297" t="n"/>
    </row>
    <row r="343" ht="13" customHeight="1" s="189">
      <c r="A343" s="289" t="n"/>
      <c r="B343" s="290" t="n"/>
      <c r="C343" s="290" t="n"/>
      <c r="D343" s="290" t="n"/>
      <c r="E343" s="291" t="n"/>
      <c r="F343" s="291" t="n"/>
      <c r="G343" s="291" t="n"/>
      <c r="H343" s="297" t="n"/>
    </row>
    <row r="344" ht="13" customHeight="1" s="189">
      <c r="A344" s="289" t="n"/>
      <c r="B344" s="290" t="n"/>
      <c r="C344" s="290" t="n"/>
      <c r="D344" s="290" t="n"/>
      <c r="E344" s="291" t="n"/>
      <c r="F344" s="291" t="n"/>
      <c r="G344" s="291" t="n"/>
      <c r="H344" s="297" t="n"/>
    </row>
    <row r="345" ht="13" customHeight="1" s="189">
      <c r="A345" s="289" t="n"/>
      <c r="B345" s="290" t="n"/>
      <c r="C345" s="290" t="n"/>
      <c r="D345" s="290" t="n"/>
      <c r="E345" s="291" t="n"/>
      <c r="F345" s="291" t="n"/>
      <c r="G345" s="291" t="n"/>
      <c r="H345" s="297" t="n"/>
    </row>
    <row r="346" ht="13" customHeight="1" s="189">
      <c r="A346" s="289" t="n"/>
      <c r="B346" s="290" t="n"/>
      <c r="C346" s="290" t="n"/>
      <c r="D346" s="290" t="n"/>
      <c r="E346" s="291" t="n"/>
      <c r="F346" s="291" t="n"/>
      <c r="G346" s="291" t="n"/>
      <c r="H346" s="297" t="n"/>
    </row>
    <row r="347" ht="13" customHeight="1" s="189">
      <c r="A347" s="289" t="n"/>
      <c r="B347" s="290" t="n"/>
      <c r="C347" s="290" t="n"/>
      <c r="D347" s="290" t="n"/>
      <c r="E347" s="291" t="n"/>
      <c r="F347" s="291" t="n"/>
      <c r="G347" s="291" t="n"/>
      <c r="H347" s="297" t="n"/>
    </row>
    <row r="348" ht="13" customHeight="1" s="189">
      <c r="A348" s="289" t="n"/>
      <c r="B348" s="290" t="n"/>
      <c r="C348" s="290" t="n"/>
      <c r="D348" s="290" t="n"/>
      <c r="E348" s="291" t="n"/>
      <c r="F348" s="291" t="n"/>
      <c r="G348" s="291" t="n"/>
      <c r="H348" s="297" t="n"/>
    </row>
    <row r="349" ht="13" customHeight="1" s="189">
      <c r="A349" s="289" t="n"/>
      <c r="B349" s="290" t="n"/>
      <c r="C349" s="290" t="n"/>
      <c r="D349" s="290" t="n"/>
      <c r="E349" s="291" t="n"/>
      <c r="F349" s="291" t="n"/>
      <c r="G349" s="291" t="n"/>
      <c r="H349" s="297" t="n"/>
    </row>
    <row r="350" ht="13" customHeight="1" s="189">
      <c r="A350" s="289" t="n"/>
      <c r="B350" s="290" t="n"/>
      <c r="C350" s="290" t="n"/>
      <c r="D350" s="290" t="n"/>
      <c r="E350" s="291" t="n"/>
      <c r="F350" s="291" t="n"/>
      <c r="G350" s="291" t="n"/>
      <c r="H350" s="297" t="n"/>
    </row>
    <row r="351" ht="13" customHeight="1" s="189">
      <c r="A351" s="289" t="n"/>
      <c r="B351" s="290" t="n"/>
      <c r="C351" s="290" t="n"/>
      <c r="D351" s="290" t="n"/>
      <c r="E351" s="291" t="n"/>
      <c r="F351" s="291" t="n"/>
      <c r="G351" s="291" t="n"/>
      <c r="H351" s="297" t="n"/>
    </row>
    <row r="352" ht="13" customHeight="1" s="189">
      <c r="A352" s="289" t="n"/>
      <c r="B352" s="290" t="n"/>
      <c r="C352" s="290" t="n"/>
      <c r="D352" s="290" t="n"/>
      <c r="E352" s="291" t="n"/>
      <c r="F352" s="291" t="n"/>
      <c r="G352" s="291" t="n"/>
      <c r="H352" s="297" t="n"/>
    </row>
    <row r="353" ht="13" customHeight="1" s="189">
      <c r="A353" s="289" t="n"/>
      <c r="B353" s="290" t="n"/>
      <c r="C353" s="290" t="n"/>
      <c r="D353" s="290" t="n"/>
      <c r="E353" s="291" t="n"/>
      <c r="F353" s="291" t="n"/>
      <c r="G353" s="291" t="n"/>
      <c r="H353" s="297" t="n"/>
    </row>
    <row r="354" ht="13" customHeight="1" s="189">
      <c r="A354" s="289" t="n"/>
      <c r="B354" s="290" t="n"/>
      <c r="C354" s="290" t="n"/>
      <c r="D354" s="290" t="n"/>
      <c r="E354" s="291" t="n"/>
      <c r="F354" s="291" t="n"/>
      <c r="G354" s="291" t="n"/>
      <c r="H354" s="297" t="n"/>
    </row>
    <row r="355" ht="13" customHeight="1" s="189">
      <c r="A355" s="289" t="n"/>
      <c r="B355" s="290" t="n"/>
      <c r="C355" s="290" t="n"/>
      <c r="D355" s="290" t="n"/>
      <c r="E355" s="291" t="n"/>
      <c r="F355" s="291" t="n"/>
      <c r="G355" s="291" t="n"/>
      <c r="H355" s="297" t="n"/>
    </row>
    <row r="356" ht="13" customHeight="1" s="189">
      <c r="A356" s="289" t="n"/>
      <c r="B356" s="290" t="n"/>
      <c r="C356" s="290" t="n"/>
      <c r="D356" s="290" t="n"/>
      <c r="E356" s="291" t="n"/>
      <c r="F356" s="291" t="n"/>
      <c r="G356" s="291" t="n"/>
      <c r="H356" s="297" t="n"/>
    </row>
    <row r="357" ht="13" customHeight="1" s="189">
      <c r="A357" s="289" t="n"/>
      <c r="B357" s="290" t="n"/>
      <c r="C357" s="290" t="n"/>
      <c r="D357" s="290" t="n"/>
      <c r="E357" s="291" t="n"/>
      <c r="F357" s="291" t="n"/>
      <c r="G357" s="291" t="n"/>
      <c r="H357" s="297" t="n"/>
    </row>
    <row r="358" ht="13" customHeight="1" s="189">
      <c r="A358" s="289" t="n"/>
      <c r="B358" s="290" t="n"/>
      <c r="C358" s="290" t="n"/>
      <c r="D358" s="290" t="n"/>
      <c r="E358" s="291" t="n"/>
      <c r="F358" s="291" t="n"/>
      <c r="G358" s="291" t="n"/>
      <c r="H358" s="297" t="n"/>
    </row>
    <row r="359" ht="13" customHeight="1" s="189">
      <c r="A359" s="289" t="n"/>
      <c r="B359" s="290" t="n"/>
      <c r="C359" s="290" t="n"/>
      <c r="D359" s="290" t="n"/>
      <c r="E359" s="291" t="n"/>
      <c r="F359" s="291" t="n"/>
      <c r="G359" s="291" t="n"/>
      <c r="H359" s="297" t="n"/>
    </row>
    <row r="360" ht="13" customHeight="1" s="189">
      <c r="A360" s="289" t="n"/>
      <c r="B360" s="290" t="n"/>
      <c r="C360" s="290" t="n"/>
      <c r="D360" s="290" t="n"/>
      <c r="E360" s="291" t="n"/>
      <c r="F360" s="291" t="n"/>
      <c r="G360" s="291" t="n"/>
      <c r="H360" s="297" t="n"/>
    </row>
    <row r="361" ht="13" customHeight="1" s="189">
      <c r="A361" s="289" t="n"/>
      <c r="B361" s="290" t="n"/>
      <c r="C361" s="290" t="n"/>
      <c r="D361" s="290" t="n"/>
      <c r="E361" s="291" t="n"/>
      <c r="F361" s="291" t="n"/>
      <c r="G361" s="291" t="n"/>
      <c r="H361" s="297" t="n"/>
    </row>
    <row r="362" ht="13" customHeight="1" s="189">
      <c r="A362" s="289" t="n"/>
      <c r="B362" s="290" t="n"/>
      <c r="C362" s="290" t="n"/>
      <c r="D362" s="290" t="n"/>
      <c r="E362" s="291" t="n"/>
      <c r="F362" s="291" t="n"/>
      <c r="G362" s="291" t="n"/>
      <c r="H362" s="297" t="n"/>
    </row>
    <row r="363" ht="13" customHeight="1" s="189">
      <c r="A363" s="289" t="n"/>
      <c r="B363" s="290" t="n"/>
      <c r="C363" s="290" t="n"/>
      <c r="D363" s="290" t="n"/>
      <c r="E363" s="291" t="n"/>
      <c r="F363" s="291" t="n"/>
      <c r="G363" s="291" t="n"/>
      <c r="H363" s="297" t="n"/>
    </row>
    <row r="364" ht="13" customHeight="1" s="189">
      <c r="A364" s="289" t="n"/>
      <c r="B364" s="290" t="n"/>
      <c r="C364" s="290" t="n"/>
      <c r="D364" s="290" t="n"/>
      <c r="E364" s="291" t="n"/>
      <c r="F364" s="291" t="n"/>
      <c r="G364" s="291" t="n"/>
      <c r="H364" s="297" t="n"/>
    </row>
    <row r="365" ht="13" customHeight="1" s="189">
      <c r="A365" s="289" t="n"/>
      <c r="B365" s="290" t="n"/>
      <c r="C365" s="290" t="n"/>
      <c r="D365" s="290" t="n"/>
      <c r="E365" s="291" t="n"/>
      <c r="F365" s="291" t="n"/>
      <c r="G365" s="291" t="n"/>
      <c r="H365" s="297" t="n"/>
    </row>
    <row r="366" ht="13" customHeight="1" s="189">
      <c r="A366" s="289" t="n"/>
      <c r="B366" s="290" t="n"/>
      <c r="C366" s="290" t="n"/>
      <c r="D366" s="290" t="n"/>
      <c r="E366" s="291" t="n"/>
      <c r="F366" s="291" t="n"/>
      <c r="G366" s="291" t="n"/>
      <c r="H366" s="297" t="n"/>
    </row>
    <row r="367" ht="13" customHeight="1" s="189">
      <c r="A367" s="289" t="n"/>
      <c r="B367" s="290" t="n"/>
      <c r="C367" s="290" t="n"/>
      <c r="D367" s="290" t="n"/>
      <c r="E367" s="291" t="n"/>
      <c r="F367" s="291" t="n"/>
      <c r="G367" s="291" t="n"/>
      <c r="H367" s="297" t="n"/>
    </row>
    <row r="368" ht="13" customHeight="1" s="189">
      <c r="A368" s="289" t="n"/>
      <c r="B368" s="290" t="n"/>
      <c r="C368" s="290" t="n"/>
      <c r="D368" s="290" t="n"/>
      <c r="E368" s="291" t="n"/>
      <c r="F368" s="291" t="n"/>
      <c r="G368" s="291" t="n"/>
      <c r="H368" s="297" t="n"/>
    </row>
    <row r="369" ht="13" customHeight="1" s="189">
      <c r="A369" s="289" t="n"/>
      <c r="B369" s="290" t="n"/>
      <c r="C369" s="290" t="n"/>
      <c r="D369" s="290" t="n"/>
      <c r="E369" s="291" t="n"/>
      <c r="F369" s="291" t="n"/>
      <c r="G369" s="291" t="n"/>
      <c r="H369" s="297" t="n"/>
    </row>
    <row r="370" ht="13" customHeight="1" s="189">
      <c r="A370" s="289" t="n"/>
      <c r="B370" s="290" t="n"/>
      <c r="C370" s="290" t="n"/>
      <c r="D370" s="290" t="n"/>
      <c r="E370" s="291" t="n"/>
      <c r="F370" s="291" t="n"/>
      <c r="G370" s="291" t="n"/>
      <c r="H370" s="297" t="n"/>
    </row>
    <row r="371" ht="13" customHeight="1" s="189">
      <c r="A371" s="289" t="n"/>
      <c r="B371" s="290" t="n"/>
      <c r="C371" s="290" t="n"/>
      <c r="D371" s="290" t="n"/>
      <c r="E371" s="291" t="n"/>
      <c r="F371" s="291" t="n"/>
      <c r="G371" s="291" t="n"/>
      <c r="H371" s="297" t="n"/>
    </row>
    <row r="372" ht="13" customHeight="1" s="189">
      <c r="A372" s="289" t="n"/>
      <c r="B372" s="290" t="n"/>
      <c r="C372" s="290" t="n"/>
      <c r="D372" s="290" t="n"/>
      <c r="E372" s="291" t="n"/>
      <c r="F372" s="291" t="n"/>
      <c r="G372" s="291" t="n"/>
      <c r="H372" s="297" t="n"/>
    </row>
    <row r="373" ht="13" customHeight="1" s="189">
      <c r="A373" s="289" t="n"/>
      <c r="B373" s="290" t="n"/>
      <c r="C373" s="290" t="n"/>
      <c r="D373" s="290" t="n"/>
      <c r="E373" s="291" t="n"/>
      <c r="F373" s="291" t="n"/>
      <c r="G373" s="291" t="n"/>
      <c r="H373" s="297" t="n"/>
    </row>
    <row r="374" ht="13" customHeight="1" s="189">
      <c r="A374" s="289" t="n"/>
      <c r="B374" s="290" t="n"/>
      <c r="C374" s="290" t="n"/>
      <c r="D374" s="290" t="n"/>
      <c r="E374" s="291" t="n"/>
      <c r="F374" s="291" t="n"/>
      <c r="G374" s="291" t="n"/>
      <c r="H374" s="297" t="n"/>
    </row>
    <row r="375" ht="13" customHeight="1" s="189">
      <c r="A375" s="289" t="n"/>
      <c r="B375" s="290" t="n"/>
      <c r="C375" s="290" t="n"/>
      <c r="D375" s="290" t="n"/>
      <c r="E375" s="291" t="n"/>
      <c r="F375" s="291" t="n"/>
      <c r="G375" s="291" t="n"/>
      <c r="H375" s="297" t="n"/>
    </row>
    <row r="376" ht="13" customHeight="1" s="189">
      <c r="A376" s="289" t="n"/>
      <c r="B376" s="290" t="n"/>
      <c r="C376" s="290" t="n"/>
      <c r="D376" s="290" t="n"/>
      <c r="E376" s="291" t="n"/>
      <c r="F376" s="291" t="n"/>
      <c r="G376" s="291" t="n"/>
      <c r="H376" s="297" t="n"/>
    </row>
    <row r="377" ht="13" customHeight="1" s="189">
      <c r="A377" s="289" t="n"/>
      <c r="B377" s="290" t="n"/>
      <c r="C377" s="290" t="n"/>
      <c r="D377" s="290" t="n"/>
      <c r="E377" s="291" t="n"/>
      <c r="F377" s="291" t="n"/>
      <c r="G377" s="291" t="n"/>
      <c r="H377" s="297" t="n"/>
    </row>
    <row r="378" ht="13" customHeight="1" s="189">
      <c r="A378" s="289" t="n"/>
      <c r="B378" s="290" t="n"/>
      <c r="C378" s="290" t="n"/>
      <c r="D378" s="290" t="n"/>
      <c r="E378" s="291" t="n"/>
      <c r="F378" s="291" t="n"/>
      <c r="G378" s="291" t="n"/>
      <c r="H378" s="297" t="n"/>
    </row>
    <row r="379" ht="13" customHeight="1" s="189">
      <c r="A379" s="289" t="n"/>
      <c r="B379" s="290" t="n"/>
      <c r="C379" s="290" t="n"/>
      <c r="D379" s="290" t="n"/>
      <c r="E379" s="291" t="n"/>
      <c r="F379" s="291" t="n"/>
      <c r="G379" s="291" t="n"/>
      <c r="H379" s="297" t="n"/>
    </row>
    <row r="380" ht="13" customHeight="1" s="189">
      <c r="A380" s="289" t="n"/>
      <c r="B380" s="290" t="n"/>
      <c r="C380" s="290" t="n"/>
      <c r="D380" s="290" t="n"/>
      <c r="E380" s="291" t="n"/>
      <c r="F380" s="291" t="n"/>
      <c r="G380" s="291" t="n"/>
      <c r="H380" s="297" t="n"/>
    </row>
    <row r="381" ht="13" customHeight="1" s="189">
      <c r="A381" s="289" t="n"/>
      <c r="B381" s="290" t="n"/>
      <c r="C381" s="290" t="n"/>
      <c r="D381" s="290" t="n"/>
      <c r="E381" s="291" t="n"/>
      <c r="F381" s="291" t="n"/>
      <c r="G381" s="291" t="n"/>
      <c r="H381" s="297" t="n"/>
    </row>
    <row r="382" ht="13" customHeight="1" s="189">
      <c r="A382" s="289" t="n"/>
      <c r="B382" s="290" t="n"/>
      <c r="C382" s="290" t="n"/>
      <c r="D382" s="290" t="n"/>
      <c r="E382" s="291" t="n"/>
      <c r="F382" s="291" t="n"/>
      <c r="G382" s="291" t="n"/>
      <c r="H382" s="297" t="n"/>
    </row>
    <row r="383" ht="13" customHeight="1" s="189">
      <c r="A383" s="289" t="n"/>
      <c r="B383" s="290" t="n"/>
      <c r="C383" s="290" t="n"/>
      <c r="D383" s="290" t="n"/>
      <c r="E383" s="291" t="n"/>
      <c r="F383" s="291" t="n"/>
      <c r="G383" s="291" t="n"/>
      <c r="H383" s="297" t="n"/>
    </row>
    <row r="384" ht="13" customHeight="1" s="189">
      <c r="A384" s="289" t="n"/>
      <c r="B384" s="290" t="n"/>
      <c r="C384" s="290" t="n"/>
      <c r="D384" s="290" t="n"/>
      <c r="E384" s="291" t="n"/>
      <c r="F384" s="291" t="n"/>
      <c r="G384" s="291" t="n"/>
      <c r="H384" s="297" t="n"/>
    </row>
    <row r="385" ht="13" customHeight="1" s="189">
      <c r="A385" s="289" t="n"/>
      <c r="B385" s="290" t="n"/>
      <c r="C385" s="290" t="n"/>
      <c r="D385" s="290" t="n"/>
      <c r="E385" s="291" t="n"/>
      <c r="F385" s="291" t="n"/>
      <c r="G385" s="291" t="n"/>
      <c r="H385" s="297" t="n"/>
    </row>
    <row r="386" ht="13" customHeight="1" s="189">
      <c r="A386" s="289" t="n"/>
      <c r="B386" s="290" t="n"/>
      <c r="C386" s="290" t="n"/>
      <c r="D386" s="290" t="n"/>
      <c r="E386" s="291" t="n"/>
      <c r="F386" s="291" t="n"/>
      <c r="G386" s="291" t="n"/>
      <c r="H386" s="297" t="n"/>
    </row>
    <row r="387" ht="13" customHeight="1" s="189">
      <c r="A387" s="289" t="n"/>
      <c r="B387" s="290" t="n"/>
      <c r="C387" s="290" t="n"/>
      <c r="D387" s="290" t="n"/>
      <c r="E387" s="291" t="n"/>
      <c r="F387" s="291" t="n"/>
      <c r="G387" s="291" t="n"/>
      <c r="H387" s="297" t="n"/>
    </row>
    <row r="388" ht="13" customHeight="1" s="189">
      <c r="A388" s="289" t="n"/>
      <c r="B388" s="290" t="n"/>
      <c r="C388" s="290" t="n"/>
      <c r="D388" s="290" t="n"/>
      <c r="E388" s="291" t="n"/>
      <c r="F388" s="291" t="n"/>
      <c r="G388" s="291" t="n"/>
      <c r="H388" s="297" t="n"/>
    </row>
    <row r="389" ht="13" customHeight="1" s="189">
      <c r="A389" s="289" t="n"/>
      <c r="B389" s="290" t="n"/>
      <c r="C389" s="290" t="n"/>
      <c r="D389" s="290" t="n"/>
      <c r="E389" s="291" t="n"/>
      <c r="F389" s="291" t="n"/>
      <c r="G389" s="291" t="n"/>
      <c r="H389" s="297" t="n"/>
    </row>
    <row r="390" ht="13" customHeight="1" s="189">
      <c r="A390" s="289" t="n"/>
      <c r="B390" s="290" t="n"/>
      <c r="C390" s="290" t="n"/>
      <c r="D390" s="290" t="n"/>
      <c r="E390" s="291" t="n"/>
      <c r="F390" s="291" t="n"/>
      <c r="G390" s="291" t="n"/>
      <c r="H390" s="297" t="n"/>
    </row>
    <row r="391" ht="13" customHeight="1" s="189">
      <c r="A391" s="289" t="n"/>
      <c r="B391" s="290" t="n"/>
      <c r="C391" s="290" t="n"/>
      <c r="D391" s="290" t="n"/>
      <c r="E391" s="291" t="n"/>
      <c r="F391" s="291" t="n"/>
      <c r="G391" s="291" t="n"/>
      <c r="H391" s="297" t="n"/>
    </row>
    <row r="392" ht="13" customHeight="1" s="189">
      <c r="A392" s="289" t="n"/>
      <c r="B392" s="290" t="n"/>
      <c r="C392" s="290" t="n"/>
      <c r="D392" s="290" t="n"/>
      <c r="E392" s="291" t="n"/>
      <c r="F392" s="291" t="n"/>
      <c r="G392" s="291" t="n"/>
      <c r="H392" s="297" t="n"/>
    </row>
    <row r="393" ht="13" customHeight="1" s="189">
      <c r="A393" s="289" t="n"/>
      <c r="B393" s="290" t="n"/>
      <c r="C393" s="290" t="n"/>
      <c r="D393" s="290" t="n"/>
      <c r="E393" s="291" t="n"/>
      <c r="F393" s="291" t="n"/>
      <c r="G393" s="291" t="n"/>
      <c r="H393" s="297" t="n"/>
    </row>
    <row r="394" ht="13" customHeight="1" s="189">
      <c r="A394" s="289" t="n"/>
      <c r="B394" s="290" t="n"/>
      <c r="C394" s="290" t="n"/>
      <c r="D394" s="290" t="n"/>
      <c r="E394" s="291" t="n"/>
      <c r="F394" s="291" t="n"/>
      <c r="G394" s="291" t="n"/>
      <c r="H394" s="297" t="n"/>
    </row>
    <row r="395" ht="13" customHeight="1" s="189">
      <c r="A395" s="289" t="n"/>
      <c r="B395" s="290" t="n"/>
      <c r="C395" s="290" t="n"/>
      <c r="D395" s="290" t="n"/>
      <c r="E395" s="291" t="n"/>
      <c r="F395" s="291" t="n"/>
      <c r="G395" s="291" t="n"/>
      <c r="H395" s="297" t="n"/>
    </row>
    <row r="396" ht="13" customHeight="1" s="189">
      <c r="A396" s="289" t="n"/>
      <c r="B396" s="290" t="n"/>
      <c r="C396" s="290" t="n"/>
      <c r="D396" s="290" t="n"/>
      <c r="E396" s="291" t="n"/>
      <c r="F396" s="291" t="n"/>
      <c r="G396" s="291" t="n"/>
      <c r="H396" s="297" t="n"/>
    </row>
    <row r="397" ht="13" customHeight="1" s="189">
      <c r="A397" s="289" t="n"/>
      <c r="B397" s="290" t="n"/>
      <c r="C397" s="290" t="n"/>
      <c r="D397" s="290" t="n"/>
      <c r="E397" s="291" t="n"/>
      <c r="F397" s="291" t="n"/>
      <c r="G397" s="291" t="n"/>
      <c r="H397" s="297" t="n"/>
    </row>
    <row r="398" ht="13" customHeight="1" s="189">
      <c r="A398" s="289" t="n"/>
      <c r="B398" s="290" t="n"/>
      <c r="C398" s="290" t="n"/>
      <c r="D398" s="290" t="n"/>
      <c r="E398" s="291" t="n"/>
      <c r="F398" s="291" t="n"/>
      <c r="G398" s="291" t="n"/>
      <c r="H398" s="297" t="n"/>
    </row>
    <row r="399" ht="13" customHeight="1" s="189">
      <c r="A399" s="289" t="n"/>
      <c r="B399" s="290" t="n"/>
      <c r="C399" s="290" t="n"/>
      <c r="D399" s="290" t="n"/>
      <c r="E399" s="291" t="n"/>
      <c r="F399" s="291" t="n"/>
      <c r="G399" s="291" t="n"/>
      <c r="H399" s="297" t="n"/>
    </row>
    <row r="400" ht="13" customHeight="1" s="189">
      <c r="A400" s="289" t="n"/>
      <c r="B400" s="290" t="n"/>
      <c r="C400" s="290" t="n"/>
      <c r="D400" s="290" t="n"/>
      <c r="E400" s="291" t="n"/>
      <c r="F400" s="291" t="n"/>
      <c r="G400" s="291" t="n"/>
      <c r="H400" s="297" t="n"/>
    </row>
    <row r="401" ht="13" customHeight="1" s="189">
      <c r="A401" s="289" t="n"/>
      <c r="B401" s="290" t="n"/>
      <c r="C401" s="290" t="n"/>
      <c r="D401" s="290" t="n"/>
      <c r="E401" s="291" t="n"/>
      <c r="F401" s="291" t="n"/>
      <c r="G401" s="291" t="n"/>
      <c r="H401" s="297" t="n"/>
    </row>
    <row r="402" ht="13" customHeight="1" s="189">
      <c r="A402" s="289" t="n"/>
      <c r="B402" s="290" t="n"/>
      <c r="C402" s="290" t="n"/>
      <c r="D402" s="290" t="n"/>
      <c r="E402" s="291" t="n"/>
      <c r="F402" s="291" t="n"/>
      <c r="G402" s="291" t="n"/>
      <c r="H402" s="297" t="n"/>
    </row>
    <row r="403" ht="13" customHeight="1" s="189">
      <c r="A403" s="289" t="n"/>
      <c r="B403" s="290" t="n"/>
      <c r="C403" s="290" t="n"/>
      <c r="D403" s="290" t="n"/>
      <c r="E403" s="291" t="n"/>
      <c r="F403" s="291" t="n"/>
      <c r="G403" s="291" t="n"/>
      <c r="H403" s="297" t="n"/>
    </row>
    <row r="404" ht="13" customHeight="1" s="189">
      <c r="A404" s="289" t="n"/>
      <c r="B404" s="290" t="n"/>
      <c r="C404" s="290" t="n"/>
      <c r="D404" s="290" t="n"/>
      <c r="E404" s="291" t="n"/>
      <c r="F404" s="291" t="n"/>
      <c r="G404" s="291" t="n"/>
      <c r="H404" s="297" t="n"/>
    </row>
    <row r="405" ht="13" customHeight="1" s="189">
      <c r="A405" s="289" t="n"/>
      <c r="B405" s="290" t="n"/>
      <c r="C405" s="290" t="n"/>
      <c r="D405" s="290" t="n"/>
      <c r="E405" s="291" t="n"/>
      <c r="F405" s="291" t="n"/>
      <c r="G405" s="291" t="n"/>
      <c r="H405" s="297" t="n"/>
    </row>
    <row r="406" ht="13" customHeight="1" s="189">
      <c r="A406" s="289" t="n"/>
      <c r="B406" s="290" t="n"/>
      <c r="C406" s="290" t="n"/>
      <c r="D406" s="290" t="n"/>
      <c r="E406" s="291" t="n"/>
      <c r="F406" s="291" t="n"/>
      <c r="G406" s="291" t="n"/>
      <c r="H406" s="297" t="n"/>
    </row>
    <row r="407" ht="13" customHeight="1" s="189">
      <c r="A407" s="289" t="n"/>
      <c r="B407" s="290" t="n"/>
      <c r="C407" s="290" t="n"/>
      <c r="D407" s="290" t="n"/>
      <c r="E407" s="291" t="n"/>
      <c r="F407" s="291" t="n"/>
      <c r="G407" s="291" t="n"/>
      <c r="H407" s="297" t="n"/>
    </row>
    <row r="408" ht="13" customHeight="1" s="189">
      <c r="A408" s="289" t="n"/>
      <c r="B408" s="290" t="n"/>
      <c r="C408" s="290" t="n"/>
      <c r="D408" s="290" t="n"/>
      <c r="E408" s="291" t="n"/>
      <c r="F408" s="291" t="n"/>
      <c r="G408" s="291" t="n"/>
      <c r="H408" s="297" t="n"/>
    </row>
    <row r="409" ht="13" customHeight="1" s="189">
      <c r="A409" s="289" t="n"/>
      <c r="B409" s="290" t="n"/>
      <c r="C409" s="290" t="n"/>
      <c r="D409" s="290" t="n"/>
      <c r="E409" s="291" t="n"/>
      <c r="F409" s="291" t="n"/>
      <c r="G409" s="291" t="n"/>
      <c r="H409" s="297" t="n"/>
    </row>
    <row r="410" ht="13" customHeight="1" s="189">
      <c r="A410" s="289" t="n"/>
      <c r="B410" s="290" t="n"/>
      <c r="C410" s="290" t="n"/>
      <c r="D410" s="290" t="n"/>
      <c r="E410" s="291" t="n"/>
      <c r="F410" s="291" t="n"/>
      <c r="G410" s="291" t="n"/>
      <c r="H410" s="297" t="n"/>
    </row>
    <row r="411" ht="13" customHeight="1" s="189">
      <c r="A411" s="289" t="n"/>
      <c r="B411" s="290" t="n"/>
      <c r="C411" s="290" t="n"/>
      <c r="D411" s="290" t="n"/>
      <c r="E411" s="291" t="n"/>
      <c r="F411" s="291" t="n"/>
      <c r="G411" s="291" t="n"/>
      <c r="H411" s="297" t="n"/>
    </row>
    <row r="412" ht="13" customHeight="1" s="189">
      <c r="A412" s="289" t="n"/>
      <c r="B412" s="290" t="n"/>
      <c r="C412" s="290" t="n"/>
      <c r="D412" s="290" t="n"/>
      <c r="E412" s="291" t="n"/>
      <c r="F412" s="291" t="n"/>
      <c r="G412" s="291" t="n"/>
      <c r="H412" s="297" t="n"/>
    </row>
    <row r="413" ht="13" customHeight="1" s="189">
      <c r="A413" s="289" t="n"/>
      <c r="B413" s="290" t="n"/>
      <c r="C413" s="290" t="n"/>
      <c r="D413" s="290" t="n"/>
      <c r="E413" s="291" t="n"/>
      <c r="F413" s="291" t="n"/>
      <c r="G413" s="291" t="n"/>
      <c r="H413" s="297" t="n"/>
    </row>
    <row r="414" ht="13" customHeight="1" s="189">
      <c r="A414" s="289" t="n"/>
      <c r="B414" s="290" t="n"/>
      <c r="C414" s="290" t="n"/>
      <c r="D414" s="290" t="n"/>
      <c r="E414" s="291" t="n"/>
      <c r="F414" s="291" t="n"/>
      <c r="G414" s="291" t="n"/>
      <c r="H414" s="297" t="n"/>
    </row>
    <row r="415" ht="13" customHeight="1" s="189">
      <c r="A415" s="289" t="n"/>
      <c r="B415" s="290" t="n"/>
      <c r="C415" s="290" t="n"/>
      <c r="D415" s="290" t="n"/>
      <c r="E415" s="291" t="n"/>
      <c r="F415" s="291" t="n"/>
      <c r="G415" s="291" t="n"/>
      <c r="H415" s="297" t="n"/>
    </row>
    <row r="416" ht="13" customHeight="1" s="189">
      <c r="A416" s="289" t="n"/>
      <c r="B416" s="290" t="n"/>
      <c r="C416" s="290" t="n"/>
      <c r="D416" s="290" t="n"/>
      <c r="E416" s="291" t="n"/>
      <c r="F416" s="291" t="n"/>
      <c r="G416" s="291" t="n"/>
      <c r="H416" s="297" t="n"/>
    </row>
    <row r="417" ht="13" customHeight="1" s="189">
      <c r="A417" s="289" t="n"/>
      <c r="B417" s="290" t="n"/>
      <c r="C417" s="290" t="n"/>
      <c r="D417" s="290" t="n"/>
      <c r="E417" s="291" t="n"/>
      <c r="F417" s="291" t="n"/>
      <c r="G417" s="291" t="n"/>
      <c r="H417" s="297" t="n"/>
    </row>
    <row r="418" ht="13" customHeight="1" s="189">
      <c r="A418" s="289" t="n"/>
      <c r="B418" s="290" t="n"/>
      <c r="C418" s="290" t="n"/>
      <c r="D418" s="290" t="n"/>
      <c r="E418" s="291" t="n"/>
      <c r="F418" s="291" t="n"/>
      <c r="G418" s="291" t="n"/>
      <c r="H418" s="297" t="n"/>
    </row>
    <row r="419" ht="13" customHeight="1" s="189">
      <c r="A419" s="289" t="n"/>
      <c r="B419" s="290" t="n"/>
      <c r="C419" s="290" t="n"/>
      <c r="D419" s="290" t="n"/>
      <c r="E419" s="291" t="n"/>
      <c r="F419" s="291" t="n"/>
      <c r="G419" s="291" t="n"/>
      <c r="H419" s="297" t="n"/>
    </row>
    <row r="420" ht="13" customHeight="1" s="189">
      <c r="A420" s="289" t="n"/>
      <c r="B420" s="290" t="n"/>
      <c r="C420" s="290" t="n"/>
      <c r="D420" s="290" t="n"/>
      <c r="E420" s="291" t="n"/>
      <c r="F420" s="291" t="n"/>
      <c r="G420" s="291" t="n"/>
      <c r="H420" s="297" t="n"/>
    </row>
    <row r="421" ht="13" customHeight="1" s="189">
      <c r="A421" s="289" t="n"/>
      <c r="B421" s="290" t="n"/>
      <c r="C421" s="290" t="n"/>
      <c r="D421" s="290" t="n"/>
      <c r="E421" s="291" t="n"/>
      <c r="F421" s="291" t="n"/>
      <c r="G421" s="291" t="n"/>
      <c r="H421" s="297" t="n"/>
    </row>
    <row r="422" ht="13" customHeight="1" s="189">
      <c r="A422" s="289" t="n"/>
      <c r="B422" s="290" t="n"/>
      <c r="C422" s="290" t="n"/>
      <c r="D422" s="290" t="n"/>
      <c r="E422" s="291" t="n"/>
      <c r="F422" s="291" t="n"/>
      <c r="G422" s="291" t="n"/>
      <c r="H422" s="297" t="n"/>
    </row>
    <row r="423" ht="13" customHeight="1" s="189">
      <c r="A423" s="289" t="n"/>
      <c r="B423" s="290" t="n"/>
      <c r="C423" s="290" t="n"/>
      <c r="D423" s="290" t="n"/>
      <c r="E423" s="291" t="n"/>
      <c r="F423" s="291" t="n"/>
      <c r="G423" s="291" t="n"/>
      <c r="H423" s="297" t="n"/>
    </row>
    <row r="424" ht="13" customHeight="1" s="189">
      <c r="A424" s="289" t="n"/>
      <c r="B424" s="290" t="n"/>
      <c r="C424" s="290" t="n"/>
      <c r="D424" s="290" t="n"/>
      <c r="E424" s="291" t="n"/>
      <c r="F424" s="291" t="n"/>
      <c r="G424" s="291" t="n"/>
      <c r="H424" s="297" t="n"/>
    </row>
    <row r="425" ht="13" customHeight="1" s="189">
      <c r="A425" s="289" t="n"/>
      <c r="B425" s="290" t="n"/>
      <c r="C425" s="290" t="n"/>
      <c r="D425" s="290" t="n"/>
      <c r="E425" s="291" t="n"/>
      <c r="F425" s="291" t="n"/>
      <c r="G425" s="291" t="n"/>
      <c r="H425" s="297" t="n"/>
    </row>
    <row r="426" ht="13" customHeight="1" s="189">
      <c r="A426" s="289" t="n"/>
      <c r="B426" s="290" t="n"/>
      <c r="C426" s="290" t="n"/>
      <c r="D426" s="290" t="n"/>
      <c r="E426" s="291" t="n"/>
      <c r="F426" s="291" t="n"/>
      <c r="G426" s="291" t="n"/>
      <c r="H426" s="297" t="n"/>
    </row>
    <row r="427" ht="13" customHeight="1" s="189">
      <c r="A427" s="289" t="n"/>
      <c r="B427" s="290" t="n"/>
      <c r="C427" s="290" t="n"/>
      <c r="D427" s="290" t="n"/>
      <c r="E427" s="291" t="n"/>
      <c r="F427" s="291" t="n"/>
      <c r="G427" s="291" t="n"/>
      <c r="H427" s="297" t="n"/>
    </row>
    <row r="428" ht="13" customHeight="1" s="189">
      <c r="A428" s="289" t="n"/>
      <c r="B428" s="290" t="n"/>
      <c r="C428" s="290" t="n"/>
      <c r="D428" s="290" t="n"/>
      <c r="E428" s="291" t="n"/>
      <c r="F428" s="291" t="n"/>
      <c r="G428" s="291" t="n"/>
      <c r="H428" s="297" t="n"/>
    </row>
    <row r="429" ht="13" customHeight="1" s="189">
      <c r="A429" s="289" t="n"/>
      <c r="B429" s="290" t="n"/>
      <c r="C429" s="290" t="n"/>
      <c r="D429" s="290" t="n"/>
      <c r="E429" s="291" t="n"/>
      <c r="F429" s="291" t="n"/>
      <c r="G429" s="291" t="n"/>
      <c r="H429" s="297" t="n"/>
    </row>
    <row r="430" ht="13" customHeight="1" s="189">
      <c r="A430" s="289" t="n"/>
      <c r="B430" s="290" t="n"/>
      <c r="C430" s="290" t="n"/>
      <c r="D430" s="290" t="n"/>
      <c r="E430" s="291" t="n"/>
      <c r="F430" s="291" t="n"/>
      <c r="G430" s="291" t="n"/>
      <c r="H430" s="297" t="n"/>
    </row>
    <row r="431" ht="13" customHeight="1" s="189">
      <c r="A431" s="289" t="n"/>
      <c r="B431" s="290" t="n"/>
      <c r="C431" s="290" t="n"/>
      <c r="D431" s="290" t="n"/>
      <c r="E431" s="291" t="n"/>
      <c r="F431" s="291" t="n"/>
      <c r="G431" s="291" t="n"/>
      <c r="H431" s="297" t="n"/>
    </row>
    <row r="432" ht="13" customHeight="1" s="189">
      <c r="A432" s="289" t="n"/>
      <c r="B432" s="290" t="n"/>
      <c r="C432" s="290" t="n"/>
      <c r="D432" s="290" t="n"/>
      <c r="E432" s="291" t="n"/>
      <c r="F432" s="291" t="n"/>
      <c r="G432" s="291" t="n"/>
      <c r="H432" s="297" t="n"/>
    </row>
    <row r="433" ht="13" customHeight="1" s="189">
      <c r="A433" s="289" t="n"/>
      <c r="B433" s="290" t="n"/>
      <c r="C433" s="290" t="n"/>
      <c r="D433" s="290" t="n"/>
      <c r="E433" s="291" t="n"/>
      <c r="F433" s="291" t="n"/>
      <c r="G433" s="291" t="n"/>
      <c r="H433" s="297" t="n"/>
    </row>
    <row r="434" ht="13" customHeight="1" s="189">
      <c r="A434" s="289" t="n"/>
      <c r="B434" s="290" t="n"/>
      <c r="C434" s="290" t="n"/>
      <c r="D434" s="290" t="n"/>
      <c r="E434" s="291" t="n"/>
      <c r="F434" s="291" t="n"/>
      <c r="G434" s="291" t="n"/>
      <c r="H434" s="297" t="n"/>
    </row>
    <row r="435" ht="13" customHeight="1" s="189">
      <c r="A435" s="289" t="n"/>
      <c r="B435" s="290" t="n"/>
      <c r="C435" s="290" t="n"/>
      <c r="D435" s="290" t="n"/>
      <c r="E435" s="291" t="n"/>
      <c r="F435" s="291" t="n"/>
      <c r="G435" s="291" t="n"/>
      <c r="H435" s="297" t="n"/>
    </row>
    <row r="436" ht="13" customHeight="1" s="189">
      <c r="A436" s="289" t="n"/>
      <c r="B436" s="290" t="n"/>
      <c r="C436" s="290" t="n"/>
      <c r="D436" s="290" t="n"/>
      <c r="E436" s="291" t="n"/>
      <c r="F436" s="291" t="n"/>
      <c r="G436" s="291" t="n"/>
      <c r="H436" s="297" t="n"/>
    </row>
    <row r="437" ht="13" customHeight="1" s="189">
      <c r="A437" s="289" t="n"/>
      <c r="B437" s="290" t="n"/>
      <c r="C437" s="290" t="n"/>
      <c r="D437" s="290" t="n"/>
      <c r="E437" s="291" t="n"/>
      <c r="F437" s="291" t="n"/>
      <c r="G437" s="291" t="n"/>
      <c r="H437" s="297" t="n"/>
    </row>
    <row r="438" ht="13" customHeight="1" s="189">
      <c r="A438" s="289" t="n"/>
      <c r="B438" s="290" t="n"/>
      <c r="C438" s="290" t="n"/>
      <c r="D438" s="290" t="n"/>
      <c r="E438" s="291" t="n"/>
      <c r="F438" s="291" t="n"/>
      <c r="G438" s="291" t="n"/>
      <c r="H438" s="297" t="n"/>
    </row>
    <row r="439" ht="13" customHeight="1" s="189">
      <c r="A439" s="289" t="n"/>
      <c r="B439" s="290" t="n"/>
      <c r="C439" s="290" t="n"/>
      <c r="D439" s="290" t="n"/>
      <c r="E439" s="291" t="n"/>
      <c r="F439" s="291" t="n"/>
      <c r="G439" s="291" t="n"/>
      <c r="H439" s="297" t="n"/>
    </row>
    <row r="440" ht="13" customHeight="1" s="189">
      <c r="A440" s="289" t="n"/>
      <c r="B440" s="290" t="n"/>
      <c r="C440" s="290" t="n"/>
      <c r="D440" s="290" t="n"/>
      <c r="E440" s="291" t="n"/>
      <c r="F440" s="291" t="n"/>
      <c r="G440" s="291" t="n"/>
      <c r="H440" s="297" t="n"/>
    </row>
    <row r="441" ht="13" customHeight="1" s="189">
      <c r="A441" s="289" t="n"/>
      <c r="B441" s="290" t="n"/>
      <c r="C441" s="290" t="n"/>
      <c r="D441" s="290" t="n"/>
      <c r="E441" s="291" t="n"/>
      <c r="F441" s="291" t="n"/>
      <c r="G441" s="291" t="n"/>
      <c r="H441" s="297" t="n"/>
    </row>
    <row r="442" ht="13" customHeight="1" s="189">
      <c r="A442" s="289" t="n"/>
      <c r="B442" s="290" t="n"/>
      <c r="C442" s="290" t="n"/>
      <c r="D442" s="290" t="n"/>
      <c r="E442" s="291" t="n"/>
      <c r="F442" s="291" t="n"/>
      <c r="G442" s="291" t="n"/>
      <c r="H442" s="297" t="n"/>
    </row>
    <row r="443" ht="13" customHeight="1" s="189">
      <c r="A443" s="289" t="n"/>
      <c r="B443" s="290" t="n"/>
      <c r="C443" s="290" t="n"/>
      <c r="D443" s="290" t="n"/>
      <c r="E443" s="291" t="n"/>
      <c r="F443" s="291" t="n"/>
      <c r="G443" s="291" t="n"/>
      <c r="H443" s="297" t="n"/>
    </row>
    <row r="444" ht="13" customHeight="1" s="189">
      <c r="A444" s="289" t="n"/>
      <c r="B444" s="290" t="n"/>
      <c r="C444" s="290" t="n"/>
      <c r="D444" s="290" t="n"/>
      <c r="E444" s="291" t="n"/>
      <c r="F444" s="291" t="n"/>
      <c r="G444" s="291" t="n"/>
      <c r="H444" s="297" t="n"/>
    </row>
    <row r="445" ht="13" customHeight="1" s="189">
      <c r="A445" s="289" t="n"/>
      <c r="B445" s="290" t="n"/>
      <c r="C445" s="290" t="n"/>
      <c r="D445" s="290" t="n"/>
      <c r="E445" s="291" t="n"/>
      <c r="F445" s="291" t="n"/>
      <c r="G445" s="291" t="n"/>
      <c r="H445" s="297" t="n"/>
    </row>
    <row r="446" ht="13" customHeight="1" s="189">
      <c r="A446" s="289" t="n"/>
      <c r="B446" s="290" t="n"/>
      <c r="C446" s="290" t="n"/>
      <c r="D446" s="290" t="n"/>
      <c r="E446" s="291" t="n"/>
      <c r="F446" s="291" t="n"/>
      <c r="G446" s="291" t="n"/>
      <c r="H446" s="297" t="n"/>
    </row>
    <row r="447" ht="13" customHeight="1" s="189">
      <c r="A447" s="289" t="n"/>
      <c r="B447" s="290" t="n"/>
      <c r="C447" s="290" t="n"/>
      <c r="D447" s="290" t="n"/>
      <c r="E447" s="291" t="n"/>
      <c r="F447" s="291" t="n"/>
      <c r="G447" s="291" t="n"/>
      <c r="H447" s="297" t="n"/>
    </row>
    <row r="448" ht="13" customHeight="1" s="189">
      <c r="A448" s="289" t="n"/>
      <c r="B448" s="290" t="n"/>
      <c r="C448" s="290" t="n"/>
      <c r="D448" s="290" t="n"/>
      <c r="E448" s="291" t="n"/>
      <c r="F448" s="291" t="n"/>
      <c r="G448" s="291" t="n"/>
      <c r="H448" s="297" t="n"/>
    </row>
    <row r="449" ht="13" customHeight="1" s="189">
      <c r="A449" s="289" t="n"/>
      <c r="B449" s="290" t="n"/>
      <c r="C449" s="290" t="n"/>
      <c r="D449" s="290" t="n"/>
      <c r="E449" s="291" t="n"/>
      <c r="F449" s="291" t="n"/>
      <c r="G449" s="291" t="n"/>
      <c r="H449" s="297" t="n"/>
    </row>
    <row r="450" ht="13" customHeight="1" s="189">
      <c r="A450" s="289" t="n"/>
      <c r="B450" s="290" t="n"/>
      <c r="C450" s="290" t="n"/>
      <c r="D450" s="290" t="n"/>
      <c r="E450" s="291" t="n"/>
      <c r="F450" s="291" t="n"/>
      <c r="G450" s="291" t="n"/>
      <c r="H450" s="297" t="n"/>
    </row>
    <row r="451" ht="13" customHeight="1" s="189">
      <c r="A451" s="289" t="n"/>
      <c r="B451" s="290" t="n"/>
      <c r="C451" s="290" t="n"/>
      <c r="D451" s="290" t="n"/>
      <c r="E451" s="291" t="n"/>
      <c r="F451" s="291" t="n"/>
      <c r="G451" s="291" t="n"/>
      <c r="H451" s="297" t="n"/>
    </row>
    <row r="452" ht="13" customHeight="1" s="189">
      <c r="A452" s="289" t="n"/>
      <c r="B452" s="290" t="n"/>
      <c r="C452" s="290" t="n"/>
      <c r="D452" s="290" t="n"/>
      <c r="E452" s="291" t="n"/>
      <c r="F452" s="291" t="n"/>
      <c r="G452" s="291" t="n"/>
      <c r="H452" s="297" t="n"/>
    </row>
    <row r="453" ht="13" customHeight="1" s="189">
      <c r="A453" s="289" t="n"/>
      <c r="B453" s="290" t="n"/>
      <c r="C453" s="290" t="n"/>
      <c r="D453" s="290" t="n"/>
      <c r="E453" s="291" t="n"/>
      <c r="F453" s="291" t="n"/>
      <c r="G453" s="291" t="n"/>
      <c r="H453" s="297" t="n"/>
    </row>
    <row r="454" ht="13" customHeight="1" s="189">
      <c r="A454" s="289" t="n"/>
      <c r="B454" s="290" t="n"/>
      <c r="C454" s="290" t="n"/>
      <c r="D454" s="290" t="n"/>
      <c r="E454" s="291" t="n"/>
      <c r="F454" s="291" t="n"/>
      <c r="G454" s="291" t="n"/>
      <c r="H454" s="297" t="n"/>
    </row>
    <row r="455" ht="13" customHeight="1" s="189">
      <c r="A455" s="289" t="n"/>
      <c r="B455" s="290" t="n"/>
      <c r="C455" s="290" t="n"/>
      <c r="D455" s="290" t="n"/>
      <c r="E455" s="291" t="n"/>
      <c r="F455" s="291" t="n"/>
      <c r="G455" s="291" t="n"/>
      <c r="H455" s="297" t="n"/>
    </row>
    <row r="456" ht="13" customHeight="1" s="189">
      <c r="A456" s="289" t="n"/>
      <c r="B456" s="290" t="n"/>
      <c r="C456" s="290" t="n"/>
      <c r="D456" s="290" t="n"/>
      <c r="E456" s="291" t="n"/>
      <c r="F456" s="291" t="n"/>
      <c r="G456" s="291" t="n"/>
      <c r="H456" s="297" t="n"/>
    </row>
    <row r="457" ht="13" customHeight="1" s="189">
      <c r="A457" s="289" t="n"/>
      <c r="B457" s="290" t="n"/>
      <c r="C457" s="290" t="n"/>
      <c r="D457" s="290" t="n"/>
      <c r="E457" s="291" t="n"/>
      <c r="F457" s="291" t="n"/>
      <c r="G457" s="291" t="n"/>
      <c r="H457" s="297" t="n"/>
    </row>
    <row r="458" ht="13" customHeight="1" s="189">
      <c r="A458" s="289" t="n"/>
      <c r="B458" s="290" t="n"/>
      <c r="C458" s="290" t="n"/>
      <c r="D458" s="290" t="n"/>
      <c r="E458" s="291" t="n"/>
      <c r="F458" s="291" t="n"/>
      <c r="G458" s="291" t="n"/>
      <c r="H458" s="297" t="n"/>
    </row>
    <row r="459" ht="13" customHeight="1" s="189">
      <c r="A459" s="289" t="n"/>
      <c r="B459" s="290" t="n"/>
      <c r="C459" s="290" t="n"/>
      <c r="D459" s="290" t="n"/>
      <c r="E459" s="291" t="n"/>
      <c r="F459" s="291" t="n"/>
      <c r="G459" s="291" t="n"/>
      <c r="H459" s="297" t="n"/>
    </row>
    <row r="460" ht="13" customHeight="1" s="189">
      <c r="A460" s="289" t="n"/>
      <c r="B460" s="290" t="n"/>
      <c r="C460" s="290" t="n"/>
      <c r="D460" s="290" t="n"/>
      <c r="E460" s="291" t="n"/>
      <c r="F460" s="291" t="n"/>
      <c r="G460" s="291" t="n"/>
      <c r="H460" s="297" t="n"/>
    </row>
    <row r="461" ht="13" customHeight="1" s="189">
      <c r="A461" s="289" t="n"/>
      <c r="B461" s="290" t="n"/>
      <c r="C461" s="290" t="n"/>
      <c r="D461" s="290" t="n"/>
      <c r="E461" s="291" t="n"/>
      <c r="F461" s="291" t="n"/>
      <c r="G461" s="291" t="n"/>
      <c r="H461" s="297" t="n"/>
    </row>
    <row r="462" ht="13" customHeight="1" s="189">
      <c r="A462" s="289" t="n"/>
      <c r="B462" s="290" t="n"/>
      <c r="C462" s="290" t="n"/>
      <c r="D462" s="290" t="n"/>
      <c r="E462" s="291" t="n"/>
      <c r="F462" s="291" t="n"/>
      <c r="G462" s="291" t="n"/>
      <c r="H462" s="297" t="n"/>
    </row>
    <row r="463" ht="13" customHeight="1" s="189">
      <c r="A463" s="289" t="n"/>
      <c r="B463" s="290" t="n"/>
      <c r="C463" s="290" t="n"/>
      <c r="D463" s="290" t="n"/>
      <c r="E463" s="291" t="n"/>
      <c r="F463" s="291" t="n"/>
      <c r="G463" s="291" t="n"/>
      <c r="H463" s="297" t="n"/>
    </row>
    <row r="464" ht="13" customHeight="1" s="189">
      <c r="A464" s="289" t="n"/>
      <c r="B464" s="290" t="n"/>
      <c r="C464" s="290" t="n"/>
      <c r="D464" s="290" t="n"/>
      <c r="E464" s="291" t="n"/>
      <c r="F464" s="291" t="n"/>
      <c r="G464" s="291" t="n"/>
      <c r="H464" s="297" t="n"/>
    </row>
    <row r="465" ht="13" customHeight="1" s="189">
      <c r="A465" s="289" t="n"/>
      <c r="B465" s="290" t="n"/>
      <c r="C465" s="290" t="n"/>
      <c r="D465" s="290" t="n"/>
      <c r="E465" s="291" t="n"/>
      <c r="F465" s="291" t="n"/>
      <c r="G465" s="291" t="n"/>
      <c r="H465" s="297" t="n"/>
    </row>
    <row r="466" ht="13" customHeight="1" s="189">
      <c r="A466" s="289" t="n"/>
      <c r="B466" s="290" t="n"/>
      <c r="C466" s="290" t="n"/>
      <c r="D466" s="290" t="n"/>
      <c r="E466" s="291" t="n"/>
      <c r="F466" s="291" t="n"/>
      <c r="G466" s="291" t="n"/>
      <c r="H466" s="297" t="n"/>
    </row>
    <row r="467" ht="13" customHeight="1" s="189">
      <c r="A467" s="289" t="n"/>
      <c r="B467" s="290" t="n"/>
      <c r="C467" s="290" t="n"/>
      <c r="D467" s="290" t="n"/>
      <c r="E467" s="291" t="n"/>
      <c r="F467" s="291" t="n"/>
      <c r="G467" s="291" t="n"/>
      <c r="H467" s="297" t="n"/>
    </row>
    <row r="468" ht="13" customHeight="1" s="189">
      <c r="A468" s="289" t="n"/>
      <c r="B468" s="290" t="n"/>
      <c r="C468" s="290" t="n"/>
      <c r="D468" s="290" t="n"/>
      <c r="E468" s="291" t="n"/>
      <c r="F468" s="291" t="n"/>
      <c r="G468" s="291" t="n"/>
      <c r="H468" s="297" t="n"/>
    </row>
    <row r="469" ht="13" customHeight="1" s="189">
      <c r="A469" s="289" t="n"/>
      <c r="B469" s="290" t="n"/>
      <c r="C469" s="290" t="n"/>
      <c r="D469" s="290" t="n"/>
      <c r="E469" s="291" t="n"/>
      <c r="F469" s="291" t="n"/>
      <c r="G469" s="291" t="n"/>
      <c r="H469" s="297" t="n"/>
    </row>
    <row r="470" ht="13" customHeight="1" s="189">
      <c r="A470" s="289" t="n"/>
      <c r="B470" s="290" t="n"/>
      <c r="C470" s="290" t="n"/>
      <c r="D470" s="290" t="n"/>
      <c r="E470" s="291" t="n"/>
      <c r="F470" s="291" t="n"/>
      <c r="G470" s="291" t="n"/>
      <c r="H470" s="297" t="n"/>
    </row>
    <row r="471" ht="13" customHeight="1" s="189">
      <c r="A471" s="289" t="n"/>
      <c r="B471" s="290" t="n"/>
      <c r="C471" s="290" t="n"/>
      <c r="D471" s="290" t="n"/>
      <c r="E471" s="291" t="n"/>
      <c r="F471" s="291" t="n"/>
      <c r="G471" s="291" t="n"/>
      <c r="H471" s="297" t="n"/>
    </row>
    <row r="472" ht="13" customHeight="1" s="189">
      <c r="A472" s="289" t="n"/>
      <c r="B472" s="290" t="n"/>
      <c r="C472" s="290" t="n"/>
      <c r="D472" s="290" t="n"/>
      <c r="E472" s="291" t="n"/>
      <c r="F472" s="291" t="n"/>
      <c r="G472" s="291" t="n"/>
      <c r="H472" s="297" t="n"/>
    </row>
    <row r="473" ht="13" customHeight="1" s="189">
      <c r="A473" s="289" t="n"/>
      <c r="B473" s="290" t="n"/>
      <c r="C473" s="290" t="n"/>
      <c r="D473" s="290" t="n"/>
      <c r="E473" s="291" t="n"/>
      <c r="F473" s="291" t="n"/>
      <c r="G473" s="291" t="n"/>
      <c r="H473" s="297" t="n"/>
    </row>
    <row r="474" ht="13" customHeight="1" s="189">
      <c r="A474" s="289" t="n"/>
      <c r="B474" s="290" t="n"/>
      <c r="C474" s="290" t="n"/>
      <c r="D474" s="290" t="n"/>
      <c r="E474" s="291" t="n"/>
      <c r="F474" s="291" t="n"/>
      <c r="G474" s="291" t="n"/>
      <c r="H474" s="297" t="n"/>
    </row>
    <row r="475" ht="13" customHeight="1" s="189">
      <c r="A475" s="289" t="n"/>
      <c r="B475" s="290" t="n"/>
      <c r="C475" s="290" t="n"/>
      <c r="D475" s="290" t="n"/>
      <c r="E475" s="291" t="n"/>
      <c r="F475" s="291" t="n"/>
      <c r="G475" s="291" t="n"/>
      <c r="H475" s="297" t="n"/>
    </row>
    <row r="476" ht="13" customHeight="1" s="189">
      <c r="A476" s="289" t="n"/>
      <c r="B476" s="290" t="n"/>
      <c r="C476" s="290" t="n"/>
      <c r="D476" s="290" t="n"/>
      <c r="E476" s="291" t="n"/>
      <c r="F476" s="291" t="n"/>
      <c r="G476" s="291" t="n"/>
      <c r="H476" s="297" t="n"/>
    </row>
    <row r="477" ht="13" customHeight="1" s="189">
      <c r="A477" s="289" t="n"/>
      <c r="B477" s="290" t="n"/>
      <c r="C477" s="290" t="n"/>
      <c r="D477" s="290" t="n"/>
      <c r="E477" s="291" t="n"/>
      <c r="F477" s="291" t="n"/>
      <c r="G477" s="291" t="n"/>
      <c r="H477" s="297" t="n"/>
    </row>
    <row r="478" ht="13" customHeight="1" s="189">
      <c r="A478" s="289" t="n"/>
      <c r="B478" s="290" t="n"/>
      <c r="C478" s="290" t="n"/>
      <c r="D478" s="290" t="n"/>
      <c r="E478" s="291" t="n"/>
      <c r="F478" s="291" t="n"/>
      <c r="G478" s="291" t="n"/>
      <c r="H478" s="297" t="n"/>
    </row>
    <row r="479" ht="13" customHeight="1" s="189">
      <c r="A479" s="289" t="n"/>
      <c r="B479" s="290" t="n"/>
      <c r="C479" s="290" t="n"/>
      <c r="D479" s="290" t="n"/>
      <c r="E479" s="291" t="n"/>
      <c r="F479" s="291" t="n"/>
      <c r="G479" s="291" t="n"/>
      <c r="H479" s="297" t="n"/>
    </row>
    <row r="480" ht="13" customHeight="1" s="189">
      <c r="A480" s="289" t="n"/>
      <c r="B480" s="290" t="n"/>
      <c r="C480" s="290" t="n"/>
      <c r="D480" s="290" t="n"/>
      <c r="E480" s="291" t="n"/>
      <c r="F480" s="291" t="n"/>
      <c r="G480" s="291" t="n"/>
      <c r="H480" s="297" t="n"/>
    </row>
    <row r="481" ht="13" customHeight="1" s="189">
      <c r="A481" s="289" t="n"/>
      <c r="B481" s="290" t="n"/>
      <c r="C481" s="290" t="n"/>
      <c r="D481" s="290" t="n"/>
      <c r="E481" s="291" t="n"/>
      <c r="F481" s="291" t="n"/>
      <c r="G481" s="291" t="n"/>
      <c r="H481" s="297" t="n"/>
    </row>
    <row r="482" ht="13" customHeight="1" s="189">
      <c r="A482" s="289" t="n"/>
      <c r="B482" s="290" t="n"/>
      <c r="C482" s="290" t="n"/>
      <c r="D482" s="290" t="n"/>
      <c r="E482" s="291" t="n"/>
      <c r="F482" s="291" t="n"/>
      <c r="G482" s="291" t="n"/>
      <c r="H482" s="297" t="n"/>
    </row>
    <row r="483" ht="13" customHeight="1" s="189">
      <c r="A483" s="289" t="n"/>
      <c r="B483" s="290" t="n"/>
      <c r="C483" s="290" t="n"/>
      <c r="D483" s="290" t="n"/>
      <c r="E483" s="291" t="n"/>
      <c r="F483" s="291" t="n"/>
      <c r="G483" s="291" t="n"/>
      <c r="H483" s="297" t="n"/>
    </row>
    <row r="484" ht="13" customHeight="1" s="189">
      <c r="A484" s="289" t="n"/>
      <c r="B484" s="290" t="n"/>
      <c r="C484" s="290" t="n"/>
      <c r="D484" s="290" t="n"/>
      <c r="E484" s="291" t="n"/>
      <c r="F484" s="291" t="n"/>
      <c r="G484" s="291" t="n"/>
      <c r="H484" s="297" t="n"/>
    </row>
    <row r="485" ht="13" customHeight="1" s="189">
      <c r="A485" s="289" t="n"/>
      <c r="B485" s="290" t="n"/>
      <c r="C485" s="290" t="n"/>
      <c r="D485" s="290" t="n"/>
      <c r="E485" s="291" t="n"/>
      <c r="F485" s="291" t="n"/>
      <c r="G485" s="291" t="n"/>
      <c r="H485" s="297" t="n"/>
    </row>
    <row r="486" ht="13" customHeight="1" s="189">
      <c r="A486" s="289" t="n"/>
      <c r="B486" s="290" t="n"/>
      <c r="C486" s="290" t="n"/>
      <c r="D486" s="290" t="n"/>
      <c r="E486" s="291" t="n"/>
      <c r="F486" s="291" t="n"/>
      <c r="G486" s="291" t="n"/>
      <c r="H486" s="297" t="n"/>
    </row>
    <row r="487" ht="13" customHeight="1" s="189">
      <c r="A487" s="289" t="n"/>
      <c r="B487" s="290" t="n"/>
      <c r="C487" s="290" t="n"/>
      <c r="D487" s="290" t="n"/>
      <c r="E487" s="291" t="n"/>
      <c r="F487" s="291" t="n"/>
      <c r="G487" s="291" t="n"/>
      <c r="H487" s="297" t="n"/>
    </row>
    <row r="488" ht="13" customHeight="1" s="189">
      <c r="A488" s="289" t="n"/>
      <c r="B488" s="290" t="n"/>
      <c r="C488" s="290" t="n"/>
      <c r="D488" s="290" t="n"/>
      <c r="E488" s="291" t="n"/>
      <c r="F488" s="291" t="n"/>
      <c r="G488" s="291" t="n"/>
      <c r="H488" s="297" t="n"/>
    </row>
    <row r="489" ht="13" customHeight="1" s="189">
      <c r="A489" s="289" t="n"/>
      <c r="B489" s="290" t="n"/>
      <c r="C489" s="290" t="n"/>
      <c r="D489" s="290" t="n"/>
      <c r="E489" s="291" t="n"/>
      <c r="F489" s="291" t="n"/>
      <c r="G489" s="291" t="n"/>
      <c r="H489" s="297" t="n"/>
    </row>
    <row r="490" ht="13" customHeight="1" s="189">
      <c r="A490" s="289" t="n"/>
      <c r="B490" s="290" t="n"/>
      <c r="C490" s="290" t="n"/>
      <c r="D490" s="290" t="n"/>
      <c r="E490" s="291" t="n"/>
      <c r="F490" s="291" t="n"/>
      <c r="G490" s="291" t="n"/>
      <c r="H490" s="297" t="n"/>
    </row>
    <row r="491" ht="13" customHeight="1" s="189">
      <c r="A491" s="289" t="n"/>
      <c r="B491" s="290" t="n"/>
      <c r="C491" s="290" t="n"/>
      <c r="D491" s="290" t="n"/>
      <c r="E491" s="291" t="n"/>
      <c r="F491" s="291" t="n"/>
      <c r="G491" s="291" t="n"/>
      <c r="H491" s="297" t="n"/>
    </row>
    <row r="492" ht="13" customHeight="1" s="189">
      <c r="A492" s="289" t="n"/>
      <c r="B492" s="290" t="n"/>
      <c r="C492" s="290" t="n"/>
      <c r="D492" s="290" t="n"/>
      <c r="E492" s="291" t="n"/>
      <c r="F492" s="291" t="n"/>
      <c r="G492" s="291" t="n"/>
      <c r="H492" s="297" t="n"/>
    </row>
    <row r="493" ht="13" customHeight="1" s="189">
      <c r="A493" s="289" t="n"/>
      <c r="B493" s="290" t="n"/>
      <c r="C493" s="290" t="n"/>
      <c r="D493" s="290" t="n"/>
      <c r="E493" s="291" t="n"/>
      <c r="F493" s="291" t="n"/>
      <c r="G493" s="291" t="n"/>
      <c r="H493" s="297" t="n"/>
    </row>
    <row r="494" ht="13" customHeight="1" s="189">
      <c r="A494" s="289" t="n"/>
      <c r="B494" s="290" t="n"/>
      <c r="C494" s="290" t="n"/>
      <c r="D494" s="290" t="n"/>
      <c r="E494" s="291" t="n"/>
      <c r="F494" s="291" t="n"/>
      <c r="G494" s="291" t="n"/>
      <c r="H494" s="297" t="n"/>
    </row>
    <row r="495" ht="13" customHeight="1" s="189">
      <c r="A495" s="289" t="n"/>
      <c r="B495" s="290" t="n"/>
      <c r="C495" s="290" t="n"/>
      <c r="D495" s="290" t="n"/>
      <c r="E495" s="291" t="n"/>
      <c r="F495" s="291" t="n"/>
      <c r="G495" s="291" t="n"/>
      <c r="H495" s="297" t="n"/>
    </row>
    <row r="496" ht="13" customHeight="1" s="189">
      <c r="A496" s="289" t="n"/>
      <c r="B496" s="290" t="n"/>
      <c r="C496" s="290" t="n"/>
      <c r="D496" s="290" t="n"/>
      <c r="E496" s="291" t="n"/>
      <c r="F496" s="291" t="n"/>
      <c r="G496" s="291" t="n"/>
      <c r="H496" s="297" t="n"/>
    </row>
    <row r="497" ht="13" customHeight="1" s="189">
      <c r="A497" s="289" t="n"/>
      <c r="B497" s="290" t="n"/>
      <c r="C497" s="290" t="n"/>
      <c r="D497" s="290" t="n"/>
      <c r="E497" s="291" t="n"/>
      <c r="F497" s="291" t="n"/>
      <c r="G497" s="291" t="n"/>
      <c r="H497" s="297" t="n"/>
    </row>
    <row r="498" ht="13" customHeight="1" s="189">
      <c r="A498" s="289" t="n"/>
      <c r="B498" s="290" t="n"/>
      <c r="C498" s="290" t="n"/>
      <c r="D498" s="290" t="n"/>
      <c r="E498" s="291" t="n"/>
      <c r="F498" s="291" t="n"/>
      <c r="G498" s="291" t="n"/>
      <c r="H498" s="297" t="n"/>
    </row>
    <row r="499" ht="13" customHeight="1" s="189">
      <c r="A499" s="289" t="n"/>
      <c r="B499" s="290" t="n"/>
      <c r="C499" s="290" t="n"/>
      <c r="D499" s="290" t="n"/>
      <c r="E499" s="291" t="n"/>
      <c r="F499" s="291" t="n"/>
      <c r="G499" s="291" t="n"/>
      <c r="H499" s="297" t="n"/>
    </row>
    <row r="500" ht="13" customHeight="1" s="189">
      <c r="A500" s="289" t="n"/>
      <c r="B500" s="290" t="n"/>
      <c r="C500" s="290" t="n"/>
      <c r="D500" s="290" t="n"/>
      <c r="E500" s="291" t="n"/>
      <c r="F500" s="291" t="n"/>
      <c r="G500" s="291" t="n"/>
      <c r="H500" s="297" t="n"/>
    </row>
    <row r="501" ht="13" customHeight="1" s="189">
      <c r="A501" s="289" t="n"/>
      <c r="B501" s="290" t="n"/>
      <c r="C501" s="290" t="n"/>
      <c r="D501" s="290" t="n"/>
      <c r="E501" s="291" t="n"/>
      <c r="F501" s="291" t="n"/>
      <c r="G501" s="291" t="n"/>
      <c r="H501" s="297" t="n"/>
    </row>
    <row r="502" ht="13" customHeight="1" s="189">
      <c r="A502" s="289" t="n"/>
      <c r="B502" s="290" t="n"/>
      <c r="C502" s="290" t="n"/>
      <c r="D502" s="290" t="n"/>
      <c r="E502" s="291" t="n"/>
      <c r="F502" s="291" t="n"/>
      <c r="G502" s="291" t="n"/>
      <c r="H502" s="297" t="n"/>
    </row>
    <row r="503" ht="13" customHeight="1" s="189">
      <c r="A503" s="289" t="n"/>
      <c r="B503" s="290" t="n"/>
      <c r="C503" s="290" t="n"/>
      <c r="D503" s="290" t="n"/>
      <c r="E503" s="291" t="n"/>
      <c r="F503" s="291" t="n"/>
      <c r="G503" s="291" t="n"/>
      <c r="H503" s="297" t="n"/>
    </row>
    <row r="504" ht="13" customHeight="1" s="189">
      <c r="A504" s="289" t="n"/>
      <c r="B504" s="290" t="n"/>
      <c r="C504" s="290" t="n"/>
      <c r="D504" s="290" t="n"/>
      <c r="E504" s="291" t="n"/>
      <c r="F504" s="291" t="n"/>
      <c r="G504" s="291" t="n"/>
      <c r="H504" s="297" t="n"/>
    </row>
    <row r="505" ht="13" customHeight="1" s="189">
      <c r="A505" s="289" t="n"/>
      <c r="B505" s="290" t="n"/>
      <c r="C505" s="290" t="n"/>
      <c r="D505" s="290" t="n"/>
      <c r="E505" s="291" t="n"/>
      <c r="F505" s="291" t="n"/>
      <c r="G505" s="291" t="n"/>
      <c r="H505" s="297" t="n"/>
    </row>
    <row r="506" ht="13" customHeight="1" s="189">
      <c r="A506" s="289" t="n"/>
      <c r="B506" s="290" t="n"/>
      <c r="C506" s="290" t="n"/>
      <c r="D506" s="290" t="n"/>
      <c r="E506" s="291" t="n"/>
      <c r="F506" s="291" t="n"/>
      <c r="G506" s="291" t="n"/>
      <c r="H506" s="297" t="n"/>
    </row>
    <row r="507" ht="13" customHeight="1" s="189">
      <c r="A507" s="289" t="n"/>
      <c r="B507" s="290" t="n"/>
      <c r="C507" s="290" t="n"/>
      <c r="D507" s="290" t="n"/>
      <c r="E507" s="291" t="n"/>
      <c r="F507" s="291" t="n"/>
      <c r="G507" s="291" t="n"/>
      <c r="H507" s="297" t="n"/>
    </row>
    <row r="508" ht="13" customHeight="1" s="189">
      <c r="A508" s="289" t="n"/>
      <c r="B508" s="290" t="n"/>
      <c r="C508" s="290" t="n"/>
      <c r="D508" s="290" t="n"/>
      <c r="E508" s="291" t="n"/>
      <c r="F508" s="291" t="n"/>
      <c r="G508" s="291" t="n"/>
      <c r="H508" s="297" t="n"/>
    </row>
    <row r="509" ht="13" customHeight="1" s="189">
      <c r="A509" s="289" t="n"/>
      <c r="B509" s="290" t="n"/>
      <c r="C509" s="290" t="n"/>
      <c r="D509" s="290" t="n"/>
      <c r="E509" s="291" t="n"/>
      <c r="F509" s="291" t="n"/>
      <c r="G509" s="291" t="n"/>
      <c r="H509" s="297" t="n"/>
    </row>
    <row r="510" ht="13" customHeight="1" s="189">
      <c r="A510" s="289" t="n"/>
      <c r="B510" s="290" t="n"/>
      <c r="C510" s="290" t="n"/>
      <c r="D510" s="290" t="n"/>
      <c r="E510" s="291" t="n"/>
      <c r="F510" s="291" t="n"/>
      <c r="G510" s="291" t="n"/>
      <c r="H510" s="297" t="n"/>
    </row>
    <row r="511" ht="13" customHeight="1" s="189">
      <c r="A511" s="289" t="n"/>
      <c r="B511" s="290" t="n"/>
      <c r="C511" s="290" t="n"/>
      <c r="D511" s="290" t="n"/>
      <c r="E511" s="291" t="n"/>
      <c r="F511" s="291" t="n"/>
      <c r="G511" s="291" t="n"/>
      <c r="H511" s="297" t="n"/>
    </row>
    <row r="512" ht="13" customHeight="1" s="189">
      <c r="A512" s="289" t="n"/>
      <c r="B512" s="290" t="n"/>
      <c r="C512" s="290" t="n"/>
      <c r="D512" s="290" t="n"/>
      <c r="E512" s="291" t="n"/>
      <c r="F512" s="291" t="n"/>
      <c r="G512" s="291" t="n"/>
      <c r="H512" s="297" t="n"/>
    </row>
    <row r="513" ht="13" customHeight="1" s="189">
      <c r="A513" s="289" t="n"/>
      <c r="B513" s="290" t="n"/>
      <c r="C513" s="290" t="n"/>
      <c r="D513" s="290" t="n"/>
      <c r="E513" s="291" t="n"/>
      <c r="F513" s="291" t="n"/>
      <c r="G513" s="291" t="n"/>
      <c r="H513" s="297" t="n"/>
    </row>
    <row r="514" ht="13" customHeight="1" s="189">
      <c r="A514" s="289" t="n"/>
      <c r="B514" s="290" t="n"/>
      <c r="C514" s="290" t="n"/>
      <c r="D514" s="290" t="n"/>
      <c r="E514" s="291" t="n"/>
      <c r="F514" s="291" t="n"/>
      <c r="G514" s="291" t="n"/>
      <c r="H514" s="297" t="n"/>
    </row>
    <row r="515" ht="13" customHeight="1" s="189">
      <c r="A515" s="289" t="n"/>
      <c r="B515" s="290" t="n"/>
      <c r="C515" s="290" t="n"/>
      <c r="D515" s="290" t="n"/>
      <c r="E515" s="291" t="n"/>
      <c r="F515" s="291" t="n"/>
      <c r="G515" s="291" t="n"/>
      <c r="H515" s="297" t="n"/>
    </row>
    <row r="516" ht="13" customHeight="1" s="189">
      <c r="A516" s="289" t="n"/>
      <c r="B516" s="290" t="n"/>
      <c r="C516" s="290" t="n"/>
      <c r="D516" s="290" t="n"/>
      <c r="E516" s="291" t="n"/>
      <c r="F516" s="291" t="n"/>
      <c r="G516" s="291" t="n"/>
      <c r="H516" s="297" t="n"/>
    </row>
    <row r="517" ht="13" customHeight="1" s="189">
      <c r="A517" s="289" t="n"/>
      <c r="B517" s="290" t="n"/>
      <c r="C517" s="290" t="n"/>
      <c r="D517" s="290" t="n"/>
      <c r="E517" s="291" t="n"/>
      <c r="F517" s="291" t="n"/>
      <c r="G517" s="291" t="n"/>
      <c r="H517" s="297" t="n"/>
    </row>
    <row r="518" ht="13" customHeight="1" s="189">
      <c r="A518" s="289" t="n"/>
      <c r="B518" s="290" t="n"/>
      <c r="C518" s="290" t="n"/>
      <c r="D518" s="290" t="n"/>
      <c r="E518" s="291" t="n"/>
      <c r="F518" s="291" t="n"/>
      <c r="G518" s="291" t="n"/>
      <c r="H518" s="297" t="n"/>
    </row>
    <row r="519" ht="13" customHeight="1" s="189">
      <c r="A519" s="289" t="n"/>
      <c r="B519" s="290" t="n"/>
      <c r="C519" s="290" t="n"/>
      <c r="D519" s="290" t="n"/>
      <c r="E519" s="291" t="n"/>
      <c r="F519" s="291" t="n"/>
      <c r="G519" s="291" t="n"/>
      <c r="H519" s="297" t="n"/>
    </row>
    <row r="520" ht="13" customHeight="1" s="189">
      <c r="A520" s="289" t="n"/>
      <c r="B520" s="290" t="n"/>
      <c r="C520" s="290" t="n"/>
      <c r="D520" s="290" t="n"/>
      <c r="E520" s="291" t="n"/>
      <c r="F520" s="291" t="n"/>
      <c r="G520" s="291" t="n"/>
      <c r="H520" s="297" t="n"/>
    </row>
    <row r="521" ht="13" customHeight="1" s="189">
      <c r="A521" s="289" t="n"/>
      <c r="B521" s="290" t="n"/>
      <c r="C521" s="290" t="n"/>
      <c r="D521" s="290" t="n"/>
      <c r="E521" s="291" t="n"/>
      <c r="F521" s="291" t="n"/>
      <c r="G521" s="291" t="n"/>
      <c r="H521" s="297" t="n"/>
    </row>
    <row r="522" ht="13" customHeight="1" s="189">
      <c r="A522" s="289" t="n"/>
      <c r="B522" s="290" t="n"/>
      <c r="C522" s="290" t="n"/>
      <c r="D522" s="290" t="n"/>
      <c r="E522" s="291" t="n"/>
      <c r="F522" s="291" t="n"/>
      <c r="G522" s="291" t="n"/>
      <c r="H522" s="297" t="n"/>
    </row>
    <row r="523" ht="13" customHeight="1" s="189">
      <c r="A523" s="289" t="n"/>
      <c r="B523" s="290" t="n"/>
      <c r="C523" s="290" t="n"/>
      <c r="D523" s="290" t="n"/>
      <c r="E523" s="291" t="n"/>
      <c r="F523" s="291" t="n"/>
      <c r="G523" s="291" t="n"/>
      <c r="H523" s="297" t="n"/>
    </row>
    <row r="524" ht="13" customHeight="1" s="189">
      <c r="A524" s="289" t="n"/>
      <c r="B524" s="290" t="n"/>
      <c r="C524" s="290" t="n"/>
      <c r="D524" s="290" t="n"/>
      <c r="E524" s="291" t="n"/>
      <c r="F524" s="291" t="n"/>
      <c r="G524" s="291" t="n"/>
      <c r="H524" s="297" t="n"/>
    </row>
    <row r="525" ht="13" customHeight="1" s="189">
      <c r="A525" s="289" t="n"/>
      <c r="B525" s="290" t="n"/>
      <c r="C525" s="290" t="n"/>
      <c r="D525" s="290" t="n"/>
      <c r="E525" s="291" t="n"/>
      <c r="F525" s="291" t="n"/>
      <c r="G525" s="291" t="n"/>
      <c r="H525" s="297" t="n"/>
    </row>
    <row r="526" ht="13" customHeight="1" s="189">
      <c r="A526" s="289" t="n"/>
      <c r="B526" s="290" t="n"/>
      <c r="C526" s="290" t="n"/>
      <c r="D526" s="290" t="n"/>
      <c r="E526" s="291" t="n"/>
      <c r="F526" s="291" t="n"/>
      <c r="G526" s="291" t="n"/>
      <c r="H526" s="297" t="n"/>
    </row>
    <row r="527" ht="13" customHeight="1" s="189">
      <c r="A527" s="289" t="n"/>
      <c r="B527" s="290" t="n"/>
      <c r="C527" s="290" t="n"/>
      <c r="D527" s="290" t="n"/>
      <c r="E527" s="291" t="n"/>
      <c r="F527" s="291" t="n"/>
      <c r="G527" s="291" t="n"/>
      <c r="H527" s="297" t="n"/>
    </row>
    <row r="528" ht="13" customHeight="1" s="189">
      <c r="A528" s="289" t="n"/>
      <c r="B528" s="290" t="n"/>
      <c r="C528" s="290" t="n"/>
      <c r="D528" s="290" t="n"/>
      <c r="E528" s="291" t="n"/>
      <c r="F528" s="291" t="n"/>
      <c r="G528" s="291" t="n"/>
      <c r="H528" s="297" t="n"/>
    </row>
    <row r="529" ht="13" customHeight="1" s="189">
      <c r="A529" s="289" t="n"/>
      <c r="B529" s="290" t="n"/>
      <c r="C529" s="290" t="n"/>
      <c r="D529" s="290" t="n"/>
      <c r="E529" s="291" t="n"/>
      <c r="F529" s="291" t="n"/>
      <c r="G529" s="291" t="n"/>
      <c r="H529" s="297" t="n"/>
    </row>
    <row r="530" ht="13" customHeight="1" s="189">
      <c r="A530" s="289" t="n"/>
      <c r="B530" s="290" t="n"/>
      <c r="C530" s="290" t="n"/>
      <c r="D530" s="290" t="n"/>
      <c r="E530" s="291" t="n"/>
      <c r="F530" s="291" t="n"/>
      <c r="G530" s="291" t="n"/>
      <c r="H530" s="297" t="n"/>
    </row>
    <row r="531" ht="13" customHeight="1" s="189">
      <c r="A531" s="289" t="n"/>
      <c r="B531" s="290" t="n"/>
      <c r="C531" s="290" t="n"/>
      <c r="D531" s="290" t="n"/>
      <c r="E531" s="291" t="n"/>
      <c r="F531" s="291" t="n"/>
      <c r="G531" s="291" t="n"/>
      <c r="H531" s="297" t="n"/>
    </row>
    <row r="532" ht="13" customHeight="1" s="189">
      <c r="A532" s="289" t="n"/>
      <c r="B532" s="290" t="n"/>
      <c r="C532" s="290" t="n"/>
      <c r="D532" s="290" t="n"/>
      <c r="E532" s="291" t="n"/>
      <c r="F532" s="291" t="n"/>
      <c r="G532" s="291" t="n"/>
      <c r="H532" s="297" t="n"/>
    </row>
    <row r="533" ht="13" customHeight="1" s="189">
      <c r="A533" s="289" t="n"/>
      <c r="B533" s="290" t="n"/>
      <c r="C533" s="290" t="n"/>
      <c r="D533" s="290" t="n"/>
      <c r="E533" s="291" t="n"/>
      <c r="F533" s="291" t="n"/>
      <c r="G533" s="291" t="n"/>
      <c r="H533" s="297" t="n"/>
    </row>
    <row r="534" ht="13" customHeight="1" s="189">
      <c r="A534" s="289" t="n"/>
      <c r="B534" s="290" t="n"/>
      <c r="C534" s="290" t="n"/>
      <c r="D534" s="290" t="n"/>
      <c r="E534" s="291" t="n"/>
      <c r="F534" s="291" t="n"/>
      <c r="G534" s="291" t="n"/>
      <c r="H534" s="297" t="n"/>
    </row>
    <row r="535" ht="13" customHeight="1" s="189">
      <c r="A535" s="289" t="n"/>
      <c r="B535" s="290" t="n"/>
      <c r="C535" s="290" t="n"/>
      <c r="D535" s="290" t="n"/>
      <c r="E535" s="291" t="n"/>
      <c r="F535" s="291" t="n"/>
      <c r="G535" s="291" t="n"/>
      <c r="H535" s="297" t="n"/>
    </row>
    <row r="536" ht="13" customHeight="1" s="189">
      <c r="A536" s="289" t="n"/>
      <c r="B536" s="290" t="n"/>
      <c r="C536" s="290" t="n"/>
      <c r="D536" s="290" t="n"/>
      <c r="E536" s="291" t="n"/>
      <c r="F536" s="291" t="n"/>
      <c r="G536" s="291" t="n"/>
      <c r="H536" s="297" t="n"/>
    </row>
    <row r="537" ht="13" customHeight="1" s="189">
      <c r="A537" s="289" t="n"/>
      <c r="B537" s="290" t="n"/>
      <c r="C537" s="290" t="n"/>
      <c r="D537" s="290" t="n"/>
      <c r="E537" s="291" t="n"/>
      <c r="F537" s="291" t="n"/>
      <c r="G537" s="291" t="n"/>
      <c r="H537" s="297" t="n"/>
    </row>
    <row r="538" ht="13" customHeight="1" s="189">
      <c r="A538" s="289" t="n"/>
      <c r="B538" s="290" t="n"/>
      <c r="C538" s="290" t="n"/>
      <c r="D538" s="290" t="n"/>
      <c r="E538" s="291" t="n"/>
      <c r="F538" s="291" t="n"/>
      <c r="G538" s="291" t="n"/>
      <c r="H538" s="297" t="n"/>
    </row>
    <row r="539" ht="13" customHeight="1" s="189">
      <c r="A539" s="289" t="n"/>
      <c r="B539" s="290" t="n"/>
      <c r="C539" s="290" t="n"/>
      <c r="D539" s="290" t="n"/>
      <c r="E539" s="291" t="n"/>
      <c r="F539" s="291" t="n"/>
      <c r="G539" s="291" t="n"/>
      <c r="H539" s="297" t="n"/>
    </row>
    <row r="540" ht="13" customHeight="1" s="189">
      <c r="A540" s="289" t="n"/>
      <c r="B540" s="290" t="n"/>
      <c r="C540" s="290" t="n"/>
      <c r="D540" s="290" t="n"/>
      <c r="E540" s="291" t="n"/>
      <c r="F540" s="291" t="n"/>
      <c r="G540" s="291" t="n"/>
      <c r="H540" s="297" t="n"/>
    </row>
    <row r="541" ht="13" customHeight="1" s="189">
      <c r="A541" s="289" t="n"/>
      <c r="B541" s="290" t="n"/>
      <c r="C541" s="290" t="n"/>
      <c r="D541" s="290" t="n"/>
      <c r="E541" s="291" t="n"/>
      <c r="F541" s="291" t="n"/>
      <c r="G541" s="291" t="n"/>
      <c r="H541" s="297" t="n"/>
    </row>
    <row r="542" ht="13" customHeight="1" s="189">
      <c r="A542" s="289" t="n"/>
      <c r="B542" s="290" t="n"/>
      <c r="C542" s="290" t="n"/>
      <c r="D542" s="290" t="n"/>
      <c r="E542" s="291" t="n"/>
      <c r="F542" s="291" t="n"/>
      <c r="G542" s="291" t="n"/>
      <c r="H542" s="297" t="n"/>
    </row>
    <row r="543" ht="13" customHeight="1" s="189">
      <c r="A543" s="289" t="n"/>
      <c r="B543" s="290" t="n"/>
      <c r="C543" s="290" t="n"/>
      <c r="D543" s="290" t="n"/>
      <c r="E543" s="291" t="n"/>
      <c r="F543" s="291" t="n"/>
      <c r="G543" s="291" t="n"/>
      <c r="H543" s="297" t="n"/>
    </row>
    <row r="544" ht="13" customHeight="1" s="189">
      <c r="A544" s="289" t="n"/>
      <c r="B544" s="290" t="n"/>
      <c r="C544" s="290" t="n"/>
      <c r="D544" s="290" t="n"/>
      <c r="E544" s="291" t="n"/>
      <c r="F544" s="291" t="n"/>
      <c r="G544" s="291" t="n"/>
      <c r="H544" s="297" t="n"/>
    </row>
    <row r="545" ht="13" customHeight="1" s="189">
      <c r="A545" s="289" t="n"/>
      <c r="B545" s="290" t="n"/>
      <c r="C545" s="290" t="n"/>
      <c r="D545" s="290" t="n"/>
      <c r="E545" s="291" t="n"/>
      <c r="F545" s="291" t="n"/>
      <c r="G545" s="291" t="n"/>
      <c r="H545" s="297" t="n"/>
    </row>
    <row r="546" ht="13" customHeight="1" s="189">
      <c r="A546" s="289" t="n"/>
      <c r="B546" s="290" t="n"/>
      <c r="C546" s="290" t="n"/>
      <c r="D546" s="290" t="n"/>
      <c r="E546" s="291" t="n"/>
      <c r="F546" s="291" t="n"/>
      <c r="G546" s="291" t="n"/>
      <c r="H546" s="297" t="n"/>
    </row>
    <row r="547" ht="13" customHeight="1" s="189">
      <c r="A547" s="289" t="n"/>
      <c r="B547" s="290" t="n"/>
      <c r="C547" s="290" t="n"/>
      <c r="D547" s="290" t="n"/>
      <c r="E547" s="291" t="n"/>
      <c r="F547" s="291" t="n"/>
      <c r="G547" s="291" t="n"/>
      <c r="H547" s="297" t="n"/>
    </row>
    <row r="548" ht="13" customHeight="1" s="189">
      <c r="A548" s="289" t="n"/>
      <c r="B548" s="290" t="n"/>
      <c r="C548" s="290" t="n"/>
      <c r="D548" s="290" t="n"/>
      <c r="E548" s="291" t="n"/>
      <c r="F548" s="291" t="n"/>
      <c r="G548" s="291" t="n"/>
      <c r="H548" s="297" t="n"/>
    </row>
    <row r="549" ht="13" customHeight="1" s="189">
      <c r="A549" s="289" t="n"/>
      <c r="B549" s="290" t="n"/>
      <c r="C549" s="290" t="n"/>
      <c r="D549" s="290" t="n"/>
      <c r="E549" s="291" t="n"/>
      <c r="F549" s="291" t="n"/>
      <c r="G549" s="291" t="n"/>
      <c r="H549" s="297" t="n"/>
    </row>
    <row r="550" ht="13" customHeight="1" s="189">
      <c r="A550" s="289" t="n"/>
      <c r="B550" s="290" t="n"/>
      <c r="C550" s="290" t="n"/>
      <c r="D550" s="290" t="n"/>
      <c r="E550" s="291" t="n"/>
      <c r="F550" s="291" t="n"/>
      <c r="G550" s="291" t="n"/>
      <c r="H550" s="297" t="n"/>
    </row>
    <row r="551" ht="13" customHeight="1" s="189">
      <c r="A551" s="289" t="n"/>
      <c r="B551" s="290" t="n"/>
      <c r="C551" s="290" t="n"/>
      <c r="D551" s="290" t="n"/>
      <c r="E551" s="291" t="n"/>
      <c r="F551" s="291" t="n"/>
      <c r="G551" s="291" t="n"/>
      <c r="H551" s="297" t="n"/>
    </row>
    <row r="552" ht="13" customHeight="1" s="189">
      <c r="A552" s="289" t="n"/>
      <c r="B552" s="290" t="n"/>
      <c r="C552" s="290" t="n"/>
      <c r="D552" s="290" t="n"/>
      <c r="E552" s="291" t="n"/>
      <c r="F552" s="291" t="n"/>
      <c r="G552" s="291" t="n"/>
      <c r="H552" s="297" t="n"/>
    </row>
    <row r="553" ht="13" customHeight="1" s="189">
      <c r="A553" s="289" t="n"/>
      <c r="B553" s="290" t="n"/>
      <c r="C553" s="290" t="n"/>
      <c r="D553" s="290" t="n"/>
      <c r="E553" s="291" t="n"/>
      <c r="F553" s="291" t="n"/>
      <c r="G553" s="291" t="n"/>
      <c r="H553" s="297" t="n"/>
    </row>
    <row r="554" ht="13" customHeight="1" s="189">
      <c r="A554" s="289" t="n"/>
      <c r="B554" s="290" t="n"/>
      <c r="C554" s="290" t="n"/>
      <c r="D554" s="290" t="n"/>
      <c r="E554" s="291" t="n"/>
      <c r="F554" s="291" t="n"/>
      <c r="G554" s="291" t="n"/>
      <c r="H554" s="297" t="n"/>
    </row>
    <row r="555" ht="13" customHeight="1" s="189">
      <c r="A555" s="289" t="n"/>
      <c r="B555" s="290" t="n"/>
      <c r="C555" s="290" t="n"/>
      <c r="D555" s="290" t="n"/>
      <c r="E555" s="291" t="n"/>
      <c r="F555" s="291" t="n"/>
      <c r="G555" s="291" t="n"/>
      <c r="H555" s="297" t="n"/>
    </row>
    <row r="556" ht="13" customHeight="1" s="189">
      <c r="A556" s="289" t="n"/>
      <c r="B556" s="290" t="n"/>
      <c r="C556" s="290" t="n"/>
      <c r="D556" s="290" t="n"/>
      <c r="E556" s="291" t="n"/>
      <c r="F556" s="291" t="n"/>
      <c r="G556" s="291" t="n"/>
      <c r="H556" s="297" t="n"/>
    </row>
    <row r="557" ht="13" customHeight="1" s="189">
      <c r="A557" s="289" t="n"/>
      <c r="B557" s="290" t="n"/>
      <c r="C557" s="290" t="n"/>
      <c r="D557" s="290" t="n"/>
      <c r="E557" s="291" t="n"/>
      <c r="F557" s="291" t="n"/>
      <c r="G557" s="291" t="n"/>
      <c r="H557" s="297" t="n"/>
    </row>
    <row r="558" ht="13" customHeight="1" s="189">
      <c r="A558" s="289" t="n"/>
      <c r="B558" s="290" t="n"/>
      <c r="C558" s="290" t="n"/>
      <c r="D558" s="290" t="n"/>
      <c r="E558" s="291" t="n"/>
      <c r="F558" s="291" t="n"/>
      <c r="G558" s="291" t="n"/>
      <c r="H558" s="297" t="n"/>
    </row>
    <row r="559" ht="13" customHeight="1" s="189">
      <c r="A559" s="289" t="n"/>
      <c r="B559" s="290" t="n"/>
      <c r="C559" s="290" t="n"/>
      <c r="D559" s="290" t="n"/>
      <c r="E559" s="291" t="n"/>
      <c r="F559" s="291" t="n"/>
      <c r="G559" s="291" t="n"/>
      <c r="H559" s="297" t="n"/>
    </row>
    <row r="560" ht="13" customHeight="1" s="189">
      <c r="A560" s="289" t="n"/>
      <c r="B560" s="290" t="n"/>
      <c r="C560" s="290" t="n"/>
      <c r="D560" s="290" t="n"/>
      <c r="E560" s="291" t="n"/>
      <c r="F560" s="291" t="n"/>
      <c r="G560" s="291" t="n"/>
      <c r="H560" s="297" t="n"/>
    </row>
    <row r="561" ht="13" customHeight="1" s="189">
      <c r="A561" s="289" t="n"/>
      <c r="B561" s="290" t="n"/>
      <c r="C561" s="290" t="n"/>
      <c r="D561" s="290" t="n"/>
      <c r="E561" s="291" t="n"/>
      <c r="F561" s="291" t="n"/>
      <c r="G561" s="291" t="n"/>
      <c r="H561" s="297" t="n"/>
    </row>
    <row r="562" ht="13" customHeight="1" s="189">
      <c r="A562" s="289" t="n"/>
      <c r="B562" s="290" t="n"/>
      <c r="C562" s="290" t="n"/>
      <c r="D562" s="290" t="n"/>
      <c r="E562" s="291" t="n"/>
      <c r="F562" s="291" t="n"/>
      <c r="G562" s="291" t="n"/>
      <c r="H562" s="297" t="n"/>
    </row>
    <row r="563" ht="13" customHeight="1" s="189">
      <c r="A563" s="289" t="n"/>
      <c r="B563" s="290" t="n"/>
      <c r="C563" s="290" t="n"/>
      <c r="D563" s="290" t="n"/>
      <c r="E563" s="291" t="n"/>
      <c r="F563" s="291" t="n"/>
      <c r="G563" s="291" t="n"/>
      <c r="H563" s="297" t="n"/>
    </row>
    <row r="564" ht="13" customHeight="1" s="189">
      <c r="A564" s="289" t="n"/>
      <c r="B564" s="290" t="n"/>
      <c r="C564" s="290" t="n"/>
      <c r="D564" s="290" t="n"/>
      <c r="E564" s="291" t="n"/>
      <c r="F564" s="291" t="n"/>
      <c r="G564" s="291" t="n"/>
      <c r="H564" s="297" t="n"/>
    </row>
    <row r="565" ht="13" customHeight="1" s="189">
      <c r="A565" s="289" t="n"/>
      <c r="B565" s="290" t="n"/>
      <c r="C565" s="290" t="n"/>
      <c r="D565" s="290" t="n"/>
      <c r="E565" s="291" t="n"/>
      <c r="F565" s="291" t="n"/>
      <c r="G565" s="291" t="n"/>
      <c r="H565" s="297" t="n"/>
    </row>
    <row r="566" ht="13" customHeight="1" s="189">
      <c r="A566" s="289" t="n"/>
      <c r="B566" s="290" t="n"/>
      <c r="C566" s="290" t="n"/>
      <c r="D566" s="290" t="n"/>
      <c r="E566" s="291" t="n"/>
      <c r="F566" s="291" t="n"/>
      <c r="G566" s="291" t="n"/>
      <c r="H566" s="297" t="n"/>
    </row>
    <row r="567" ht="13" customHeight="1" s="189">
      <c r="A567" s="289" t="n"/>
      <c r="B567" s="290" t="n"/>
      <c r="C567" s="290" t="n"/>
      <c r="D567" s="290" t="n"/>
      <c r="E567" s="291" t="n"/>
      <c r="F567" s="291" t="n"/>
      <c r="G567" s="291" t="n"/>
      <c r="H567" s="297" t="n"/>
    </row>
    <row r="568" ht="13" customHeight="1" s="189">
      <c r="A568" s="289" t="n"/>
      <c r="B568" s="290" t="n"/>
      <c r="C568" s="290" t="n"/>
      <c r="D568" s="290" t="n"/>
      <c r="E568" s="291" t="n"/>
      <c r="F568" s="291" t="n"/>
      <c r="G568" s="291" t="n"/>
      <c r="H568" s="297" t="n"/>
    </row>
    <row r="569" ht="13" customHeight="1" s="189">
      <c r="A569" s="289" t="n"/>
      <c r="B569" s="290" t="n"/>
      <c r="C569" s="290" t="n"/>
      <c r="D569" s="290" t="n"/>
      <c r="E569" s="291" t="n"/>
      <c r="F569" s="291" t="n"/>
      <c r="G569" s="291" t="n"/>
      <c r="H569" s="297" t="n"/>
    </row>
    <row r="570" ht="13" customHeight="1" s="189">
      <c r="A570" s="289" t="n"/>
      <c r="B570" s="290" t="n"/>
      <c r="C570" s="290" t="n"/>
      <c r="D570" s="290" t="n"/>
      <c r="E570" s="291" t="n"/>
      <c r="F570" s="291" t="n"/>
      <c r="G570" s="291" t="n"/>
      <c r="H570" s="297" t="n"/>
    </row>
    <row r="571" ht="13" customHeight="1" s="189">
      <c r="A571" s="289" t="n"/>
      <c r="B571" s="290" t="n"/>
      <c r="C571" s="290" t="n"/>
      <c r="D571" s="290" t="n"/>
      <c r="E571" s="291" t="n"/>
      <c r="F571" s="291" t="n"/>
      <c r="G571" s="291" t="n"/>
      <c r="H571" s="297" t="n"/>
    </row>
    <row r="572" ht="13" customHeight="1" s="189">
      <c r="A572" s="289" t="n"/>
      <c r="B572" s="290" t="n"/>
      <c r="C572" s="290" t="n"/>
      <c r="D572" s="290" t="n"/>
      <c r="E572" s="291" t="n"/>
      <c r="F572" s="291" t="n"/>
      <c r="G572" s="291" t="n"/>
      <c r="H572" s="297" t="n"/>
    </row>
    <row r="573" ht="13" customHeight="1" s="189">
      <c r="A573" s="289" t="n"/>
      <c r="B573" s="290" t="n"/>
      <c r="C573" s="290" t="n"/>
      <c r="D573" s="290" t="n"/>
      <c r="E573" s="291" t="n"/>
      <c r="F573" s="291" t="n"/>
      <c r="G573" s="291" t="n"/>
      <c r="H573" s="297" t="n"/>
    </row>
    <row r="574" ht="13" customHeight="1" s="189">
      <c r="A574" s="289" t="n"/>
      <c r="B574" s="290" t="n"/>
      <c r="C574" s="290" t="n"/>
      <c r="D574" s="290" t="n"/>
      <c r="E574" s="291" t="n"/>
      <c r="F574" s="291" t="n"/>
      <c r="G574" s="291" t="n"/>
      <c r="H574" s="297" t="n"/>
    </row>
    <row r="575" ht="13" customHeight="1" s="189">
      <c r="A575" s="289" t="n"/>
      <c r="B575" s="290" t="n"/>
      <c r="C575" s="290" t="n"/>
      <c r="D575" s="290" t="n"/>
      <c r="E575" s="291" t="n"/>
      <c r="F575" s="291" t="n"/>
      <c r="G575" s="291" t="n"/>
      <c r="H575" s="297" t="n"/>
    </row>
    <row r="576" ht="13" customHeight="1" s="189">
      <c r="A576" s="289" t="n"/>
      <c r="B576" s="290" t="n"/>
      <c r="C576" s="290" t="n"/>
      <c r="D576" s="290" t="n"/>
      <c r="E576" s="291" t="n"/>
      <c r="F576" s="291" t="n"/>
      <c r="G576" s="291" t="n"/>
      <c r="H576" s="297" t="n"/>
    </row>
    <row r="577" ht="13" customHeight="1" s="189">
      <c r="A577" s="289" t="n"/>
      <c r="B577" s="290" t="n"/>
      <c r="C577" s="290" t="n"/>
      <c r="D577" s="290" t="n"/>
      <c r="E577" s="291" t="n"/>
      <c r="F577" s="291" t="n"/>
      <c r="G577" s="291" t="n"/>
      <c r="H577" s="297" t="n"/>
    </row>
    <row r="578" ht="13" customHeight="1" s="189">
      <c r="A578" s="289" t="n"/>
      <c r="B578" s="290" t="n"/>
      <c r="C578" s="290" t="n"/>
      <c r="D578" s="290" t="n"/>
      <c r="E578" s="291" t="n"/>
      <c r="F578" s="291" t="n"/>
      <c r="G578" s="291" t="n"/>
      <c r="H578" s="297" t="n"/>
    </row>
    <row r="579" ht="13" customHeight="1" s="189">
      <c r="A579" s="289" t="n"/>
      <c r="B579" s="290" t="n"/>
      <c r="C579" s="290" t="n"/>
      <c r="D579" s="290" t="n"/>
      <c r="E579" s="291" t="n"/>
      <c r="F579" s="291" t="n"/>
      <c r="G579" s="291" t="n"/>
      <c r="H579" s="297" t="n"/>
    </row>
    <row r="580" ht="13" customHeight="1" s="189">
      <c r="A580" s="289" t="n"/>
      <c r="B580" s="290" t="n"/>
      <c r="C580" s="290" t="n"/>
      <c r="D580" s="290" t="n"/>
      <c r="E580" s="291" t="n"/>
      <c r="F580" s="291" t="n"/>
      <c r="G580" s="291" t="n"/>
      <c r="H580" s="297" t="n"/>
    </row>
    <row r="581" ht="13" customHeight="1" s="189">
      <c r="A581" s="289" t="n"/>
      <c r="B581" s="290" t="n"/>
      <c r="C581" s="290" t="n"/>
      <c r="D581" s="290" t="n"/>
      <c r="E581" s="291" t="n"/>
      <c r="F581" s="291" t="n"/>
      <c r="G581" s="291" t="n"/>
      <c r="H581" s="297" t="n"/>
    </row>
    <row r="582" ht="13" customHeight="1" s="189">
      <c r="A582" s="289" t="n"/>
      <c r="B582" s="290" t="n"/>
      <c r="C582" s="290" t="n"/>
      <c r="D582" s="290" t="n"/>
      <c r="E582" s="291" t="n"/>
      <c r="F582" s="291" t="n"/>
      <c r="G582" s="291" t="n"/>
      <c r="H582" s="297" t="n"/>
    </row>
    <row r="583" ht="13" customHeight="1" s="189">
      <c r="A583" s="289" t="n"/>
      <c r="B583" s="290" t="n"/>
      <c r="C583" s="290" t="n"/>
      <c r="D583" s="290" t="n"/>
      <c r="E583" s="291" t="n"/>
      <c r="F583" s="291" t="n"/>
      <c r="G583" s="291" t="n"/>
      <c r="H583" s="297" t="n"/>
    </row>
    <row r="584" ht="13" customHeight="1" s="189">
      <c r="A584" s="289" t="n"/>
      <c r="B584" s="290" t="n"/>
      <c r="C584" s="290" t="n"/>
      <c r="D584" s="290" t="n"/>
      <c r="E584" s="291" t="n"/>
      <c r="F584" s="291" t="n"/>
      <c r="G584" s="291" t="n"/>
      <c r="H584" s="297" t="n"/>
    </row>
    <row r="585" ht="13" customHeight="1" s="189">
      <c r="A585" s="289" t="n"/>
      <c r="B585" s="290" t="n"/>
      <c r="C585" s="290" t="n"/>
      <c r="D585" s="290" t="n"/>
      <c r="E585" s="291" t="n"/>
      <c r="F585" s="291" t="n"/>
      <c r="G585" s="291" t="n"/>
      <c r="H585" s="297" t="n"/>
    </row>
    <row r="586" ht="13" customHeight="1" s="189">
      <c r="A586" s="289" t="n"/>
      <c r="B586" s="290" t="n"/>
      <c r="C586" s="290" t="n"/>
      <c r="D586" s="290" t="n"/>
      <c r="E586" s="291" t="n"/>
      <c r="F586" s="291" t="n"/>
      <c r="G586" s="291" t="n"/>
      <c r="H586" s="297" t="n"/>
    </row>
    <row r="587" ht="13" customHeight="1" s="189">
      <c r="A587" s="289" t="n"/>
      <c r="B587" s="290" t="n"/>
      <c r="C587" s="290" t="n"/>
      <c r="D587" s="290" t="n"/>
      <c r="E587" s="291" t="n"/>
      <c r="F587" s="291" t="n"/>
      <c r="G587" s="291" t="n"/>
      <c r="H587" s="297" t="n"/>
    </row>
    <row r="588" ht="13" customHeight="1" s="189">
      <c r="A588" s="289" t="n"/>
      <c r="B588" s="290" t="n"/>
      <c r="C588" s="290" t="n"/>
      <c r="D588" s="290" t="n"/>
      <c r="E588" s="291" t="n"/>
      <c r="F588" s="291" t="n"/>
      <c r="G588" s="291" t="n"/>
      <c r="H588" s="297" t="n"/>
    </row>
    <row r="589" ht="13" customHeight="1" s="189">
      <c r="A589" s="289" t="n"/>
      <c r="B589" s="290" t="n"/>
      <c r="C589" s="290" t="n"/>
      <c r="D589" s="290" t="n"/>
      <c r="E589" s="291" t="n"/>
      <c r="F589" s="291" t="n"/>
      <c r="G589" s="291" t="n"/>
      <c r="H589" s="297" t="n"/>
    </row>
    <row r="590" ht="13" customHeight="1" s="189">
      <c r="A590" s="289" t="n"/>
      <c r="B590" s="290" t="n"/>
      <c r="C590" s="290" t="n"/>
      <c r="D590" s="290" t="n"/>
      <c r="E590" s="291" t="n"/>
      <c r="F590" s="291" t="n"/>
      <c r="G590" s="291" t="n"/>
      <c r="H590" s="297" t="n"/>
    </row>
    <row r="591" ht="13" customHeight="1" s="189">
      <c r="A591" s="289" t="n"/>
      <c r="B591" s="290" t="n"/>
      <c r="C591" s="290" t="n"/>
      <c r="D591" s="290" t="n"/>
      <c r="E591" s="291" t="n"/>
      <c r="F591" s="291" t="n"/>
      <c r="G591" s="291" t="n"/>
      <c r="H591" s="297" t="n"/>
    </row>
    <row r="592" ht="13" customHeight="1" s="189">
      <c r="A592" s="289" t="n"/>
      <c r="B592" s="290" t="n"/>
      <c r="C592" s="290" t="n"/>
      <c r="D592" s="290" t="n"/>
      <c r="E592" s="291" t="n"/>
      <c r="F592" s="291" t="n"/>
      <c r="G592" s="291" t="n"/>
      <c r="H592" s="297" t="n"/>
    </row>
    <row r="593" ht="13" customHeight="1" s="189">
      <c r="A593" s="289" t="n"/>
      <c r="B593" s="290" t="n"/>
      <c r="C593" s="290" t="n"/>
      <c r="D593" s="290" t="n"/>
      <c r="E593" s="291" t="n"/>
      <c r="F593" s="291" t="n"/>
      <c r="G593" s="291" t="n"/>
      <c r="H593" s="297" t="n"/>
    </row>
    <row r="594" ht="13" customHeight="1" s="189">
      <c r="A594" s="289" t="n"/>
      <c r="B594" s="290" t="n"/>
      <c r="C594" s="290" t="n"/>
      <c r="D594" s="290" t="n"/>
      <c r="E594" s="291" t="n"/>
      <c r="F594" s="291" t="n"/>
      <c r="G594" s="291" t="n"/>
      <c r="H594" s="297" t="n"/>
    </row>
    <row r="595" ht="13" customHeight="1" s="189">
      <c r="A595" s="289" t="n"/>
      <c r="B595" s="290" t="n"/>
      <c r="C595" s="290" t="n"/>
      <c r="D595" s="290" t="n"/>
      <c r="E595" s="291" t="n"/>
      <c r="F595" s="291" t="n"/>
      <c r="G595" s="291" t="n"/>
      <c r="H595" s="297" t="n"/>
    </row>
    <row r="596" ht="13" customHeight="1" s="189">
      <c r="A596" s="289" t="n"/>
      <c r="B596" s="290" t="n"/>
      <c r="C596" s="290" t="n"/>
      <c r="D596" s="290" t="n"/>
      <c r="E596" s="291" t="n"/>
      <c r="F596" s="291" t="n"/>
      <c r="G596" s="291" t="n"/>
      <c r="H596" s="297" t="n"/>
    </row>
    <row r="597" ht="13" customHeight="1" s="189">
      <c r="A597" s="289" t="n"/>
      <c r="B597" s="290" t="n"/>
      <c r="C597" s="290" t="n"/>
      <c r="D597" s="290" t="n"/>
      <c r="E597" s="291" t="n"/>
      <c r="F597" s="291" t="n"/>
      <c r="G597" s="291" t="n"/>
      <c r="H597" s="297" t="n"/>
    </row>
    <row r="598" ht="13" customHeight="1" s="189">
      <c r="A598" s="289" t="n"/>
      <c r="B598" s="290" t="n"/>
      <c r="C598" s="290" t="n"/>
      <c r="D598" s="290" t="n"/>
      <c r="E598" s="291" t="n"/>
      <c r="F598" s="291" t="n"/>
      <c r="G598" s="291" t="n"/>
      <c r="H598" s="297" t="n"/>
    </row>
    <row r="599" ht="13" customHeight="1" s="189">
      <c r="A599" s="289" t="n"/>
      <c r="B599" s="290" t="n"/>
      <c r="C599" s="290" t="n"/>
      <c r="D599" s="290" t="n"/>
      <c r="E599" s="291" t="n"/>
      <c r="F599" s="291" t="n"/>
      <c r="G599" s="291" t="n"/>
      <c r="H599" s="297" t="n"/>
    </row>
    <row r="600" ht="13" customHeight="1" s="189">
      <c r="A600" s="289" t="n"/>
      <c r="B600" s="290" t="n"/>
      <c r="C600" s="290" t="n"/>
      <c r="D600" s="290" t="n"/>
      <c r="E600" s="291" t="n"/>
      <c r="F600" s="291" t="n"/>
      <c r="G600" s="291" t="n"/>
      <c r="H600" s="297" t="n"/>
    </row>
    <row r="601" ht="13" customHeight="1" s="189">
      <c r="A601" s="289" t="n"/>
      <c r="B601" s="290" t="n"/>
      <c r="C601" s="290" t="n"/>
      <c r="D601" s="290" t="n"/>
      <c r="E601" s="291" t="n"/>
      <c r="F601" s="291" t="n"/>
      <c r="G601" s="291" t="n"/>
      <c r="H601" s="297" t="n"/>
    </row>
    <row r="602" ht="13" customHeight="1" s="189">
      <c r="A602" s="289" t="n"/>
      <c r="B602" s="290" t="n"/>
      <c r="C602" s="290" t="n"/>
      <c r="D602" s="290" t="n"/>
      <c r="E602" s="291" t="n"/>
      <c r="F602" s="291" t="n"/>
      <c r="G602" s="291" t="n"/>
      <c r="H602" s="297" t="n"/>
    </row>
    <row r="603" ht="13" customHeight="1" s="189">
      <c r="A603" s="289" t="n"/>
      <c r="B603" s="290" t="n"/>
      <c r="C603" s="290" t="n"/>
      <c r="D603" s="290" t="n"/>
      <c r="E603" s="291" t="n"/>
      <c r="F603" s="291" t="n"/>
      <c r="G603" s="291" t="n"/>
      <c r="H603" s="297" t="n"/>
    </row>
    <row r="604" ht="13" customHeight="1" s="189">
      <c r="A604" s="289" t="n"/>
      <c r="B604" s="290" t="n"/>
      <c r="C604" s="290" t="n"/>
      <c r="D604" s="290" t="n"/>
      <c r="E604" s="291" t="n"/>
      <c r="F604" s="291" t="n"/>
      <c r="G604" s="291" t="n"/>
      <c r="H604" s="297" t="n"/>
    </row>
    <row r="605" ht="13" customHeight="1" s="189">
      <c r="A605" s="289" t="n"/>
      <c r="B605" s="290" t="n"/>
      <c r="C605" s="290" t="n"/>
      <c r="D605" s="290" t="n"/>
      <c r="E605" s="291" t="n"/>
      <c r="F605" s="291" t="n"/>
      <c r="G605" s="291" t="n"/>
      <c r="H605" s="297" t="n"/>
    </row>
    <row r="606" ht="13" customHeight="1" s="189">
      <c r="A606" s="289" t="n"/>
      <c r="B606" s="290" t="n"/>
      <c r="C606" s="290" t="n"/>
      <c r="D606" s="290" t="n"/>
      <c r="E606" s="291" t="n"/>
      <c r="F606" s="291" t="n"/>
      <c r="G606" s="291" t="n"/>
      <c r="H606" s="297" t="n"/>
    </row>
    <row r="607" ht="13" customHeight="1" s="189">
      <c r="A607" s="289" t="n"/>
      <c r="B607" s="290" t="n"/>
      <c r="C607" s="290" t="n"/>
      <c r="D607" s="290" t="n"/>
      <c r="E607" s="291" t="n"/>
      <c r="F607" s="291" t="n"/>
      <c r="G607" s="291" t="n"/>
      <c r="H607" s="297" t="n"/>
    </row>
    <row r="608" ht="13" customHeight="1" s="189">
      <c r="A608" s="289" t="n"/>
      <c r="B608" s="290" t="n"/>
      <c r="C608" s="290" t="n"/>
      <c r="D608" s="290" t="n"/>
      <c r="E608" s="291" t="n"/>
      <c r="F608" s="291" t="n"/>
      <c r="G608" s="291" t="n"/>
      <c r="H608" s="297" t="n"/>
    </row>
    <row r="609" ht="13" customHeight="1" s="189">
      <c r="A609" s="289" t="n"/>
      <c r="B609" s="290" t="n"/>
      <c r="C609" s="290" t="n"/>
      <c r="D609" s="290" t="n"/>
      <c r="E609" s="291" t="n"/>
      <c r="F609" s="291" t="n"/>
      <c r="G609" s="291" t="n"/>
      <c r="H609" s="297" t="n"/>
    </row>
    <row r="610" ht="13" customHeight="1" s="189">
      <c r="A610" s="289" t="n"/>
      <c r="B610" s="290" t="n"/>
      <c r="C610" s="290" t="n"/>
      <c r="D610" s="290" t="n"/>
      <c r="E610" s="291" t="n"/>
      <c r="F610" s="291" t="n"/>
      <c r="G610" s="291" t="n"/>
      <c r="H610" s="297" t="n"/>
    </row>
    <row r="611" ht="13" customHeight="1" s="189">
      <c r="A611" s="289" t="n"/>
      <c r="B611" s="290" t="n"/>
      <c r="C611" s="290" t="n"/>
      <c r="D611" s="290" t="n"/>
      <c r="E611" s="291" t="n"/>
      <c r="F611" s="291" t="n"/>
      <c r="G611" s="291" t="n"/>
      <c r="H611" s="297" t="n"/>
    </row>
    <row r="612" ht="13" customHeight="1" s="189">
      <c r="A612" s="289" t="n"/>
      <c r="B612" s="290" t="n"/>
      <c r="C612" s="290" t="n"/>
      <c r="D612" s="290" t="n"/>
      <c r="E612" s="291" t="n"/>
      <c r="F612" s="291" t="n"/>
      <c r="G612" s="291" t="n"/>
      <c r="H612" s="297" t="n"/>
    </row>
    <row r="613" ht="13" customHeight="1" s="189">
      <c r="A613" s="289" t="n"/>
      <c r="B613" s="290" t="n"/>
      <c r="C613" s="290" t="n"/>
      <c r="D613" s="290" t="n"/>
      <c r="E613" s="291" t="n"/>
      <c r="F613" s="291" t="n"/>
      <c r="G613" s="291" t="n"/>
      <c r="H613" s="297" t="n"/>
    </row>
    <row r="614" ht="13" customHeight="1" s="189">
      <c r="A614" s="289" t="n"/>
      <c r="B614" s="290" t="n"/>
      <c r="C614" s="290" t="n"/>
      <c r="D614" s="290" t="n"/>
      <c r="E614" s="291" t="n"/>
      <c r="F614" s="291" t="n"/>
      <c r="G614" s="291" t="n"/>
      <c r="H614" s="297" t="n"/>
    </row>
    <row r="615" ht="13" customHeight="1" s="189">
      <c r="A615" s="289" t="n"/>
      <c r="B615" s="290" t="n"/>
      <c r="C615" s="290" t="n"/>
      <c r="D615" s="290" t="n"/>
      <c r="E615" s="291" t="n"/>
      <c r="F615" s="291" t="n"/>
      <c r="G615" s="291" t="n"/>
      <c r="H615" s="297" t="n"/>
    </row>
    <row r="616" ht="13" customHeight="1" s="189">
      <c r="A616" s="289" t="n"/>
      <c r="B616" s="290" t="n"/>
      <c r="C616" s="290" t="n"/>
      <c r="D616" s="290" t="n"/>
      <c r="E616" s="291" t="n"/>
      <c r="F616" s="291" t="n"/>
      <c r="G616" s="291" t="n"/>
      <c r="H616" s="297" t="n"/>
    </row>
    <row r="617" ht="13" customHeight="1" s="189">
      <c r="A617" s="289" t="n"/>
      <c r="B617" s="290" t="n"/>
      <c r="C617" s="290" t="n"/>
      <c r="D617" s="290" t="n"/>
      <c r="E617" s="291" t="n"/>
      <c r="F617" s="291" t="n"/>
      <c r="G617" s="291" t="n"/>
      <c r="H617" s="297" t="n"/>
    </row>
    <row r="618" ht="13" customHeight="1" s="189">
      <c r="A618" s="289" t="n"/>
      <c r="B618" s="290" t="n"/>
      <c r="C618" s="290" t="n"/>
      <c r="D618" s="290" t="n"/>
      <c r="E618" s="291" t="n"/>
      <c r="F618" s="291" t="n"/>
      <c r="G618" s="291" t="n"/>
      <c r="H618" s="297" t="n"/>
    </row>
    <row r="619" ht="13" customHeight="1" s="189">
      <c r="A619" s="289" t="n"/>
      <c r="B619" s="290" t="n"/>
      <c r="C619" s="290" t="n"/>
      <c r="D619" s="290" t="n"/>
      <c r="E619" s="291" t="n"/>
      <c r="F619" s="291" t="n"/>
      <c r="G619" s="291" t="n"/>
      <c r="H619" s="297" t="n"/>
    </row>
    <row r="620" ht="13" customHeight="1" s="189">
      <c r="A620" s="289" t="n"/>
      <c r="B620" s="290" t="n"/>
      <c r="C620" s="290" t="n"/>
      <c r="D620" s="290" t="n"/>
      <c r="E620" s="291" t="n"/>
      <c r="F620" s="291" t="n"/>
      <c r="G620" s="291" t="n"/>
      <c r="H620" s="297" t="n"/>
    </row>
    <row r="621" ht="13" customHeight="1" s="189">
      <c r="A621" s="289" t="n"/>
      <c r="B621" s="290" t="n"/>
      <c r="C621" s="290" t="n"/>
      <c r="D621" s="290" t="n"/>
      <c r="E621" s="291" t="n"/>
      <c r="F621" s="291" t="n"/>
      <c r="G621" s="291" t="n"/>
      <c r="H621" s="297" t="n"/>
    </row>
    <row r="622" ht="13" customHeight="1" s="189">
      <c r="A622" s="289" t="n"/>
      <c r="B622" s="290" t="n"/>
      <c r="C622" s="290" t="n"/>
      <c r="D622" s="290" t="n"/>
      <c r="E622" s="291" t="n"/>
      <c r="F622" s="291" t="n"/>
      <c r="G622" s="291" t="n"/>
      <c r="H622" s="297" t="n"/>
    </row>
    <row r="623" ht="13" customHeight="1" s="189">
      <c r="A623" s="289" t="n"/>
      <c r="B623" s="290" t="n"/>
      <c r="C623" s="290" t="n"/>
      <c r="D623" s="290" t="n"/>
      <c r="E623" s="291" t="n"/>
      <c r="F623" s="291" t="n"/>
      <c r="G623" s="291" t="n"/>
      <c r="H623" s="297" t="n"/>
    </row>
    <row r="624" ht="13" customHeight="1" s="189">
      <c r="A624" s="289" t="n"/>
      <c r="B624" s="290" t="n"/>
      <c r="C624" s="290" t="n"/>
      <c r="D624" s="290" t="n"/>
      <c r="E624" s="291" t="n"/>
      <c r="F624" s="291" t="n"/>
      <c r="G624" s="291" t="n"/>
      <c r="H624" s="297" t="n"/>
    </row>
    <row r="625" ht="13" customHeight="1" s="189">
      <c r="A625" s="289" t="n"/>
      <c r="B625" s="290" t="n"/>
      <c r="C625" s="290" t="n"/>
      <c r="D625" s="290" t="n"/>
      <c r="E625" s="291" t="n"/>
      <c r="F625" s="291" t="n"/>
      <c r="G625" s="291" t="n"/>
      <c r="H625" s="297" t="n"/>
    </row>
    <row r="626" ht="13" customHeight="1" s="189">
      <c r="A626" s="289" t="n"/>
      <c r="B626" s="290" t="n"/>
      <c r="C626" s="290" t="n"/>
      <c r="D626" s="290" t="n"/>
      <c r="E626" s="291" t="n"/>
      <c r="F626" s="291" t="n"/>
      <c r="G626" s="291" t="n"/>
      <c r="H626" s="297" t="n"/>
    </row>
    <row r="627" ht="13" customHeight="1" s="189">
      <c r="A627" s="289" t="n"/>
      <c r="B627" s="290" t="n"/>
      <c r="C627" s="290" t="n"/>
      <c r="D627" s="290" t="n"/>
      <c r="E627" s="291" t="n"/>
      <c r="F627" s="291" t="n"/>
      <c r="G627" s="291" t="n"/>
      <c r="H627" s="297" t="n"/>
    </row>
    <row r="628" ht="13" customHeight="1" s="189">
      <c r="A628" s="289" t="n"/>
      <c r="B628" s="290" t="n"/>
      <c r="C628" s="290" t="n"/>
      <c r="D628" s="290" t="n"/>
      <c r="E628" s="291" t="n"/>
      <c r="F628" s="291" t="n"/>
      <c r="G628" s="291" t="n"/>
      <c r="H628" s="297" t="n"/>
    </row>
    <row r="629" ht="13" customHeight="1" s="189">
      <c r="A629" s="289" t="n"/>
      <c r="B629" s="290" t="n"/>
      <c r="C629" s="290" t="n"/>
      <c r="D629" s="290" t="n"/>
      <c r="E629" s="291" t="n"/>
      <c r="F629" s="291" t="n"/>
      <c r="G629" s="291" t="n"/>
      <c r="H629" s="297" t="n"/>
    </row>
    <row r="630" ht="13" customHeight="1" s="189">
      <c r="A630" s="289" t="n"/>
      <c r="B630" s="290" t="n"/>
      <c r="C630" s="290" t="n"/>
      <c r="D630" s="290" t="n"/>
      <c r="E630" s="291" t="n"/>
      <c r="F630" s="291" t="n"/>
      <c r="G630" s="291" t="n"/>
      <c r="H630" s="297" t="n"/>
    </row>
    <row r="631" ht="13" customHeight="1" s="189">
      <c r="A631" s="289" t="n"/>
      <c r="B631" s="290" t="n"/>
      <c r="C631" s="290" t="n"/>
      <c r="D631" s="290" t="n"/>
      <c r="E631" s="291" t="n"/>
      <c r="F631" s="291" t="n"/>
      <c r="G631" s="291" t="n"/>
      <c r="H631" s="297" t="n"/>
    </row>
    <row r="632" ht="13" customHeight="1" s="189">
      <c r="A632" s="289" t="n"/>
      <c r="B632" s="290" t="n"/>
      <c r="C632" s="290" t="n"/>
      <c r="D632" s="290" t="n"/>
      <c r="E632" s="291" t="n"/>
      <c r="F632" s="291" t="n"/>
      <c r="G632" s="291" t="n"/>
      <c r="H632" s="297" t="n"/>
    </row>
    <row r="633" ht="13" customHeight="1" s="189">
      <c r="A633" s="289" t="n"/>
      <c r="B633" s="290" t="n"/>
      <c r="C633" s="290" t="n"/>
      <c r="D633" s="290" t="n"/>
      <c r="E633" s="291" t="n"/>
      <c r="F633" s="291" t="n"/>
      <c r="G633" s="291" t="n"/>
      <c r="H633" s="297" t="n"/>
    </row>
    <row r="634" ht="13" customHeight="1" s="189">
      <c r="A634" s="289" t="n"/>
      <c r="B634" s="290" t="n"/>
      <c r="C634" s="290" t="n"/>
      <c r="D634" s="290" t="n"/>
      <c r="E634" s="291" t="n"/>
      <c r="F634" s="291" t="n"/>
      <c r="G634" s="291" t="n"/>
      <c r="H634" s="297" t="n"/>
    </row>
    <row r="635" ht="13" customHeight="1" s="189">
      <c r="A635" s="289" t="n"/>
      <c r="B635" s="290" t="n"/>
      <c r="C635" s="290" t="n"/>
      <c r="D635" s="290" t="n"/>
      <c r="E635" s="291" t="n"/>
      <c r="F635" s="291" t="n"/>
      <c r="G635" s="291" t="n"/>
      <c r="H635" s="297" t="n"/>
    </row>
    <row r="636" ht="13" customHeight="1" s="189">
      <c r="A636" s="289" t="n"/>
      <c r="B636" s="290" t="n"/>
      <c r="C636" s="290" t="n"/>
      <c r="D636" s="290" t="n"/>
      <c r="E636" s="291" t="n"/>
      <c r="F636" s="291" t="n"/>
      <c r="G636" s="291" t="n"/>
      <c r="H636" s="297" t="n"/>
    </row>
    <row r="637" ht="13" customHeight="1" s="189">
      <c r="A637" s="289" t="n"/>
      <c r="B637" s="290" t="n"/>
      <c r="C637" s="290" t="n"/>
      <c r="D637" s="290" t="n"/>
      <c r="E637" s="291" t="n"/>
      <c r="F637" s="291" t="n"/>
      <c r="G637" s="291" t="n"/>
      <c r="H637" s="297" t="n"/>
    </row>
    <row r="638" ht="13" customHeight="1" s="189">
      <c r="A638" s="289" t="n"/>
      <c r="B638" s="290" t="n"/>
      <c r="C638" s="290" t="n"/>
      <c r="D638" s="290" t="n"/>
      <c r="E638" s="291" t="n"/>
      <c r="F638" s="291" t="n"/>
      <c r="G638" s="291" t="n"/>
      <c r="H638" s="297" t="n"/>
    </row>
    <row r="639" ht="13" customHeight="1" s="189">
      <c r="A639" s="289" t="n"/>
      <c r="B639" s="290" t="n"/>
      <c r="C639" s="290" t="n"/>
      <c r="D639" s="290" t="n"/>
      <c r="E639" s="291" t="n"/>
      <c r="F639" s="291" t="n"/>
      <c r="G639" s="291" t="n"/>
      <c r="H639" s="297" t="n"/>
    </row>
    <row r="640" ht="13" customHeight="1" s="189">
      <c r="A640" s="289" t="n"/>
      <c r="B640" s="290" t="n"/>
      <c r="C640" s="290" t="n"/>
      <c r="D640" s="290" t="n"/>
      <c r="E640" s="291" t="n"/>
      <c r="F640" s="291" t="n"/>
      <c r="G640" s="291" t="n"/>
      <c r="H640" s="297" t="n"/>
    </row>
    <row r="641" ht="13" customHeight="1" s="189">
      <c r="A641" s="289" t="n"/>
      <c r="B641" s="290" t="n"/>
      <c r="C641" s="290" t="n"/>
      <c r="D641" s="290" t="n"/>
      <c r="E641" s="291" t="n"/>
      <c r="F641" s="291" t="n"/>
      <c r="G641" s="291" t="n"/>
      <c r="H641" s="297" t="n"/>
    </row>
    <row r="642" ht="13" customHeight="1" s="189">
      <c r="A642" s="289" t="n"/>
      <c r="B642" s="290" t="n"/>
      <c r="C642" s="290" t="n"/>
      <c r="D642" s="290" t="n"/>
      <c r="E642" s="291" t="n"/>
      <c r="F642" s="291" t="n"/>
      <c r="G642" s="291" t="n"/>
      <c r="H642" s="297" t="n"/>
    </row>
    <row r="643" ht="13" customHeight="1" s="189">
      <c r="A643" s="289" t="n"/>
      <c r="B643" s="290" t="n"/>
      <c r="C643" s="290" t="n"/>
      <c r="D643" s="290" t="n"/>
      <c r="E643" s="291" t="n"/>
      <c r="F643" s="291" t="n"/>
      <c r="G643" s="291" t="n"/>
      <c r="H643" s="297" t="n"/>
    </row>
    <row r="644" ht="13" customHeight="1" s="189">
      <c r="A644" s="289" t="n"/>
      <c r="B644" s="290" t="n"/>
      <c r="C644" s="290" t="n"/>
      <c r="D644" s="290" t="n"/>
      <c r="E644" s="291" t="n"/>
      <c r="F644" s="291" t="n"/>
      <c r="G644" s="291" t="n"/>
      <c r="H644" s="297" t="n"/>
    </row>
    <row r="645" ht="13" customHeight="1" s="189">
      <c r="A645" s="289" t="n"/>
      <c r="B645" s="290" t="n"/>
      <c r="C645" s="290" t="n"/>
      <c r="D645" s="290" t="n"/>
      <c r="E645" s="291" t="n"/>
      <c r="F645" s="291" t="n"/>
      <c r="G645" s="291" t="n"/>
      <c r="H645" s="297" t="n"/>
    </row>
    <row r="646" ht="13" customHeight="1" s="189">
      <c r="A646" s="289" t="n"/>
      <c r="B646" s="290" t="n"/>
      <c r="C646" s="290" t="n"/>
      <c r="D646" s="290" t="n"/>
      <c r="E646" s="291" t="n"/>
      <c r="F646" s="291" t="n"/>
      <c r="G646" s="291" t="n"/>
      <c r="H646" s="297" t="n"/>
    </row>
    <row r="647" ht="13" customHeight="1" s="189">
      <c r="A647" s="289" t="n"/>
      <c r="B647" s="290" t="n"/>
      <c r="C647" s="290" t="n"/>
      <c r="D647" s="290" t="n"/>
      <c r="E647" s="291" t="n"/>
      <c r="F647" s="291" t="n"/>
      <c r="G647" s="291" t="n"/>
      <c r="H647" s="297" t="n"/>
    </row>
    <row r="648" ht="13" customHeight="1" s="189">
      <c r="A648" s="289" t="n"/>
      <c r="B648" s="290" t="n"/>
      <c r="C648" s="290" t="n"/>
      <c r="D648" s="290" t="n"/>
      <c r="E648" s="291" t="n"/>
      <c r="F648" s="291" t="n"/>
      <c r="G648" s="291" t="n"/>
      <c r="H648" s="297" t="n"/>
    </row>
    <row r="649" ht="13" customHeight="1" s="189">
      <c r="A649" s="289" t="n"/>
      <c r="B649" s="290" t="n"/>
      <c r="C649" s="290" t="n"/>
      <c r="D649" s="290" t="n"/>
      <c r="E649" s="291" t="n"/>
      <c r="F649" s="291" t="n"/>
      <c r="G649" s="291" t="n"/>
      <c r="H649" s="297" t="n"/>
    </row>
    <row r="650" ht="13" customHeight="1" s="189">
      <c r="A650" s="289" t="n"/>
      <c r="B650" s="290" t="n"/>
      <c r="C650" s="290" t="n"/>
      <c r="D650" s="290" t="n"/>
      <c r="E650" s="291" t="n"/>
      <c r="F650" s="291" t="n"/>
      <c r="G650" s="291" t="n"/>
      <c r="H650" s="297" t="n"/>
    </row>
    <row r="651" ht="13" customHeight="1" s="189">
      <c r="A651" s="289" t="n"/>
      <c r="B651" s="290" t="n"/>
      <c r="C651" s="290" t="n"/>
      <c r="D651" s="290" t="n"/>
      <c r="E651" s="291" t="n"/>
      <c r="F651" s="291" t="n"/>
      <c r="G651" s="291" t="n"/>
      <c r="H651" s="297" t="n"/>
    </row>
    <row r="652" ht="13" customHeight="1" s="189">
      <c r="A652" s="289" t="n"/>
      <c r="B652" s="290" t="n"/>
      <c r="C652" s="290" t="n"/>
      <c r="D652" s="290" t="n"/>
      <c r="E652" s="291" t="n"/>
      <c r="F652" s="291" t="n"/>
      <c r="G652" s="291" t="n"/>
      <c r="H652" s="297" t="n"/>
    </row>
    <row r="653" ht="13" customHeight="1" s="189">
      <c r="A653" s="289" t="n"/>
      <c r="B653" s="290" t="n"/>
      <c r="C653" s="290" t="n"/>
      <c r="D653" s="290" t="n"/>
      <c r="E653" s="291" t="n"/>
      <c r="F653" s="291" t="n"/>
      <c r="G653" s="291" t="n"/>
      <c r="H653" s="297" t="n"/>
    </row>
    <row r="654" ht="13" customHeight="1" s="189">
      <c r="A654" s="289" t="n"/>
      <c r="B654" s="290" t="n"/>
      <c r="C654" s="290" t="n"/>
      <c r="D654" s="290" t="n"/>
      <c r="E654" s="291" t="n"/>
      <c r="F654" s="291" t="n"/>
      <c r="G654" s="291" t="n"/>
      <c r="H654" s="297" t="n"/>
    </row>
    <row r="655" ht="13" customHeight="1" s="189">
      <c r="A655" s="289" t="n"/>
      <c r="B655" s="290" t="n"/>
      <c r="C655" s="290" t="n"/>
      <c r="D655" s="290" t="n"/>
      <c r="E655" s="291" t="n"/>
      <c r="F655" s="291" t="n"/>
      <c r="G655" s="291" t="n"/>
      <c r="H655" s="297" t="n"/>
    </row>
    <row r="656" ht="13" customHeight="1" s="189">
      <c r="A656" s="289" t="n"/>
      <c r="B656" s="290" t="n"/>
      <c r="C656" s="290" t="n"/>
      <c r="D656" s="290" t="n"/>
      <c r="E656" s="291" t="n"/>
      <c r="F656" s="291" t="n"/>
      <c r="G656" s="291" t="n"/>
      <c r="H656" s="297" t="n"/>
    </row>
    <row r="657" ht="13" customHeight="1" s="189">
      <c r="A657" s="289" t="n"/>
      <c r="B657" s="290" t="n"/>
      <c r="C657" s="290" t="n"/>
      <c r="D657" s="290" t="n"/>
      <c r="E657" s="291" t="n"/>
      <c r="F657" s="291" t="n"/>
      <c r="G657" s="291" t="n"/>
      <c r="H657" s="297" t="n"/>
    </row>
    <row r="658" ht="13" customHeight="1" s="189">
      <c r="A658" s="289" t="n"/>
      <c r="B658" s="290" t="n"/>
      <c r="C658" s="290" t="n"/>
      <c r="D658" s="290" t="n"/>
      <c r="E658" s="291" t="n"/>
      <c r="F658" s="291" t="n"/>
      <c r="G658" s="291" t="n"/>
      <c r="H658" s="297" t="n"/>
    </row>
    <row r="659" ht="13" customHeight="1" s="189">
      <c r="A659" s="289" t="n"/>
      <c r="B659" s="290" t="n"/>
      <c r="C659" s="290" t="n"/>
      <c r="D659" s="290" t="n"/>
      <c r="E659" s="291" t="n"/>
      <c r="F659" s="291" t="n"/>
      <c r="G659" s="291" t="n"/>
      <c r="H659" s="297" t="n"/>
    </row>
    <row r="660" ht="13" customHeight="1" s="189">
      <c r="A660" s="289" t="n"/>
      <c r="B660" s="290" t="n"/>
      <c r="C660" s="290" t="n"/>
      <c r="D660" s="290" t="n"/>
      <c r="E660" s="291" t="n"/>
      <c r="F660" s="291" t="n"/>
      <c r="G660" s="291" t="n"/>
      <c r="H660" s="297" t="n"/>
    </row>
    <row r="661" ht="13" customHeight="1" s="189">
      <c r="A661" s="289" t="n"/>
      <c r="B661" s="290" t="n"/>
      <c r="C661" s="290" t="n"/>
      <c r="D661" s="290" t="n"/>
      <c r="E661" s="291" t="n"/>
      <c r="F661" s="291" t="n"/>
      <c r="G661" s="291" t="n"/>
      <c r="H661" s="297" t="n"/>
    </row>
    <row r="662" ht="13" customHeight="1" s="189">
      <c r="A662" s="289" t="n"/>
      <c r="B662" s="290" t="n"/>
      <c r="C662" s="290" t="n"/>
      <c r="D662" s="290" t="n"/>
      <c r="E662" s="291" t="n"/>
      <c r="F662" s="291" t="n"/>
      <c r="G662" s="291" t="n"/>
      <c r="H662" s="297" t="n"/>
    </row>
    <row r="663" ht="13" customHeight="1" s="189">
      <c r="A663" s="289" t="n"/>
      <c r="B663" s="290" t="n"/>
      <c r="C663" s="290" t="n"/>
      <c r="D663" s="290" t="n"/>
      <c r="E663" s="291" t="n"/>
      <c r="F663" s="291" t="n"/>
      <c r="G663" s="291" t="n"/>
      <c r="H663" s="297" t="n"/>
    </row>
    <row r="664" ht="13" customHeight="1" s="189">
      <c r="A664" s="289" t="n"/>
      <c r="B664" s="290" t="n"/>
      <c r="C664" s="290" t="n"/>
      <c r="D664" s="290" t="n"/>
      <c r="E664" s="291" t="n"/>
      <c r="F664" s="291" t="n"/>
      <c r="G664" s="291" t="n"/>
      <c r="H664" s="297" t="n"/>
    </row>
    <row r="665" ht="13" customHeight="1" s="189">
      <c r="A665" s="289" t="n"/>
      <c r="B665" s="290" t="n"/>
      <c r="C665" s="290" t="n"/>
      <c r="D665" s="290" t="n"/>
      <c r="E665" s="291" t="n"/>
      <c r="F665" s="291" t="n"/>
      <c r="G665" s="291" t="n"/>
      <c r="H665" s="297" t="n"/>
    </row>
    <row r="666" ht="13" customHeight="1" s="189">
      <c r="A666" s="289" t="n"/>
      <c r="B666" s="290" t="n"/>
      <c r="C666" s="290" t="n"/>
      <c r="D666" s="290" t="n"/>
      <c r="E666" s="291" t="n"/>
      <c r="F666" s="291" t="n"/>
      <c r="G666" s="291" t="n"/>
      <c r="H666" s="297" t="n"/>
    </row>
    <row r="667" ht="13" customHeight="1" s="189">
      <c r="A667" s="289" t="n"/>
      <c r="B667" s="290" t="n"/>
      <c r="C667" s="290" t="n"/>
      <c r="D667" s="290" t="n"/>
      <c r="E667" s="291" t="n"/>
      <c r="F667" s="291" t="n"/>
      <c r="G667" s="291" t="n"/>
      <c r="H667" s="297" t="n"/>
    </row>
    <row r="668" ht="13" customHeight="1" s="189">
      <c r="A668" s="289" t="n"/>
      <c r="B668" s="290" t="n"/>
      <c r="C668" s="290" t="n"/>
      <c r="D668" s="290" t="n"/>
      <c r="E668" s="291" t="n"/>
      <c r="F668" s="291" t="n"/>
      <c r="G668" s="291" t="n"/>
      <c r="H668" s="297" t="n"/>
    </row>
    <row r="669" ht="13" customHeight="1" s="189">
      <c r="A669" s="289" t="n"/>
      <c r="B669" s="290" t="n"/>
      <c r="C669" s="290" t="n"/>
      <c r="D669" s="290" t="n"/>
      <c r="E669" s="291" t="n"/>
      <c r="F669" s="291" t="n"/>
      <c r="G669" s="291" t="n"/>
      <c r="H669" s="297" t="n"/>
    </row>
    <row r="670" ht="13" customHeight="1" s="189">
      <c r="A670" s="289" t="n"/>
      <c r="B670" s="290" t="n"/>
      <c r="C670" s="290" t="n"/>
      <c r="D670" s="290" t="n"/>
      <c r="E670" s="291" t="n"/>
      <c r="F670" s="291" t="n"/>
      <c r="G670" s="291" t="n"/>
      <c r="H670" s="297" t="n"/>
    </row>
    <row r="671" ht="13" customHeight="1" s="189">
      <c r="A671" s="289" t="n"/>
      <c r="B671" s="290" t="n"/>
      <c r="C671" s="290" t="n"/>
      <c r="D671" s="290" t="n"/>
      <c r="E671" s="291" t="n"/>
      <c r="F671" s="291" t="n"/>
      <c r="G671" s="291" t="n"/>
      <c r="H671" s="297" t="n"/>
    </row>
    <row r="672" ht="13" customHeight="1" s="189">
      <c r="A672" s="289" t="n"/>
      <c r="B672" s="290" t="n"/>
      <c r="C672" s="290" t="n"/>
      <c r="D672" s="290" t="n"/>
      <c r="E672" s="291" t="n"/>
      <c r="F672" s="291" t="n"/>
      <c r="G672" s="291" t="n"/>
      <c r="H672" s="297" t="n"/>
    </row>
    <row r="673" ht="13" customHeight="1" s="189">
      <c r="A673" s="289" t="n"/>
      <c r="B673" s="290" t="n"/>
      <c r="C673" s="290" t="n"/>
      <c r="D673" s="290" t="n"/>
      <c r="E673" s="291" t="n"/>
      <c r="F673" s="291" t="n"/>
      <c r="G673" s="291" t="n"/>
      <c r="H673" s="297" t="n"/>
    </row>
    <row r="674" ht="13" customHeight="1" s="189">
      <c r="A674" s="289" t="n"/>
      <c r="B674" s="290" t="n"/>
      <c r="C674" s="290" t="n"/>
      <c r="D674" s="290" t="n"/>
      <c r="E674" s="291" t="n"/>
      <c r="F674" s="291" t="n"/>
      <c r="G674" s="291" t="n"/>
      <c r="H674" s="297" t="n"/>
    </row>
    <row r="675" ht="13" customHeight="1" s="189">
      <c r="A675" s="289" t="n"/>
      <c r="B675" s="290" t="n"/>
      <c r="C675" s="290" t="n"/>
      <c r="D675" s="290" t="n"/>
      <c r="E675" s="291" t="n"/>
      <c r="F675" s="291" t="n"/>
      <c r="G675" s="291" t="n"/>
      <c r="H675" s="297" t="n"/>
    </row>
    <row r="676" ht="13" customHeight="1" s="189">
      <c r="A676" s="289" t="n"/>
      <c r="B676" s="290" t="n"/>
      <c r="C676" s="290" t="n"/>
      <c r="D676" s="290" t="n"/>
      <c r="E676" s="291" t="n"/>
      <c r="F676" s="291" t="n"/>
      <c r="G676" s="291" t="n"/>
      <c r="H676" s="297" t="n"/>
    </row>
    <row r="677" ht="13" customHeight="1" s="189">
      <c r="A677" s="289" t="n"/>
      <c r="B677" s="290" t="n"/>
      <c r="C677" s="290" t="n"/>
      <c r="D677" s="290" t="n"/>
      <c r="E677" s="291" t="n"/>
      <c r="F677" s="291" t="n"/>
      <c r="G677" s="291" t="n"/>
      <c r="H677" s="297" t="n"/>
    </row>
    <row r="678" ht="13" customHeight="1" s="189">
      <c r="A678" s="289" t="n"/>
      <c r="B678" s="290" t="n"/>
      <c r="C678" s="290" t="n"/>
      <c r="D678" s="290" t="n"/>
      <c r="E678" s="291" t="n"/>
      <c r="F678" s="291" t="n"/>
      <c r="G678" s="291" t="n"/>
      <c r="H678" s="297" t="n"/>
    </row>
    <row r="679" ht="13" customHeight="1" s="189">
      <c r="A679" s="289" t="n"/>
      <c r="B679" s="290" t="n"/>
      <c r="C679" s="290" t="n"/>
      <c r="D679" s="290" t="n"/>
      <c r="E679" s="291" t="n"/>
      <c r="F679" s="291" t="n"/>
      <c r="G679" s="291" t="n"/>
      <c r="H679" s="297" t="n"/>
    </row>
    <row r="680" ht="13" customHeight="1" s="189">
      <c r="A680" s="289" t="n"/>
      <c r="B680" s="290" t="n"/>
      <c r="C680" s="290" t="n"/>
      <c r="D680" s="290" t="n"/>
      <c r="E680" s="291" t="n"/>
      <c r="F680" s="291" t="n"/>
      <c r="G680" s="291" t="n"/>
      <c r="H680" s="297" t="n"/>
    </row>
    <row r="681" ht="13" customHeight="1" s="189">
      <c r="A681" s="289" t="n"/>
      <c r="B681" s="290" t="n"/>
      <c r="C681" s="290" t="n"/>
      <c r="D681" s="290" t="n"/>
      <c r="E681" s="291" t="n"/>
      <c r="F681" s="291" t="n"/>
      <c r="G681" s="291" t="n"/>
      <c r="H681" s="297" t="n"/>
    </row>
    <row r="682" ht="13" customHeight="1" s="189">
      <c r="A682" s="289" t="n"/>
      <c r="B682" s="290" t="n"/>
      <c r="C682" s="290" t="n"/>
      <c r="D682" s="290" t="n"/>
      <c r="E682" s="291" t="n"/>
      <c r="F682" s="291" t="n"/>
      <c r="G682" s="291" t="n"/>
      <c r="H682" s="297" t="n"/>
    </row>
    <row r="683" ht="13" customHeight="1" s="189">
      <c r="A683" s="289" t="n"/>
      <c r="B683" s="290" t="n"/>
      <c r="C683" s="290" t="n"/>
      <c r="D683" s="290" t="n"/>
      <c r="E683" s="291" t="n"/>
      <c r="F683" s="291" t="n"/>
      <c r="G683" s="291" t="n"/>
      <c r="H683" s="297" t="n"/>
    </row>
    <row r="684" ht="13" customHeight="1" s="189">
      <c r="A684" s="289" t="n"/>
      <c r="B684" s="290" t="n"/>
      <c r="C684" s="290" t="n"/>
      <c r="D684" s="290" t="n"/>
      <c r="E684" s="291" t="n"/>
      <c r="F684" s="291" t="n"/>
      <c r="G684" s="291" t="n"/>
      <c r="H684" s="297" t="n"/>
    </row>
    <row r="685" ht="13" customHeight="1" s="189">
      <c r="A685" s="289" t="n"/>
      <c r="B685" s="290" t="n"/>
      <c r="C685" s="290" t="n"/>
      <c r="D685" s="290" t="n"/>
      <c r="E685" s="291" t="n"/>
      <c r="F685" s="291" t="n"/>
      <c r="G685" s="291" t="n"/>
      <c r="H685" s="297" t="n"/>
    </row>
    <row r="686" ht="13" customHeight="1" s="189">
      <c r="A686" s="289" t="n"/>
      <c r="B686" s="290" t="n"/>
      <c r="C686" s="290" t="n"/>
      <c r="D686" s="290" t="n"/>
      <c r="E686" s="291" t="n"/>
      <c r="F686" s="291" t="n"/>
      <c r="G686" s="291" t="n"/>
      <c r="H686" s="297" t="n"/>
    </row>
    <row r="687" ht="13" customHeight="1" s="189">
      <c r="A687" s="289" t="n"/>
      <c r="B687" s="290" t="n"/>
      <c r="C687" s="290" t="n"/>
      <c r="D687" s="290" t="n"/>
      <c r="E687" s="291" t="n"/>
      <c r="F687" s="291" t="n"/>
      <c r="G687" s="291" t="n"/>
      <c r="H687" s="297" t="n"/>
    </row>
    <row r="688" ht="13" customHeight="1" s="189">
      <c r="A688" s="289" t="n"/>
      <c r="B688" s="290" t="n"/>
      <c r="C688" s="290" t="n"/>
      <c r="D688" s="290" t="n"/>
      <c r="E688" s="291" t="n"/>
      <c r="F688" s="291" t="n"/>
      <c r="G688" s="291" t="n"/>
      <c r="H688" s="297" t="n"/>
    </row>
    <row r="689" ht="13" customHeight="1" s="189">
      <c r="A689" s="289" t="n"/>
      <c r="B689" s="290" t="n"/>
      <c r="C689" s="290" t="n"/>
      <c r="D689" s="290" t="n"/>
      <c r="E689" s="291" t="n"/>
      <c r="F689" s="291" t="n"/>
      <c r="G689" s="291" t="n"/>
      <c r="H689" s="297" t="n"/>
    </row>
    <row r="690" ht="13" customHeight="1" s="189">
      <c r="A690" s="289" t="n"/>
      <c r="B690" s="290" t="n"/>
      <c r="C690" s="290" t="n"/>
      <c r="D690" s="290" t="n"/>
      <c r="E690" s="291" t="n"/>
      <c r="F690" s="291" t="n"/>
      <c r="G690" s="291" t="n"/>
      <c r="H690" s="297" t="n"/>
    </row>
    <row r="691" ht="13" customHeight="1" s="189">
      <c r="A691" s="289" t="n"/>
      <c r="B691" s="290" t="n"/>
      <c r="C691" s="290" t="n"/>
      <c r="D691" s="290" t="n"/>
      <c r="E691" s="291" t="n"/>
      <c r="F691" s="291" t="n"/>
      <c r="G691" s="291" t="n"/>
      <c r="H691" s="297" t="n"/>
    </row>
    <row r="692" ht="13" customHeight="1" s="189">
      <c r="A692" s="289" t="n"/>
      <c r="B692" s="290" t="n"/>
      <c r="C692" s="290" t="n"/>
      <c r="D692" s="290" t="n"/>
      <c r="E692" s="291" t="n"/>
      <c r="F692" s="291" t="n"/>
      <c r="G692" s="291" t="n"/>
      <c r="H692" s="297" t="n"/>
    </row>
    <row r="693" ht="13" customHeight="1" s="189">
      <c r="A693" s="289" t="n"/>
      <c r="B693" s="290" t="n"/>
      <c r="C693" s="290" t="n"/>
      <c r="D693" s="290" t="n"/>
      <c r="E693" s="291" t="n"/>
      <c r="F693" s="291" t="n"/>
      <c r="G693" s="291" t="n"/>
      <c r="H693" s="297" t="n"/>
    </row>
    <row r="694" ht="13" customHeight="1" s="189">
      <c r="A694" s="289" t="n"/>
      <c r="B694" s="290" t="n"/>
      <c r="C694" s="290" t="n"/>
      <c r="D694" s="290" t="n"/>
      <c r="E694" s="291" t="n"/>
      <c r="F694" s="291" t="n"/>
      <c r="G694" s="291" t="n"/>
      <c r="H694" s="297" t="n"/>
    </row>
    <row r="695" ht="13" customHeight="1" s="189">
      <c r="A695" s="289" t="n"/>
      <c r="B695" s="290" t="n"/>
      <c r="C695" s="290" t="n"/>
      <c r="D695" s="290" t="n"/>
      <c r="E695" s="291" t="n"/>
      <c r="F695" s="291" t="n"/>
      <c r="G695" s="291" t="n"/>
      <c r="H695" s="297" t="n"/>
    </row>
    <row r="696" ht="13" customHeight="1" s="189">
      <c r="A696" s="289" t="n"/>
      <c r="B696" s="290" t="n"/>
      <c r="C696" s="290" t="n"/>
      <c r="D696" s="290" t="n"/>
      <c r="E696" s="291" t="n"/>
      <c r="F696" s="291" t="n"/>
      <c r="G696" s="291" t="n"/>
      <c r="H696" s="297" t="n"/>
    </row>
    <row r="697" ht="13" customHeight="1" s="189">
      <c r="A697" s="289" t="n"/>
      <c r="B697" s="290" t="n"/>
      <c r="C697" s="290" t="n"/>
      <c r="D697" s="290" t="n"/>
      <c r="E697" s="291" t="n"/>
      <c r="F697" s="291" t="n"/>
      <c r="G697" s="291" t="n"/>
      <c r="H697" s="297" t="n"/>
    </row>
    <row r="698" ht="13" customHeight="1" s="189">
      <c r="A698" s="289" t="n"/>
      <c r="B698" s="290" t="n"/>
      <c r="C698" s="290" t="n"/>
      <c r="D698" s="290" t="n"/>
      <c r="E698" s="291" t="n"/>
      <c r="F698" s="291" t="n"/>
      <c r="G698" s="291" t="n"/>
      <c r="H698" s="297" t="n"/>
    </row>
    <row r="699" ht="13" customHeight="1" s="189">
      <c r="A699" s="289" t="n"/>
      <c r="B699" s="290" t="n"/>
      <c r="C699" s="290" t="n"/>
      <c r="D699" s="290" t="n"/>
      <c r="E699" s="291" t="n"/>
      <c r="F699" s="291" t="n"/>
      <c r="G699" s="291" t="n"/>
      <c r="H699" s="297" t="n"/>
    </row>
    <row r="700" ht="13" customHeight="1" s="189">
      <c r="A700" s="289" t="n"/>
      <c r="B700" s="290" t="n"/>
      <c r="C700" s="290" t="n"/>
      <c r="D700" s="290" t="n"/>
      <c r="E700" s="291" t="n"/>
      <c r="F700" s="291" t="n"/>
      <c r="G700" s="291" t="n"/>
      <c r="H700" s="297" t="n"/>
    </row>
    <row r="701" ht="13" customHeight="1" s="189">
      <c r="A701" s="289" t="n"/>
      <c r="B701" s="290" t="n"/>
      <c r="C701" s="290" t="n"/>
      <c r="D701" s="290" t="n"/>
      <c r="E701" s="291" t="n"/>
      <c r="F701" s="291" t="n"/>
      <c r="G701" s="291" t="n"/>
      <c r="H701" s="297" t="n"/>
    </row>
    <row r="702" ht="13" customHeight="1" s="189">
      <c r="A702" s="289" t="n"/>
      <c r="B702" s="290" t="n"/>
      <c r="C702" s="290" t="n"/>
      <c r="D702" s="290" t="n"/>
      <c r="E702" s="291" t="n"/>
      <c r="F702" s="291" t="n"/>
      <c r="G702" s="291" t="n"/>
      <c r="H702" s="297" t="n"/>
    </row>
    <row r="703" ht="13" customHeight="1" s="189">
      <c r="A703" s="289" t="n"/>
      <c r="B703" s="290" t="n"/>
      <c r="C703" s="290" t="n"/>
      <c r="D703" s="290" t="n"/>
      <c r="E703" s="291" t="n"/>
      <c r="F703" s="291" t="n"/>
      <c r="G703" s="291" t="n"/>
      <c r="H703" s="297" t="n"/>
    </row>
    <row r="704" ht="13" customHeight="1" s="189">
      <c r="A704" s="289" t="n"/>
      <c r="B704" s="290" t="n"/>
      <c r="C704" s="290" t="n"/>
      <c r="D704" s="290" t="n"/>
      <c r="E704" s="291" t="n"/>
      <c r="F704" s="291" t="n"/>
      <c r="G704" s="291" t="n"/>
      <c r="H704" s="297" t="n"/>
    </row>
    <row r="705" ht="13" customHeight="1" s="189">
      <c r="A705" s="289" t="n"/>
      <c r="B705" s="290" t="n"/>
      <c r="C705" s="290" t="n"/>
      <c r="D705" s="290" t="n"/>
      <c r="E705" s="291" t="n"/>
      <c r="F705" s="291" t="n"/>
      <c r="G705" s="291" t="n"/>
      <c r="H705" s="297" t="n"/>
    </row>
    <row r="706" ht="13" customHeight="1" s="189">
      <c r="A706" s="289" t="n"/>
      <c r="B706" s="290" t="n"/>
      <c r="C706" s="290" t="n"/>
      <c r="D706" s="290" t="n"/>
      <c r="E706" s="291" t="n"/>
      <c r="F706" s="291" t="n"/>
      <c r="G706" s="291" t="n"/>
      <c r="H706" s="297" t="n"/>
    </row>
    <row r="707" ht="13" customHeight="1" s="189">
      <c r="A707" s="289" t="n"/>
      <c r="B707" s="290" t="n"/>
      <c r="C707" s="290" t="n"/>
      <c r="D707" s="290" t="n"/>
      <c r="E707" s="291" t="n"/>
      <c r="F707" s="291" t="n"/>
      <c r="G707" s="291" t="n"/>
      <c r="H707" s="297" t="n"/>
    </row>
    <row r="708" ht="13" customHeight="1" s="189">
      <c r="A708" s="289" t="n"/>
      <c r="B708" s="290" t="n"/>
      <c r="C708" s="290" t="n"/>
      <c r="D708" s="290" t="n"/>
      <c r="E708" s="291" t="n"/>
      <c r="F708" s="291" t="n"/>
      <c r="G708" s="291" t="n"/>
      <c r="H708" s="297" t="n"/>
    </row>
    <row r="709" ht="13" customHeight="1" s="189">
      <c r="A709" s="289" t="n"/>
      <c r="B709" s="290" t="n"/>
      <c r="C709" s="290" t="n"/>
      <c r="D709" s="290" t="n"/>
      <c r="E709" s="291" t="n"/>
      <c r="F709" s="291" t="n"/>
      <c r="G709" s="291" t="n"/>
      <c r="H709" s="297" t="n"/>
    </row>
    <row r="710" ht="13" customHeight="1" s="189">
      <c r="A710" s="289" t="n"/>
      <c r="B710" s="290" t="n"/>
      <c r="C710" s="290" t="n"/>
      <c r="D710" s="290" t="n"/>
      <c r="E710" s="291" t="n"/>
      <c r="F710" s="291" t="n"/>
      <c r="G710" s="291" t="n"/>
      <c r="H710" s="297" t="n"/>
    </row>
    <row r="711" ht="13" customHeight="1" s="189">
      <c r="A711" s="289" t="n"/>
      <c r="B711" s="290" t="n"/>
      <c r="C711" s="290" t="n"/>
      <c r="D711" s="290" t="n"/>
      <c r="E711" s="291" t="n"/>
      <c r="F711" s="291" t="n"/>
      <c r="G711" s="291" t="n"/>
      <c r="H711" s="297" t="n"/>
    </row>
    <row r="712" ht="13" customHeight="1" s="189">
      <c r="A712" s="289" t="n"/>
      <c r="B712" s="290" t="n"/>
      <c r="C712" s="290" t="n"/>
      <c r="D712" s="290" t="n"/>
      <c r="E712" s="291" t="n"/>
      <c r="F712" s="291" t="n"/>
      <c r="G712" s="291" t="n"/>
      <c r="H712" s="297" t="n"/>
    </row>
    <row r="713" ht="13" customHeight="1" s="189">
      <c r="A713" s="289" t="n"/>
      <c r="B713" s="290" t="n"/>
      <c r="C713" s="290" t="n"/>
      <c r="D713" s="290" t="n"/>
      <c r="E713" s="291" t="n"/>
      <c r="F713" s="291" t="n"/>
      <c r="G713" s="291" t="n"/>
      <c r="H713" s="297" t="n"/>
    </row>
    <row r="714" ht="13" customHeight="1" s="189">
      <c r="A714" s="289" t="n"/>
      <c r="B714" s="290" t="n"/>
      <c r="C714" s="290" t="n"/>
      <c r="D714" s="290" t="n"/>
      <c r="E714" s="291" t="n"/>
      <c r="F714" s="291" t="n"/>
      <c r="G714" s="291" t="n"/>
      <c r="H714" s="297" t="n"/>
    </row>
    <row r="715" ht="13" customHeight="1" s="189">
      <c r="A715" s="289" t="n"/>
      <c r="B715" s="290" t="n"/>
      <c r="C715" s="290" t="n"/>
      <c r="D715" s="290" t="n"/>
      <c r="E715" s="291" t="n"/>
      <c r="F715" s="291" t="n"/>
      <c r="G715" s="291" t="n"/>
      <c r="H715" s="297" t="n"/>
    </row>
    <row r="716" ht="13" customHeight="1" s="189">
      <c r="A716" s="289" t="n"/>
      <c r="B716" s="290" t="n"/>
      <c r="C716" s="290" t="n"/>
      <c r="D716" s="290" t="n"/>
      <c r="E716" s="291" t="n"/>
      <c r="F716" s="291" t="n"/>
      <c r="G716" s="291" t="n"/>
      <c r="H716" s="297" t="n"/>
    </row>
    <row r="717" ht="13" customHeight="1" s="189">
      <c r="A717" s="289" t="n"/>
      <c r="B717" s="290" t="n"/>
      <c r="C717" s="290" t="n"/>
      <c r="D717" s="290" t="n"/>
      <c r="E717" s="291" t="n"/>
      <c r="F717" s="291" t="n"/>
      <c r="G717" s="291" t="n"/>
      <c r="H717" s="297" t="n"/>
    </row>
    <row r="718" ht="13" customHeight="1" s="189">
      <c r="A718" s="289" t="n"/>
      <c r="B718" s="290" t="n"/>
      <c r="C718" s="290" t="n"/>
      <c r="D718" s="290" t="n"/>
      <c r="E718" s="291" t="n"/>
      <c r="F718" s="291" t="n"/>
      <c r="G718" s="291" t="n"/>
      <c r="H718" s="297" t="n"/>
    </row>
    <row r="719" ht="13" customHeight="1" s="189">
      <c r="A719" s="289" t="n"/>
      <c r="B719" s="290" t="n"/>
      <c r="C719" s="290" t="n"/>
      <c r="D719" s="290" t="n"/>
      <c r="E719" s="291" t="n"/>
      <c r="F719" s="291" t="n"/>
      <c r="G719" s="291" t="n"/>
      <c r="H719" s="297" t="n"/>
    </row>
    <row r="720" ht="13" customHeight="1" s="189">
      <c r="A720" s="289" t="n"/>
      <c r="B720" s="290" t="n"/>
      <c r="C720" s="290" t="n"/>
      <c r="D720" s="290" t="n"/>
      <c r="E720" s="291" t="n"/>
      <c r="F720" s="291" t="n"/>
      <c r="G720" s="291" t="n"/>
      <c r="H720" s="297" t="n"/>
    </row>
    <row r="721" ht="13" customHeight="1" s="189">
      <c r="A721" s="289" t="n"/>
      <c r="B721" s="290" t="n"/>
      <c r="C721" s="290" t="n"/>
      <c r="D721" s="290" t="n"/>
      <c r="E721" s="291" t="n"/>
      <c r="F721" s="291" t="n"/>
      <c r="G721" s="291" t="n"/>
      <c r="H721" s="297" t="n"/>
    </row>
    <row r="722" ht="13" customHeight="1" s="189">
      <c r="A722" s="289" t="n"/>
      <c r="B722" s="290" t="n"/>
      <c r="C722" s="290" t="n"/>
      <c r="D722" s="290" t="n"/>
      <c r="E722" s="291" t="n"/>
      <c r="F722" s="291" t="n"/>
      <c r="G722" s="291" t="n"/>
      <c r="H722" s="297" t="n"/>
    </row>
    <row r="723" ht="13" customHeight="1" s="189">
      <c r="A723" s="289" t="n"/>
      <c r="B723" s="290" t="n"/>
      <c r="C723" s="290" t="n"/>
      <c r="D723" s="290" t="n"/>
      <c r="E723" s="291" t="n"/>
      <c r="F723" s="291" t="n"/>
      <c r="G723" s="291" t="n"/>
      <c r="H723" s="297" t="n"/>
    </row>
    <row r="724" ht="13" customHeight="1" s="189">
      <c r="A724" s="289" t="n"/>
      <c r="B724" s="290" t="n"/>
      <c r="C724" s="290" t="n"/>
      <c r="D724" s="290" t="n"/>
      <c r="E724" s="291" t="n"/>
      <c r="F724" s="291" t="n"/>
      <c r="G724" s="291" t="n"/>
      <c r="H724" s="297" t="n"/>
    </row>
    <row r="725" ht="13" customHeight="1" s="189">
      <c r="A725" s="289" t="n"/>
      <c r="B725" s="290" t="n"/>
      <c r="C725" s="290" t="n"/>
      <c r="D725" s="290" t="n"/>
      <c r="E725" s="291" t="n"/>
      <c r="F725" s="291" t="n"/>
      <c r="G725" s="291" t="n"/>
      <c r="H725" s="297" t="n"/>
    </row>
    <row r="726" ht="13" customHeight="1" s="189">
      <c r="A726" s="289" t="n"/>
      <c r="B726" s="290" t="n"/>
      <c r="C726" s="290" t="n"/>
      <c r="D726" s="290" t="n"/>
      <c r="E726" s="291" t="n"/>
      <c r="F726" s="291" t="n"/>
      <c r="G726" s="291" t="n"/>
      <c r="H726" s="297" t="n"/>
    </row>
    <row r="727" ht="13" customHeight="1" s="189">
      <c r="A727" s="289" t="n"/>
      <c r="B727" s="290" t="n"/>
      <c r="C727" s="290" t="n"/>
      <c r="D727" s="290" t="n"/>
      <c r="E727" s="291" t="n"/>
      <c r="F727" s="291" t="n"/>
      <c r="G727" s="291" t="n"/>
      <c r="H727" s="297" t="n"/>
    </row>
    <row r="728" ht="13" customHeight="1" s="189">
      <c r="A728" s="289" t="n"/>
      <c r="B728" s="290" t="n"/>
      <c r="C728" s="290" t="n"/>
      <c r="D728" s="290" t="n"/>
      <c r="E728" s="291" t="n"/>
      <c r="F728" s="291" t="n"/>
      <c r="G728" s="291" t="n"/>
      <c r="H728" s="297" t="n"/>
    </row>
    <row r="729" ht="13" customHeight="1" s="189">
      <c r="A729" s="289" t="n"/>
      <c r="B729" s="290" t="n"/>
      <c r="C729" s="290" t="n"/>
      <c r="D729" s="290" t="n"/>
      <c r="E729" s="291" t="n"/>
      <c r="F729" s="291" t="n"/>
      <c r="G729" s="291" t="n"/>
      <c r="H729" s="297" t="n"/>
    </row>
    <row r="730" ht="13" customHeight="1" s="189">
      <c r="A730" s="289" t="n"/>
      <c r="B730" s="290" t="n"/>
      <c r="C730" s="290" t="n"/>
      <c r="D730" s="290" t="n"/>
      <c r="E730" s="291" t="n"/>
      <c r="F730" s="291" t="n"/>
      <c r="G730" s="291" t="n"/>
      <c r="H730" s="297" t="n"/>
    </row>
    <row r="731" ht="13" customHeight="1" s="189">
      <c r="A731" s="289" t="n"/>
      <c r="B731" s="290" t="n"/>
      <c r="C731" s="290" t="n"/>
      <c r="D731" s="290" t="n"/>
      <c r="E731" s="291" t="n"/>
      <c r="F731" s="291" t="n"/>
      <c r="G731" s="291" t="n"/>
      <c r="H731" s="297" t="n"/>
    </row>
    <row r="732" ht="13" customHeight="1" s="189">
      <c r="A732" s="289" t="n"/>
      <c r="B732" s="290" t="n"/>
      <c r="C732" s="290" t="n"/>
      <c r="D732" s="290" t="n"/>
      <c r="E732" s="291" t="n"/>
      <c r="F732" s="291" t="n"/>
      <c r="G732" s="291" t="n"/>
      <c r="H732" s="297" t="n"/>
    </row>
    <row r="733" ht="13" customHeight="1" s="189">
      <c r="A733" s="289" t="n"/>
      <c r="B733" s="290" t="n"/>
      <c r="C733" s="290" t="n"/>
      <c r="D733" s="290" t="n"/>
      <c r="E733" s="291" t="n"/>
      <c r="F733" s="291" t="n"/>
      <c r="G733" s="291" t="n"/>
      <c r="H733" s="297" t="n"/>
    </row>
    <row r="734" ht="13" customHeight="1" s="189">
      <c r="A734" s="289" t="n"/>
      <c r="B734" s="290" t="n"/>
      <c r="C734" s="290" t="n"/>
      <c r="D734" s="290" t="n"/>
      <c r="E734" s="291" t="n"/>
      <c r="F734" s="291" t="n"/>
      <c r="G734" s="291" t="n"/>
      <c r="H734" s="297" t="n"/>
    </row>
    <row r="735" ht="13" customHeight="1" s="189">
      <c r="A735" s="289" t="n"/>
      <c r="B735" s="290" t="n"/>
      <c r="C735" s="290" t="n"/>
      <c r="D735" s="290" t="n"/>
      <c r="E735" s="291" t="n"/>
      <c r="F735" s="291" t="n"/>
      <c r="G735" s="291" t="n"/>
      <c r="H735" s="297" t="n"/>
    </row>
    <row r="736" ht="13" customHeight="1" s="189">
      <c r="A736" s="289" t="n"/>
      <c r="B736" s="290" t="n"/>
      <c r="C736" s="290" t="n"/>
      <c r="D736" s="290" t="n"/>
      <c r="E736" s="291" t="n"/>
      <c r="F736" s="291" t="n"/>
      <c r="G736" s="291" t="n"/>
      <c r="H736" s="297" t="n"/>
    </row>
    <row r="737" ht="13" customHeight="1" s="189">
      <c r="A737" s="289" t="n"/>
      <c r="B737" s="290" t="n"/>
      <c r="C737" s="290" t="n"/>
      <c r="D737" s="290" t="n"/>
      <c r="E737" s="291" t="n"/>
      <c r="F737" s="291" t="n"/>
      <c r="G737" s="291" t="n"/>
      <c r="H737" s="297" t="n"/>
    </row>
    <row r="738" ht="13" customHeight="1" s="189">
      <c r="A738" s="289" t="n"/>
      <c r="B738" s="290" t="n"/>
      <c r="C738" s="290" t="n"/>
      <c r="D738" s="290" t="n"/>
      <c r="E738" s="291" t="n"/>
      <c r="F738" s="291" t="n"/>
      <c r="G738" s="291" t="n"/>
      <c r="H738" s="297" t="n"/>
    </row>
    <row r="739" ht="13" customHeight="1" s="189">
      <c r="A739" s="289" t="n"/>
      <c r="B739" s="290" t="n"/>
      <c r="C739" s="290" t="n"/>
      <c r="D739" s="290" t="n"/>
      <c r="E739" s="291" t="n"/>
      <c r="F739" s="291" t="n"/>
      <c r="G739" s="291" t="n"/>
      <c r="H739" s="297" t="n"/>
    </row>
    <row r="740" ht="13" customHeight="1" s="189">
      <c r="A740" s="289" t="n"/>
      <c r="B740" s="290" t="n"/>
      <c r="C740" s="290" t="n"/>
      <c r="D740" s="290" t="n"/>
      <c r="E740" s="291" t="n"/>
      <c r="F740" s="291" t="n"/>
      <c r="G740" s="291" t="n"/>
      <c r="H740" s="297" t="n"/>
    </row>
    <row r="741" ht="13" customHeight="1" s="189">
      <c r="A741" s="289" t="n"/>
      <c r="B741" s="290" t="n"/>
      <c r="C741" s="290" t="n"/>
      <c r="D741" s="290" t="n"/>
      <c r="E741" s="291" t="n"/>
      <c r="F741" s="291" t="n"/>
      <c r="G741" s="291" t="n"/>
      <c r="H741" s="297" t="n"/>
    </row>
    <row r="742" ht="13" customHeight="1" s="189">
      <c r="A742" s="289" t="n"/>
      <c r="B742" s="290" t="n"/>
      <c r="C742" s="290" t="n"/>
      <c r="D742" s="290" t="n"/>
      <c r="E742" s="291" t="n"/>
      <c r="F742" s="291" t="n"/>
      <c r="G742" s="291" t="n"/>
      <c r="H742" s="297" t="n"/>
    </row>
    <row r="743" ht="13" customHeight="1" s="189">
      <c r="A743" s="289" t="n"/>
      <c r="B743" s="290" t="n"/>
      <c r="C743" s="290" t="n"/>
      <c r="D743" s="290" t="n"/>
      <c r="E743" s="291" t="n"/>
      <c r="F743" s="291" t="n"/>
      <c r="G743" s="291" t="n"/>
      <c r="H743" s="297" t="n"/>
    </row>
    <row r="744" ht="13" customHeight="1" s="189">
      <c r="A744" s="289" t="n"/>
      <c r="B744" s="290" t="n"/>
      <c r="C744" s="290" t="n"/>
      <c r="D744" s="290" t="n"/>
      <c r="E744" s="291" t="n"/>
      <c r="F744" s="291" t="n"/>
      <c r="G744" s="291" t="n"/>
      <c r="H744" s="297" t="n"/>
    </row>
    <row r="745" ht="13" customHeight="1" s="189">
      <c r="A745" s="289" t="n"/>
      <c r="B745" s="290" t="n"/>
      <c r="C745" s="290" t="n"/>
      <c r="D745" s="290" t="n"/>
      <c r="E745" s="291" t="n"/>
      <c r="F745" s="291" t="n"/>
      <c r="G745" s="291" t="n"/>
      <c r="H745" s="297" t="n"/>
    </row>
    <row r="746" ht="13" customHeight="1" s="189">
      <c r="A746" s="289" t="n"/>
      <c r="B746" s="290" t="n"/>
      <c r="C746" s="290" t="n"/>
      <c r="D746" s="290" t="n"/>
      <c r="E746" s="291" t="n"/>
      <c r="F746" s="291" t="n"/>
      <c r="G746" s="291" t="n"/>
      <c r="H746" s="297" t="n"/>
    </row>
    <row r="747" ht="13" customHeight="1" s="189">
      <c r="A747" s="289" t="n"/>
      <c r="B747" s="290" t="n"/>
      <c r="C747" s="290" t="n"/>
      <c r="D747" s="290" t="n"/>
      <c r="E747" s="291" t="n"/>
      <c r="F747" s="291" t="n"/>
      <c r="G747" s="291" t="n"/>
      <c r="H747" s="297" t="n"/>
    </row>
    <row r="748" ht="13" customHeight="1" s="189">
      <c r="A748" s="289" t="n"/>
      <c r="B748" s="290" t="n"/>
      <c r="C748" s="290" t="n"/>
      <c r="D748" s="290" t="n"/>
      <c r="E748" s="291" t="n"/>
      <c r="F748" s="291" t="n"/>
      <c r="G748" s="291" t="n"/>
      <c r="H748" s="297" t="n"/>
    </row>
    <row r="749" ht="13" customHeight="1" s="189">
      <c r="A749" s="289" t="n"/>
      <c r="B749" s="290" t="n"/>
      <c r="C749" s="290" t="n"/>
      <c r="D749" s="290" t="n"/>
      <c r="E749" s="291" t="n"/>
      <c r="F749" s="291" t="n"/>
      <c r="G749" s="291" t="n"/>
      <c r="H749" s="297" t="n"/>
    </row>
    <row r="750" ht="13" customHeight="1" s="189">
      <c r="A750" s="289" t="n"/>
      <c r="B750" s="290" t="n"/>
      <c r="C750" s="290" t="n"/>
      <c r="D750" s="290" t="n"/>
      <c r="E750" s="291" t="n"/>
      <c r="F750" s="291" t="n"/>
      <c r="G750" s="291" t="n"/>
      <c r="H750" s="297" t="n"/>
    </row>
    <row r="751" ht="13" customHeight="1" s="189">
      <c r="A751" s="289" t="n"/>
      <c r="B751" s="290" t="n"/>
      <c r="C751" s="290" t="n"/>
      <c r="D751" s="290" t="n"/>
      <c r="E751" s="291" t="n"/>
      <c r="F751" s="291" t="n"/>
      <c r="G751" s="291" t="n"/>
      <c r="H751" s="297" t="n"/>
    </row>
    <row r="752" ht="13" customHeight="1" s="189">
      <c r="A752" s="289" t="n"/>
      <c r="B752" s="290" t="n"/>
      <c r="C752" s="290" t="n"/>
      <c r="D752" s="290" t="n"/>
      <c r="E752" s="291" t="n"/>
      <c r="F752" s="291" t="n"/>
      <c r="G752" s="291" t="n"/>
      <c r="H752" s="297" t="n"/>
    </row>
    <row r="753" ht="13" customHeight="1" s="189">
      <c r="A753" s="289" t="n"/>
      <c r="B753" s="290" t="n"/>
      <c r="C753" s="290" t="n"/>
      <c r="D753" s="290" t="n"/>
      <c r="E753" s="291" t="n"/>
      <c r="F753" s="291" t="n"/>
      <c r="G753" s="291" t="n"/>
      <c r="H753" s="297" t="n"/>
    </row>
    <row r="754" ht="13" customHeight="1" s="189">
      <c r="A754" s="289" t="n"/>
      <c r="B754" s="290" t="n"/>
      <c r="C754" s="290" t="n"/>
      <c r="D754" s="290" t="n"/>
      <c r="E754" s="291" t="n"/>
      <c r="F754" s="291" t="n"/>
      <c r="G754" s="291" t="n"/>
      <c r="H754" s="297" t="n"/>
    </row>
    <row r="755" ht="13" customHeight="1" s="189">
      <c r="A755" s="289" t="n"/>
      <c r="B755" s="290" t="n"/>
      <c r="C755" s="290" t="n"/>
      <c r="D755" s="290" t="n"/>
      <c r="E755" s="291" t="n"/>
      <c r="F755" s="291" t="n"/>
      <c r="G755" s="291" t="n"/>
      <c r="H755" s="297" t="n"/>
    </row>
    <row r="756" ht="13" customHeight="1" s="189">
      <c r="A756" s="289" t="n"/>
      <c r="B756" s="290" t="n"/>
      <c r="C756" s="290" t="n"/>
      <c r="D756" s="290" t="n"/>
      <c r="E756" s="291" t="n"/>
      <c r="F756" s="291" t="n"/>
      <c r="G756" s="291" t="n"/>
      <c r="H756" s="297" t="n"/>
    </row>
    <row r="757" ht="13" customHeight="1" s="189">
      <c r="A757" s="289" t="n"/>
      <c r="B757" s="290" t="n"/>
      <c r="C757" s="290" t="n"/>
      <c r="D757" s="290" t="n"/>
      <c r="E757" s="291" t="n"/>
      <c r="F757" s="291" t="n"/>
      <c r="G757" s="291" t="n"/>
      <c r="H757" s="297" t="n"/>
    </row>
    <row r="758" ht="13" customHeight="1" s="189">
      <c r="A758" s="289" t="n"/>
      <c r="B758" s="290" t="n"/>
      <c r="C758" s="290" t="n"/>
      <c r="D758" s="290" t="n"/>
      <c r="E758" s="291" t="n"/>
      <c r="F758" s="291" t="n"/>
      <c r="G758" s="291" t="n"/>
      <c r="H758" s="297" t="n"/>
    </row>
    <row r="759" ht="13" customHeight="1" s="189">
      <c r="A759" s="289" t="n"/>
      <c r="B759" s="290" t="n"/>
      <c r="C759" s="290" t="n"/>
      <c r="D759" s="290" t="n"/>
      <c r="E759" s="291" t="n"/>
      <c r="F759" s="291" t="n"/>
      <c r="G759" s="291" t="n"/>
      <c r="H759" s="297" t="n"/>
    </row>
    <row r="760" ht="13" customHeight="1" s="189">
      <c r="A760" s="289" t="n"/>
      <c r="B760" s="290" t="n"/>
      <c r="C760" s="290" t="n"/>
      <c r="D760" s="290" t="n"/>
      <c r="E760" s="291" t="n"/>
      <c r="F760" s="291" t="n"/>
      <c r="G760" s="291" t="n"/>
      <c r="H760" s="297" t="n"/>
    </row>
    <row r="761" ht="13" customHeight="1" s="189">
      <c r="A761" s="289" t="n"/>
      <c r="B761" s="290" t="n"/>
      <c r="C761" s="290" t="n"/>
      <c r="D761" s="290" t="n"/>
      <c r="E761" s="291" t="n"/>
      <c r="F761" s="291" t="n"/>
      <c r="G761" s="291" t="n"/>
      <c r="H761" s="297" t="n"/>
    </row>
    <row r="762" ht="13" customHeight="1" s="189">
      <c r="A762" s="289" t="n"/>
      <c r="B762" s="290" t="n"/>
      <c r="C762" s="290" t="n"/>
      <c r="D762" s="290" t="n"/>
      <c r="E762" s="291" t="n"/>
      <c r="F762" s="291" t="n"/>
      <c r="G762" s="291" t="n"/>
      <c r="H762" s="297" t="n"/>
    </row>
    <row r="763" ht="13" customHeight="1" s="189">
      <c r="A763" s="289" t="n"/>
      <c r="B763" s="290" t="n"/>
      <c r="C763" s="290" t="n"/>
      <c r="D763" s="290" t="n"/>
      <c r="E763" s="291" t="n"/>
      <c r="F763" s="291" t="n"/>
      <c r="G763" s="291" t="n"/>
      <c r="H763" s="297" t="n"/>
    </row>
    <row r="764" ht="13" customHeight="1" s="189">
      <c r="A764" s="289" t="n"/>
      <c r="B764" s="290" t="n"/>
      <c r="C764" s="290" t="n"/>
      <c r="D764" s="290" t="n"/>
      <c r="E764" s="291" t="n"/>
      <c r="F764" s="291" t="n"/>
      <c r="G764" s="291" t="n"/>
      <c r="H764" s="297" t="n"/>
    </row>
    <row r="765" ht="13" customHeight="1" s="189">
      <c r="A765" s="289" t="n"/>
      <c r="B765" s="290" t="n"/>
      <c r="C765" s="290" t="n"/>
      <c r="D765" s="290" t="n"/>
      <c r="E765" s="291" t="n"/>
      <c r="F765" s="291" t="n"/>
      <c r="G765" s="291" t="n"/>
      <c r="H765" s="297" t="n"/>
    </row>
    <row r="766" ht="13" customHeight="1" s="189">
      <c r="A766" s="289" t="n"/>
      <c r="B766" s="290" t="n"/>
      <c r="C766" s="290" t="n"/>
      <c r="D766" s="290" t="n"/>
      <c r="E766" s="291" t="n"/>
      <c r="F766" s="291" t="n"/>
      <c r="G766" s="291" t="n"/>
      <c r="H766" s="297" t="n"/>
    </row>
    <row r="767" ht="13" customHeight="1" s="189">
      <c r="A767" s="289" t="n"/>
      <c r="B767" s="290" t="n"/>
      <c r="C767" s="290" t="n"/>
      <c r="D767" s="290" t="n"/>
      <c r="E767" s="291" t="n"/>
      <c r="F767" s="291" t="n"/>
      <c r="G767" s="291" t="n"/>
      <c r="H767" s="297" t="n"/>
    </row>
    <row r="768" ht="13" customHeight="1" s="189">
      <c r="A768" s="289" t="n"/>
      <c r="B768" s="290" t="n"/>
      <c r="C768" s="290" t="n"/>
      <c r="D768" s="290" t="n"/>
      <c r="E768" s="291" t="n"/>
      <c r="F768" s="291" t="n"/>
      <c r="G768" s="291" t="n"/>
      <c r="H768" s="297" t="n"/>
    </row>
    <row r="769" ht="13" customHeight="1" s="189">
      <c r="A769" s="289" t="n"/>
      <c r="B769" s="290" t="n"/>
      <c r="C769" s="290" t="n"/>
      <c r="D769" s="290" t="n"/>
      <c r="E769" s="291" t="n"/>
      <c r="F769" s="291" t="n"/>
      <c r="G769" s="291" t="n"/>
      <c r="H769" s="297" t="n"/>
    </row>
    <row r="770" ht="13" customHeight="1" s="189">
      <c r="A770" s="289" t="n"/>
      <c r="B770" s="290" t="n"/>
      <c r="C770" s="290" t="n"/>
      <c r="D770" s="290" t="n"/>
      <c r="E770" s="291" t="n"/>
      <c r="F770" s="291" t="n"/>
      <c r="G770" s="291" t="n"/>
      <c r="H770" s="297" t="n"/>
    </row>
    <row r="771" ht="13" customHeight="1" s="189">
      <c r="A771" s="289" t="n"/>
      <c r="B771" s="290" t="n"/>
      <c r="C771" s="290" t="n"/>
      <c r="D771" s="290" t="n"/>
      <c r="E771" s="291" t="n"/>
      <c r="F771" s="291" t="n"/>
      <c r="G771" s="291" t="n"/>
      <c r="H771" s="297" t="n"/>
    </row>
    <row r="772" ht="13" customHeight="1" s="189">
      <c r="A772" s="289" t="n"/>
      <c r="B772" s="290" t="n"/>
      <c r="C772" s="290" t="n"/>
      <c r="D772" s="290" t="n"/>
      <c r="E772" s="291" t="n"/>
      <c r="F772" s="291" t="n"/>
      <c r="G772" s="291" t="n"/>
      <c r="H772" s="297" t="n"/>
    </row>
    <row r="773" ht="13" customHeight="1" s="189">
      <c r="A773" s="289" t="n"/>
      <c r="B773" s="290" t="n"/>
      <c r="C773" s="290" t="n"/>
      <c r="D773" s="290" t="n"/>
      <c r="E773" s="291" t="n"/>
      <c r="F773" s="291" t="n"/>
      <c r="G773" s="291" t="n"/>
      <c r="H773" s="297" t="n"/>
    </row>
    <row r="774" ht="13" customHeight="1" s="189">
      <c r="A774" s="289" t="n"/>
      <c r="B774" s="290" t="n"/>
      <c r="C774" s="290" t="n"/>
      <c r="D774" s="290" t="n"/>
      <c r="E774" s="291" t="n"/>
      <c r="F774" s="291" t="n"/>
      <c r="G774" s="291" t="n"/>
      <c r="H774" s="297" t="n"/>
    </row>
    <row r="775" ht="13" customHeight="1" s="189">
      <c r="A775" s="289" t="n"/>
      <c r="B775" s="290" t="n"/>
      <c r="C775" s="290" t="n"/>
      <c r="D775" s="290" t="n"/>
      <c r="E775" s="291" t="n"/>
      <c r="F775" s="291" t="n"/>
      <c r="G775" s="291" t="n"/>
      <c r="H775" s="297" t="n"/>
    </row>
    <row r="776" ht="13" customHeight="1" s="189">
      <c r="A776" s="289" t="n"/>
      <c r="B776" s="290" t="n"/>
      <c r="C776" s="290" t="n"/>
      <c r="D776" s="290" t="n"/>
      <c r="E776" s="291" t="n"/>
      <c r="F776" s="291" t="n"/>
      <c r="G776" s="291" t="n"/>
      <c r="H776" s="297" t="n"/>
    </row>
    <row r="777" ht="13" customHeight="1" s="189">
      <c r="A777" s="289" t="n"/>
      <c r="B777" s="290" t="n"/>
      <c r="C777" s="290" t="n"/>
      <c r="D777" s="290" t="n"/>
      <c r="E777" s="291" t="n"/>
      <c r="F777" s="291" t="n"/>
      <c r="G777" s="291" t="n"/>
      <c r="H777" s="297" t="n"/>
    </row>
    <row r="778" ht="13" customHeight="1" s="189">
      <c r="A778" s="289" t="n"/>
      <c r="B778" s="290" t="n"/>
      <c r="C778" s="290" t="n"/>
      <c r="D778" s="290" t="n"/>
      <c r="E778" s="291" t="n"/>
      <c r="F778" s="291" t="n"/>
      <c r="G778" s="291" t="n"/>
      <c r="H778" s="297" t="n"/>
    </row>
    <row r="779" ht="13" customHeight="1" s="189">
      <c r="A779" s="289" t="n"/>
      <c r="B779" s="290" t="n"/>
      <c r="C779" s="290" t="n"/>
      <c r="D779" s="290" t="n"/>
      <c r="E779" s="291" t="n"/>
      <c r="F779" s="291" t="n"/>
      <c r="G779" s="291" t="n"/>
      <c r="H779" s="297" t="n"/>
    </row>
    <row r="780" ht="13" customHeight="1" s="189">
      <c r="A780" s="289" t="n"/>
      <c r="B780" s="290" t="n"/>
      <c r="C780" s="290" t="n"/>
      <c r="D780" s="290" t="n"/>
      <c r="E780" s="291" t="n"/>
      <c r="F780" s="291" t="n"/>
      <c r="G780" s="291" t="n"/>
      <c r="H780" s="297" t="n"/>
    </row>
    <row r="781" ht="13" customHeight="1" s="189">
      <c r="A781" s="289" t="n"/>
      <c r="B781" s="290" t="n"/>
      <c r="C781" s="290" t="n"/>
      <c r="D781" s="290" t="n"/>
      <c r="E781" s="291" t="n"/>
      <c r="F781" s="291" t="n"/>
      <c r="G781" s="291" t="n"/>
      <c r="H781" s="297" t="n"/>
    </row>
    <row r="782" ht="13" customHeight="1" s="189">
      <c r="A782" s="289" t="n"/>
      <c r="B782" s="290" t="n"/>
      <c r="C782" s="290" t="n"/>
      <c r="D782" s="290" t="n"/>
      <c r="E782" s="291" t="n"/>
      <c r="F782" s="291" t="n"/>
      <c r="G782" s="291" t="n"/>
      <c r="H782" s="297" t="n"/>
    </row>
    <row r="783" ht="13" customHeight="1" s="189">
      <c r="A783" s="289" t="n"/>
      <c r="B783" s="290" t="n"/>
      <c r="C783" s="290" t="n"/>
      <c r="D783" s="290" t="n"/>
      <c r="E783" s="291" t="n"/>
      <c r="F783" s="291" t="n"/>
      <c r="G783" s="291" t="n"/>
      <c r="H783" s="297" t="n"/>
    </row>
    <row r="784" ht="13" customHeight="1" s="189">
      <c r="A784" s="289" t="n"/>
      <c r="B784" s="290" t="n"/>
      <c r="C784" s="290" t="n"/>
      <c r="D784" s="290" t="n"/>
      <c r="E784" s="291" t="n"/>
      <c r="F784" s="291" t="n"/>
      <c r="G784" s="291" t="n"/>
      <c r="H784" s="297" t="n"/>
    </row>
    <row r="785" ht="13" customHeight="1" s="189">
      <c r="A785" s="289" t="n"/>
      <c r="B785" s="290" t="n"/>
      <c r="C785" s="290" t="n"/>
      <c r="D785" s="290" t="n"/>
      <c r="E785" s="291" t="n"/>
      <c r="F785" s="291" t="n"/>
      <c r="G785" s="291" t="n"/>
      <c r="H785" s="297" t="n"/>
    </row>
    <row r="786" ht="13" customHeight="1" s="189">
      <c r="A786" s="289" t="n"/>
      <c r="B786" s="290" t="n"/>
      <c r="C786" s="290" t="n"/>
      <c r="D786" s="290" t="n"/>
      <c r="E786" s="291" t="n"/>
      <c r="F786" s="291" t="n"/>
      <c r="G786" s="291" t="n"/>
      <c r="H786" s="297" t="n"/>
    </row>
    <row r="787" ht="13" customHeight="1" s="189">
      <c r="A787" s="289" t="n"/>
      <c r="B787" s="290" t="n"/>
      <c r="C787" s="290" t="n"/>
      <c r="D787" s="290" t="n"/>
      <c r="E787" s="291" t="n"/>
      <c r="F787" s="291" t="n"/>
      <c r="G787" s="291" t="n"/>
      <c r="H787" s="297" t="n"/>
    </row>
    <row r="788" ht="13" customHeight="1" s="189">
      <c r="A788" s="289" t="n"/>
      <c r="B788" s="290" t="n"/>
      <c r="C788" s="290" t="n"/>
      <c r="D788" s="290" t="n"/>
      <c r="E788" s="291" t="n"/>
      <c r="F788" s="291" t="n"/>
      <c r="G788" s="291" t="n"/>
      <c r="H788" s="297" t="n"/>
    </row>
    <row r="789" ht="13" customHeight="1" s="189">
      <c r="A789" s="289" t="n"/>
      <c r="B789" s="290" t="n"/>
      <c r="C789" s="290" t="n"/>
      <c r="D789" s="290" t="n"/>
      <c r="E789" s="291" t="n"/>
      <c r="F789" s="291" t="n"/>
      <c r="G789" s="291" t="n"/>
      <c r="H789" s="297" t="n"/>
    </row>
    <row r="790" ht="13" customHeight="1" s="189">
      <c r="A790" s="289" t="n"/>
      <c r="B790" s="290" t="n"/>
      <c r="C790" s="290" t="n"/>
      <c r="D790" s="290" t="n"/>
      <c r="E790" s="291" t="n"/>
      <c r="F790" s="291" t="n"/>
      <c r="G790" s="291" t="n"/>
      <c r="H790" s="297" t="n"/>
    </row>
    <row r="791" ht="13" customHeight="1" s="189">
      <c r="A791" s="289" t="n"/>
      <c r="B791" s="290" t="n"/>
      <c r="C791" s="290" t="n"/>
      <c r="D791" s="290" t="n"/>
      <c r="E791" s="291" t="n"/>
      <c r="F791" s="291" t="n"/>
      <c r="G791" s="291" t="n"/>
      <c r="H791" s="297" t="n"/>
    </row>
    <row r="792" ht="13" customHeight="1" s="189">
      <c r="A792" s="289" t="n"/>
      <c r="B792" s="290" t="n"/>
      <c r="C792" s="290" t="n"/>
      <c r="D792" s="290" t="n"/>
      <c r="E792" s="291" t="n"/>
      <c r="F792" s="291" t="n"/>
      <c r="G792" s="291" t="n"/>
      <c r="H792" s="297" t="n"/>
    </row>
    <row r="793" ht="13" customHeight="1" s="189">
      <c r="A793" s="289" t="n"/>
      <c r="B793" s="290" t="n"/>
      <c r="C793" s="290" t="n"/>
      <c r="D793" s="290" t="n"/>
      <c r="E793" s="291" t="n"/>
      <c r="F793" s="291" t="n"/>
      <c r="G793" s="291" t="n"/>
      <c r="H793" s="297" t="n"/>
    </row>
    <row r="794" ht="13" customHeight="1" s="189">
      <c r="A794" s="289" t="n"/>
      <c r="B794" s="290" t="n"/>
      <c r="C794" s="290" t="n"/>
      <c r="D794" s="290" t="n"/>
      <c r="E794" s="291" t="n"/>
      <c r="F794" s="291" t="n"/>
      <c r="G794" s="291" t="n"/>
      <c r="H794" s="297" t="n"/>
    </row>
    <row r="795" ht="13" customHeight="1" s="189">
      <c r="A795" s="289" t="n"/>
      <c r="B795" s="290" t="n"/>
      <c r="C795" s="290" t="n"/>
      <c r="D795" s="290" t="n"/>
      <c r="E795" s="291" t="n"/>
      <c r="F795" s="291" t="n"/>
      <c r="G795" s="291" t="n"/>
      <c r="H795" s="297" t="n"/>
    </row>
    <row r="796" ht="13" customHeight="1" s="189">
      <c r="A796" s="289" t="n"/>
      <c r="B796" s="290" t="n"/>
      <c r="C796" s="290" t="n"/>
      <c r="D796" s="290" t="n"/>
      <c r="E796" s="291" t="n"/>
      <c r="F796" s="291" t="n"/>
      <c r="G796" s="291" t="n"/>
      <c r="H796" s="297" t="n"/>
    </row>
    <row r="797" ht="13" customHeight="1" s="189">
      <c r="A797" s="289" t="n"/>
      <c r="B797" s="290" t="n"/>
      <c r="C797" s="290" t="n"/>
      <c r="D797" s="290" t="n"/>
      <c r="E797" s="291" t="n"/>
      <c r="F797" s="291" t="n"/>
      <c r="G797" s="291" t="n"/>
      <c r="H797" s="297" t="n"/>
    </row>
    <row r="798" ht="13" customHeight="1" s="189">
      <c r="A798" s="289" t="n"/>
      <c r="B798" s="290" t="n"/>
      <c r="C798" s="290" t="n"/>
      <c r="D798" s="290" t="n"/>
      <c r="E798" s="291" t="n"/>
      <c r="F798" s="291" t="n"/>
      <c r="G798" s="291" t="n"/>
      <c r="H798" s="297" t="n"/>
    </row>
    <row r="799" ht="13" customHeight="1" s="189">
      <c r="A799" s="289" t="n"/>
      <c r="B799" s="290" t="n"/>
      <c r="C799" s="290" t="n"/>
      <c r="D799" s="290" t="n"/>
      <c r="E799" s="291" t="n"/>
      <c r="F799" s="291" t="n"/>
      <c r="G799" s="291" t="n"/>
      <c r="H799" s="297" t="n"/>
    </row>
    <row r="800" ht="13" customHeight="1" s="189">
      <c r="A800" s="289" t="n"/>
      <c r="B800" s="290" t="n"/>
      <c r="C800" s="290" t="n"/>
      <c r="D800" s="290" t="n"/>
      <c r="E800" s="291" t="n"/>
      <c r="F800" s="291" t="n"/>
      <c r="G800" s="291" t="n"/>
      <c r="H800" s="297" t="n"/>
    </row>
    <row r="801" ht="13" customHeight="1" s="189">
      <c r="A801" s="289" t="n"/>
      <c r="B801" s="290" t="n"/>
      <c r="C801" s="290" t="n"/>
      <c r="D801" s="290" t="n"/>
      <c r="E801" s="291" t="n"/>
      <c r="F801" s="291" t="n"/>
      <c r="G801" s="291" t="n"/>
      <c r="H801" s="297" t="n"/>
    </row>
    <row r="802" ht="13" customHeight="1" s="189">
      <c r="A802" s="289" t="n"/>
      <c r="B802" s="290" t="n"/>
      <c r="C802" s="290" t="n"/>
      <c r="D802" s="290" t="n"/>
      <c r="E802" s="291" t="n"/>
      <c r="F802" s="291" t="n"/>
      <c r="G802" s="291" t="n"/>
      <c r="H802" s="297" t="n"/>
    </row>
    <row r="803" ht="13" customHeight="1" s="189">
      <c r="A803" s="289" t="n"/>
      <c r="B803" s="290" t="n"/>
      <c r="C803" s="290" t="n"/>
      <c r="D803" s="290" t="n"/>
      <c r="E803" s="291" t="n"/>
      <c r="F803" s="291" t="n"/>
      <c r="G803" s="291" t="n"/>
      <c r="H803" s="297" t="n"/>
    </row>
    <row r="804" ht="13" customHeight="1" s="189">
      <c r="A804" s="289" t="n"/>
      <c r="B804" s="290" t="n"/>
      <c r="C804" s="290" t="n"/>
      <c r="D804" s="290" t="n"/>
      <c r="E804" s="291" t="n"/>
      <c r="F804" s="291" t="n"/>
      <c r="G804" s="291" t="n"/>
      <c r="H804" s="297" t="n"/>
    </row>
    <row r="805" ht="13" customHeight="1" s="189">
      <c r="A805" s="289" t="n"/>
      <c r="B805" s="290" t="n"/>
      <c r="C805" s="290" t="n"/>
      <c r="D805" s="290" t="n"/>
      <c r="E805" s="291" t="n"/>
      <c r="F805" s="291" t="n"/>
      <c r="G805" s="291" t="n"/>
      <c r="H805" s="297" t="n"/>
    </row>
    <row r="806" ht="13" customHeight="1" s="189">
      <c r="A806" s="289" t="n"/>
      <c r="B806" s="290" t="n"/>
      <c r="C806" s="290" t="n"/>
      <c r="D806" s="290" t="n"/>
      <c r="E806" s="291" t="n"/>
      <c r="F806" s="291" t="n"/>
      <c r="G806" s="291" t="n"/>
      <c r="H806" s="297" t="n"/>
    </row>
    <row r="807" ht="13" customHeight="1" s="189">
      <c r="A807" s="289" t="n"/>
      <c r="B807" s="290" t="n"/>
      <c r="C807" s="290" t="n"/>
      <c r="D807" s="290" t="n"/>
      <c r="E807" s="291" t="n"/>
      <c r="F807" s="291" t="n"/>
      <c r="G807" s="291" t="n"/>
      <c r="H807" s="297" t="n"/>
    </row>
    <row r="808" ht="13" customHeight="1" s="189">
      <c r="A808" s="289" t="n"/>
      <c r="B808" s="290" t="n"/>
      <c r="C808" s="290" t="n"/>
      <c r="D808" s="290" t="n"/>
      <c r="E808" s="291" t="n"/>
      <c r="F808" s="291" t="n"/>
      <c r="G808" s="291" t="n"/>
      <c r="H808" s="297" t="n"/>
    </row>
    <row r="809" ht="13" customHeight="1" s="189">
      <c r="A809" s="289" t="n"/>
      <c r="B809" s="290" t="n"/>
      <c r="C809" s="290" t="n"/>
      <c r="D809" s="290" t="n"/>
      <c r="E809" s="291" t="n"/>
      <c r="F809" s="291" t="n"/>
      <c r="G809" s="291" t="n"/>
      <c r="H809" s="297" t="n"/>
    </row>
    <row r="810" ht="13" customHeight="1" s="189">
      <c r="A810" s="289" t="n"/>
      <c r="B810" s="290" t="n"/>
      <c r="C810" s="290" t="n"/>
      <c r="D810" s="290" t="n"/>
      <c r="E810" s="291" t="n"/>
      <c r="F810" s="291" t="n"/>
      <c r="G810" s="291" t="n"/>
      <c r="H810" s="297" t="n"/>
    </row>
    <row r="811" ht="13" customHeight="1" s="189">
      <c r="A811" s="289" t="n"/>
      <c r="B811" s="290" t="n"/>
      <c r="C811" s="290" t="n"/>
      <c r="D811" s="290" t="n"/>
      <c r="E811" s="291" t="n"/>
      <c r="F811" s="291" t="n"/>
      <c r="G811" s="291" t="n"/>
      <c r="H811" s="297" t="n"/>
    </row>
    <row r="812" ht="13" customHeight="1" s="189">
      <c r="A812" s="289" t="n"/>
      <c r="B812" s="290" t="n"/>
      <c r="C812" s="290" t="n"/>
      <c r="D812" s="290" t="n"/>
      <c r="E812" s="291" t="n"/>
      <c r="F812" s="291" t="n"/>
      <c r="G812" s="291" t="n"/>
      <c r="H812" s="297" t="n"/>
    </row>
    <row r="813" ht="13" customHeight="1" s="189">
      <c r="A813" s="289" t="n"/>
      <c r="B813" s="290" t="n"/>
      <c r="C813" s="290" t="n"/>
      <c r="D813" s="290" t="n"/>
      <c r="E813" s="291" t="n"/>
      <c r="F813" s="291" t="n"/>
      <c r="G813" s="291" t="n"/>
      <c r="H813" s="297" t="n"/>
    </row>
    <row r="814" ht="13" customHeight="1" s="189">
      <c r="A814" s="289" t="n"/>
      <c r="B814" s="290" t="n"/>
      <c r="C814" s="290" t="n"/>
      <c r="D814" s="290" t="n"/>
      <c r="E814" s="291" t="n"/>
      <c r="F814" s="291" t="n"/>
      <c r="G814" s="291" t="n"/>
      <c r="H814" s="297" t="n"/>
    </row>
    <row r="815" ht="13" customHeight="1" s="189">
      <c r="A815" s="289" t="n"/>
      <c r="B815" s="290" t="n"/>
      <c r="C815" s="290" t="n"/>
      <c r="D815" s="290" t="n"/>
      <c r="E815" s="291" t="n"/>
      <c r="F815" s="291" t="n"/>
      <c r="G815" s="291" t="n"/>
      <c r="H815" s="297" t="n"/>
    </row>
    <row r="816" ht="13" customHeight="1" s="189">
      <c r="A816" s="289" t="n"/>
      <c r="B816" s="290" t="n"/>
      <c r="C816" s="290" t="n"/>
      <c r="D816" s="290" t="n"/>
      <c r="E816" s="291" t="n"/>
      <c r="F816" s="291" t="n"/>
      <c r="G816" s="291" t="n"/>
      <c r="H816" s="297" t="n"/>
    </row>
    <row r="817" ht="13" customHeight="1" s="189">
      <c r="A817" s="289" t="n"/>
      <c r="B817" s="290" t="n"/>
      <c r="C817" s="290" t="n"/>
      <c r="D817" s="290" t="n"/>
      <c r="E817" s="291" t="n"/>
      <c r="F817" s="291" t="n"/>
      <c r="G817" s="291" t="n"/>
      <c r="H817" s="297" t="n"/>
    </row>
    <row r="818" ht="13" customHeight="1" s="189">
      <c r="A818" s="289" t="n"/>
      <c r="B818" s="290" t="n"/>
      <c r="C818" s="290" t="n"/>
      <c r="D818" s="290" t="n"/>
      <c r="E818" s="291" t="n"/>
      <c r="F818" s="291" t="n"/>
      <c r="G818" s="291" t="n"/>
      <c r="H818" s="297" t="n"/>
    </row>
    <row r="819" ht="13" customHeight="1" s="189">
      <c r="A819" s="289" t="n"/>
      <c r="B819" s="290" t="n"/>
      <c r="C819" s="290" t="n"/>
      <c r="D819" s="290" t="n"/>
      <c r="E819" s="291" t="n"/>
      <c r="F819" s="291" t="n"/>
      <c r="G819" s="291" t="n"/>
      <c r="H819" s="297" t="n"/>
    </row>
    <row r="820" ht="13" customHeight="1" s="189">
      <c r="A820" s="289" t="n"/>
      <c r="B820" s="290" t="n"/>
      <c r="C820" s="290" t="n"/>
      <c r="D820" s="290" t="n"/>
      <c r="E820" s="291" t="n"/>
      <c r="F820" s="291" t="n"/>
      <c r="G820" s="291" t="n"/>
      <c r="H820" s="297" t="n"/>
    </row>
    <row r="821" ht="13" customHeight="1" s="189">
      <c r="A821" s="289" t="n"/>
      <c r="B821" s="290" t="n"/>
      <c r="C821" s="290" t="n"/>
      <c r="D821" s="290" t="n"/>
      <c r="E821" s="291" t="n"/>
      <c r="F821" s="291" t="n"/>
      <c r="G821" s="291" t="n"/>
      <c r="H821" s="297" t="n"/>
    </row>
    <row r="822" ht="13" customHeight="1" s="189">
      <c r="A822" s="289" t="n"/>
      <c r="B822" s="290" t="n"/>
      <c r="C822" s="290" t="n"/>
      <c r="D822" s="290" t="n"/>
      <c r="E822" s="291" t="n"/>
      <c r="F822" s="291" t="n"/>
      <c r="G822" s="291" t="n"/>
      <c r="H822" s="297" t="n"/>
    </row>
    <row r="823" ht="13" customHeight="1" s="189">
      <c r="A823" s="289" t="n"/>
      <c r="B823" s="290" t="n"/>
      <c r="C823" s="290" t="n"/>
      <c r="D823" s="290" t="n"/>
      <c r="E823" s="291" t="n"/>
      <c r="F823" s="291" t="n"/>
      <c r="G823" s="291" t="n"/>
      <c r="H823" s="297" t="n"/>
    </row>
    <row r="824" ht="13" customHeight="1" s="189">
      <c r="A824" s="289" t="n"/>
      <c r="B824" s="290" t="n"/>
      <c r="C824" s="290" t="n"/>
      <c r="D824" s="290" t="n"/>
      <c r="E824" s="291" t="n"/>
      <c r="F824" s="291" t="n"/>
      <c r="G824" s="291" t="n"/>
      <c r="H824" s="297" t="n"/>
    </row>
    <row r="825" ht="13" customHeight="1" s="189">
      <c r="A825" s="289" t="n"/>
      <c r="B825" s="290" t="n"/>
      <c r="C825" s="290" t="n"/>
      <c r="D825" s="290" t="n"/>
      <c r="E825" s="291" t="n"/>
      <c r="F825" s="291" t="n"/>
      <c r="G825" s="291" t="n"/>
      <c r="H825" s="297" t="n"/>
    </row>
    <row r="826" ht="13" customHeight="1" s="189">
      <c r="A826" s="289" t="n"/>
      <c r="B826" s="290" t="n"/>
      <c r="C826" s="290" t="n"/>
      <c r="D826" s="290" t="n"/>
      <c r="E826" s="291" t="n"/>
      <c r="F826" s="291" t="n"/>
      <c r="G826" s="291" t="n"/>
      <c r="H826" s="297" t="n"/>
    </row>
    <row r="827" ht="13" customHeight="1" s="189">
      <c r="A827" s="289" t="n"/>
      <c r="B827" s="290" t="n"/>
      <c r="C827" s="290" t="n"/>
      <c r="D827" s="290" t="n"/>
      <c r="E827" s="291" t="n"/>
      <c r="F827" s="291" t="n"/>
      <c r="G827" s="291" t="n"/>
      <c r="H827" s="297" t="n"/>
    </row>
    <row r="828" ht="13" customHeight="1" s="189">
      <c r="A828" s="289" t="n"/>
      <c r="B828" s="290" t="n"/>
      <c r="C828" s="290" t="n"/>
      <c r="D828" s="290" t="n"/>
      <c r="E828" s="291" t="n"/>
      <c r="F828" s="291" t="n"/>
      <c r="G828" s="291" t="n"/>
      <c r="H828" s="297" t="n"/>
    </row>
    <row r="829" ht="13" customHeight="1" s="189">
      <c r="A829" s="289" t="n"/>
      <c r="B829" s="290" t="n"/>
      <c r="C829" s="290" t="n"/>
      <c r="D829" s="290" t="n"/>
      <c r="E829" s="291" t="n"/>
      <c r="F829" s="291" t="n"/>
      <c r="G829" s="291" t="n"/>
      <c r="H829" s="297" t="n"/>
    </row>
    <row r="830" ht="13" customHeight="1" s="189">
      <c r="A830" s="289" t="n"/>
      <c r="B830" s="290" t="n"/>
      <c r="C830" s="290" t="n"/>
      <c r="D830" s="290" t="n"/>
      <c r="E830" s="291" t="n"/>
      <c r="F830" s="291" t="n"/>
      <c r="G830" s="291" t="n"/>
      <c r="H830" s="297" t="n"/>
    </row>
    <row r="831" ht="13" customHeight="1" s="189">
      <c r="A831" s="289" t="n"/>
      <c r="B831" s="290" t="n"/>
      <c r="C831" s="290" t="n"/>
      <c r="D831" s="290" t="n"/>
      <c r="E831" s="291" t="n"/>
      <c r="F831" s="291" t="n"/>
      <c r="G831" s="291" t="n"/>
      <c r="H831" s="297" t="n"/>
    </row>
    <row r="832" ht="13" customHeight="1" s="189">
      <c r="A832" s="289" t="n"/>
      <c r="B832" s="290" t="n"/>
      <c r="C832" s="290" t="n"/>
      <c r="D832" s="290" t="n"/>
      <c r="E832" s="291" t="n"/>
      <c r="F832" s="291" t="n"/>
      <c r="G832" s="291" t="n"/>
      <c r="H832" s="297" t="n"/>
    </row>
    <row r="833" ht="13" customHeight="1" s="189">
      <c r="A833" s="289" t="n"/>
      <c r="B833" s="290" t="n"/>
      <c r="C833" s="290" t="n"/>
      <c r="D833" s="290" t="n"/>
      <c r="E833" s="291" t="n"/>
      <c r="F833" s="291" t="n"/>
      <c r="G833" s="291" t="n"/>
      <c r="H833" s="297" t="n"/>
    </row>
    <row r="834" ht="13" customHeight="1" s="189">
      <c r="A834" s="289" t="n"/>
      <c r="B834" s="290" t="n"/>
      <c r="C834" s="290" t="n"/>
      <c r="D834" s="290" t="n"/>
      <c r="E834" s="291" t="n"/>
      <c r="F834" s="291" t="n"/>
      <c r="G834" s="291" t="n"/>
      <c r="H834" s="297" t="n"/>
    </row>
    <row r="835" ht="13" customHeight="1" s="189">
      <c r="A835" s="289" t="n"/>
      <c r="B835" s="290" t="n"/>
      <c r="C835" s="290" t="n"/>
      <c r="D835" s="290" t="n"/>
      <c r="E835" s="291" t="n"/>
      <c r="F835" s="291" t="n"/>
      <c r="G835" s="291" t="n"/>
      <c r="H835" s="297" t="n"/>
    </row>
    <row r="836" ht="13" customHeight="1" s="189">
      <c r="A836" s="289" t="n"/>
      <c r="B836" s="290" t="n"/>
      <c r="C836" s="290" t="n"/>
      <c r="D836" s="290" t="n"/>
      <c r="E836" s="291" t="n"/>
      <c r="F836" s="291" t="n"/>
      <c r="G836" s="291" t="n"/>
      <c r="H836" s="297" t="n"/>
    </row>
    <row r="837" ht="13" customHeight="1" s="189">
      <c r="A837" s="289" t="n"/>
      <c r="B837" s="290" t="n"/>
      <c r="C837" s="290" t="n"/>
      <c r="D837" s="290" t="n"/>
      <c r="E837" s="291" t="n"/>
      <c r="F837" s="291" t="n"/>
      <c r="G837" s="291" t="n"/>
      <c r="H837" s="297" t="n"/>
    </row>
    <row r="838" ht="13" customHeight="1" s="189">
      <c r="A838" s="289" t="n"/>
      <c r="B838" s="290" t="n"/>
      <c r="C838" s="290" t="n"/>
      <c r="D838" s="290" t="n"/>
      <c r="E838" s="291" t="n"/>
      <c r="F838" s="291" t="n"/>
      <c r="G838" s="291" t="n"/>
      <c r="H838" s="297" t="n"/>
    </row>
    <row r="839" ht="13" customHeight="1" s="189">
      <c r="A839" s="289" t="n"/>
      <c r="B839" s="290" t="n"/>
      <c r="C839" s="290" t="n"/>
      <c r="D839" s="290" t="n"/>
      <c r="E839" s="291" t="n"/>
      <c r="F839" s="291" t="n"/>
      <c r="G839" s="291" t="n"/>
      <c r="H839" s="297" t="n"/>
    </row>
    <row r="840" ht="13" customHeight="1" s="189">
      <c r="A840" s="289" t="n"/>
      <c r="B840" s="290" t="n"/>
      <c r="C840" s="290" t="n"/>
      <c r="D840" s="290" t="n"/>
      <c r="E840" s="291" t="n"/>
      <c r="F840" s="291" t="n"/>
      <c r="G840" s="291" t="n"/>
      <c r="H840" s="297" t="n"/>
    </row>
    <row r="841" ht="13" customHeight="1" s="189">
      <c r="A841" s="289" t="n"/>
      <c r="B841" s="290" t="n"/>
      <c r="C841" s="290" t="n"/>
      <c r="D841" s="290" t="n"/>
      <c r="E841" s="291" t="n"/>
      <c r="F841" s="291" t="n"/>
      <c r="G841" s="291" t="n"/>
      <c r="H841" s="297" t="n"/>
    </row>
    <row r="842" ht="13" customHeight="1" s="189">
      <c r="A842" s="289" t="n"/>
      <c r="B842" s="290" t="n"/>
      <c r="C842" s="290" t="n"/>
      <c r="D842" s="290" t="n"/>
      <c r="E842" s="291" t="n"/>
      <c r="F842" s="291" t="n"/>
      <c r="G842" s="291" t="n"/>
      <c r="H842" s="297" t="n"/>
    </row>
    <row r="843" ht="13" customHeight="1" s="189">
      <c r="A843" s="289" t="n"/>
      <c r="B843" s="290" t="n"/>
      <c r="C843" s="290" t="n"/>
      <c r="D843" s="290" t="n"/>
      <c r="E843" s="291" t="n"/>
      <c r="F843" s="291" t="n"/>
      <c r="G843" s="291" t="n"/>
      <c r="H843" s="297" t="n"/>
    </row>
    <row r="844" ht="13" customHeight="1" s="189">
      <c r="A844" s="289" t="n"/>
      <c r="B844" s="290" t="n"/>
      <c r="C844" s="290" t="n"/>
      <c r="D844" s="290" t="n"/>
      <c r="E844" s="291" t="n"/>
      <c r="F844" s="291" t="n"/>
      <c r="G844" s="291" t="n"/>
      <c r="H844" s="297" t="n"/>
    </row>
    <row r="845" ht="13" customHeight="1" s="189">
      <c r="A845" s="289" t="n"/>
      <c r="B845" s="290" t="n"/>
      <c r="C845" s="290" t="n"/>
      <c r="D845" s="290" t="n"/>
      <c r="E845" s="291" t="n"/>
      <c r="F845" s="291" t="n"/>
      <c r="G845" s="291" t="n"/>
      <c r="H845" s="297" t="n"/>
    </row>
    <row r="846" ht="13" customHeight="1" s="189">
      <c r="A846" s="289" t="n"/>
      <c r="B846" s="290" t="n"/>
      <c r="C846" s="290" t="n"/>
      <c r="D846" s="290" t="n"/>
      <c r="E846" s="291" t="n"/>
      <c r="F846" s="291" t="n"/>
      <c r="G846" s="291" t="n"/>
      <c r="H846" s="297" t="n"/>
    </row>
    <row r="847" ht="13" customHeight="1" s="189">
      <c r="A847" s="289" t="n"/>
      <c r="B847" s="290" t="n"/>
      <c r="C847" s="290" t="n"/>
      <c r="D847" s="290" t="n"/>
      <c r="E847" s="291" t="n"/>
      <c r="F847" s="291" t="n"/>
      <c r="G847" s="291" t="n"/>
      <c r="H847" s="297" t="n"/>
    </row>
    <row r="848" ht="13" customHeight="1" s="189">
      <c r="A848" s="289" t="n"/>
      <c r="B848" s="290" t="n"/>
      <c r="C848" s="290" t="n"/>
      <c r="D848" s="290" t="n"/>
      <c r="E848" s="291" t="n"/>
      <c r="F848" s="291" t="n"/>
      <c r="G848" s="291" t="n"/>
      <c r="H848" s="297" t="n"/>
    </row>
    <row r="849" ht="13" customHeight="1" s="189">
      <c r="A849" s="289" t="n"/>
      <c r="B849" s="290" t="n"/>
      <c r="C849" s="290" t="n"/>
      <c r="D849" s="290" t="n"/>
      <c r="E849" s="291" t="n"/>
      <c r="F849" s="291" t="n"/>
      <c r="G849" s="291" t="n"/>
      <c r="H849" s="297" t="n"/>
    </row>
    <row r="850" ht="13" customHeight="1" s="189">
      <c r="A850" s="289" t="n"/>
      <c r="B850" s="290" t="n"/>
      <c r="C850" s="290" t="n"/>
      <c r="D850" s="290" t="n"/>
      <c r="E850" s="291" t="n"/>
      <c r="F850" s="291" t="n"/>
      <c r="G850" s="291" t="n"/>
      <c r="H850" s="297" t="n"/>
    </row>
    <row r="851" ht="13" customHeight="1" s="189">
      <c r="A851" s="289" t="n"/>
      <c r="B851" s="290" t="n"/>
      <c r="C851" s="290" t="n"/>
      <c r="D851" s="290" t="n"/>
      <c r="E851" s="291" t="n"/>
      <c r="F851" s="291" t="n"/>
      <c r="G851" s="291" t="n"/>
      <c r="H851" s="297" t="n"/>
    </row>
    <row r="852" ht="13" customHeight="1" s="189">
      <c r="A852" s="289" t="n"/>
      <c r="B852" s="290" t="n"/>
      <c r="C852" s="290" t="n"/>
      <c r="D852" s="290" t="n"/>
      <c r="E852" s="291" t="n"/>
      <c r="F852" s="291" t="n"/>
      <c r="G852" s="291" t="n"/>
      <c r="H852" s="297" t="n"/>
    </row>
    <row r="853" ht="13" customHeight="1" s="189">
      <c r="A853" s="289" t="n"/>
      <c r="B853" s="290" t="n"/>
      <c r="C853" s="290" t="n"/>
      <c r="D853" s="290" t="n"/>
      <c r="E853" s="291" t="n"/>
      <c r="F853" s="291" t="n"/>
      <c r="G853" s="291" t="n"/>
      <c r="H853" s="297" t="n"/>
    </row>
    <row r="854" ht="13" customHeight="1" s="189">
      <c r="A854" s="289" t="n"/>
      <c r="B854" s="290" t="n"/>
      <c r="C854" s="290" t="n"/>
      <c r="D854" s="290" t="n"/>
      <c r="E854" s="291" t="n"/>
      <c r="F854" s="291" t="n"/>
      <c r="G854" s="291" t="n"/>
      <c r="H854" s="297" t="n"/>
    </row>
    <row r="855" ht="13" customHeight="1" s="189">
      <c r="A855" s="289" t="n"/>
      <c r="B855" s="290" t="n"/>
      <c r="C855" s="290" t="n"/>
      <c r="D855" s="290" t="n"/>
      <c r="E855" s="291" t="n"/>
      <c r="F855" s="291" t="n"/>
      <c r="G855" s="291" t="n"/>
      <c r="H855" s="297" t="n"/>
    </row>
    <row r="856" ht="13" customHeight="1" s="189">
      <c r="A856" s="289" t="n"/>
      <c r="B856" s="290" t="n"/>
      <c r="C856" s="290" t="n"/>
      <c r="D856" s="290" t="n"/>
      <c r="E856" s="291" t="n"/>
      <c r="F856" s="291" t="n"/>
      <c r="G856" s="291" t="n"/>
      <c r="H856" s="297" t="n"/>
    </row>
    <row r="857" ht="13" customHeight="1" s="189">
      <c r="A857" s="289" t="n"/>
      <c r="B857" s="290" t="n"/>
      <c r="C857" s="290" t="n"/>
      <c r="D857" s="290" t="n"/>
      <c r="E857" s="291" t="n"/>
      <c r="F857" s="291" t="n"/>
      <c r="G857" s="291" t="n"/>
      <c r="H857" s="297" t="n"/>
    </row>
    <row r="858" ht="13" customHeight="1" s="189">
      <c r="A858" s="289" t="n"/>
      <c r="B858" s="290" t="n"/>
      <c r="C858" s="290" t="n"/>
      <c r="D858" s="290" t="n"/>
      <c r="E858" s="291" t="n"/>
      <c r="F858" s="291" t="n"/>
      <c r="G858" s="291" t="n"/>
      <c r="H858" s="297" t="n"/>
    </row>
    <row r="859" ht="13" customHeight="1" s="189">
      <c r="A859" s="289" t="n"/>
      <c r="B859" s="290" t="n"/>
      <c r="C859" s="290" t="n"/>
      <c r="D859" s="290" t="n"/>
      <c r="E859" s="291" t="n"/>
      <c r="F859" s="291" t="n"/>
      <c r="G859" s="291" t="n"/>
      <c r="H859" s="297" t="n"/>
    </row>
    <row r="860" ht="13" customHeight="1" s="189">
      <c r="A860" s="289" t="n"/>
      <c r="B860" s="290" t="n"/>
      <c r="C860" s="290" t="n"/>
      <c r="D860" s="290" t="n"/>
      <c r="E860" s="291" t="n"/>
      <c r="F860" s="291" t="n"/>
      <c r="G860" s="291" t="n"/>
      <c r="H860" s="297" t="n"/>
    </row>
    <row r="861" ht="13" customHeight="1" s="189">
      <c r="A861" s="289" t="n"/>
      <c r="B861" s="290" t="n"/>
      <c r="C861" s="290" t="n"/>
      <c r="D861" s="290" t="n"/>
      <c r="E861" s="291" t="n"/>
      <c r="F861" s="291" t="n"/>
      <c r="G861" s="291" t="n"/>
      <c r="H861" s="297" t="n"/>
    </row>
    <row r="862" ht="13" customHeight="1" s="189">
      <c r="A862" s="289" t="n"/>
      <c r="B862" s="290" t="n"/>
      <c r="C862" s="290" t="n"/>
      <c r="D862" s="290" t="n"/>
      <c r="E862" s="291" t="n"/>
      <c r="F862" s="291" t="n"/>
      <c r="G862" s="291" t="n"/>
      <c r="H862" s="297" t="n"/>
    </row>
    <row r="863" ht="13" customHeight="1" s="189">
      <c r="A863" s="289" t="n"/>
      <c r="B863" s="290" t="n"/>
      <c r="C863" s="290" t="n"/>
      <c r="D863" s="290" t="n"/>
      <c r="E863" s="291" t="n"/>
      <c r="F863" s="291" t="n"/>
      <c r="G863" s="291" t="n"/>
      <c r="H863" s="297" t="n"/>
    </row>
    <row r="864" ht="13" customHeight="1" s="189">
      <c r="A864" s="289" t="n"/>
      <c r="B864" s="290" t="n"/>
      <c r="C864" s="290" t="n"/>
      <c r="D864" s="290" t="n"/>
      <c r="E864" s="291" t="n"/>
      <c r="F864" s="291" t="n"/>
      <c r="G864" s="291" t="n"/>
      <c r="H864" s="297" t="n"/>
    </row>
    <row r="865" ht="13" customHeight="1" s="189">
      <c r="A865" s="289" t="n"/>
      <c r="B865" s="290" t="n"/>
      <c r="C865" s="290" t="n"/>
      <c r="D865" s="290" t="n"/>
      <c r="E865" s="291" t="n"/>
      <c r="F865" s="291" t="n"/>
      <c r="G865" s="291" t="n"/>
      <c r="H865" s="297" t="n"/>
    </row>
    <row r="866" ht="13" customHeight="1" s="189">
      <c r="A866" s="289" t="n"/>
      <c r="B866" s="290" t="n"/>
      <c r="C866" s="290" t="n"/>
      <c r="D866" s="290" t="n"/>
      <c r="E866" s="291" t="n"/>
      <c r="F866" s="291" t="n"/>
      <c r="G866" s="291" t="n"/>
      <c r="H866" s="297" t="n"/>
    </row>
    <row r="867" ht="13" customHeight="1" s="189">
      <c r="A867" s="289" t="n"/>
      <c r="B867" s="290" t="n"/>
      <c r="C867" s="290" t="n"/>
      <c r="D867" s="290" t="n"/>
      <c r="E867" s="291" t="n"/>
      <c r="F867" s="291" t="n"/>
      <c r="G867" s="291" t="n"/>
      <c r="H867" s="297" t="n"/>
    </row>
    <row r="868" ht="13" customHeight="1" s="189">
      <c r="A868" s="289" t="n"/>
      <c r="B868" s="290" t="n"/>
      <c r="C868" s="290" t="n"/>
      <c r="D868" s="290" t="n"/>
      <c r="E868" s="291" t="n"/>
      <c r="F868" s="291" t="n"/>
      <c r="G868" s="291" t="n"/>
      <c r="H868" s="297" t="n"/>
    </row>
    <row r="869" ht="13" customHeight="1" s="189">
      <c r="A869" s="289" t="n"/>
      <c r="B869" s="290" t="n"/>
      <c r="C869" s="290" t="n"/>
      <c r="D869" s="290" t="n"/>
      <c r="E869" s="291" t="n"/>
      <c r="F869" s="291" t="n"/>
      <c r="G869" s="291" t="n"/>
      <c r="H869" s="297" t="n"/>
    </row>
    <row r="870" ht="13" customHeight="1" s="189">
      <c r="A870" s="289" t="n"/>
      <c r="B870" s="290" t="n"/>
      <c r="C870" s="290" t="n"/>
      <c r="D870" s="290" t="n"/>
      <c r="E870" s="291" t="n"/>
      <c r="F870" s="291" t="n"/>
      <c r="G870" s="291" t="n"/>
      <c r="H870" s="297" t="n"/>
    </row>
    <row r="871" ht="13" customHeight="1" s="189">
      <c r="A871" s="289" t="n"/>
      <c r="B871" s="290" t="n"/>
      <c r="C871" s="290" t="n"/>
      <c r="D871" s="290" t="n"/>
      <c r="E871" s="291" t="n"/>
      <c r="F871" s="291" t="n"/>
      <c r="G871" s="291" t="n"/>
      <c r="H871" s="297" t="n"/>
    </row>
    <row r="872" ht="13" customHeight="1" s="189">
      <c r="A872" s="289" t="n"/>
      <c r="B872" s="290" t="n"/>
      <c r="C872" s="290" t="n"/>
      <c r="D872" s="290" t="n"/>
      <c r="E872" s="291" t="n"/>
      <c r="F872" s="291" t="n"/>
      <c r="G872" s="291" t="n"/>
      <c r="H872" s="297" t="n"/>
    </row>
    <row r="873" ht="13" customHeight="1" s="189">
      <c r="A873" s="289" t="n"/>
      <c r="B873" s="290" t="n"/>
      <c r="C873" s="290" t="n"/>
      <c r="D873" s="290" t="n"/>
      <c r="E873" s="291" t="n"/>
      <c r="F873" s="291" t="n"/>
      <c r="G873" s="291" t="n"/>
      <c r="H873" s="297" t="n"/>
    </row>
    <row r="874" ht="13" customHeight="1" s="189">
      <c r="A874" s="289" t="n"/>
      <c r="B874" s="290" t="n"/>
      <c r="C874" s="290" t="n"/>
      <c r="D874" s="290" t="n"/>
      <c r="E874" s="291" t="n"/>
      <c r="F874" s="291" t="n"/>
      <c r="G874" s="291" t="n"/>
      <c r="H874" s="297" t="n"/>
    </row>
    <row r="875" ht="13" customHeight="1" s="189">
      <c r="A875" s="289" t="n"/>
      <c r="B875" s="290" t="n"/>
      <c r="C875" s="290" t="n"/>
      <c r="D875" s="290" t="n"/>
      <c r="E875" s="291" t="n"/>
      <c r="F875" s="291" t="n"/>
      <c r="G875" s="291" t="n"/>
      <c r="H875" s="297" t="n"/>
    </row>
    <row r="876" ht="13" customHeight="1" s="189">
      <c r="A876" s="289" t="n"/>
      <c r="B876" s="290" t="n"/>
      <c r="C876" s="290" t="n"/>
      <c r="D876" s="290" t="n"/>
      <c r="E876" s="291" t="n"/>
      <c r="F876" s="291" t="n"/>
      <c r="G876" s="291" t="n"/>
      <c r="H876" s="297" t="n"/>
    </row>
    <row r="877" ht="13" customHeight="1" s="189">
      <c r="A877" s="289" t="n"/>
      <c r="B877" s="290" t="n"/>
      <c r="C877" s="290" t="n"/>
      <c r="D877" s="290" t="n"/>
      <c r="E877" s="291" t="n"/>
      <c r="F877" s="291" t="n"/>
      <c r="G877" s="291" t="n"/>
      <c r="H877" s="297" t="n"/>
    </row>
    <row r="878" ht="13" customHeight="1" s="189">
      <c r="A878" s="289" t="n"/>
      <c r="B878" s="290" t="n"/>
      <c r="C878" s="290" t="n"/>
      <c r="D878" s="290" t="n"/>
      <c r="E878" s="291" t="n"/>
      <c r="F878" s="291" t="n"/>
      <c r="G878" s="291" t="n"/>
      <c r="H878" s="297" t="n"/>
    </row>
    <row r="879" ht="13" customHeight="1" s="189">
      <c r="A879" s="289" t="n"/>
      <c r="B879" s="290" t="n"/>
      <c r="C879" s="290" t="n"/>
      <c r="D879" s="290" t="n"/>
      <c r="E879" s="291" t="n"/>
      <c r="F879" s="291" t="n"/>
      <c r="G879" s="291" t="n"/>
      <c r="H879" s="297" t="n"/>
    </row>
    <row r="880" ht="13" customHeight="1" s="189">
      <c r="A880" s="289" t="n"/>
      <c r="B880" s="290" t="n"/>
      <c r="C880" s="290" t="n"/>
      <c r="D880" s="290" t="n"/>
      <c r="E880" s="291" t="n"/>
      <c r="F880" s="291" t="n"/>
      <c r="G880" s="291" t="n"/>
      <c r="H880" s="297" t="n"/>
    </row>
    <row r="881" ht="13" customHeight="1" s="189">
      <c r="A881" s="289" t="n"/>
      <c r="B881" s="290" t="n"/>
      <c r="C881" s="290" t="n"/>
      <c r="D881" s="290" t="n"/>
      <c r="E881" s="291" t="n"/>
      <c r="F881" s="291" t="n"/>
      <c r="G881" s="291" t="n"/>
      <c r="H881" s="297" t="n"/>
    </row>
    <row r="882" ht="13" customHeight="1" s="189">
      <c r="A882" s="289" t="n"/>
      <c r="B882" s="290" t="n"/>
      <c r="C882" s="290" t="n"/>
      <c r="D882" s="290" t="n"/>
      <c r="E882" s="291" t="n"/>
      <c r="F882" s="291" t="n"/>
      <c r="G882" s="291" t="n"/>
      <c r="H882" s="297" t="n"/>
    </row>
    <row r="883" ht="13" customHeight="1" s="189">
      <c r="A883" s="289" t="n"/>
      <c r="B883" s="290" t="n"/>
      <c r="C883" s="290" t="n"/>
      <c r="D883" s="290" t="n"/>
      <c r="E883" s="291" t="n"/>
      <c r="F883" s="291" t="n"/>
      <c r="G883" s="291" t="n"/>
      <c r="H883" s="297" t="n"/>
    </row>
    <row r="884" ht="13" customHeight="1" s="189">
      <c r="A884" s="289" t="n"/>
      <c r="B884" s="290" t="n"/>
      <c r="C884" s="290" t="n"/>
      <c r="D884" s="290" t="n"/>
      <c r="E884" s="291" t="n"/>
      <c r="F884" s="291" t="n"/>
      <c r="G884" s="291" t="n"/>
      <c r="H884" s="297" t="n"/>
    </row>
    <row r="885" ht="13" customHeight="1" s="189">
      <c r="A885" s="289" t="n"/>
      <c r="B885" s="290" t="n"/>
      <c r="C885" s="290" t="n"/>
      <c r="D885" s="290" t="n"/>
      <c r="E885" s="291" t="n"/>
      <c r="F885" s="291" t="n"/>
      <c r="G885" s="291" t="n"/>
      <c r="H885" s="297" t="n"/>
    </row>
    <row r="886" ht="13" customHeight="1" s="189">
      <c r="A886" s="289" t="n"/>
      <c r="B886" s="290" t="n"/>
      <c r="C886" s="290" t="n"/>
      <c r="D886" s="290" t="n"/>
      <c r="E886" s="291" t="n"/>
      <c r="F886" s="291" t="n"/>
      <c r="G886" s="291" t="n"/>
      <c r="H886" s="297" t="n"/>
    </row>
    <row r="887" ht="13" customHeight="1" s="189">
      <c r="A887" s="289" t="n"/>
      <c r="B887" s="290" t="n"/>
      <c r="C887" s="290" t="n"/>
      <c r="D887" s="290" t="n"/>
      <c r="E887" s="291" t="n"/>
      <c r="F887" s="291" t="n"/>
      <c r="G887" s="291" t="n"/>
      <c r="H887" s="297" t="n"/>
    </row>
    <row r="888" ht="13" customHeight="1" s="189">
      <c r="A888" s="289" t="n"/>
      <c r="B888" s="290" t="n"/>
      <c r="C888" s="290" t="n"/>
      <c r="D888" s="290" t="n"/>
      <c r="E888" s="291" t="n"/>
      <c r="F888" s="291" t="n"/>
      <c r="G888" s="291" t="n"/>
      <c r="H888" s="297" t="n"/>
    </row>
    <row r="889" ht="13" customHeight="1" s="189">
      <c r="A889" s="289" t="n"/>
      <c r="B889" s="290" t="n"/>
      <c r="C889" s="290" t="n"/>
      <c r="D889" s="290" t="n"/>
      <c r="E889" s="291" t="n"/>
      <c r="F889" s="291" t="n"/>
      <c r="G889" s="291" t="n"/>
      <c r="H889" s="297" t="n"/>
    </row>
    <row r="890" ht="13" customHeight="1" s="189">
      <c r="A890" s="289" t="n"/>
      <c r="B890" s="290" t="n"/>
      <c r="C890" s="290" t="n"/>
      <c r="D890" s="290" t="n"/>
      <c r="E890" s="291" t="n"/>
      <c r="F890" s="291" t="n"/>
      <c r="G890" s="291" t="n"/>
      <c r="H890" s="297" t="n"/>
    </row>
    <row r="891" ht="13" customHeight="1" s="189">
      <c r="A891" s="289" t="n"/>
      <c r="B891" s="290" t="n"/>
      <c r="C891" s="290" t="n"/>
      <c r="D891" s="290" t="n"/>
      <c r="E891" s="291" t="n"/>
      <c r="F891" s="291" t="n"/>
      <c r="G891" s="291" t="n"/>
      <c r="H891" s="297" t="n"/>
    </row>
    <row r="892" ht="13" customHeight="1" s="189">
      <c r="A892" s="289" t="n"/>
      <c r="B892" s="290" t="n"/>
      <c r="C892" s="290" t="n"/>
      <c r="D892" s="290" t="n"/>
      <c r="E892" s="291" t="n"/>
      <c r="F892" s="291" t="n"/>
      <c r="G892" s="291" t="n"/>
      <c r="H892" s="297" t="n"/>
    </row>
    <row r="893" ht="13" customHeight="1" s="189">
      <c r="A893" s="289" t="n"/>
      <c r="B893" s="290" t="n"/>
      <c r="C893" s="290" t="n"/>
      <c r="D893" s="290" t="n"/>
      <c r="E893" s="291" t="n"/>
      <c r="F893" s="291" t="n"/>
      <c r="G893" s="291" t="n"/>
      <c r="H893" s="297" t="n"/>
    </row>
    <row r="894" ht="13" customHeight="1" s="189">
      <c r="A894" s="289" t="n"/>
      <c r="B894" s="290" t="n"/>
      <c r="C894" s="290" t="n"/>
      <c r="D894" s="290" t="n"/>
      <c r="E894" s="291" t="n"/>
      <c r="F894" s="291" t="n"/>
      <c r="G894" s="291" t="n"/>
      <c r="H894" s="297" t="n"/>
    </row>
    <row r="895" ht="13" customHeight="1" s="189">
      <c r="A895" s="289" t="n"/>
      <c r="B895" s="290" t="n"/>
      <c r="C895" s="290" t="n"/>
      <c r="D895" s="290" t="n"/>
      <c r="E895" s="291" t="n"/>
      <c r="F895" s="291" t="n"/>
      <c r="G895" s="291" t="n"/>
      <c r="H895" s="297" t="n"/>
    </row>
    <row r="896" ht="13" customHeight="1" s="189">
      <c r="A896" s="289" t="n"/>
      <c r="B896" s="290" t="n"/>
      <c r="C896" s="290" t="n"/>
      <c r="D896" s="290" t="n"/>
      <c r="E896" s="291" t="n"/>
      <c r="F896" s="291" t="n"/>
      <c r="G896" s="291" t="n"/>
      <c r="H896" s="297" t="n"/>
    </row>
    <row r="897" ht="13" customHeight="1" s="189">
      <c r="A897" s="289" t="n"/>
      <c r="B897" s="290" t="n"/>
      <c r="C897" s="290" t="n"/>
      <c r="D897" s="290" t="n"/>
      <c r="E897" s="291" t="n"/>
      <c r="F897" s="291" t="n"/>
      <c r="G897" s="291" t="n"/>
      <c r="H897" s="297" t="n"/>
    </row>
    <row r="898" ht="13" customHeight="1" s="189">
      <c r="A898" s="289" t="n"/>
      <c r="B898" s="290" t="n"/>
      <c r="C898" s="290" t="n"/>
      <c r="D898" s="290" t="n"/>
      <c r="E898" s="291" t="n"/>
      <c r="F898" s="291" t="n"/>
      <c r="G898" s="291" t="n"/>
      <c r="H898" s="297" t="n"/>
    </row>
    <row r="899" ht="13" customHeight="1" s="189">
      <c r="A899" s="289" t="n"/>
      <c r="B899" s="290" t="n"/>
      <c r="C899" s="290" t="n"/>
      <c r="D899" s="290" t="n"/>
      <c r="E899" s="291" t="n"/>
      <c r="F899" s="291" t="n"/>
      <c r="G899" s="291" t="n"/>
      <c r="H899" s="297" t="n"/>
    </row>
    <row r="900" ht="13" customHeight="1" s="189">
      <c r="A900" s="289" t="n"/>
      <c r="B900" s="290" t="n"/>
      <c r="C900" s="290" t="n"/>
      <c r="D900" s="290" t="n"/>
      <c r="E900" s="291" t="n"/>
      <c r="F900" s="291" t="n"/>
      <c r="G900" s="291" t="n"/>
      <c r="H900" s="297" t="n"/>
    </row>
    <row r="901" ht="13" customHeight="1" s="189">
      <c r="A901" s="289" t="n"/>
      <c r="B901" s="290" t="n"/>
      <c r="C901" s="290" t="n"/>
      <c r="D901" s="290" t="n"/>
      <c r="E901" s="291" t="n"/>
      <c r="F901" s="291" t="n"/>
      <c r="G901" s="291" t="n"/>
      <c r="H901" s="297" t="n"/>
    </row>
    <row r="902" ht="13" customHeight="1" s="189">
      <c r="A902" s="289" t="n"/>
      <c r="B902" s="290" t="n"/>
      <c r="C902" s="290" t="n"/>
      <c r="D902" s="290" t="n"/>
      <c r="E902" s="291" t="n"/>
      <c r="F902" s="291" t="n"/>
      <c r="G902" s="291" t="n"/>
      <c r="H902" s="297" t="n"/>
    </row>
    <row r="903" ht="13" customHeight="1" s="189">
      <c r="A903" s="289" t="n"/>
      <c r="B903" s="290" t="n"/>
      <c r="C903" s="290" t="n"/>
      <c r="D903" s="290" t="n"/>
      <c r="E903" s="291" t="n"/>
      <c r="F903" s="291" t="n"/>
      <c r="G903" s="291" t="n"/>
      <c r="H903" s="297" t="n"/>
    </row>
    <row r="904" ht="13" customHeight="1" s="189">
      <c r="A904" s="289" t="n"/>
      <c r="B904" s="290" t="n"/>
      <c r="C904" s="290" t="n"/>
      <c r="D904" s="290" t="n"/>
      <c r="E904" s="291" t="n"/>
      <c r="F904" s="291" t="n"/>
      <c r="G904" s="291" t="n"/>
      <c r="H904" s="297" t="n"/>
    </row>
    <row r="905" ht="13" customHeight="1" s="189">
      <c r="A905" s="289" t="n"/>
      <c r="B905" s="290" t="n"/>
      <c r="C905" s="290" t="n"/>
      <c r="D905" s="290" t="n"/>
      <c r="E905" s="291" t="n"/>
      <c r="F905" s="291" t="n"/>
      <c r="G905" s="291" t="n"/>
      <c r="H905" s="297" t="n"/>
    </row>
    <row r="906" ht="13" customHeight="1" s="189">
      <c r="A906" s="289" t="n"/>
      <c r="B906" s="290" t="n"/>
      <c r="C906" s="290" t="n"/>
      <c r="D906" s="290" t="n"/>
      <c r="E906" s="291" t="n"/>
      <c r="F906" s="291" t="n"/>
      <c r="G906" s="291" t="n"/>
      <c r="H906" s="297" t="n"/>
    </row>
    <row r="907" ht="13" customHeight="1" s="189">
      <c r="A907" s="289" t="n"/>
      <c r="B907" s="290" t="n"/>
      <c r="C907" s="290" t="n"/>
      <c r="D907" s="290" t="n"/>
      <c r="E907" s="291" t="n"/>
      <c r="F907" s="291" t="n"/>
      <c r="G907" s="291" t="n"/>
      <c r="H907" s="297" t="n"/>
    </row>
    <row r="908" ht="13" customHeight="1" s="189">
      <c r="A908" s="289" t="n"/>
      <c r="B908" s="290" t="n"/>
      <c r="C908" s="290" t="n"/>
      <c r="D908" s="290" t="n"/>
      <c r="E908" s="291" t="n"/>
      <c r="F908" s="291" t="n"/>
      <c r="G908" s="291" t="n"/>
      <c r="H908" s="297" t="n"/>
    </row>
    <row r="909" ht="13" customHeight="1" s="189">
      <c r="A909" s="289" t="n"/>
      <c r="B909" s="290" t="n"/>
      <c r="C909" s="290" t="n"/>
      <c r="D909" s="290" t="n"/>
      <c r="E909" s="291" t="n"/>
      <c r="F909" s="291" t="n"/>
      <c r="G909" s="291" t="n"/>
      <c r="H909" s="297" t="n"/>
    </row>
    <row r="910" ht="13" customHeight="1" s="189">
      <c r="A910" s="289" t="n"/>
      <c r="B910" s="290" t="n"/>
      <c r="C910" s="290" t="n"/>
      <c r="D910" s="290" t="n"/>
      <c r="E910" s="291" t="n"/>
      <c r="F910" s="291" t="n"/>
      <c r="G910" s="291" t="n"/>
      <c r="H910" s="297" t="n"/>
    </row>
    <row r="911" ht="13" customHeight="1" s="189">
      <c r="A911" s="289" t="n"/>
      <c r="B911" s="290" t="n"/>
      <c r="C911" s="290" t="n"/>
      <c r="D911" s="290" t="n"/>
      <c r="E911" s="291" t="n"/>
      <c r="F911" s="291" t="n"/>
      <c r="G911" s="291" t="n"/>
      <c r="H911" s="297" t="n"/>
    </row>
    <row r="912" ht="13" customHeight="1" s="189">
      <c r="A912" s="289" t="n"/>
      <c r="B912" s="290" t="n"/>
      <c r="C912" s="290" t="n"/>
      <c r="D912" s="290" t="n"/>
      <c r="E912" s="291" t="n"/>
      <c r="F912" s="291" t="n"/>
      <c r="G912" s="291" t="n"/>
      <c r="H912" s="297" t="n"/>
    </row>
    <row r="913" ht="13" customHeight="1" s="189">
      <c r="A913" s="289" t="n"/>
      <c r="B913" s="290" t="n"/>
      <c r="C913" s="290" t="n"/>
      <c r="D913" s="290" t="n"/>
      <c r="E913" s="291" t="n"/>
      <c r="F913" s="291" t="n"/>
      <c r="G913" s="291" t="n"/>
      <c r="H913" s="297" t="n"/>
    </row>
    <row r="914" ht="13" customHeight="1" s="189">
      <c r="A914" s="289" t="n"/>
      <c r="B914" s="290" t="n"/>
      <c r="C914" s="290" t="n"/>
      <c r="D914" s="290" t="n"/>
      <c r="E914" s="291" t="n"/>
      <c r="F914" s="291" t="n"/>
      <c r="G914" s="291" t="n"/>
      <c r="H914" s="297" t="n"/>
    </row>
    <row r="915" ht="13" customHeight="1" s="189">
      <c r="A915" s="289" t="n"/>
      <c r="B915" s="290" t="n"/>
      <c r="C915" s="290" t="n"/>
      <c r="D915" s="290" t="n"/>
      <c r="E915" s="291" t="n"/>
      <c r="F915" s="291" t="n"/>
      <c r="G915" s="291" t="n"/>
      <c r="H915" s="297" t="n"/>
    </row>
    <row r="916" ht="13" customHeight="1" s="189">
      <c r="A916" s="289" t="n"/>
      <c r="B916" s="290" t="n"/>
      <c r="C916" s="290" t="n"/>
      <c r="D916" s="290" t="n"/>
      <c r="E916" s="291" t="n"/>
      <c r="F916" s="291" t="n"/>
      <c r="G916" s="291" t="n"/>
      <c r="H916" s="297" t="n"/>
    </row>
    <row r="917" ht="13" customHeight="1" s="189">
      <c r="A917" s="289" t="n"/>
      <c r="B917" s="290" t="n"/>
      <c r="C917" s="290" t="n"/>
      <c r="D917" s="290" t="n"/>
      <c r="E917" s="291" t="n"/>
      <c r="F917" s="291" t="n"/>
      <c r="G917" s="291" t="n"/>
      <c r="H917" s="297" t="n"/>
    </row>
    <row r="918" ht="13" customHeight="1" s="189">
      <c r="A918" s="289" t="n"/>
      <c r="B918" s="290" t="n"/>
      <c r="C918" s="290" t="n"/>
      <c r="D918" s="290" t="n"/>
      <c r="E918" s="291" t="n"/>
      <c r="F918" s="291" t="n"/>
      <c r="G918" s="291" t="n"/>
      <c r="H918" s="297" t="n"/>
    </row>
    <row r="919" ht="13" customHeight="1" s="189">
      <c r="A919" s="289" t="n"/>
      <c r="B919" s="290" t="n"/>
      <c r="C919" s="290" t="n"/>
      <c r="D919" s="290" t="n"/>
      <c r="E919" s="291" t="n"/>
      <c r="F919" s="291" t="n"/>
      <c r="G919" s="291" t="n"/>
      <c r="H919" s="297" t="n"/>
    </row>
    <row r="920" ht="13" customHeight="1" s="189">
      <c r="A920" s="289" t="n"/>
      <c r="B920" s="290" t="n"/>
      <c r="C920" s="290" t="n"/>
      <c r="D920" s="290" t="n"/>
      <c r="E920" s="291" t="n"/>
      <c r="F920" s="291" t="n"/>
      <c r="G920" s="291" t="n"/>
      <c r="H920" s="297" t="n"/>
    </row>
    <row r="921" ht="13" customHeight="1" s="189">
      <c r="A921" s="289" t="n"/>
      <c r="B921" s="290" t="n"/>
      <c r="C921" s="290" t="n"/>
      <c r="D921" s="290" t="n"/>
      <c r="E921" s="291" t="n"/>
      <c r="F921" s="291" t="n"/>
      <c r="G921" s="291" t="n"/>
      <c r="H921" s="297" t="n"/>
    </row>
    <row r="922" ht="13" customHeight="1" s="189">
      <c r="A922" s="289" t="n"/>
      <c r="B922" s="290" t="n"/>
      <c r="C922" s="290" t="n"/>
      <c r="D922" s="290" t="n"/>
      <c r="E922" s="291" t="n"/>
      <c r="F922" s="291" t="n"/>
      <c r="G922" s="291" t="n"/>
      <c r="H922" s="297" t="n"/>
    </row>
    <row r="923" ht="13" customHeight="1" s="189">
      <c r="A923" s="289" t="n"/>
      <c r="B923" s="290" t="n"/>
      <c r="C923" s="290" t="n"/>
      <c r="D923" s="290" t="n"/>
      <c r="E923" s="291" t="n"/>
      <c r="F923" s="291" t="n"/>
      <c r="G923" s="291" t="n"/>
      <c r="H923" s="297" t="n"/>
    </row>
    <row r="924" ht="13" customHeight="1" s="189">
      <c r="A924" s="289" t="n"/>
      <c r="B924" s="290" t="n"/>
      <c r="C924" s="290" t="n"/>
      <c r="D924" s="290" t="n"/>
      <c r="E924" s="291" t="n"/>
      <c r="F924" s="291" t="n"/>
      <c r="G924" s="291" t="n"/>
      <c r="H924" s="297" t="n"/>
    </row>
    <row r="925" ht="13" customHeight="1" s="189">
      <c r="A925" s="289" t="n"/>
      <c r="B925" s="290" t="n"/>
      <c r="C925" s="290" t="n"/>
      <c r="D925" s="290" t="n"/>
      <c r="E925" s="291" t="n"/>
      <c r="F925" s="291" t="n"/>
      <c r="G925" s="291" t="n"/>
      <c r="H925" s="297" t="n"/>
    </row>
    <row r="926" ht="13" customHeight="1" s="189">
      <c r="A926" s="289" t="n"/>
      <c r="B926" s="290" t="n"/>
      <c r="C926" s="290" t="n"/>
      <c r="D926" s="290" t="n"/>
      <c r="E926" s="291" t="n"/>
      <c r="F926" s="291" t="n"/>
      <c r="G926" s="291" t="n"/>
      <c r="H926" s="297" t="n"/>
    </row>
    <row r="927" ht="13" customHeight="1" s="189">
      <c r="A927" s="289" t="n"/>
      <c r="B927" s="290" t="n"/>
      <c r="C927" s="290" t="n"/>
      <c r="D927" s="290" t="n"/>
      <c r="E927" s="291" t="n"/>
      <c r="F927" s="291" t="n"/>
      <c r="G927" s="291" t="n"/>
      <c r="H927" s="297" t="n"/>
    </row>
    <row r="928" ht="13" customHeight="1" s="189">
      <c r="A928" s="289" t="n"/>
      <c r="B928" s="290" t="n"/>
      <c r="C928" s="290" t="n"/>
      <c r="D928" s="290" t="n"/>
      <c r="E928" s="291" t="n"/>
      <c r="F928" s="291" t="n"/>
      <c r="G928" s="291" t="n"/>
      <c r="H928" s="297" t="n"/>
    </row>
    <row r="929" ht="13" customHeight="1" s="189">
      <c r="A929" s="289" t="n"/>
      <c r="B929" s="290" t="n"/>
      <c r="C929" s="290" t="n"/>
      <c r="D929" s="290" t="n"/>
      <c r="E929" s="291" t="n"/>
      <c r="F929" s="291" t="n"/>
      <c r="G929" s="291" t="n"/>
      <c r="H929" s="297" t="n"/>
    </row>
    <row r="930" ht="13" customHeight="1" s="189">
      <c r="A930" s="289" t="n"/>
      <c r="B930" s="290" t="n"/>
      <c r="C930" s="290" t="n"/>
      <c r="D930" s="290" t="n"/>
      <c r="E930" s="291" t="n"/>
      <c r="F930" s="291" t="n"/>
      <c r="G930" s="291" t="n"/>
      <c r="H930" s="297" t="n"/>
    </row>
    <row r="931" ht="13" customHeight="1" s="189">
      <c r="A931" s="289" t="n"/>
      <c r="B931" s="290" t="n"/>
      <c r="C931" s="290" t="n"/>
      <c r="D931" s="290" t="n"/>
      <c r="E931" s="291" t="n"/>
      <c r="F931" s="291" t="n"/>
      <c r="G931" s="291" t="n"/>
      <c r="H931" s="297" t="n"/>
    </row>
    <row r="932" ht="13" customHeight="1" s="189">
      <c r="A932" s="289" t="n"/>
      <c r="B932" s="290" t="n"/>
      <c r="C932" s="290" t="n"/>
      <c r="D932" s="290" t="n"/>
      <c r="E932" s="291" t="n"/>
      <c r="F932" s="291" t="n"/>
      <c r="G932" s="291" t="n"/>
      <c r="H932" s="297" t="n"/>
    </row>
    <row r="933" ht="13" customHeight="1" s="189">
      <c r="A933" s="289" t="n"/>
      <c r="B933" s="290" t="n"/>
      <c r="C933" s="290" t="n"/>
      <c r="D933" s="290" t="n"/>
      <c r="E933" s="291" t="n"/>
      <c r="F933" s="291" t="n"/>
      <c r="G933" s="291" t="n"/>
      <c r="H933" s="297" t="n"/>
    </row>
    <row r="934" ht="13" customHeight="1" s="189">
      <c r="A934" s="289" t="n"/>
      <c r="B934" s="290" t="n"/>
      <c r="C934" s="290" t="n"/>
      <c r="D934" s="290" t="n"/>
      <c r="E934" s="291" t="n"/>
      <c r="F934" s="291" t="n"/>
      <c r="G934" s="291" t="n"/>
      <c r="H934" s="297" t="n"/>
    </row>
    <row r="935" ht="13" customHeight="1" s="189">
      <c r="A935" s="289" t="n"/>
      <c r="B935" s="290" t="n"/>
      <c r="C935" s="290" t="n"/>
      <c r="D935" s="290" t="n"/>
      <c r="E935" s="291" t="n"/>
      <c r="F935" s="291" t="n"/>
      <c r="G935" s="291" t="n"/>
      <c r="H935" s="297" t="n"/>
    </row>
    <row r="936" ht="13" customHeight="1" s="189">
      <c r="A936" s="289" t="n"/>
      <c r="B936" s="290" t="n"/>
      <c r="C936" s="290" t="n"/>
      <c r="D936" s="290" t="n"/>
      <c r="E936" s="291" t="n"/>
      <c r="F936" s="291" t="n"/>
      <c r="G936" s="291" t="n"/>
      <c r="H936" s="297" t="n"/>
    </row>
    <row r="937" ht="13" customHeight="1" s="189">
      <c r="A937" s="289" t="n"/>
      <c r="B937" s="290" t="n"/>
      <c r="C937" s="290" t="n"/>
      <c r="D937" s="290" t="n"/>
      <c r="E937" s="291" t="n"/>
      <c r="F937" s="291" t="n"/>
      <c r="G937" s="291" t="n"/>
      <c r="H937" s="297" t="n"/>
    </row>
    <row r="938" ht="13" customHeight="1" s="189">
      <c r="A938" s="289" t="n"/>
      <c r="B938" s="290" t="n"/>
      <c r="C938" s="290" t="n"/>
      <c r="D938" s="290" t="n"/>
      <c r="E938" s="291" t="n"/>
      <c r="F938" s="291" t="n"/>
      <c r="G938" s="291" t="n"/>
      <c r="H938" s="297" t="n"/>
    </row>
    <row r="939" ht="13" customHeight="1" s="189">
      <c r="A939" s="289" t="n"/>
      <c r="B939" s="290" t="n"/>
      <c r="C939" s="290" t="n"/>
      <c r="D939" s="290" t="n"/>
      <c r="E939" s="291" t="n"/>
      <c r="F939" s="291" t="n"/>
      <c r="G939" s="291" t="n"/>
      <c r="H939" s="297" t="n"/>
    </row>
    <row r="940" ht="13" customHeight="1" s="189">
      <c r="A940" s="289" t="n"/>
      <c r="B940" s="290" t="n"/>
      <c r="C940" s="290" t="n"/>
      <c r="D940" s="290" t="n"/>
      <c r="E940" s="291" t="n"/>
      <c r="F940" s="291" t="n"/>
      <c r="G940" s="291" t="n"/>
      <c r="H940" s="297" t="n"/>
    </row>
    <row r="941" ht="13" customHeight="1" s="189">
      <c r="A941" s="289" t="n"/>
      <c r="B941" s="290" t="n"/>
      <c r="C941" s="290" t="n"/>
      <c r="D941" s="290" t="n"/>
      <c r="E941" s="291" t="n"/>
      <c r="F941" s="291" t="n"/>
      <c r="G941" s="291" t="n"/>
      <c r="H941" s="297" t="n"/>
    </row>
    <row r="942" ht="13" customHeight="1" s="189">
      <c r="A942" s="289" t="n"/>
      <c r="B942" s="290" t="n"/>
      <c r="C942" s="290" t="n"/>
      <c r="D942" s="290" t="n"/>
      <c r="E942" s="291" t="n"/>
      <c r="F942" s="291" t="n"/>
      <c r="G942" s="291" t="n"/>
      <c r="H942" s="297" t="n"/>
    </row>
    <row r="943" ht="13" customHeight="1" s="189">
      <c r="A943" s="289" t="n"/>
      <c r="B943" s="290" t="n"/>
      <c r="C943" s="290" t="n"/>
      <c r="D943" s="290" t="n"/>
      <c r="E943" s="291" t="n"/>
      <c r="F943" s="291" t="n"/>
      <c r="G943" s="291" t="n"/>
      <c r="H943" s="297" t="n"/>
    </row>
    <row r="944" ht="13" customHeight="1" s="189">
      <c r="A944" s="289" t="n"/>
      <c r="B944" s="290" t="n"/>
      <c r="C944" s="290" t="n"/>
      <c r="D944" s="290" t="n"/>
      <c r="E944" s="291" t="n"/>
      <c r="F944" s="291" t="n"/>
      <c r="G944" s="291" t="n"/>
      <c r="H944" s="297" t="n"/>
    </row>
    <row r="945" ht="13" customHeight="1" s="189">
      <c r="A945" s="289" t="n"/>
      <c r="B945" s="290" t="n"/>
      <c r="C945" s="290" t="n"/>
      <c r="D945" s="290" t="n"/>
      <c r="E945" s="291" t="n"/>
      <c r="F945" s="291" t="n"/>
      <c r="G945" s="291" t="n"/>
      <c r="H945" s="297" t="n"/>
    </row>
    <row r="946" ht="13" customHeight="1" s="189">
      <c r="A946" s="289" t="n"/>
      <c r="B946" s="290" t="n"/>
      <c r="C946" s="290" t="n"/>
      <c r="D946" s="290" t="n"/>
      <c r="E946" s="291" t="n"/>
      <c r="F946" s="291" t="n"/>
      <c r="G946" s="291" t="n"/>
      <c r="H946" s="297" t="n"/>
    </row>
    <row r="947" ht="13" customHeight="1" s="189">
      <c r="A947" s="289" t="n"/>
      <c r="B947" s="290" t="n"/>
      <c r="C947" s="290" t="n"/>
      <c r="D947" s="290" t="n"/>
      <c r="E947" s="291" t="n"/>
      <c r="F947" s="291" t="n"/>
      <c r="G947" s="291" t="n"/>
      <c r="H947" s="297" t="n"/>
    </row>
    <row r="948" ht="13" customHeight="1" s="189">
      <c r="A948" s="289" t="n"/>
      <c r="B948" s="290" t="n"/>
      <c r="C948" s="290" t="n"/>
      <c r="D948" s="290" t="n"/>
      <c r="E948" s="291" t="n"/>
      <c r="F948" s="291" t="n"/>
      <c r="G948" s="291" t="n"/>
      <c r="H948" s="297" t="n"/>
    </row>
    <row r="949" ht="13" customHeight="1" s="189">
      <c r="A949" s="289" t="n"/>
      <c r="B949" s="290" t="n"/>
      <c r="C949" s="290" t="n"/>
      <c r="D949" s="290" t="n"/>
      <c r="E949" s="291" t="n"/>
      <c r="F949" s="291" t="n"/>
      <c r="G949" s="291" t="n"/>
      <c r="H949" s="297" t="n"/>
    </row>
    <row r="950" ht="13" customHeight="1" s="189">
      <c r="A950" s="289" t="n"/>
      <c r="B950" s="290" t="n"/>
      <c r="C950" s="290" t="n"/>
      <c r="D950" s="290" t="n"/>
      <c r="E950" s="291" t="n"/>
      <c r="F950" s="291" t="n"/>
      <c r="G950" s="291" t="n"/>
      <c r="H950" s="297" t="n"/>
    </row>
    <row r="951" ht="13" customHeight="1" s="189">
      <c r="A951" s="289" t="n"/>
      <c r="B951" s="290" t="n"/>
      <c r="C951" s="290" t="n"/>
      <c r="D951" s="290" t="n"/>
      <c r="E951" s="291" t="n"/>
      <c r="F951" s="291" t="n"/>
      <c r="G951" s="291" t="n"/>
      <c r="H951" s="297" t="n"/>
    </row>
    <row r="952" ht="13" customHeight="1" s="189">
      <c r="A952" s="289" t="n"/>
      <c r="B952" s="290" t="n"/>
      <c r="C952" s="290" t="n"/>
      <c r="D952" s="290" t="n"/>
      <c r="E952" s="291" t="n"/>
      <c r="F952" s="291" t="n"/>
      <c r="G952" s="291" t="n"/>
      <c r="H952" s="297" t="n"/>
    </row>
    <row r="953" ht="13" customHeight="1" s="189">
      <c r="A953" s="289" t="n"/>
      <c r="B953" s="290" t="n"/>
      <c r="C953" s="290" t="n"/>
      <c r="D953" s="290" t="n"/>
      <c r="E953" s="291" t="n"/>
      <c r="F953" s="291" t="n"/>
      <c r="G953" s="291" t="n"/>
      <c r="H953" s="297" t="n"/>
    </row>
    <row r="954" ht="13" customHeight="1" s="189">
      <c r="A954" s="289" t="n"/>
      <c r="B954" s="290" t="n"/>
      <c r="C954" s="290" t="n"/>
      <c r="D954" s="290" t="n"/>
      <c r="E954" s="291" t="n"/>
      <c r="F954" s="291" t="n"/>
      <c r="G954" s="291" t="n"/>
      <c r="H954" s="297" t="n"/>
    </row>
    <row r="955" ht="13" customHeight="1" s="189">
      <c r="A955" s="289" t="n"/>
      <c r="B955" s="290" t="n"/>
      <c r="C955" s="290" t="n"/>
      <c r="D955" s="290" t="n"/>
      <c r="E955" s="291" t="n"/>
      <c r="F955" s="291" t="n"/>
      <c r="G955" s="291" t="n"/>
      <c r="H955" s="297" t="n"/>
    </row>
    <row r="956" ht="13" customHeight="1" s="189">
      <c r="A956" s="289" t="n"/>
      <c r="B956" s="290" t="n"/>
      <c r="C956" s="290" t="n"/>
      <c r="D956" s="290" t="n"/>
      <c r="E956" s="291" t="n"/>
      <c r="F956" s="291" t="n"/>
      <c r="G956" s="291" t="n"/>
      <c r="H956" s="297" t="n"/>
    </row>
    <row r="957" ht="13" customHeight="1" s="189">
      <c r="A957" s="289" t="n"/>
      <c r="B957" s="290" t="n"/>
      <c r="C957" s="290" t="n"/>
      <c r="D957" s="290" t="n"/>
      <c r="E957" s="291" t="n"/>
      <c r="F957" s="291" t="n"/>
      <c r="G957" s="291" t="n"/>
      <c r="H957" s="297" t="n"/>
    </row>
    <row r="958" ht="13" customHeight="1" s="189">
      <c r="A958" s="289" t="n"/>
      <c r="B958" s="290" t="n"/>
      <c r="C958" s="290" t="n"/>
      <c r="D958" s="290" t="n"/>
      <c r="E958" s="291" t="n"/>
      <c r="F958" s="291" t="n"/>
      <c r="G958" s="291" t="n"/>
      <c r="H958" s="297" t="n"/>
    </row>
    <row r="959" ht="13" customHeight="1" s="189">
      <c r="A959" s="289" t="n"/>
      <c r="B959" s="290" t="n"/>
      <c r="C959" s="290" t="n"/>
      <c r="D959" s="290" t="n"/>
      <c r="E959" s="291" t="n"/>
      <c r="F959" s="291" t="n"/>
      <c r="G959" s="291" t="n"/>
      <c r="H959" s="297" t="n"/>
    </row>
    <row r="960" ht="13" customHeight="1" s="189">
      <c r="A960" s="289" t="n"/>
      <c r="B960" s="290" t="n"/>
      <c r="C960" s="290" t="n"/>
      <c r="D960" s="290" t="n"/>
      <c r="E960" s="291" t="n"/>
      <c r="F960" s="291" t="n"/>
      <c r="G960" s="291" t="n"/>
      <c r="H960" s="297" t="n"/>
    </row>
    <row r="961" ht="13" customHeight="1" s="189">
      <c r="A961" s="289" t="n"/>
      <c r="B961" s="290" t="n"/>
      <c r="C961" s="290" t="n"/>
      <c r="D961" s="290" t="n"/>
      <c r="E961" s="291" t="n"/>
      <c r="F961" s="291" t="n"/>
      <c r="G961" s="291" t="n"/>
      <c r="H961" s="297" t="n"/>
    </row>
    <row r="962" ht="13" customHeight="1" s="189">
      <c r="A962" s="289" t="n"/>
      <c r="B962" s="290" t="n"/>
      <c r="C962" s="290" t="n"/>
      <c r="D962" s="290" t="n"/>
      <c r="E962" s="291" t="n"/>
      <c r="F962" s="291" t="n"/>
      <c r="G962" s="291" t="n"/>
      <c r="H962" s="297" t="n"/>
    </row>
    <row r="963" ht="13" customHeight="1" s="189">
      <c r="A963" s="289" t="n"/>
      <c r="B963" s="290" t="n"/>
      <c r="C963" s="290" t="n"/>
      <c r="D963" s="290" t="n"/>
      <c r="E963" s="291" t="n"/>
      <c r="F963" s="291" t="n"/>
      <c r="G963" s="291" t="n"/>
      <c r="H963" s="297" t="n"/>
    </row>
    <row r="964" ht="13" customHeight="1" s="189">
      <c r="A964" s="289" t="n"/>
      <c r="B964" s="290" t="n"/>
      <c r="C964" s="290" t="n"/>
      <c r="D964" s="290" t="n"/>
      <c r="E964" s="291" t="n"/>
      <c r="F964" s="291" t="n"/>
      <c r="G964" s="291" t="n"/>
      <c r="H964" s="297" t="n"/>
    </row>
    <row r="965" ht="13" customHeight="1" s="189">
      <c r="A965" s="289" t="n"/>
      <c r="B965" s="290" t="n"/>
      <c r="C965" s="290" t="n"/>
      <c r="D965" s="290" t="n"/>
      <c r="E965" s="291" t="n"/>
      <c r="F965" s="291" t="n"/>
      <c r="G965" s="291" t="n"/>
      <c r="H965" s="297" t="n"/>
    </row>
    <row r="966" ht="13" customHeight="1" s="189">
      <c r="A966" s="289" t="n"/>
      <c r="B966" s="290" t="n"/>
      <c r="C966" s="290" t="n"/>
      <c r="D966" s="290" t="n"/>
      <c r="E966" s="291" t="n"/>
      <c r="F966" s="291" t="n"/>
      <c r="G966" s="291" t="n"/>
      <c r="H966" s="297" t="n"/>
    </row>
    <row r="967" ht="13" customHeight="1" s="189">
      <c r="A967" s="289" t="n"/>
      <c r="B967" s="290" t="n"/>
      <c r="C967" s="290" t="n"/>
      <c r="D967" s="290" t="n"/>
      <c r="E967" s="291" t="n"/>
      <c r="F967" s="291" t="n"/>
      <c r="G967" s="291" t="n"/>
      <c r="H967" s="297" t="n"/>
    </row>
    <row r="968" ht="13" customHeight="1" s="189">
      <c r="A968" s="289" t="n"/>
      <c r="B968" s="290" t="n"/>
      <c r="C968" s="290" t="n"/>
      <c r="D968" s="290" t="n"/>
      <c r="E968" s="291" t="n"/>
      <c r="F968" s="291" t="n"/>
      <c r="G968" s="291" t="n"/>
      <c r="H968" s="297" t="n"/>
    </row>
    <row r="969" ht="13" customHeight="1" s="189">
      <c r="A969" s="289" t="n"/>
      <c r="B969" s="290" t="n"/>
      <c r="C969" s="290" t="n"/>
      <c r="D969" s="290" t="n"/>
      <c r="E969" s="291" t="n"/>
      <c r="F969" s="291" t="n"/>
      <c r="G969" s="291" t="n"/>
      <c r="H969" s="297" t="n"/>
    </row>
    <row r="970" ht="13" customHeight="1" s="189">
      <c r="A970" s="289" t="n"/>
      <c r="B970" s="290" t="n"/>
      <c r="C970" s="290" t="n"/>
      <c r="D970" s="290" t="n"/>
      <c r="E970" s="291" t="n"/>
      <c r="F970" s="291" t="n"/>
      <c r="G970" s="291" t="n"/>
      <c r="H970" s="297" t="n"/>
    </row>
    <row r="971" ht="13" customHeight="1" s="189">
      <c r="A971" s="289" t="n"/>
      <c r="B971" s="290" t="n"/>
      <c r="C971" s="290" t="n"/>
      <c r="D971" s="290" t="n"/>
      <c r="E971" s="291" t="n"/>
      <c r="F971" s="291" t="n"/>
      <c r="G971" s="291" t="n"/>
      <c r="H971" s="297" t="n"/>
    </row>
    <row r="972" ht="13" customHeight="1" s="189">
      <c r="A972" s="289" t="n"/>
      <c r="B972" s="290" t="n"/>
      <c r="C972" s="290" t="n"/>
      <c r="D972" s="290" t="n"/>
      <c r="E972" s="291" t="n"/>
      <c r="F972" s="291" t="n"/>
      <c r="G972" s="291" t="n"/>
      <c r="H972" s="297" t="n"/>
    </row>
    <row r="973" ht="13" customHeight="1" s="189">
      <c r="A973" s="289" t="n"/>
      <c r="B973" s="290" t="n"/>
      <c r="C973" s="290" t="n"/>
      <c r="D973" s="290" t="n"/>
      <c r="E973" s="291" t="n"/>
      <c r="F973" s="291" t="n"/>
      <c r="G973" s="291" t="n"/>
      <c r="H973" s="297" t="n"/>
    </row>
    <row r="974" ht="13" customHeight="1" s="189">
      <c r="A974" s="289" t="n"/>
      <c r="B974" s="290" t="n"/>
      <c r="C974" s="290" t="n"/>
      <c r="D974" s="290" t="n"/>
      <c r="E974" s="291" t="n"/>
      <c r="F974" s="291" t="n"/>
      <c r="G974" s="291" t="n"/>
      <c r="H974" s="297" t="n"/>
    </row>
    <row r="975" ht="13" customHeight="1" s="189">
      <c r="A975" s="289" t="n"/>
      <c r="B975" s="290" t="n"/>
      <c r="C975" s="290" t="n"/>
      <c r="D975" s="290" t="n"/>
      <c r="E975" s="291" t="n"/>
      <c r="F975" s="291" t="n"/>
      <c r="G975" s="291" t="n"/>
      <c r="H975" s="297" t="n"/>
    </row>
    <row r="976" ht="13" customHeight="1" s="189">
      <c r="A976" s="289" t="n"/>
      <c r="B976" s="290" t="n"/>
      <c r="C976" s="290" t="n"/>
      <c r="D976" s="290" t="n"/>
      <c r="E976" s="291" t="n"/>
      <c r="F976" s="291" t="n"/>
      <c r="G976" s="291" t="n"/>
      <c r="H976" s="297" t="n"/>
    </row>
    <row r="977" ht="13" customHeight="1" s="189">
      <c r="A977" s="289" t="n"/>
      <c r="B977" s="290" t="n"/>
      <c r="C977" s="290" t="n"/>
      <c r="D977" s="290" t="n"/>
      <c r="E977" s="291" t="n"/>
      <c r="F977" s="291" t="n"/>
      <c r="G977" s="291" t="n"/>
      <c r="H977" s="297" t="n"/>
    </row>
    <row r="978" ht="13" customHeight="1" s="189">
      <c r="A978" s="289" t="n"/>
      <c r="B978" s="290" t="n"/>
      <c r="C978" s="290" t="n"/>
      <c r="D978" s="290" t="n"/>
      <c r="E978" s="291" t="n"/>
      <c r="F978" s="291" t="n"/>
      <c r="G978" s="291" t="n"/>
      <c r="H978" s="297" t="n"/>
    </row>
    <row r="979" ht="13" customHeight="1" s="189">
      <c r="A979" s="289" t="n"/>
      <c r="B979" s="290" t="n"/>
      <c r="C979" s="290" t="n"/>
      <c r="D979" s="290" t="n"/>
      <c r="E979" s="291" t="n"/>
      <c r="F979" s="291" t="n"/>
      <c r="G979" s="291" t="n"/>
      <c r="H979" s="297" t="n"/>
    </row>
    <row r="980" ht="13" customHeight="1" s="189">
      <c r="A980" s="289" t="n"/>
      <c r="B980" s="290" t="n"/>
      <c r="C980" s="290" t="n"/>
      <c r="D980" s="290" t="n"/>
      <c r="E980" s="291" t="n"/>
      <c r="F980" s="291" t="n"/>
      <c r="G980" s="291" t="n"/>
      <c r="H980" s="297" t="n"/>
    </row>
    <row r="981" ht="13" customHeight="1" s="189">
      <c r="A981" s="289" t="n"/>
      <c r="B981" s="290" t="n"/>
      <c r="C981" s="290" t="n"/>
      <c r="D981" s="290" t="n"/>
      <c r="E981" s="291" t="n"/>
      <c r="F981" s="291" t="n"/>
      <c r="G981" s="291" t="n"/>
      <c r="H981" s="297" t="n"/>
    </row>
    <row r="982" ht="13" customHeight="1" s="189">
      <c r="A982" s="289" t="n"/>
      <c r="B982" s="290" t="n"/>
      <c r="C982" s="290" t="n"/>
      <c r="D982" s="290" t="n"/>
      <c r="E982" s="291" t="n"/>
      <c r="F982" s="291" t="n"/>
      <c r="G982" s="291" t="n"/>
      <c r="H982" s="297" t="n"/>
    </row>
    <row r="983" ht="13" customHeight="1" s="189">
      <c r="A983" s="289" t="n"/>
      <c r="B983" s="290" t="n"/>
      <c r="C983" s="290" t="n"/>
      <c r="D983" s="290" t="n"/>
      <c r="E983" s="291" t="n"/>
      <c r="F983" s="291" t="n"/>
      <c r="G983" s="291" t="n"/>
      <c r="H983" s="297" t="n"/>
    </row>
    <row r="984" ht="13" customHeight="1" s="189">
      <c r="A984" s="289" t="n"/>
      <c r="B984" s="290" t="n"/>
      <c r="C984" s="290" t="n"/>
      <c r="D984" s="290" t="n"/>
      <c r="E984" s="291" t="n"/>
      <c r="F984" s="291" t="n"/>
      <c r="G984" s="291" t="n"/>
      <c r="H984" s="297" t="n"/>
    </row>
    <row r="985" ht="13" customHeight="1" s="189">
      <c r="A985" s="289" t="n"/>
      <c r="B985" s="290" t="n"/>
      <c r="C985" s="290" t="n"/>
      <c r="D985" s="290" t="n"/>
      <c r="E985" s="291" t="n"/>
      <c r="F985" s="291" t="n"/>
      <c r="G985" s="291" t="n"/>
      <c r="H985" s="297" t="n"/>
    </row>
    <row r="986" ht="13" customHeight="1" s="189">
      <c r="A986" s="289" t="n"/>
      <c r="B986" s="290" t="n"/>
      <c r="C986" s="290" t="n"/>
      <c r="D986" s="290" t="n"/>
      <c r="E986" s="291" t="n"/>
      <c r="F986" s="291" t="n"/>
      <c r="G986" s="291" t="n"/>
      <c r="H986" s="297" t="n"/>
    </row>
    <row r="987" ht="13" customHeight="1" s="189">
      <c r="A987" s="289" t="n"/>
      <c r="B987" s="290" t="n"/>
      <c r="C987" s="290" t="n"/>
      <c r="D987" s="290" t="n"/>
      <c r="E987" s="291" t="n"/>
      <c r="F987" s="291" t="n"/>
      <c r="G987" s="291" t="n"/>
      <c r="H987" s="297" t="n"/>
    </row>
    <row r="988" ht="13" customHeight="1" s="189">
      <c r="A988" s="289" t="n"/>
      <c r="B988" s="290" t="n"/>
      <c r="C988" s="290" t="n"/>
      <c r="D988" s="290" t="n"/>
      <c r="E988" s="291" t="n"/>
      <c r="F988" s="291" t="n"/>
      <c r="G988" s="291" t="n"/>
      <c r="H988" s="297" t="n"/>
    </row>
    <row r="989" ht="13" customHeight="1" s="189">
      <c r="A989" s="289" t="n"/>
      <c r="B989" s="290" t="n"/>
      <c r="C989" s="290" t="n"/>
      <c r="D989" s="290" t="n"/>
      <c r="E989" s="291" t="n"/>
      <c r="F989" s="291" t="n"/>
      <c r="G989" s="291" t="n"/>
      <c r="H989" s="297" t="n"/>
    </row>
    <row r="990" ht="13" customHeight="1" s="189">
      <c r="A990" s="289" t="n"/>
      <c r="B990" s="290" t="n"/>
      <c r="C990" s="290" t="n"/>
      <c r="D990" s="290" t="n"/>
      <c r="E990" s="291" t="n"/>
      <c r="F990" s="291" t="n"/>
      <c r="G990" s="291" t="n"/>
      <c r="H990" s="297" t="n"/>
    </row>
    <row r="991" ht="13" customHeight="1" s="189">
      <c r="A991" s="289" t="n"/>
      <c r="B991" s="290" t="n"/>
      <c r="C991" s="290" t="n"/>
      <c r="D991" s="290" t="n"/>
      <c r="E991" s="291" t="n"/>
      <c r="F991" s="291" t="n"/>
      <c r="G991" s="291" t="n"/>
      <c r="H991" s="297" t="n"/>
    </row>
    <row r="992" ht="13" customHeight="1" s="189">
      <c r="A992" s="289" t="n"/>
      <c r="B992" s="290" t="n"/>
      <c r="C992" s="290" t="n"/>
      <c r="D992" s="290" t="n"/>
      <c r="E992" s="291" t="n"/>
      <c r="F992" s="291" t="n"/>
      <c r="G992" s="291" t="n"/>
      <c r="H992" s="297" t="n"/>
    </row>
    <row r="993" ht="13" customHeight="1" s="189">
      <c r="A993" s="289" t="n"/>
      <c r="B993" s="290" t="n"/>
      <c r="C993" s="290" t="n"/>
      <c r="D993" s="290" t="n"/>
      <c r="E993" s="291" t="n"/>
      <c r="F993" s="291" t="n"/>
      <c r="G993" s="291" t="n"/>
      <c r="H993" s="297" t="n"/>
    </row>
    <row r="994" ht="13" customHeight="1" s="189">
      <c r="A994" s="289" t="n"/>
      <c r="B994" s="290" t="n"/>
      <c r="C994" s="290" t="n"/>
      <c r="D994" s="290" t="n"/>
      <c r="E994" s="291" t="n"/>
      <c r="F994" s="291" t="n"/>
      <c r="G994" s="291" t="n"/>
      <c r="H994" s="297" t="n"/>
    </row>
    <row r="995" ht="13" customHeight="1" s="189">
      <c r="A995" s="289" t="n"/>
      <c r="B995" s="290" t="n"/>
      <c r="C995" s="290" t="n"/>
      <c r="D995" s="290" t="n"/>
      <c r="E995" s="291" t="n"/>
      <c r="F995" s="291" t="n"/>
      <c r="G995" s="291" t="n"/>
      <c r="H995" s="297" t="n"/>
    </row>
    <row r="996" ht="13" customHeight="1" s="189">
      <c r="A996" s="289" t="n"/>
      <c r="B996" s="290" t="n"/>
      <c r="C996" s="290" t="n"/>
      <c r="D996" s="290" t="n"/>
      <c r="E996" s="291" t="n"/>
      <c r="F996" s="291" t="n"/>
      <c r="G996" s="291" t="n"/>
      <c r="H996" s="297" t="n"/>
    </row>
    <row r="997" ht="13" customHeight="1" s="189">
      <c r="A997" s="289" t="n"/>
      <c r="B997" s="290" t="n"/>
      <c r="C997" s="290" t="n"/>
      <c r="D997" s="290" t="n"/>
      <c r="E997" s="291" t="n"/>
      <c r="F997" s="291" t="n"/>
      <c r="G997" s="291" t="n"/>
      <c r="H997" s="297" t="n"/>
    </row>
    <row r="998" ht="13" customHeight="1" s="189">
      <c r="A998" s="289" t="n"/>
      <c r="B998" s="290" t="n"/>
      <c r="C998" s="290" t="n"/>
      <c r="D998" s="290" t="n"/>
      <c r="E998" s="291" t="n"/>
      <c r="F998" s="291" t="n"/>
      <c r="G998" s="291" t="n"/>
      <c r="H998" s="297" t="n"/>
    </row>
    <row r="999" ht="13" customHeight="1" s="189">
      <c r="A999" s="289" t="n"/>
      <c r="B999" s="290" t="n"/>
      <c r="C999" s="290" t="n"/>
      <c r="D999" s="290" t="n"/>
      <c r="E999" s="291" t="n"/>
      <c r="F999" s="291" t="n"/>
      <c r="G999" s="291" t="n"/>
      <c r="H999" s="297" t="n"/>
    </row>
    <row r="1000" ht="13" customHeight="1" s="189">
      <c r="A1000" s="289" t="n"/>
      <c r="B1000" s="290" t="n"/>
      <c r="C1000" s="290" t="n"/>
      <c r="D1000" s="290" t="n"/>
      <c r="E1000" s="291" t="n"/>
      <c r="F1000" s="291" t="n"/>
      <c r="G1000" s="291" t="n"/>
      <c r="H1000" s="297" t="n"/>
    </row>
    <row r="1001" ht="13" customHeight="1" s="189">
      <c r="A1001" s="289" t="n"/>
      <c r="B1001" s="290" t="n"/>
      <c r="C1001" s="290" t="n"/>
      <c r="D1001" s="290" t="n"/>
      <c r="E1001" s="291" t="n"/>
      <c r="F1001" s="291" t="n"/>
      <c r="G1001" s="291" t="n"/>
      <c r="H1001" s="297" t="n"/>
    </row>
    <row r="1002" ht="13" customHeight="1" s="189">
      <c r="A1002" s="289" t="n"/>
      <c r="B1002" s="290" t="n"/>
      <c r="C1002" s="290" t="n"/>
      <c r="D1002" s="290" t="n"/>
      <c r="E1002" s="291" t="n"/>
      <c r="F1002" s="291" t="n"/>
      <c r="G1002" s="291" t="n"/>
      <c r="H1002" s="297" t="n"/>
    </row>
    <row r="1003" ht="13" customHeight="1" s="189">
      <c r="A1003" s="289" t="n"/>
      <c r="B1003" s="290" t="n"/>
      <c r="C1003" s="290" t="n"/>
      <c r="D1003" s="290" t="n"/>
      <c r="E1003" s="291" t="n"/>
      <c r="F1003" s="291" t="n"/>
      <c r="G1003" s="291" t="n"/>
      <c r="H1003" s="297" t="n"/>
    </row>
    <row r="1004" ht="13" customHeight="1" s="189">
      <c r="A1004" s="289" t="n"/>
      <c r="B1004" s="290" t="n"/>
      <c r="C1004" s="290" t="n"/>
      <c r="D1004" s="290" t="n"/>
      <c r="E1004" s="291" t="n"/>
      <c r="F1004" s="291" t="n"/>
      <c r="G1004" s="291" t="n"/>
      <c r="H1004" s="297" t="n"/>
    </row>
    <row r="1005" ht="13" customHeight="1" s="189">
      <c r="A1005" s="289" t="n"/>
      <c r="B1005" s="290" t="n"/>
      <c r="C1005" s="290" t="n"/>
      <c r="D1005" s="290" t="n"/>
      <c r="E1005" s="291" t="n"/>
      <c r="F1005" s="291" t="n"/>
      <c r="G1005" s="291" t="n"/>
      <c r="H1005" s="297" t="n"/>
    </row>
    <row r="1006" ht="13" customHeight="1" s="189">
      <c r="A1006" s="289" t="n"/>
      <c r="B1006" s="290" t="n"/>
      <c r="C1006" s="290" t="n"/>
      <c r="D1006" s="290" t="n"/>
      <c r="E1006" s="291" t="n"/>
      <c r="F1006" s="291" t="n"/>
      <c r="G1006" s="291" t="n"/>
      <c r="H1006" s="297" t="n"/>
    </row>
    <row r="1007" ht="13" customHeight="1" s="189">
      <c r="A1007" s="289" t="n"/>
      <c r="B1007" s="290" t="n"/>
      <c r="C1007" s="290" t="n"/>
      <c r="D1007" s="290" t="n"/>
      <c r="E1007" s="291" t="n"/>
      <c r="F1007" s="291" t="n"/>
      <c r="G1007" s="291" t="n"/>
      <c r="H1007" s="297" t="n"/>
    </row>
    <row r="1008" ht="13" customHeight="1" s="189">
      <c r="A1008" s="289" t="n"/>
      <c r="B1008" s="290" t="n"/>
      <c r="C1008" s="290" t="n"/>
      <c r="D1008" s="290" t="n"/>
      <c r="E1008" s="291" t="n"/>
      <c r="F1008" s="291" t="n"/>
      <c r="G1008" s="291" t="n"/>
      <c r="H1008" s="297" t="n"/>
    </row>
    <row r="1009" ht="13" customHeight="1" s="189">
      <c r="A1009" s="289" t="n"/>
      <c r="B1009" s="290" t="n"/>
      <c r="C1009" s="290" t="n"/>
      <c r="D1009" s="290" t="n"/>
      <c r="E1009" s="291" t="n"/>
      <c r="F1009" s="291" t="n"/>
      <c r="G1009" s="291" t="n"/>
      <c r="H1009" s="297" t="n"/>
    </row>
    <row r="1010" ht="13" customHeight="1" s="189">
      <c r="A1010" s="289" t="n"/>
      <c r="B1010" s="290" t="n"/>
      <c r="C1010" s="290" t="n"/>
      <c r="D1010" s="290" t="n"/>
      <c r="E1010" s="291" t="n"/>
      <c r="F1010" s="291" t="n"/>
      <c r="G1010" s="291" t="n"/>
      <c r="H1010" s="297" t="n"/>
    </row>
    <row r="1011" ht="13" customHeight="1" s="189">
      <c r="A1011" s="289" t="n"/>
      <c r="B1011" s="290" t="n"/>
      <c r="C1011" s="290" t="n"/>
      <c r="D1011" s="290" t="n"/>
      <c r="E1011" s="291" t="n"/>
      <c r="F1011" s="291" t="n"/>
      <c r="G1011" s="291" t="n"/>
      <c r="H1011" s="297" t="n"/>
    </row>
    <row r="1012" ht="13" customHeight="1" s="189">
      <c r="A1012" s="289" t="n"/>
      <c r="B1012" s="290" t="n"/>
      <c r="C1012" s="290" t="n"/>
      <c r="D1012" s="290" t="n"/>
      <c r="E1012" s="291" t="n"/>
      <c r="F1012" s="291" t="n"/>
      <c r="G1012" s="291" t="n"/>
      <c r="H1012" s="297" t="n"/>
    </row>
    <row r="1013" ht="13" customHeight="1" s="189">
      <c r="A1013" s="289" t="n"/>
      <c r="B1013" s="290" t="n"/>
      <c r="C1013" s="290" t="n"/>
      <c r="D1013" s="290" t="n"/>
      <c r="E1013" s="291" t="n"/>
      <c r="F1013" s="291" t="n"/>
      <c r="G1013" s="291" t="n"/>
      <c r="H1013" s="297" t="n"/>
    </row>
    <row r="1014" ht="13" customHeight="1" s="189">
      <c r="A1014" s="289" t="n"/>
      <c r="B1014" s="290" t="n"/>
      <c r="C1014" s="290" t="n"/>
      <c r="D1014" s="290" t="n"/>
      <c r="E1014" s="291" t="n"/>
      <c r="F1014" s="291" t="n"/>
      <c r="G1014" s="291" t="n"/>
      <c r="H1014" s="297" t="n"/>
    </row>
    <row r="1015" ht="13" customHeight="1" s="189">
      <c r="A1015" s="289" t="n"/>
      <c r="B1015" s="290" t="n"/>
      <c r="C1015" s="290" t="n"/>
      <c r="D1015" s="290" t="n"/>
      <c r="E1015" s="291" t="n"/>
      <c r="F1015" s="291" t="n"/>
      <c r="G1015" s="291" t="n"/>
      <c r="H1015" s="297" t="n"/>
    </row>
    <row r="1016" ht="13" customHeight="1" s="189">
      <c r="A1016" s="289" t="n"/>
      <c r="B1016" s="290" t="n"/>
      <c r="C1016" s="290" t="n"/>
      <c r="D1016" s="290" t="n"/>
      <c r="E1016" s="291" t="n"/>
      <c r="F1016" s="291" t="n"/>
      <c r="G1016" s="291" t="n"/>
      <c r="H1016" s="297" t="n"/>
    </row>
    <row r="1017" ht="13" customHeight="1" s="189">
      <c r="A1017" s="289" t="n"/>
      <c r="B1017" s="290" t="n"/>
      <c r="C1017" s="290" t="n"/>
      <c r="D1017" s="290" t="n"/>
      <c r="E1017" s="291" t="n"/>
      <c r="F1017" s="291" t="n"/>
      <c r="G1017" s="291" t="n"/>
      <c r="H1017" s="297" t="n"/>
    </row>
    <row r="1018" ht="13" customHeight="1" s="189">
      <c r="A1018" s="289" t="n"/>
      <c r="B1018" s="290" t="n"/>
      <c r="C1018" s="290" t="n"/>
      <c r="D1018" s="290" t="n"/>
      <c r="E1018" s="291" t="n"/>
      <c r="F1018" s="291" t="n"/>
      <c r="G1018" s="291" t="n"/>
      <c r="H1018" s="297" t="n"/>
    </row>
    <row r="1019" ht="13" customHeight="1" s="189">
      <c r="A1019" s="289" t="n"/>
      <c r="B1019" s="290" t="n"/>
      <c r="C1019" s="290" t="n"/>
      <c r="D1019" s="290" t="n"/>
      <c r="E1019" s="291" t="n"/>
      <c r="F1019" s="291" t="n"/>
      <c r="G1019" s="291" t="n"/>
      <c r="H1019" s="297" t="n"/>
    </row>
    <row r="1020" ht="13" customHeight="1" s="189">
      <c r="A1020" s="289" t="n"/>
      <c r="B1020" s="290" t="n"/>
      <c r="C1020" s="290" t="n"/>
      <c r="D1020" s="290" t="n"/>
      <c r="E1020" s="291" t="n"/>
      <c r="F1020" s="291" t="n"/>
      <c r="G1020" s="291" t="n"/>
      <c r="H1020" s="297" t="n"/>
    </row>
    <row r="1021" ht="13" customHeight="1" s="189">
      <c r="A1021" s="289" t="n"/>
      <c r="B1021" s="290" t="n"/>
      <c r="C1021" s="290" t="n"/>
      <c r="D1021" s="290" t="n"/>
      <c r="E1021" s="291" t="n"/>
      <c r="F1021" s="291" t="n"/>
      <c r="G1021" s="291" t="n"/>
      <c r="H1021" s="297" t="n"/>
    </row>
    <row r="1022" ht="13" customHeight="1" s="189">
      <c r="A1022" s="289" t="n"/>
      <c r="B1022" s="290" t="n"/>
      <c r="C1022" s="290" t="n"/>
      <c r="D1022" s="290" t="n"/>
      <c r="E1022" s="291" t="n"/>
      <c r="F1022" s="291" t="n"/>
      <c r="G1022" s="291" t="n"/>
      <c r="H1022" s="297" t="n"/>
    </row>
    <row r="1023" ht="13" customHeight="1" s="189">
      <c r="A1023" s="289" t="n"/>
      <c r="B1023" s="290" t="n"/>
      <c r="C1023" s="290" t="n"/>
      <c r="D1023" s="290" t="n"/>
      <c r="E1023" s="291" t="n"/>
      <c r="F1023" s="291" t="n"/>
      <c r="G1023" s="291" t="n"/>
      <c r="H1023" s="297" t="n"/>
    </row>
    <row r="1024" ht="13" customHeight="1" s="189">
      <c r="A1024" s="289" t="n"/>
      <c r="B1024" s="290" t="n"/>
      <c r="C1024" s="290" t="n"/>
      <c r="D1024" s="290" t="n"/>
      <c r="E1024" s="291" t="n"/>
      <c r="F1024" s="291" t="n"/>
      <c r="G1024" s="291" t="n"/>
      <c r="H1024" s="297" t="n"/>
    </row>
    <row r="1025" ht="13" customHeight="1" s="189">
      <c r="A1025" s="289" t="n"/>
      <c r="B1025" s="290" t="n"/>
      <c r="C1025" s="290" t="n"/>
      <c r="D1025" s="290" t="n"/>
      <c r="E1025" s="291" t="n"/>
      <c r="F1025" s="291" t="n"/>
      <c r="G1025" s="291" t="n"/>
      <c r="H1025" s="297" t="n"/>
    </row>
    <row r="1026" ht="13" customHeight="1" s="189">
      <c r="A1026" s="289" t="n"/>
      <c r="B1026" s="290" t="n"/>
      <c r="C1026" s="290" t="n"/>
      <c r="D1026" s="290" t="n"/>
      <c r="E1026" s="291" t="n"/>
      <c r="F1026" s="291" t="n"/>
      <c r="G1026" s="291" t="n"/>
      <c r="H1026" s="297" t="n"/>
    </row>
    <row r="1027" ht="13" customHeight="1" s="189">
      <c r="A1027" s="289" t="n"/>
      <c r="B1027" s="290" t="n"/>
      <c r="C1027" s="290" t="n"/>
      <c r="D1027" s="290" t="n"/>
      <c r="E1027" s="291" t="n"/>
      <c r="F1027" s="291" t="n"/>
      <c r="G1027" s="291" t="n"/>
      <c r="H1027" s="297" t="n"/>
    </row>
    <row r="1028" ht="13" customHeight="1" s="189">
      <c r="A1028" s="289" t="n"/>
      <c r="B1028" s="290" t="n"/>
      <c r="C1028" s="290" t="n"/>
      <c r="D1028" s="290" t="n"/>
      <c r="E1028" s="291" t="n"/>
      <c r="F1028" s="291" t="n"/>
      <c r="G1028" s="291" t="n"/>
      <c r="H1028" s="297" t="n"/>
    </row>
    <row r="1029" ht="13" customHeight="1" s="189">
      <c r="A1029" s="289" t="n"/>
      <c r="B1029" s="290" t="n"/>
      <c r="C1029" s="290" t="n"/>
      <c r="D1029" s="290" t="n"/>
      <c r="E1029" s="291" t="n"/>
      <c r="F1029" s="291" t="n"/>
      <c r="G1029" s="291" t="n"/>
      <c r="H1029" s="297" t="n"/>
    </row>
    <row r="1030" ht="13" customHeight="1" s="189">
      <c r="A1030" s="289" t="n"/>
      <c r="B1030" s="290" t="n"/>
      <c r="C1030" s="290" t="n"/>
      <c r="D1030" s="290" t="n"/>
      <c r="E1030" s="291" t="n"/>
      <c r="F1030" s="291" t="n"/>
      <c r="G1030" s="291" t="n"/>
      <c r="H1030" s="297" t="n"/>
    </row>
    <row r="1031" ht="13" customHeight="1" s="189">
      <c r="A1031" s="289" t="n"/>
      <c r="B1031" s="290" t="n"/>
      <c r="C1031" s="290" t="n"/>
      <c r="D1031" s="290" t="n"/>
      <c r="E1031" s="291" t="n"/>
      <c r="F1031" s="291" t="n"/>
      <c r="G1031" s="291" t="n"/>
      <c r="H1031" s="297" t="n"/>
    </row>
    <row r="1032" ht="13" customHeight="1" s="189">
      <c r="A1032" s="289" t="n"/>
      <c r="B1032" s="290" t="n"/>
      <c r="C1032" s="290" t="n"/>
      <c r="D1032" s="290" t="n"/>
      <c r="E1032" s="291" t="n"/>
      <c r="F1032" s="291" t="n"/>
      <c r="G1032" s="291" t="n"/>
      <c r="H1032" s="297" t="n"/>
    </row>
    <row r="1033" ht="13" customHeight="1" s="189"/>
    <row r="1034" ht="13" customHeight="1" s="189"/>
    <row r="1035" ht="13" customHeight="1" s="189"/>
    <row r="1036" ht="13" customHeight="1" s="189"/>
    <row r="1037" ht="13" customHeight="1" s="189"/>
    <row r="1038" ht="13" customHeight="1" s="189"/>
    <row r="1039" ht="13" customHeight="1" s="189"/>
    <row r="1040" ht="13" customHeight="1" s="189"/>
    <row r="1041" ht="13" customHeight="1" s="189"/>
    <row r="1042" ht="13" customHeight="1" s="189"/>
    <row r="1043" ht="13" customHeight="1" s="189"/>
    <row r="1044" ht="13" customHeight="1" s="189"/>
    <row r="1045" ht="13" customHeight="1" s="189"/>
    <row r="1046" ht="13" customHeight="1" s="189"/>
    <row r="1047" ht="13" customHeight="1" s="189"/>
    <row r="1048" ht="13" customHeight="1" s="189"/>
    <row r="1049" ht="13" customHeight="1" s="189"/>
    <row r="1050" ht="13" customHeight="1" s="189"/>
    <row r="1051" ht="13" customHeight="1" s="189"/>
    <row r="1052" ht="13" customHeight="1" s="189"/>
    <row r="1053" ht="13" customHeight="1" s="189"/>
    <row r="1054" ht="13" customHeight="1" s="189"/>
    <row r="1055" ht="13" customHeight="1" s="189"/>
    <row r="1056" ht="13" customHeight="1" s="189"/>
    <row r="1057" ht="13" customHeight="1" s="189"/>
    <row r="1058" ht="13" customHeight="1" s="189"/>
    <row r="1059" ht="13" customHeight="1" s="189"/>
    <row r="1060" ht="13" customHeight="1" s="189"/>
    <row r="1061" ht="13" customHeight="1" s="189"/>
    <row r="1062" ht="13" customHeight="1" s="189"/>
    <row r="1063" ht="13" customHeight="1" s="189"/>
    <row r="1064" ht="13" customHeight="1" s="189"/>
    <row r="1065" ht="13" customHeight="1" s="189"/>
    <row r="1066" ht="13" customHeight="1" s="189"/>
    <row r="1067" ht="13" customHeight="1" s="189"/>
    <row r="1068" ht="13" customHeight="1" s="189"/>
    <row r="1069" ht="13" customHeight="1" s="189"/>
    <row r="1070" ht="13" customHeight="1" s="189"/>
    <row r="1071" ht="13" customHeight="1" s="189"/>
    <row r="1072" ht="13" customHeight="1" s="189"/>
    <row r="1073" ht="13" customHeight="1" s="189"/>
    <row r="1074" ht="13" customHeight="1" s="189"/>
    <row r="1075" ht="13" customHeight="1" s="189"/>
    <row r="1076" ht="13" customHeight="1" s="189"/>
    <row r="1077" ht="13" customHeight="1" s="189"/>
    <row r="1078" ht="13" customHeight="1" s="189"/>
    <row r="1079" ht="13" customHeight="1" s="189"/>
    <row r="1080" ht="13" customHeight="1" s="189"/>
    <row r="1081" ht="13" customHeight="1" s="189"/>
    <row r="1082" ht="13" customHeight="1" s="189"/>
    <row r="1083" ht="13" customHeight="1" s="189"/>
    <row r="1084" ht="13" customHeight="1" s="189"/>
    <row r="1085" ht="13" customHeight="1" s="189"/>
    <row r="1086" ht="13" customHeight="1" s="189"/>
    <row r="1087" ht="13" customHeight="1" s="189"/>
    <row r="1088" ht="13" customHeight="1" s="189"/>
    <row r="1089" ht="13" customHeight="1" s="189"/>
    <row r="1090" ht="13" customHeight="1" s="189"/>
    <row r="1091" ht="13" customHeight="1" s="189"/>
    <row r="1092" ht="13" customHeight="1" s="189"/>
    <row r="1093" ht="13" customHeight="1" s="189"/>
    <row r="1094" ht="13" customHeight="1" s="189"/>
    <row r="1095" ht="13" customHeight="1" s="189"/>
    <row r="1096" ht="13" customHeight="1" s="189"/>
    <row r="1097" ht="13" customHeight="1" s="189"/>
    <row r="1098" ht="13" customHeight="1" s="189"/>
    <row r="1099" ht="13" customHeight="1" s="189"/>
    <row r="1100" ht="13" customHeight="1" s="189"/>
    <row r="1101" ht="13" customHeight="1" s="189"/>
    <row r="1102" ht="13" customHeight="1" s="189"/>
    <row r="1103" ht="13" customHeight="1" s="189"/>
    <row r="1104" ht="13" customHeight="1" s="189"/>
    <row r="1105" ht="13" customHeight="1" s="189"/>
    <row r="1106" ht="13" customHeight="1" s="189"/>
    <row r="1107" ht="13" customHeight="1" s="189"/>
    <row r="1108" ht="13" customHeight="1" s="189"/>
    <row r="1109" ht="13" customHeight="1" s="189"/>
    <row r="1110" ht="13" customHeight="1" s="189"/>
    <row r="1111" ht="13" customHeight="1" s="189"/>
    <row r="1112" ht="13" customHeight="1" s="189"/>
    <row r="1113" ht="13" customHeight="1" s="189"/>
    <row r="1114" ht="13" customHeight="1" s="189"/>
    <row r="1115" ht="13" customHeight="1" s="189"/>
    <row r="1116" ht="13" customHeight="1" s="189"/>
    <row r="1117" ht="13" customHeight="1" s="189"/>
    <row r="1118" ht="13" customHeight="1" s="189"/>
    <row r="1119" ht="13" customHeight="1" s="189"/>
    <row r="1120" ht="13" customHeight="1" s="189"/>
    <row r="1121" ht="13" customHeight="1" s="189"/>
    <row r="1122" ht="13" customHeight="1" s="189"/>
    <row r="1123" ht="13" customHeight="1" s="189"/>
    <row r="1124" ht="13" customHeight="1" s="189"/>
    <row r="1125" ht="13" customHeight="1" s="189"/>
    <row r="1126" ht="13" customHeight="1" s="189"/>
    <row r="1127" ht="13" customHeight="1" s="189"/>
    <row r="1128" ht="13" customHeight="1" s="189"/>
    <row r="1129" ht="13" customHeight="1" s="189"/>
    <row r="1130" ht="13" customHeight="1" s="189"/>
    <row r="1131" ht="13" customHeight="1" s="189"/>
    <row r="1132" ht="13" customHeight="1" s="189"/>
    <row r="1133" ht="13" customHeight="1" s="189"/>
    <row r="1134" ht="13" customHeight="1" s="189"/>
    <row r="1135" ht="13" customHeight="1" s="189"/>
    <row r="1136" ht="13" customHeight="1" s="189"/>
    <row r="1137" ht="13" customHeight="1" s="189"/>
    <row r="1138" ht="13" customHeight="1" s="189"/>
    <row r="1139" ht="13" customHeight="1" s="189"/>
    <row r="1140" ht="13" customHeight="1" s="189"/>
    <row r="1141" ht="13" customHeight="1" s="189"/>
    <row r="1142" ht="13" customHeight="1" s="189"/>
    <row r="1143" ht="13" customHeight="1" s="189"/>
    <row r="1144" ht="13" customHeight="1" s="189"/>
    <row r="1145" ht="13" customHeight="1" s="189"/>
    <row r="1146" ht="13" customHeight="1" s="189"/>
    <row r="1147" ht="13" customHeight="1" s="189"/>
    <row r="1148" ht="13" customHeight="1" s="189"/>
    <row r="1149" ht="13" customHeight="1" s="189"/>
    <row r="1150" ht="13" customHeight="1" s="189"/>
    <row r="1151" ht="13" customHeight="1" s="189"/>
    <row r="1152" ht="13" customHeight="1" s="189"/>
    <row r="1153" ht="13" customHeight="1" s="189"/>
    <row r="1154" ht="13" customHeight="1" s="189"/>
    <row r="1155" ht="13" customHeight="1" s="189"/>
    <row r="1156" ht="13" customHeight="1" s="189"/>
    <row r="1157" ht="13" customHeight="1" s="189"/>
    <row r="1158" ht="13" customHeight="1" s="189"/>
    <row r="1159" ht="13" customHeight="1" s="189"/>
    <row r="1160" ht="13" customHeight="1" s="189"/>
    <row r="1161" ht="13" customHeight="1" s="189"/>
    <row r="1162" ht="13" customHeight="1" s="189"/>
    <row r="1163" ht="13" customHeight="1" s="189"/>
    <row r="1164" ht="13" customHeight="1" s="189"/>
    <row r="1165" ht="13" customHeight="1" s="189"/>
    <row r="1166" ht="13" customHeight="1" s="189"/>
    <row r="1167" ht="13" customHeight="1" s="189"/>
    <row r="1168" ht="13" customHeight="1" s="189"/>
    <row r="1169" ht="13" customHeight="1" s="189"/>
    <row r="1170" ht="13" customHeight="1" s="189"/>
    <row r="1171" ht="13" customHeight="1" s="189"/>
    <row r="1172" ht="13" customHeight="1" s="189"/>
    <row r="1173" ht="13" customHeight="1" s="189"/>
    <row r="1174" ht="13" customHeight="1" s="189"/>
    <row r="1175" ht="13" customHeight="1" s="189"/>
    <row r="1176" ht="13" customHeight="1" s="189"/>
    <row r="1177" ht="13" customHeight="1" s="189"/>
    <row r="1178" ht="13" customHeight="1" s="189"/>
    <row r="1179" ht="13" customHeight="1" s="189"/>
    <row r="1180" ht="13" customHeight="1" s="189"/>
    <row r="1181" ht="13" customHeight="1" s="189"/>
    <row r="1182" ht="13" customHeight="1" s="189"/>
    <row r="1183" ht="13" customHeight="1" s="189"/>
    <row r="1184" ht="13" customHeight="1" s="189"/>
    <row r="1185" ht="13" customHeight="1" s="189"/>
    <row r="1186" ht="13" customHeight="1" s="189"/>
    <row r="1187" ht="13" customHeight="1" s="189"/>
    <row r="1188" ht="13" customHeight="1" s="189"/>
    <row r="1189" ht="13" customHeight="1" s="189"/>
    <row r="1190" ht="13" customHeight="1" s="189"/>
    <row r="1191" ht="13" customHeight="1" s="189"/>
    <row r="1192" ht="13" customHeight="1" s="189"/>
    <row r="1193" ht="13" customHeight="1" s="189"/>
    <row r="1194" ht="13" customHeight="1" s="189"/>
    <row r="1195" ht="13" customHeight="1" s="189"/>
    <row r="1196" ht="13" customHeight="1" s="189"/>
    <row r="1197" ht="13" customHeight="1" s="189"/>
    <row r="1198" ht="13" customHeight="1" s="189"/>
    <row r="1199" ht="13" customHeight="1" s="189"/>
    <row r="1200" ht="13" customHeight="1" s="189"/>
    <row r="1201" ht="13" customHeight="1" s="189"/>
    <row r="1202" ht="13" customHeight="1" s="189"/>
    <row r="1203" ht="13" customHeight="1" s="189"/>
    <row r="1204" ht="13" customHeight="1" s="189"/>
    <row r="1205" ht="13" customHeight="1" s="189"/>
    <row r="1206" ht="13" customHeight="1" s="189"/>
    <row r="1207" ht="13" customHeight="1" s="189"/>
    <row r="1208" ht="13" customHeight="1" s="189"/>
    <row r="1209" ht="13" customHeight="1" s="189"/>
    <row r="1210" ht="13" customHeight="1" s="189"/>
    <row r="1211" ht="13" customHeight="1" s="189"/>
    <row r="1212" ht="13" customHeight="1" s="189"/>
    <row r="1213" ht="13" customHeight="1" s="189"/>
    <row r="1214" ht="13" customHeight="1" s="189"/>
    <row r="1215" ht="13" customHeight="1" s="189"/>
    <row r="1216" ht="13" customHeight="1" s="189"/>
    <row r="1217" ht="13" customHeight="1" s="189"/>
    <row r="1218" ht="13" customHeight="1" s="189"/>
    <row r="1219" ht="13" customHeight="1" s="189"/>
    <row r="1220" ht="13" customHeight="1" s="189"/>
    <row r="1221" ht="13" customHeight="1" s="189"/>
    <row r="1222" ht="13" customHeight="1" s="189"/>
    <row r="1223" ht="13" customHeight="1" s="189"/>
    <row r="1224" ht="13" customHeight="1" s="189"/>
    <row r="1225" ht="13" customHeight="1" s="189"/>
    <row r="1226" ht="13" customHeight="1" s="189"/>
    <row r="1227" ht="13" customHeight="1" s="189"/>
    <row r="1228" ht="13" customHeight="1" s="189"/>
    <row r="1229" ht="13" customHeight="1" s="189"/>
    <row r="1230" ht="13" customHeight="1" s="189"/>
    <row r="1231" ht="13" customHeight="1" s="189"/>
    <row r="1232" ht="13" customHeight="1" s="189"/>
    <row r="1233" ht="13" customHeight="1" s="189"/>
    <row r="1234" ht="13" customHeight="1" s="189"/>
    <row r="1235" ht="13" customHeight="1" s="189"/>
    <row r="1236" ht="13" customHeight="1" s="189"/>
    <row r="1237" ht="13" customHeight="1" s="189"/>
    <row r="1238" ht="13" customHeight="1" s="189"/>
    <row r="1239" ht="13" customHeight="1" s="189"/>
    <row r="1240" ht="13" customHeight="1" s="189"/>
    <row r="1241" ht="13" customHeight="1" s="189"/>
    <row r="1242" ht="13" customHeight="1" s="189"/>
    <row r="1243" ht="13" customHeight="1" s="189"/>
    <row r="1244" ht="13" customHeight="1" s="189"/>
    <row r="1245" ht="13" customHeight="1" s="189"/>
    <row r="1246" ht="13" customHeight="1" s="189"/>
    <row r="1247" ht="13" customHeight="1" s="189"/>
    <row r="1248" ht="13" customHeight="1" s="189"/>
    <row r="1249" ht="13" customHeight="1" s="189"/>
    <row r="1250" ht="13" customHeight="1" s="189"/>
    <row r="1251" ht="13" customHeight="1" s="189"/>
    <row r="1252" ht="13" customHeight="1" s="189"/>
    <row r="1253" ht="13" customHeight="1" s="189"/>
    <row r="1254" ht="13" customHeight="1" s="189"/>
    <row r="1255" ht="13" customHeight="1" s="189"/>
    <row r="1256" ht="13" customHeight="1" s="189"/>
    <row r="1257" ht="13" customHeight="1" s="189"/>
    <row r="1258" ht="13" customHeight="1" s="189"/>
    <row r="1259" ht="13" customHeight="1" s="189"/>
    <row r="1260" ht="13" customHeight="1" s="189"/>
    <row r="1261" ht="13" customHeight="1" s="189"/>
    <row r="1262" ht="13" customHeight="1" s="189"/>
    <row r="1263" ht="13" customHeight="1" s="189"/>
    <row r="1264" ht="13" customHeight="1" s="189"/>
    <row r="1265" ht="13" customHeight="1" s="189"/>
    <row r="1266" ht="13" customHeight="1" s="189"/>
    <row r="1267" ht="13" customHeight="1" s="189"/>
    <row r="1268" ht="13" customHeight="1" s="189"/>
    <row r="1269" ht="13" customHeight="1" s="189"/>
    <row r="1270" ht="13" customHeight="1" s="189"/>
    <row r="1271" ht="13" customHeight="1" s="189"/>
    <row r="1272" ht="13" customHeight="1" s="189"/>
    <row r="1273" ht="13" customHeight="1" s="189"/>
    <row r="1274" ht="13" customHeight="1" s="189"/>
    <row r="1275" ht="13" customHeight="1" s="189"/>
    <row r="1276" ht="13" customHeight="1" s="189"/>
    <row r="1277" ht="13" customHeight="1" s="189"/>
    <row r="1278" ht="13" customHeight="1" s="189"/>
    <row r="1279" ht="13" customHeight="1" s="189"/>
    <row r="1280" ht="13" customHeight="1" s="189"/>
    <row r="1281" ht="13" customHeight="1" s="189"/>
    <row r="1282" ht="13" customHeight="1" s="189"/>
    <row r="1283" ht="13" customHeight="1" s="189"/>
    <row r="1284" ht="13" customHeight="1" s="189"/>
    <row r="1285" ht="13" customHeight="1" s="189"/>
    <row r="1286" ht="13" customHeight="1" s="189"/>
    <row r="1287" ht="13" customHeight="1" s="189"/>
    <row r="1288" ht="13" customHeight="1" s="189"/>
    <row r="1289" ht="13" customHeight="1" s="189"/>
    <row r="1290" ht="13" customHeight="1" s="189"/>
    <row r="1291" ht="13" customHeight="1" s="189"/>
    <row r="1292" ht="13" customHeight="1" s="189"/>
    <row r="1293" ht="13" customHeight="1" s="189"/>
    <row r="1294" ht="13" customHeight="1" s="189"/>
    <row r="1295" ht="13" customHeight="1" s="189"/>
    <row r="1296" ht="13" customHeight="1" s="189"/>
    <row r="1297" ht="13" customHeight="1" s="189"/>
    <row r="1298" ht="13" customHeight="1" s="189"/>
    <row r="1299" ht="13" customHeight="1" s="189"/>
    <row r="1300" ht="13" customHeight="1" s="189"/>
    <row r="1301" ht="13" customHeight="1" s="189"/>
    <row r="1302" ht="13" customHeight="1" s="189"/>
    <row r="1303" ht="13" customHeight="1" s="189"/>
    <row r="1304" ht="13" customHeight="1" s="189"/>
    <row r="1305" ht="13" customHeight="1" s="189"/>
    <row r="1306" ht="13" customHeight="1" s="189"/>
    <row r="1307" ht="13" customHeight="1" s="189"/>
    <row r="1308" ht="13" customHeight="1" s="189"/>
    <row r="1309" ht="13" customHeight="1" s="189"/>
    <row r="1310" ht="13" customHeight="1" s="189"/>
    <row r="1311" ht="13" customHeight="1" s="189"/>
    <row r="1312" ht="13" customHeight="1" s="189"/>
    <row r="1313" ht="13" customHeight="1" s="189"/>
    <row r="1314" ht="13" customHeight="1" s="189"/>
    <row r="1315" ht="13" customHeight="1" s="189"/>
    <row r="1316" ht="13" customHeight="1" s="189"/>
    <row r="1317" ht="13" customHeight="1" s="189"/>
    <row r="1318" ht="13" customHeight="1" s="189"/>
    <row r="1319" ht="13" customHeight="1" s="189"/>
    <row r="1320" ht="13" customHeight="1" s="189"/>
    <row r="1321" ht="13" customHeight="1" s="189"/>
    <row r="1322" ht="13" customHeight="1" s="189"/>
    <row r="1323" ht="13" customHeight="1" s="189"/>
    <row r="1324" ht="13" customHeight="1" s="189"/>
    <row r="1325" ht="13" customHeight="1" s="189"/>
    <row r="1326" ht="13" customHeight="1" s="189"/>
    <row r="1327" ht="13" customHeight="1" s="189"/>
    <row r="1328" ht="13" customHeight="1" s="189"/>
    <row r="1329" ht="13" customHeight="1" s="189"/>
    <row r="1330" ht="13" customHeight="1" s="189"/>
    <row r="1331" ht="13" customHeight="1" s="189"/>
    <row r="1332" ht="13" customHeight="1" s="189"/>
    <row r="1333" ht="13" customHeight="1" s="189"/>
    <row r="1334" ht="13" customHeight="1" s="189"/>
    <row r="1335" ht="13" customHeight="1" s="189"/>
    <row r="1336" ht="13" customHeight="1" s="189"/>
    <row r="1337" ht="13" customHeight="1" s="189"/>
    <row r="1338" ht="13" customHeight="1" s="189"/>
    <row r="1339" ht="13" customHeight="1" s="189"/>
    <row r="1340" ht="13" customHeight="1" s="189"/>
    <row r="1341" ht="13" customHeight="1" s="189"/>
    <row r="1342" ht="13" customHeight="1" s="189"/>
    <row r="1343" ht="13" customHeight="1" s="189"/>
    <row r="1344" ht="13" customHeight="1" s="189"/>
    <row r="1345" ht="13" customHeight="1" s="189"/>
    <row r="1346" ht="13" customHeight="1" s="189"/>
    <row r="1347" ht="13" customHeight="1" s="189"/>
    <row r="1348" ht="13" customHeight="1" s="189"/>
    <row r="1349" ht="13" customHeight="1" s="189"/>
    <row r="1350" ht="13" customHeight="1" s="189"/>
    <row r="1351" ht="13" customHeight="1" s="189"/>
    <row r="1352" ht="13" customHeight="1" s="189"/>
    <row r="1353" ht="13" customHeight="1" s="189"/>
    <row r="1354" ht="13" customHeight="1" s="189"/>
    <row r="1355" ht="13" customHeight="1" s="189"/>
    <row r="1356" ht="13" customHeight="1" s="189"/>
    <row r="1357" ht="13" customHeight="1" s="189"/>
    <row r="1358" ht="13" customHeight="1" s="189"/>
    <row r="1359" ht="13" customHeight="1" s="189"/>
    <row r="1360" ht="13" customHeight="1" s="189"/>
    <row r="1361" ht="13" customHeight="1" s="189"/>
    <row r="1362" ht="13" customHeight="1" s="189"/>
    <row r="1363" ht="13" customHeight="1" s="189"/>
    <row r="1364" ht="13" customHeight="1" s="189"/>
    <row r="1365" ht="13" customHeight="1" s="189"/>
    <row r="1366" ht="13" customHeight="1" s="189"/>
    <row r="1367" ht="13" customHeight="1" s="189"/>
    <row r="1368" ht="13" customHeight="1" s="189"/>
    <row r="1369" ht="13" customHeight="1" s="189"/>
    <row r="1370" ht="13" customHeight="1" s="189"/>
    <row r="1371" ht="13" customHeight="1" s="189"/>
    <row r="1372" ht="13" customHeight="1" s="189"/>
    <row r="1373" ht="13" customHeight="1" s="189"/>
    <row r="1374" ht="13" customHeight="1" s="189"/>
    <row r="1375" ht="13" customHeight="1" s="189"/>
    <row r="1376" ht="13" customHeight="1" s="189"/>
    <row r="1377" ht="13" customHeight="1" s="189"/>
    <row r="1378" ht="13" customHeight="1" s="189"/>
    <row r="1379" ht="13" customHeight="1" s="189"/>
    <row r="1380" ht="13" customHeight="1" s="189"/>
    <row r="1381" ht="13" customHeight="1" s="189"/>
    <row r="1382" ht="13" customHeight="1" s="189"/>
    <row r="1383" ht="13" customHeight="1" s="189"/>
    <row r="1384" ht="13" customHeight="1" s="189"/>
    <row r="1385" ht="13" customHeight="1" s="189"/>
    <row r="1386" ht="13" customHeight="1" s="189"/>
    <row r="1387" ht="13" customHeight="1" s="189"/>
    <row r="1388" ht="13" customHeight="1" s="189"/>
    <row r="1389" ht="13" customHeight="1" s="189"/>
    <row r="1390" ht="13" customHeight="1" s="189"/>
    <row r="1391" ht="13" customHeight="1" s="189"/>
    <row r="1392" ht="13" customHeight="1" s="189"/>
    <row r="1393" ht="13" customHeight="1" s="189"/>
    <row r="1394" ht="13" customHeight="1" s="189"/>
    <row r="1395" ht="13" customHeight="1" s="189"/>
    <row r="1396" ht="13" customHeight="1" s="189"/>
    <row r="1397" ht="13" customHeight="1" s="189"/>
    <row r="1398" ht="13" customHeight="1" s="189"/>
    <row r="1399" ht="13" customHeight="1" s="189"/>
    <row r="1400" ht="13" customHeight="1" s="189"/>
    <row r="1401" ht="13" customHeight="1" s="189"/>
    <row r="1402" ht="13" customHeight="1" s="189"/>
    <row r="1403" ht="13" customHeight="1" s="189"/>
    <row r="1404" ht="13" customHeight="1" s="189"/>
    <row r="1405" ht="13" customHeight="1" s="189"/>
    <row r="1406" ht="13" customHeight="1" s="189"/>
    <row r="1407" ht="13" customHeight="1" s="189"/>
    <row r="1408" ht="13" customHeight="1" s="189"/>
    <row r="1409" ht="13" customHeight="1" s="189"/>
    <row r="1410" ht="13" customHeight="1" s="189"/>
    <row r="1411" ht="13" customHeight="1" s="189"/>
    <row r="1412" ht="13" customHeight="1" s="189"/>
    <row r="1413" ht="13" customHeight="1" s="189"/>
    <row r="1414" ht="13" customHeight="1" s="189"/>
    <row r="1415" ht="13" customHeight="1" s="189"/>
    <row r="1416" ht="13" customHeight="1" s="189"/>
    <row r="1417" ht="13" customHeight="1" s="189"/>
    <row r="1418" ht="13" customHeight="1" s="189"/>
    <row r="1419" ht="13" customHeight="1" s="189"/>
    <row r="1420" ht="13" customHeight="1" s="189"/>
    <row r="1421" ht="13" customHeight="1" s="189"/>
    <row r="1422" ht="13" customHeight="1" s="189"/>
    <row r="1423" ht="13" customHeight="1" s="189"/>
    <row r="1424" ht="13" customHeight="1" s="189"/>
    <row r="1425" ht="13" customHeight="1" s="189"/>
    <row r="1426" ht="13" customHeight="1" s="189"/>
    <row r="1427" ht="13" customHeight="1" s="189"/>
    <row r="1428" ht="13" customHeight="1" s="189"/>
    <row r="1429" ht="13" customHeight="1" s="189"/>
    <row r="1430" ht="13" customHeight="1" s="189"/>
    <row r="1431" ht="13" customHeight="1" s="189"/>
    <row r="1432" ht="13" customHeight="1" s="189"/>
    <row r="1433" ht="13" customHeight="1" s="189"/>
    <row r="1434" ht="13" customHeight="1" s="189"/>
    <row r="1435" ht="13" customHeight="1" s="189"/>
    <row r="1436" ht="13" customHeight="1" s="189"/>
    <row r="1437" ht="13" customHeight="1" s="189"/>
    <row r="1438" ht="13" customHeight="1" s="189"/>
    <row r="1439" ht="13" customHeight="1" s="189"/>
    <row r="1440" ht="13" customHeight="1" s="189"/>
    <row r="1441" ht="13" customHeight="1" s="189"/>
    <row r="1442" ht="13" customHeight="1" s="189"/>
    <row r="1443" ht="13" customHeight="1" s="189"/>
    <row r="1444" ht="13" customHeight="1" s="189"/>
    <row r="1445" ht="13" customHeight="1" s="189"/>
    <row r="1446" ht="13" customHeight="1" s="189"/>
    <row r="1447" ht="13" customHeight="1" s="189"/>
    <row r="1448" ht="13" customHeight="1" s="189"/>
    <row r="1449" ht="13" customHeight="1" s="189"/>
    <row r="1450" ht="13" customHeight="1" s="189"/>
    <row r="1451" ht="13" customHeight="1" s="189"/>
    <row r="1452" ht="13" customHeight="1" s="189"/>
    <row r="1453" ht="13" customHeight="1" s="189"/>
    <row r="1454" ht="13" customHeight="1" s="189"/>
    <row r="1455" ht="13" customHeight="1" s="189"/>
    <row r="1456" ht="13" customHeight="1" s="189"/>
    <row r="1457" ht="13" customHeight="1" s="189"/>
    <row r="1458" ht="13" customHeight="1" s="189"/>
    <row r="1459" ht="13" customHeight="1" s="189"/>
    <row r="1460" ht="13" customHeight="1" s="189"/>
    <row r="1461" ht="13" customHeight="1" s="189"/>
    <row r="1462" ht="13" customHeight="1" s="189"/>
    <row r="1463" ht="13" customHeight="1" s="189"/>
    <row r="1464" ht="13" customHeight="1" s="189"/>
  </sheetData>
  <mergeCells count="66">
    <mergeCell ref="G21:H21"/>
    <mergeCell ref="C34:D34"/>
    <mergeCell ref="G12:H12"/>
    <mergeCell ref="C6:D6"/>
    <mergeCell ref="C24:D24"/>
    <mergeCell ref="C30:D30"/>
    <mergeCell ref="C15:D15"/>
    <mergeCell ref="B3:C3"/>
    <mergeCell ref="C33:D33"/>
    <mergeCell ref="G11:H11"/>
    <mergeCell ref="G27:H27"/>
    <mergeCell ref="C14:D14"/>
    <mergeCell ref="G23:H23"/>
    <mergeCell ref="A1:H1"/>
    <mergeCell ref="G8:H8"/>
    <mergeCell ref="C26:D26"/>
    <mergeCell ref="C18:D18"/>
    <mergeCell ref="G17:H17"/>
    <mergeCell ref="C20:D20"/>
    <mergeCell ref="B2:C2"/>
    <mergeCell ref="C29:D29"/>
    <mergeCell ref="C10:D10"/>
    <mergeCell ref="C16:D16"/>
    <mergeCell ref="E3:H3"/>
    <mergeCell ref="G7:H7"/>
    <mergeCell ref="C25:D25"/>
    <mergeCell ref="G10:H10"/>
    <mergeCell ref="G19:H19"/>
    <mergeCell ref="G28:H28"/>
    <mergeCell ref="C22:D22"/>
    <mergeCell ref="G6:H6"/>
    <mergeCell ref="C9:D9"/>
    <mergeCell ref="G13:H13"/>
    <mergeCell ref="G18:H18"/>
    <mergeCell ref="C31:D31"/>
    <mergeCell ref="C12:D12"/>
    <mergeCell ref="G34:H34"/>
    <mergeCell ref="C21:D21"/>
    <mergeCell ref="G24:H24"/>
    <mergeCell ref="G30:H30"/>
    <mergeCell ref="C11:D11"/>
    <mergeCell ref="G15:H15"/>
    <mergeCell ref="E4:H4"/>
    <mergeCell ref="C27:D27"/>
    <mergeCell ref="G33:H33"/>
    <mergeCell ref="G14:H14"/>
    <mergeCell ref="A5:H5"/>
    <mergeCell ref="C17:D17"/>
    <mergeCell ref="C23:D23"/>
    <mergeCell ref="G26:H26"/>
    <mergeCell ref="C8:D8"/>
    <mergeCell ref="G29:H29"/>
    <mergeCell ref="G20:H20"/>
    <mergeCell ref="C32:D32"/>
    <mergeCell ref="C7:D7"/>
    <mergeCell ref="B4:C4"/>
    <mergeCell ref="G16:H16"/>
    <mergeCell ref="G32:H32"/>
    <mergeCell ref="G25:H25"/>
    <mergeCell ref="C19:D19"/>
    <mergeCell ref="C28:D28"/>
    <mergeCell ref="G31:H31"/>
    <mergeCell ref="C13:D13"/>
    <mergeCell ref="G22:H22"/>
    <mergeCell ref="G9:H9"/>
    <mergeCell ref="E2:H2"/>
  </mergeCells>
  <printOptions horizontalCentered="0" verticalCentered="0" headings="0" gridLines="0" gridLinesSet="1"/>
  <pageMargins left="0.5" right="0.5" top="0.5" bottom="0.5" header="0.511811023622047" footer="0.511811023622047"/>
  <pageSetup orientation="landscape" paperSize="1"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L22"/>
  <sheetViews>
    <sheetView showFormulas="0" showGridLines="1" showRowColHeaders="1" showZeros="1" rightToLeft="0" tabSelected="0" showOutlineSymbols="1" defaultGridColor="1" view="normal" topLeftCell="A13" colorId="64" zoomScale="100" zoomScaleNormal="100" zoomScalePageLayoutView="100" workbookViewId="0">
      <selection pane="topLeft" activeCell="A1" activeCellId="0" sqref="A1:L1"/>
    </sheetView>
  </sheetViews>
  <sheetFormatPr baseColWidth="8" defaultColWidth="9.0546875" defaultRowHeight="12.5" zeroHeight="0" outlineLevelRow="0"/>
  <cols>
    <col width="2.99" customWidth="1" style="205" min="1" max="1"/>
    <col width="12.17" customWidth="1" style="188" min="2" max="2"/>
    <col width="26.44" customWidth="1" style="188" min="3" max="3"/>
    <col width="11.26" customWidth="1" style="188" min="4" max="4"/>
    <col width="16.99" customWidth="1" style="188" min="5" max="5"/>
    <col width="14.72" customWidth="1" style="188" min="6" max="6"/>
    <col width="9.44" customWidth="1" style="188" min="7" max="10"/>
    <col width="7.72" customWidth="1" style="188" min="11" max="11"/>
    <col width="5.44" customWidth="1" style="188" min="12" max="12"/>
  </cols>
  <sheetData>
    <row r="1" ht="15.5" customHeight="1" s="189">
      <c r="A1" s="243" t="inlineStr">
        <is>
          <t xml:space="preserve">Project Register </t>
        </is>
      </c>
      <c r="B1" s="213" t="n"/>
      <c r="C1" s="213" t="n"/>
      <c r="D1" s="213" t="n"/>
      <c r="E1" s="213" t="n"/>
      <c r="F1" s="213" t="n"/>
      <c r="G1" s="213" t="n"/>
      <c r="H1" s="213" t="n"/>
      <c r="I1" s="213" t="n"/>
      <c r="J1" s="213" t="n"/>
      <c r="K1" s="213" t="n"/>
      <c r="L1" s="214" t="n"/>
    </row>
    <row r="2" ht="13" customHeight="1" s="189">
      <c r="A2" s="207" t="inlineStr">
        <is>
          <t>Project</t>
        </is>
      </c>
      <c r="B2" s="214" t="n"/>
      <c r="C2" s="208">
        <f>Data!B1</f>
        <v/>
      </c>
      <c r="D2" s="214" t="n"/>
      <c r="E2" s="207" t="inlineStr">
        <is>
          <t>Project #</t>
        </is>
      </c>
      <c r="F2" s="208">
        <f>Data!B2</f>
        <v/>
      </c>
      <c r="G2" s="213" t="n"/>
      <c r="H2" s="213" t="n"/>
      <c r="I2" s="213" t="n"/>
      <c r="J2" s="213" t="n"/>
      <c r="K2" s="213" t="n"/>
      <c r="L2" s="214" t="n"/>
    </row>
    <row r="3" ht="13" customHeight="1" s="189">
      <c r="A3" s="207" t="inlineStr">
        <is>
          <t>Project manager</t>
        </is>
      </c>
      <c r="B3" s="214" t="n"/>
      <c r="C3" s="208">
        <f>Data!B3</f>
        <v/>
      </c>
      <c r="D3" s="214" t="n"/>
      <c r="E3" s="207" t="inlineStr">
        <is>
          <t>Sponsor</t>
        </is>
      </c>
      <c r="F3" s="208">
        <f>Data!B4</f>
        <v/>
      </c>
      <c r="G3" s="213" t="n"/>
      <c r="H3" s="213" t="n"/>
      <c r="I3" s="213" t="n"/>
      <c r="J3" s="213" t="n"/>
      <c r="K3" s="213" t="n"/>
      <c r="L3" s="214" t="n"/>
    </row>
    <row r="4" ht="13" customHeight="1" s="189">
      <c r="A4" s="207" t="inlineStr">
        <is>
          <t>Project artifacts</t>
        </is>
      </c>
      <c r="B4" s="214" t="n"/>
      <c r="C4" s="208">
        <f>Data!B5</f>
        <v/>
      </c>
      <c r="D4" s="214" t="n"/>
      <c r="E4" s="207" t="inlineStr">
        <is>
          <t>Updated</t>
        </is>
      </c>
      <c r="F4" s="208">
        <f>Data!B6</f>
        <v/>
      </c>
      <c r="G4" s="213" t="n"/>
      <c r="H4" s="213" t="n"/>
      <c r="I4" s="213" t="n"/>
      <c r="J4" s="213" t="n"/>
      <c r="K4" s="213" t="n"/>
      <c r="L4" s="214" t="n"/>
    </row>
    <row r="5" ht="12.5" customHeight="1" s="189">
      <c r="A5" s="280" t="n"/>
      <c r="B5" s="213" t="n"/>
      <c r="C5" s="213" t="n"/>
      <c r="D5" s="213" t="n"/>
      <c r="E5" s="213" t="n"/>
      <c r="F5" s="213" t="n"/>
      <c r="G5" s="213" t="n"/>
      <c r="H5" s="213" t="n"/>
      <c r="I5" s="213" t="n"/>
      <c r="J5" s="213" t="n"/>
      <c r="K5" s="213" t="n"/>
      <c r="L5" s="214" t="n"/>
    </row>
    <row r="6" ht="13" customHeight="1" s="189">
      <c r="A6" s="280" t="n"/>
      <c r="B6" s="222" t="n"/>
      <c r="C6" s="222" t="n"/>
      <c r="D6" s="222" t="n"/>
      <c r="E6" s="222" t="n"/>
      <c r="F6" s="222" t="n"/>
      <c r="G6" s="343" t="inlineStr">
        <is>
          <t>Order of Magnitude</t>
        </is>
      </c>
      <c r="H6" s="213" t="n"/>
      <c r="I6" s="214" t="n"/>
      <c r="J6" s="222" t="n"/>
      <c r="K6" s="318" t="n"/>
      <c r="L6" s="214" t="n"/>
    </row>
    <row r="7" ht="25.5" customFormat="1" customHeight="1" s="205">
      <c r="A7" s="281" t="inlineStr">
        <is>
          <t>ID</t>
        </is>
      </c>
      <c r="B7" s="281" t="inlineStr">
        <is>
          <t>Project Name</t>
        </is>
      </c>
      <c r="C7" s="281" t="inlineStr">
        <is>
          <t>Description</t>
        </is>
      </c>
      <c r="D7" s="281" t="inlineStr">
        <is>
          <t>Category</t>
        </is>
      </c>
      <c r="E7" s="281" t="inlineStr">
        <is>
          <t>Executive Champion</t>
        </is>
      </c>
      <c r="F7" s="281" t="inlineStr">
        <is>
          <t>Goal/Strategy Alignment</t>
        </is>
      </c>
      <c r="G7" s="281" t="inlineStr">
        <is>
          <t>Time</t>
        </is>
      </c>
      <c r="H7" s="281" t="inlineStr">
        <is>
          <t>Costs</t>
        </is>
      </c>
      <c r="I7" s="281" t="inlineStr">
        <is>
          <t>Return</t>
        </is>
      </c>
      <c r="J7" s="281" t="inlineStr">
        <is>
          <t>Status</t>
        </is>
      </c>
      <c r="K7" s="281" t="inlineStr">
        <is>
          <t>Rank</t>
        </is>
      </c>
      <c r="L7" s="214" t="n"/>
    </row>
    <row r="8" ht="40" customFormat="1" customHeight="1" s="203">
      <c r="A8" s="344" t="n">
        <v>1</v>
      </c>
      <c r="B8" s="345" t="n"/>
      <c r="C8" s="346" t="n"/>
      <c r="D8" s="346" t="n"/>
      <c r="E8" s="346" t="n"/>
      <c r="F8" s="346" t="n"/>
      <c r="G8" s="346" t="n"/>
      <c r="H8" s="346" t="n"/>
      <c r="I8" s="346" t="n"/>
      <c r="J8" s="346" t="n"/>
      <c r="K8" s="344" t="n"/>
      <c r="L8" s="214" t="n"/>
    </row>
    <row r="9" ht="40" customFormat="1" customHeight="1" s="203">
      <c r="A9" s="344" t="n">
        <v>2</v>
      </c>
      <c r="B9" s="345" t="n"/>
      <c r="C9" s="346" t="n"/>
      <c r="D9" s="346" t="n"/>
      <c r="E9" s="346" t="n"/>
      <c r="F9" s="346" t="n"/>
      <c r="G9" s="346" t="n"/>
      <c r="H9" s="346" t="n"/>
      <c r="I9" s="346" t="n"/>
      <c r="J9" s="346" t="n"/>
      <c r="K9" s="344" t="n"/>
      <c r="L9" s="214" t="n"/>
    </row>
    <row r="10" ht="40" customFormat="1" customHeight="1" s="203">
      <c r="A10" s="344" t="n">
        <v>3</v>
      </c>
      <c r="B10" s="345" t="n"/>
      <c r="C10" s="346" t="n"/>
      <c r="D10" s="346" t="n"/>
      <c r="E10" s="346" t="n"/>
      <c r="F10" s="346" t="n"/>
      <c r="G10" s="346" t="n"/>
      <c r="H10" s="346" t="n"/>
      <c r="I10" s="346" t="n"/>
      <c r="J10" s="346" t="n"/>
      <c r="K10" s="344" t="n"/>
      <c r="L10" s="214" t="n"/>
    </row>
    <row r="11" ht="40" customFormat="1" customHeight="1" s="203">
      <c r="A11" s="344" t="n">
        <v>4</v>
      </c>
      <c r="B11" s="345" t="n"/>
      <c r="C11" s="346" t="n"/>
      <c r="D11" s="346" t="n"/>
      <c r="E11" s="346" t="n"/>
      <c r="F11" s="346" t="n"/>
      <c r="G11" s="346" t="n"/>
      <c r="H11" s="346" t="n"/>
      <c r="I11" s="346" t="n"/>
      <c r="J11" s="346" t="n"/>
      <c r="K11" s="344" t="n"/>
      <c r="L11" s="214" t="n"/>
    </row>
    <row r="12" ht="40" customFormat="1" customHeight="1" s="203">
      <c r="A12" s="344" t="n">
        <v>5</v>
      </c>
      <c r="B12" s="345" t="n"/>
      <c r="C12" s="346" t="n"/>
      <c r="D12" s="346" t="n"/>
      <c r="E12" s="346" t="n"/>
      <c r="F12" s="346" t="n"/>
      <c r="G12" s="346" t="n"/>
      <c r="H12" s="346" t="n"/>
      <c r="I12" s="346" t="n"/>
      <c r="J12" s="346" t="n"/>
      <c r="K12" s="344" t="n"/>
      <c r="L12" s="214" t="n"/>
    </row>
    <row r="13" ht="40" customFormat="1" customHeight="1" s="203">
      <c r="A13" s="344" t="n">
        <v>6</v>
      </c>
      <c r="B13" s="345" t="n"/>
      <c r="C13" s="346" t="n"/>
      <c r="D13" s="346" t="n"/>
      <c r="E13" s="346" t="n"/>
      <c r="F13" s="346" t="n"/>
      <c r="G13" s="346" t="n"/>
      <c r="H13" s="346" t="n"/>
      <c r="I13" s="346" t="n"/>
      <c r="J13" s="346" t="n"/>
      <c r="K13" s="344" t="n"/>
      <c r="L13" s="214" t="n"/>
    </row>
    <row r="14" ht="40" customFormat="1" customHeight="1" s="203">
      <c r="A14" s="344" t="n">
        <v>7</v>
      </c>
      <c r="B14" s="345" t="n"/>
      <c r="C14" s="346" t="n"/>
      <c r="D14" s="346" t="n"/>
      <c r="E14" s="346" t="n"/>
      <c r="F14" s="346" t="n"/>
      <c r="G14" s="346" t="n"/>
      <c r="H14" s="346" t="n"/>
      <c r="I14" s="346" t="n"/>
      <c r="J14" s="346" t="n"/>
      <c r="K14" s="344" t="n"/>
      <c r="L14" s="214" t="n"/>
    </row>
    <row r="15" ht="40" customFormat="1" customHeight="1" s="203">
      <c r="A15" s="272" t="n">
        <v>8</v>
      </c>
      <c r="B15" s="284" t="n"/>
      <c r="C15" s="285" t="n"/>
      <c r="D15" s="284" t="n"/>
      <c r="E15" s="285" t="n"/>
      <c r="F15" s="285" t="n"/>
      <c r="G15" s="285" t="n"/>
      <c r="H15" s="285" t="n"/>
      <c r="I15" s="285" t="n"/>
      <c r="J15" s="285" t="n"/>
      <c r="K15" s="344" t="n"/>
      <c r="L15" s="214" t="n"/>
    </row>
    <row r="16" ht="40" customFormat="1" customHeight="1" s="203">
      <c r="A16" s="272" t="n">
        <v>9</v>
      </c>
      <c r="B16" s="284" t="n"/>
      <c r="C16" s="285" t="n"/>
      <c r="D16" s="284" t="n"/>
      <c r="E16" s="285" t="n"/>
      <c r="F16" s="285" t="n"/>
      <c r="G16" s="285" t="n"/>
      <c r="H16" s="285" t="n"/>
      <c r="I16" s="285" t="n"/>
      <c r="J16" s="285" t="n"/>
      <c r="K16" s="344" t="n"/>
      <c r="L16" s="214" t="n"/>
    </row>
    <row r="17" ht="40" customFormat="1" customHeight="1" s="203">
      <c r="A17" s="272" t="n">
        <v>10</v>
      </c>
      <c r="B17" s="284" t="n"/>
      <c r="C17" s="285" t="n"/>
      <c r="D17" s="284" t="n"/>
      <c r="E17" s="285" t="n"/>
      <c r="F17" s="285" t="n"/>
      <c r="G17" s="285" t="n"/>
      <c r="H17" s="285" t="n"/>
      <c r="I17" s="285" t="n"/>
      <c r="J17" s="285" t="n"/>
      <c r="K17" s="344" t="n"/>
      <c r="L17" s="214" t="n"/>
    </row>
    <row r="18" ht="40" customFormat="1" customHeight="1" s="203">
      <c r="A18" s="272" t="n">
        <v>11</v>
      </c>
      <c r="B18" s="284" t="n"/>
      <c r="C18" s="285" t="n"/>
      <c r="D18" s="284" t="n"/>
      <c r="E18" s="285" t="n"/>
      <c r="F18" s="285" t="n"/>
      <c r="G18" s="285" t="n"/>
      <c r="H18" s="285" t="n"/>
      <c r="I18" s="285" t="n"/>
      <c r="J18" s="285" t="n"/>
      <c r="K18" s="344" t="n"/>
      <c r="L18" s="214" t="n"/>
    </row>
    <row r="19" ht="40" customFormat="1" customHeight="1" s="203">
      <c r="A19" s="272" t="n">
        <v>12</v>
      </c>
      <c r="B19" s="284" t="n"/>
      <c r="C19" s="285" t="n"/>
      <c r="D19" s="284" t="n"/>
      <c r="E19" s="285" t="n"/>
      <c r="F19" s="285" t="n"/>
      <c r="G19" s="285" t="n"/>
      <c r="H19" s="285" t="n"/>
      <c r="I19" s="285" t="n"/>
      <c r="J19" s="285" t="n"/>
      <c r="K19" s="344" t="n"/>
      <c r="L19" s="214" t="n"/>
    </row>
    <row r="20" ht="40" customFormat="1" customHeight="1" s="203">
      <c r="A20" s="272" t="n">
        <v>13</v>
      </c>
      <c r="B20" s="284" t="n"/>
      <c r="C20" s="285" t="n"/>
      <c r="D20" s="284" t="n"/>
      <c r="E20" s="285" t="n"/>
      <c r="F20" s="285" t="n"/>
      <c r="G20" s="285" t="n"/>
      <c r="H20" s="285" t="n"/>
      <c r="I20" s="285" t="n"/>
      <c r="J20" s="285" t="n"/>
      <c r="K20" s="344" t="n"/>
      <c r="L20" s="214" t="n"/>
    </row>
    <row r="21" ht="40" customFormat="1" customHeight="1" s="203">
      <c r="A21" s="272" t="n">
        <v>14</v>
      </c>
      <c r="B21" s="284" t="n"/>
      <c r="C21" s="285" t="n"/>
      <c r="D21" s="284" t="n"/>
      <c r="E21" s="285" t="n"/>
      <c r="F21" s="285" t="n"/>
      <c r="G21" s="285" t="n"/>
      <c r="H21" s="285" t="n"/>
      <c r="I21" s="285" t="n"/>
      <c r="J21" s="285" t="n"/>
      <c r="K21" s="344" t="n"/>
      <c r="L21" s="214" t="n"/>
    </row>
    <row r="22" ht="40" customFormat="1" customHeight="1" s="203">
      <c r="A22" s="272" t="n">
        <v>15</v>
      </c>
      <c r="B22" s="284" t="n"/>
      <c r="C22" s="285" t="n"/>
      <c r="D22" s="284" t="n"/>
      <c r="E22" s="285" t="n"/>
      <c r="F22" s="285" t="n"/>
      <c r="G22" s="285" t="n"/>
      <c r="H22" s="285" t="n"/>
      <c r="I22" s="285" t="n"/>
      <c r="J22" s="285" t="n"/>
      <c r="K22" s="344" t="n"/>
      <c r="L22" s="214" t="n"/>
    </row>
    <row r="23" ht="13" customFormat="1" customHeight="1" s="203"/>
    <row r="24" ht="13" customFormat="1" customHeight="1" s="203"/>
    <row r="25" ht="13" customFormat="1" customHeight="1" s="203"/>
    <row r="26" ht="13" customFormat="1" customHeight="1" s="203"/>
    <row r="27" ht="13" customFormat="1" customHeight="1" s="203"/>
    <row r="28" ht="13" customFormat="1" customHeight="1" s="203"/>
    <row r="29" ht="13" customFormat="1" customHeight="1" s="203"/>
    <row r="30" ht="13" customFormat="1" customHeight="1" s="203"/>
    <row r="31" ht="13" customFormat="1" customHeight="1" s="203"/>
    <row r="32" ht="13" customFormat="1" customHeight="1" s="203"/>
    <row r="33" ht="13" customFormat="1" customHeight="1" s="203"/>
    <row r="34" ht="13" customFormat="1" customHeight="1" s="203"/>
    <row r="35" ht="13" customFormat="1" customHeight="1" s="203"/>
    <row r="36" ht="13" customFormat="1" customHeight="1" s="203"/>
    <row r="37" ht="13" customFormat="1" customHeight="1" s="203"/>
    <row r="38" ht="13" customFormat="1" customHeight="1" s="203"/>
    <row r="39" ht="13" customFormat="1" customHeight="1" s="203"/>
    <row r="40" ht="13" customFormat="1" customHeight="1" s="203"/>
    <row r="41" ht="13" customFormat="1" customHeight="1" s="203"/>
    <row r="42" ht="13" customFormat="1" customHeight="1" s="203"/>
    <row r="43" ht="13" customFormat="1" customHeight="1" s="203"/>
    <row r="44" ht="13" customFormat="1" customHeight="1" s="203"/>
    <row r="45" ht="13" customFormat="1" customHeight="1" s="203"/>
    <row r="46" ht="13" customFormat="1" customHeight="1" s="203"/>
    <row r="47" ht="13" customFormat="1" customHeight="1" s="203"/>
    <row r="48" ht="13" customFormat="1" customHeight="1" s="203"/>
    <row r="49" ht="13" customFormat="1" customHeight="1" s="203"/>
    <row r="50" ht="13" customFormat="1" customHeight="1" s="203"/>
    <row r="51" ht="13" customFormat="1" customHeight="1" s="203"/>
    <row r="52" ht="13" customFormat="1" customHeight="1" s="203"/>
    <row r="53" ht="13" customFormat="1" customHeight="1" s="203"/>
    <row r="54" ht="13" customFormat="1" customHeight="1" s="203"/>
    <row r="55" ht="13" customFormat="1" customHeight="1" s="203"/>
    <row r="56" ht="13" customFormat="1" customHeight="1" s="203"/>
    <row r="57" ht="13" customFormat="1" customHeight="1" s="203"/>
    <row r="58" ht="13" customFormat="1" customHeight="1" s="203"/>
    <row r="59" ht="13" customFormat="1" customHeight="1" s="203"/>
    <row r="60" ht="13" customFormat="1" customHeight="1" s="203"/>
    <row r="61" ht="13" customFormat="1" customHeight="1" s="203"/>
    <row r="62" ht="13" customFormat="1" customHeight="1" s="203"/>
    <row r="63" ht="13" customFormat="1" customHeight="1" s="203"/>
    <row r="64" ht="13" customFormat="1" customHeight="1" s="203"/>
    <row r="65" ht="13" customFormat="1" customHeight="1" s="203"/>
    <row r="66" ht="13" customFormat="1" customHeight="1" s="203"/>
    <row r="67" ht="13" customFormat="1" customHeight="1" s="203"/>
    <row r="68" ht="13" customFormat="1" customHeight="1" s="203"/>
    <row r="69" ht="13" customFormat="1" customHeight="1" s="203"/>
    <row r="70" ht="13" customFormat="1" customHeight="1" s="203"/>
    <row r="71" ht="13" customFormat="1" customHeight="1" s="203"/>
    <row r="72" ht="13" customFormat="1" customHeight="1" s="203"/>
    <row r="73" ht="13" customFormat="1" customHeight="1" s="203"/>
    <row r="74" ht="13" customFormat="1" customHeight="1" s="203"/>
    <row r="75" ht="13" customFormat="1" customHeight="1" s="203"/>
    <row r="76" ht="13" customFormat="1" customHeight="1" s="203"/>
    <row r="77" ht="13" customFormat="1" customHeight="1" s="203"/>
    <row r="78" ht="13" customFormat="1" customHeight="1" s="203"/>
    <row r="79" ht="13" customFormat="1" customHeight="1" s="203"/>
    <row r="80" ht="13" customFormat="1" customHeight="1" s="203"/>
    <row r="81" ht="13" customFormat="1" customHeight="1" s="203"/>
    <row r="82" ht="13" customFormat="1" customHeight="1" s="203"/>
    <row r="83" ht="13" customFormat="1" customHeight="1" s="203"/>
    <row r="84" ht="13" customFormat="1" customHeight="1" s="203"/>
    <row r="85" ht="13" customFormat="1" customHeight="1" s="203"/>
    <row r="86" ht="13" customFormat="1" customHeight="1" s="203"/>
    <row r="87" ht="13" customFormat="1" customHeight="1" s="203"/>
    <row r="88" ht="13" customFormat="1" customHeight="1" s="203"/>
    <row r="89" ht="13" customFormat="1" customHeight="1" s="203"/>
    <row r="90" ht="13" customFormat="1" customHeight="1" s="203"/>
    <row r="91" ht="13" customFormat="1" customHeight="1" s="203"/>
    <row r="92" ht="13" customFormat="1" customHeight="1" s="203"/>
    <row r="93" ht="13" customFormat="1" customHeight="1" s="203"/>
    <row r="94" ht="13" customFormat="1" customHeight="1" s="203"/>
    <row r="95" ht="13" customFormat="1" customHeight="1" s="203"/>
    <row r="96" ht="13" customFormat="1" customHeight="1" s="203"/>
    <row r="97" ht="13" customFormat="1" customHeight="1" s="203"/>
    <row r="98" ht="13" customFormat="1" customHeight="1" s="203"/>
    <row r="99" ht="13" customFormat="1" customHeight="1" s="203"/>
    <row r="100" ht="13" customFormat="1" customHeight="1" s="203"/>
    <row r="101" ht="13" customFormat="1" customHeight="1" s="203"/>
    <row r="102" ht="13" customFormat="1" customHeight="1" s="203"/>
    <row r="103" ht="13" customFormat="1" customHeight="1" s="203"/>
    <row r="104" ht="13" customFormat="1" customHeight="1" s="203"/>
    <row r="105" ht="13" customFormat="1" customHeight="1" s="203"/>
    <row r="106" ht="13" customFormat="1" customHeight="1" s="203"/>
    <row r="107" ht="13" customFormat="1" customHeight="1" s="203"/>
    <row r="108" ht="13" customFormat="1" customHeight="1" s="203"/>
    <row r="109" ht="13" customFormat="1" customHeight="1" s="203"/>
    <row r="110" ht="13" customFormat="1" customHeight="1" s="203"/>
    <row r="111" ht="13" customFormat="1" customHeight="1" s="203"/>
    <row r="112" ht="13" customFormat="1" customHeight="1" s="203"/>
    <row r="113" ht="13" customFormat="1" customHeight="1" s="203"/>
    <row r="114" ht="13" customFormat="1" customHeight="1" s="203"/>
    <row r="115" ht="13" customFormat="1" customHeight="1" s="203"/>
    <row r="116" ht="13" customFormat="1" customHeight="1" s="203"/>
    <row r="117" ht="13" customFormat="1" customHeight="1" s="203"/>
    <row r="118" ht="13" customFormat="1" customHeight="1" s="203"/>
    <row r="119" ht="13" customFormat="1" customHeight="1" s="203"/>
    <row r="120" ht="13" customFormat="1" customHeight="1" s="203"/>
    <row r="121" ht="13" customFormat="1" customHeight="1" s="203"/>
    <row r="122" ht="13" customFormat="1" customHeight="1" s="203"/>
    <row r="123" ht="13" customFormat="1" customHeight="1" s="203"/>
    <row r="124" ht="13" customFormat="1" customHeight="1" s="203"/>
    <row r="125" ht="13" customFormat="1" customHeight="1" s="203"/>
    <row r="126" ht="13" customFormat="1" customHeight="1" s="203"/>
    <row r="127" ht="13" customFormat="1" customHeight="1" s="203"/>
    <row r="128" ht="13" customFormat="1" customHeight="1" s="203"/>
    <row r="129" ht="13" customFormat="1" customHeight="1" s="203"/>
    <row r="130" ht="13" customFormat="1" customHeight="1" s="203"/>
    <row r="131" ht="13" customFormat="1" customHeight="1" s="203"/>
    <row r="132" ht="13" customFormat="1" customHeight="1" s="203"/>
    <row r="133" ht="13" customFormat="1" customHeight="1" s="203"/>
    <row r="134" ht="13" customFormat="1" customHeight="1" s="203"/>
    <row r="135" ht="13" customFormat="1" customHeight="1" s="203"/>
    <row r="136" ht="13" customFormat="1" customHeight="1" s="203"/>
    <row r="137" ht="13" customFormat="1" customHeight="1" s="203"/>
    <row r="138" ht="13" customFormat="1" customHeight="1" s="203"/>
    <row r="139" ht="13" customFormat="1" customHeight="1" s="203"/>
    <row r="140" ht="13" customFormat="1" customHeight="1" s="203"/>
    <row r="141" ht="13" customFormat="1" customHeight="1" s="203"/>
    <row r="142" ht="13" customFormat="1" customHeight="1" s="203"/>
    <row r="143" ht="13" customFormat="1" customHeight="1" s="203"/>
    <row r="144" ht="13" customFormat="1" customHeight="1" s="203"/>
    <row r="145" ht="13" customFormat="1" customHeight="1" s="203"/>
    <row r="146" ht="13" customFormat="1" customHeight="1" s="203"/>
    <row r="147" ht="13" customFormat="1" customHeight="1" s="203"/>
    <row r="148" ht="13" customFormat="1" customHeight="1" s="203"/>
    <row r="149" ht="13" customFormat="1" customHeight="1" s="203"/>
    <row r="150" ht="13" customFormat="1" customHeight="1" s="203"/>
    <row r="151" ht="13" customFormat="1" customHeight="1" s="203"/>
    <row r="152" ht="13" customFormat="1" customHeight="1" s="203"/>
    <row r="153" ht="13" customFormat="1" customHeight="1" s="203"/>
    <row r="154" ht="13" customFormat="1" customHeight="1" s="203"/>
    <row r="155" ht="13" customFormat="1" customHeight="1" s="203"/>
    <row r="156" ht="13" customFormat="1" customHeight="1" s="203"/>
    <row r="157" ht="13" customFormat="1" customHeight="1" s="203"/>
    <row r="158" ht="13" customFormat="1" customHeight="1" s="203"/>
    <row r="159" ht="13" customFormat="1" customHeight="1" s="203"/>
    <row r="160" ht="13" customFormat="1" customHeight="1" s="203"/>
    <row r="161" ht="13" customFormat="1" customHeight="1" s="203"/>
    <row r="162" ht="13" customFormat="1" customHeight="1" s="203"/>
    <row r="163" ht="13" customFormat="1" customHeight="1" s="203"/>
    <row r="164" ht="13" customFormat="1" customHeight="1" s="203"/>
    <row r="165" ht="13" customFormat="1" customHeight="1" s="203"/>
    <row r="166" ht="13" customFormat="1" customHeight="1" s="203"/>
    <row r="167" ht="13" customFormat="1" customHeight="1" s="203"/>
    <row r="168" ht="13" customFormat="1" customHeight="1" s="203"/>
    <row r="169" ht="13" customFormat="1" customHeight="1" s="203"/>
    <row r="170" ht="13" customFormat="1" customHeight="1" s="203"/>
    <row r="171" ht="13" customFormat="1" customHeight="1" s="203"/>
    <row r="172" ht="13" customFormat="1" customHeight="1" s="203"/>
    <row r="173" ht="13" customFormat="1" customHeight="1" s="203"/>
    <row r="174" ht="13" customFormat="1" customHeight="1" s="203"/>
    <row r="175" ht="13" customFormat="1" customHeight="1" s="203"/>
    <row r="176" ht="13" customFormat="1" customHeight="1" s="203"/>
    <row r="177" ht="13" customFormat="1" customHeight="1" s="203"/>
    <row r="178" ht="13" customFormat="1" customHeight="1" s="203"/>
    <row r="179" ht="13" customFormat="1" customHeight="1" s="203"/>
    <row r="180" ht="13" customFormat="1" customHeight="1" s="203"/>
    <row r="181" ht="13" customFormat="1" customHeight="1" s="203"/>
    <row r="182" ht="13" customFormat="1" customHeight="1" s="203"/>
    <row r="183" ht="13" customFormat="1" customHeight="1" s="203"/>
    <row r="184" ht="13" customFormat="1" customHeight="1" s="203"/>
    <row r="185" ht="13" customFormat="1" customHeight="1" s="203"/>
    <row r="186" ht="13" customFormat="1" customHeight="1" s="203"/>
    <row r="187" ht="13" customFormat="1" customHeight="1" s="203"/>
    <row r="188" ht="13" customFormat="1" customHeight="1" s="203"/>
    <row r="189" ht="13" customFormat="1" customHeight="1" s="203"/>
    <row r="190" ht="13" customFormat="1" customHeight="1" s="203"/>
    <row r="191" ht="13" customFormat="1" customHeight="1" s="203"/>
    <row r="192" ht="13" customFormat="1" customHeight="1" s="203"/>
    <row r="193" ht="13" customFormat="1" customHeight="1" s="203"/>
    <row r="194" ht="13" customFormat="1" customHeight="1" s="203"/>
    <row r="195" ht="13" customFormat="1" customHeight="1" s="203"/>
    <row r="196" ht="13" customFormat="1" customHeight="1" s="203"/>
    <row r="197" ht="13" customFormat="1" customHeight="1" s="203"/>
    <row r="198" ht="13" customFormat="1" customHeight="1" s="203"/>
    <row r="199" ht="13" customFormat="1" customHeight="1" s="203"/>
    <row r="200" ht="13" customFormat="1" customHeight="1" s="203"/>
    <row r="201" ht="13" customFormat="1" customHeight="1" s="203"/>
    <row r="202" ht="13" customFormat="1" customHeight="1" s="203"/>
    <row r="203" ht="13" customFormat="1" customHeight="1" s="203"/>
    <row r="204" ht="13" customFormat="1" customHeight="1" s="203"/>
    <row r="205" ht="13" customFormat="1" customHeight="1" s="203"/>
    <row r="206" ht="13" customFormat="1" customHeight="1" s="203"/>
    <row r="207" ht="13" customFormat="1" customHeight="1" s="203"/>
    <row r="208" ht="13" customFormat="1" customHeight="1" s="203"/>
    <row r="209" ht="13" customFormat="1" customHeight="1" s="203"/>
    <row r="210" ht="13" customFormat="1" customHeight="1" s="203"/>
    <row r="211" ht="13" customFormat="1" customHeight="1" s="203"/>
    <row r="212" ht="13" customFormat="1" customHeight="1" s="203"/>
    <row r="213" ht="13" customFormat="1" customHeight="1" s="203"/>
    <row r="214" ht="13" customFormat="1" customHeight="1" s="203"/>
    <row r="215" ht="13" customFormat="1" customHeight="1" s="203"/>
    <row r="216" ht="13" customFormat="1" customHeight="1" s="203"/>
    <row r="217" ht="13" customFormat="1" customHeight="1" s="203"/>
    <row r="218" ht="13" customFormat="1" customHeight="1" s="203"/>
    <row r="219" ht="13" customFormat="1" customHeight="1" s="203"/>
    <row r="220" ht="13" customFormat="1" customHeight="1" s="203"/>
    <row r="221" ht="13" customFormat="1" customHeight="1" s="203"/>
    <row r="222" ht="13" customFormat="1" customHeight="1" s="203"/>
    <row r="223" ht="13" customFormat="1" customHeight="1" s="203"/>
    <row r="224" ht="13" customFormat="1" customHeight="1" s="203"/>
    <row r="225" ht="13" customFormat="1" customHeight="1" s="203"/>
    <row r="226" ht="13" customFormat="1" customHeight="1" s="203"/>
    <row r="227" ht="13" customFormat="1" customHeight="1" s="203"/>
    <row r="228" ht="13" customFormat="1" customHeight="1" s="203"/>
    <row r="229" ht="13" customFormat="1" customHeight="1" s="203"/>
    <row r="230" ht="13" customFormat="1" customHeight="1" s="203"/>
    <row r="231" ht="13" customFormat="1" customHeight="1" s="203"/>
    <row r="232" ht="13" customFormat="1" customHeight="1" s="203"/>
    <row r="233" ht="13" customFormat="1" customHeight="1" s="203"/>
    <row r="234" ht="13" customFormat="1" customHeight="1" s="203"/>
    <row r="235" ht="13" customFormat="1" customHeight="1" s="203"/>
    <row r="236" ht="13" customFormat="1" customHeight="1" s="203"/>
    <row r="237" ht="13" customFormat="1" customHeight="1" s="203"/>
    <row r="238" ht="13" customFormat="1" customHeight="1" s="203"/>
    <row r="239" ht="13" customFormat="1" customHeight="1" s="203"/>
    <row r="240" ht="13" customFormat="1" customHeight="1" s="203"/>
    <row r="241" ht="13" customFormat="1" customHeight="1" s="203"/>
    <row r="242" ht="13" customFormat="1" customHeight="1" s="203"/>
    <row r="243" ht="13" customFormat="1" customHeight="1" s="203"/>
    <row r="244" ht="13" customFormat="1" customHeight="1" s="203"/>
    <row r="245" ht="13" customFormat="1" customHeight="1" s="203"/>
    <row r="246" ht="13" customFormat="1" customHeight="1" s="203"/>
    <row r="247" ht="13" customFormat="1" customHeight="1" s="203"/>
    <row r="248" ht="13" customFormat="1" customHeight="1" s="203"/>
    <row r="249" ht="13" customFormat="1" customHeight="1" s="203"/>
    <row r="250" ht="13" customFormat="1" customHeight="1" s="203"/>
    <row r="251" ht="13" customFormat="1" customHeight="1" s="203"/>
    <row r="252" ht="13" customFormat="1" customHeight="1" s="203"/>
    <row r="253" ht="13" customFormat="1" customHeight="1" s="203"/>
    <row r="254" ht="13" customFormat="1" customHeight="1" s="203"/>
    <row r="255" ht="13" customFormat="1" customHeight="1" s="203"/>
    <row r="256" ht="13" customFormat="1" customHeight="1" s="203"/>
    <row r="257" ht="13" customFormat="1" customHeight="1" s="203"/>
    <row r="258" ht="13" customFormat="1" customHeight="1" s="203"/>
    <row r="259" ht="13" customFormat="1" customHeight="1" s="203"/>
    <row r="260" ht="13" customFormat="1" customHeight="1" s="203"/>
    <row r="261" ht="13" customFormat="1" customHeight="1" s="203"/>
    <row r="262" ht="13" customFormat="1" customHeight="1" s="203"/>
    <row r="263" ht="13" customFormat="1" customHeight="1" s="203"/>
    <row r="264" ht="13" customFormat="1" customHeight="1" s="203"/>
    <row r="265" ht="13" customFormat="1" customHeight="1" s="203"/>
    <row r="266" ht="13" customFormat="1" customHeight="1" s="203"/>
    <row r="267" ht="13" customFormat="1" customHeight="1" s="203"/>
    <row r="268" ht="13" customFormat="1" customHeight="1" s="203"/>
    <row r="269" ht="13" customFormat="1" customHeight="1" s="203"/>
    <row r="270" ht="13" customFormat="1" customHeight="1" s="203"/>
    <row r="271" ht="13" customFormat="1" customHeight="1" s="203"/>
    <row r="272" ht="13" customFormat="1" customHeight="1" s="203"/>
    <row r="273" ht="13" customFormat="1" customHeight="1" s="203"/>
    <row r="274" ht="13" customFormat="1" customHeight="1" s="203"/>
    <row r="275" ht="13" customFormat="1" customHeight="1" s="203"/>
    <row r="276" ht="13" customFormat="1" customHeight="1" s="203"/>
    <row r="277" ht="13" customFormat="1" customHeight="1" s="203"/>
    <row r="278" ht="13" customFormat="1" customHeight="1" s="203"/>
    <row r="279" ht="13" customFormat="1" customHeight="1" s="203"/>
    <row r="280" ht="13" customFormat="1" customHeight="1" s="203"/>
    <row r="281" ht="13" customFormat="1" customHeight="1" s="203"/>
    <row r="282" ht="13" customFormat="1" customHeight="1" s="203"/>
    <row r="283" ht="13" customFormat="1" customHeight="1" s="203"/>
    <row r="284" ht="13" customFormat="1" customHeight="1" s="203"/>
    <row r="285" ht="13" customFormat="1" customHeight="1" s="203"/>
    <row r="286" ht="13" customFormat="1" customHeight="1" s="203"/>
    <row r="287" ht="13" customFormat="1" customHeight="1" s="203"/>
    <row r="288" ht="13" customFormat="1" customHeight="1" s="203"/>
    <row r="289" ht="13" customFormat="1" customHeight="1" s="203"/>
    <row r="290" ht="13" customFormat="1" customHeight="1" s="203"/>
    <row r="291" ht="13" customFormat="1" customHeight="1" s="203"/>
    <row r="292" ht="13" customFormat="1" customHeight="1" s="203"/>
    <row r="293" ht="13" customFormat="1" customHeight="1" s="203"/>
    <row r="294" ht="13" customFormat="1" customHeight="1" s="203"/>
    <row r="295" ht="13" customFormat="1" customHeight="1" s="203"/>
    <row r="296" ht="13" customFormat="1" customHeight="1" s="203"/>
    <row r="297" ht="13" customFormat="1" customHeight="1" s="203"/>
    <row r="298" ht="13" customFormat="1" customHeight="1" s="203"/>
    <row r="299" ht="13" customFormat="1" customHeight="1" s="203"/>
    <row r="300" ht="13" customFormat="1" customHeight="1" s="203"/>
    <row r="301" ht="13" customFormat="1" customHeight="1" s="203"/>
    <row r="302" ht="13" customFormat="1" customHeight="1" s="203"/>
    <row r="303" ht="13" customFormat="1" customHeight="1" s="203"/>
    <row r="304" ht="13" customFormat="1" customHeight="1" s="203"/>
    <row r="305" ht="13" customFormat="1" customHeight="1" s="203"/>
    <row r="306" ht="13" customFormat="1" customHeight="1" s="203"/>
    <row r="307" ht="13" customFormat="1" customHeight="1" s="203"/>
    <row r="308" ht="13" customFormat="1" customHeight="1" s="203"/>
    <row r="309" ht="13" customFormat="1" customHeight="1" s="203"/>
    <row r="310" ht="13" customFormat="1" customHeight="1" s="203"/>
    <row r="311" ht="13" customFormat="1" customHeight="1" s="203"/>
    <row r="312" ht="13" customFormat="1" customHeight="1" s="203"/>
    <row r="313" ht="13" customFormat="1" customHeight="1" s="203"/>
    <row r="314" ht="13" customFormat="1" customHeight="1" s="203"/>
    <row r="315" ht="13" customFormat="1" customHeight="1" s="203"/>
    <row r="316" ht="13" customFormat="1" customHeight="1" s="203"/>
    <row r="317" ht="13" customFormat="1" customHeight="1" s="203"/>
    <row r="318" ht="13" customFormat="1" customHeight="1" s="203"/>
    <row r="319" ht="13" customFormat="1" customHeight="1" s="203"/>
    <row r="320" ht="13" customFormat="1" customHeight="1" s="203"/>
    <row r="321" ht="13" customFormat="1" customHeight="1" s="203"/>
    <row r="322" ht="13" customFormat="1" customHeight="1" s="203"/>
    <row r="323" ht="13" customFormat="1" customHeight="1" s="203"/>
    <row r="324" ht="13" customFormat="1" customHeight="1" s="203"/>
    <row r="325" ht="13" customFormat="1" customHeight="1" s="203"/>
    <row r="326" ht="13" customFormat="1" customHeight="1" s="203"/>
    <row r="327" ht="13" customFormat="1" customHeight="1" s="203"/>
    <row r="328" ht="13" customFormat="1" customHeight="1" s="203"/>
    <row r="329" ht="13" customFormat="1" customHeight="1" s="203"/>
    <row r="330" ht="13" customFormat="1" customHeight="1" s="203"/>
    <row r="331" ht="13" customFormat="1" customHeight="1" s="203"/>
    <row r="332" ht="13" customFormat="1" customHeight="1" s="203"/>
    <row r="333" ht="13" customFormat="1" customHeight="1" s="203"/>
    <row r="334" ht="13" customFormat="1" customHeight="1" s="203"/>
    <row r="335" ht="13" customFormat="1" customHeight="1" s="203"/>
    <row r="336" ht="13" customFormat="1" customHeight="1" s="203"/>
    <row r="337" ht="13" customFormat="1" customHeight="1" s="203"/>
    <row r="338" ht="13" customFormat="1" customHeight="1" s="203"/>
    <row r="339" ht="13" customFormat="1" customHeight="1" s="203"/>
    <row r="340" ht="13" customFormat="1" customHeight="1" s="203"/>
    <row r="341" ht="13" customFormat="1" customHeight="1" s="203"/>
    <row r="342" ht="13" customFormat="1" customHeight="1" s="203"/>
    <row r="343" ht="13" customFormat="1" customHeight="1" s="203"/>
    <row r="344" ht="13" customFormat="1" customHeight="1" s="203"/>
    <row r="345" ht="13" customFormat="1" customHeight="1" s="203"/>
    <row r="346" ht="13" customFormat="1" customHeight="1" s="203"/>
    <row r="347" ht="13" customFormat="1" customHeight="1" s="203"/>
    <row r="348" ht="13" customFormat="1" customHeight="1" s="203"/>
    <row r="349" ht="13" customFormat="1" customHeight="1" s="203"/>
    <row r="350" ht="13" customFormat="1" customHeight="1" s="203"/>
    <row r="351" ht="13" customFormat="1" customHeight="1" s="203"/>
    <row r="352" ht="13" customFormat="1" customHeight="1" s="203"/>
    <row r="353" ht="13" customFormat="1" customHeight="1" s="203"/>
    <row r="354" ht="13" customFormat="1" customHeight="1" s="203"/>
    <row r="355" ht="13" customFormat="1" customHeight="1" s="203"/>
    <row r="356" ht="13" customFormat="1" customHeight="1" s="203"/>
    <row r="357" ht="13" customFormat="1" customHeight="1" s="203"/>
    <row r="358" ht="13" customFormat="1" customHeight="1" s="203"/>
    <row r="359" ht="13" customFormat="1" customHeight="1" s="203"/>
    <row r="360" ht="13" customFormat="1" customHeight="1" s="203"/>
    <row r="361" ht="13" customFormat="1" customHeight="1" s="203"/>
    <row r="362" ht="13" customFormat="1" customHeight="1" s="203"/>
    <row r="363" ht="13" customFormat="1" customHeight="1" s="203"/>
    <row r="364" ht="13" customFormat="1" customHeight="1" s="203"/>
    <row r="365" ht="13" customFormat="1" customHeight="1" s="203"/>
    <row r="366" ht="13" customFormat="1" customHeight="1" s="203"/>
    <row r="367" ht="13" customFormat="1" customHeight="1" s="203"/>
    <row r="368" ht="13" customFormat="1" customHeight="1" s="203"/>
    <row r="369" ht="13" customFormat="1" customHeight="1" s="203"/>
    <row r="370" ht="13" customFormat="1" customHeight="1" s="203"/>
    <row r="371" ht="13" customFormat="1" customHeight="1" s="203"/>
    <row r="372" ht="13" customFormat="1" customHeight="1" s="203"/>
    <row r="373" ht="13" customFormat="1" customHeight="1" s="203"/>
    <row r="374" ht="13" customFormat="1" customHeight="1" s="203"/>
    <row r="375" ht="13" customFormat="1" customHeight="1" s="203"/>
    <row r="376" ht="13" customFormat="1" customHeight="1" s="203"/>
    <row r="377" ht="13" customFormat="1" customHeight="1" s="203"/>
    <row r="378" ht="13" customFormat="1" customHeight="1" s="203"/>
    <row r="379" ht="13" customFormat="1" customHeight="1" s="203"/>
    <row r="380" ht="13" customFormat="1" customHeight="1" s="203"/>
    <row r="381" ht="13" customFormat="1" customHeight="1" s="203"/>
    <row r="382" ht="13" customFormat="1" customHeight="1" s="203"/>
    <row r="383" ht="13" customFormat="1" customHeight="1" s="203"/>
    <row r="384" ht="13" customFormat="1" customHeight="1" s="203"/>
    <row r="385" ht="13" customFormat="1" customHeight="1" s="203"/>
    <row r="386" ht="13" customFormat="1" customHeight="1" s="203"/>
    <row r="387" ht="13" customFormat="1" customHeight="1" s="203"/>
    <row r="388" ht="13" customFormat="1" customHeight="1" s="203"/>
    <row r="389" ht="13" customFormat="1" customHeight="1" s="203"/>
    <row r="390" ht="13" customFormat="1" customHeight="1" s="203"/>
    <row r="391" ht="13" customFormat="1" customHeight="1" s="203"/>
    <row r="392" ht="13" customFormat="1" customHeight="1" s="203"/>
    <row r="393" ht="13" customFormat="1" customHeight="1" s="203"/>
    <row r="394" ht="13" customFormat="1" customHeight="1" s="203"/>
    <row r="395" ht="13" customFormat="1" customHeight="1" s="203"/>
    <row r="396" ht="13" customFormat="1" customHeight="1" s="203"/>
    <row r="397" ht="13" customFormat="1" customHeight="1" s="203"/>
    <row r="398" ht="13" customFormat="1" customHeight="1" s="203"/>
    <row r="399" ht="13" customFormat="1" customHeight="1" s="203"/>
    <row r="400" ht="13" customFormat="1" customHeight="1" s="203"/>
    <row r="401" ht="13" customFormat="1" customHeight="1" s="203"/>
    <row r="402" ht="13" customFormat="1" customHeight="1" s="203"/>
    <row r="403" ht="13" customFormat="1" customHeight="1" s="203"/>
    <row r="404" ht="13" customFormat="1" customHeight="1" s="203"/>
    <row r="405" ht="13" customFormat="1" customHeight="1" s="203"/>
    <row r="406" ht="13" customFormat="1" customHeight="1" s="203"/>
    <row r="407" ht="13" customFormat="1" customHeight="1" s="203"/>
    <row r="408" ht="13" customFormat="1" customHeight="1" s="203"/>
    <row r="409" ht="13" customFormat="1" customHeight="1" s="203"/>
    <row r="410" ht="13" customFormat="1" customHeight="1" s="203"/>
    <row r="411" ht="13" customFormat="1" customHeight="1" s="203"/>
    <row r="412" ht="13" customFormat="1" customHeight="1" s="203"/>
    <row r="413" ht="13" customFormat="1" customHeight="1" s="203"/>
    <row r="414" ht="13" customFormat="1" customHeight="1" s="203"/>
    <row r="415" ht="13" customFormat="1" customHeight="1" s="203"/>
    <row r="416" ht="13" customFormat="1" customHeight="1" s="203"/>
    <row r="417" ht="13" customFormat="1" customHeight="1" s="203"/>
    <row r="418" ht="13" customFormat="1" customHeight="1" s="203"/>
    <row r="419" ht="13" customFormat="1" customHeight="1" s="203"/>
    <row r="420" ht="13" customFormat="1" customHeight="1" s="203"/>
    <row r="421" ht="13" customFormat="1" customHeight="1" s="203"/>
    <row r="422" ht="13" customFormat="1" customHeight="1" s="203"/>
    <row r="423" ht="13" customFormat="1" customHeight="1" s="203"/>
    <row r="424" ht="13" customFormat="1" customHeight="1" s="203"/>
    <row r="425" ht="13" customFormat="1" customHeight="1" s="203"/>
    <row r="426" ht="13" customFormat="1" customHeight="1" s="203"/>
    <row r="427" ht="13" customFormat="1" customHeight="1" s="203"/>
    <row r="428" ht="13" customFormat="1" customHeight="1" s="203"/>
    <row r="429" ht="13" customFormat="1" customHeight="1" s="203"/>
    <row r="430" ht="13" customFormat="1" customHeight="1" s="203"/>
    <row r="431" ht="13" customFormat="1" customHeight="1" s="203"/>
    <row r="432" ht="13" customFormat="1" customHeight="1" s="203"/>
    <row r="433" ht="13" customFormat="1" customHeight="1" s="203"/>
    <row r="434" ht="13" customFormat="1" customHeight="1" s="203"/>
    <row r="435" ht="13" customFormat="1" customHeight="1" s="203"/>
    <row r="436" ht="13" customFormat="1" customHeight="1" s="203"/>
    <row r="437" ht="13" customFormat="1" customHeight="1" s="203"/>
    <row r="438" ht="13" customFormat="1" customHeight="1" s="203"/>
    <row r="439" ht="13" customFormat="1" customHeight="1" s="203"/>
    <row r="440" ht="13" customFormat="1" customHeight="1" s="203"/>
    <row r="441" ht="13" customFormat="1" customHeight="1" s="203"/>
    <row r="442" ht="13" customFormat="1" customHeight="1" s="203"/>
    <row r="443" ht="13" customFormat="1" customHeight="1" s="203"/>
    <row r="444" ht="13" customFormat="1" customHeight="1" s="203"/>
    <row r="445" ht="13" customFormat="1" customHeight="1" s="203"/>
    <row r="446" ht="13" customFormat="1" customHeight="1" s="203"/>
    <row r="447" ht="13" customFormat="1" customHeight="1" s="203"/>
    <row r="448" ht="13" customFormat="1" customHeight="1" s="203"/>
    <row r="449" ht="13" customFormat="1" customHeight="1" s="203"/>
    <row r="450" ht="13" customFormat="1" customHeight="1" s="203"/>
    <row r="451" ht="13" customFormat="1" customHeight="1" s="203"/>
    <row r="452" ht="13" customFormat="1" customHeight="1" s="203"/>
    <row r="453" ht="13" customFormat="1" customHeight="1" s="203"/>
    <row r="454" ht="13" customFormat="1" customHeight="1" s="203"/>
    <row r="455" ht="13" customFormat="1" customHeight="1" s="203"/>
    <row r="456" ht="13" customFormat="1" customHeight="1" s="203"/>
    <row r="457" ht="13" customFormat="1" customHeight="1" s="203"/>
    <row r="458" ht="13" customFormat="1" customHeight="1" s="203"/>
    <row r="459" ht="13" customFormat="1" customHeight="1" s="203"/>
    <row r="460" ht="13" customFormat="1" customHeight="1" s="203"/>
    <row r="461" ht="13" customFormat="1" customHeight="1" s="203"/>
    <row r="462" ht="13" customFormat="1" customHeight="1" s="203"/>
    <row r="463" ht="13" customFormat="1" customHeight="1" s="203"/>
    <row r="464" ht="13" customFormat="1" customHeight="1" s="203"/>
    <row r="465" ht="13" customFormat="1" customHeight="1" s="203"/>
    <row r="466" ht="13" customFormat="1" customHeight="1" s="203"/>
    <row r="467" ht="13" customFormat="1" customHeight="1" s="203"/>
    <row r="468" ht="13" customFormat="1" customHeight="1" s="203"/>
    <row r="469" ht="13" customFormat="1" customHeight="1" s="203"/>
    <row r="470" ht="13" customFormat="1" customHeight="1" s="203"/>
    <row r="471" ht="13" customFormat="1" customHeight="1" s="203"/>
    <row r="472" ht="13" customFormat="1" customHeight="1" s="203"/>
    <row r="473" ht="13" customFormat="1" customHeight="1" s="203"/>
    <row r="474" ht="13" customFormat="1" customHeight="1" s="203"/>
    <row r="475" ht="13" customFormat="1" customHeight="1" s="203"/>
    <row r="476" ht="13" customFormat="1" customHeight="1" s="203"/>
    <row r="477" ht="13" customFormat="1" customHeight="1" s="203"/>
    <row r="478" ht="13" customFormat="1" customHeight="1" s="203"/>
    <row r="479" ht="13" customFormat="1" customHeight="1" s="203"/>
    <row r="480" ht="13" customFormat="1" customHeight="1" s="203"/>
    <row r="481" ht="13" customFormat="1" customHeight="1" s="203"/>
    <row r="482" ht="13" customFormat="1" customHeight="1" s="203"/>
    <row r="483" ht="13" customFormat="1" customHeight="1" s="203"/>
    <row r="484" ht="13" customFormat="1" customHeight="1" s="203"/>
    <row r="485" ht="13" customFormat="1" customHeight="1" s="203"/>
    <row r="486" ht="13" customFormat="1" customHeight="1" s="203"/>
    <row r="487" ht="13" customFormat="1" customHeight="1" s="203"/>
    <row r="488" ht="13" customFormat="1" customHeight="1" s="203"/>
    <row r="489" ht="13" customFormat="1" customHeight="1" s="203"/>
    <row r="490" ht="13" customFormat="1" customHeight="1" s="203"/>
    <row r="491" ht="13" customFormat="1" customHeight="1" s="203"/>
    <row r="492" ht="13" customFormat="1" customHeight="1" s="203"/>
    <row r="493" ht="13" customFormat="1" customHeight="1" s="203"/>
    <row r="494" ht="13" customFormat="1" customHeight="1" s="203"/>
    <row r="495" ht="13" customFormat="1" customHeight="1" s="203"/>
    <row r="496" ht="13" customFormat="1" customHeight="1" s="203"/>
    <row r="497" ht="13" customFormat="1" customHeight="1" s="203"/>
    <row r="498" ht="13" customFormat="1" customHeight="1" s="203"/>
    <row r="499" ht="13" customFormat="1" customHeight="1" s="203"/>
    <row r="500" ht="13" customFormat="1" customHeight="1" s="203"/>
    <row r="501" ht="13" customFormat="1" customHeight="1" s="203"/>
    <row r="502" ht="13" customFormat="1" customHeight="1" s="203"/>
    <row r="503" ht="13" customFormat="1" customHeight="1" s="203"/>
    <row r="504" ht="13" customFormat="1" customHeight="1" s="203"/>
    <row r="505" ht="13" customFormat="1" customHeight="1" s="203"/>
    <row r="506" ht="13" customFormat="1" customHeight="1" s="203"/>
    <row r="507" ht="13" customFormat="1" customHeight="1" s="203"/>
    <row r="508" ht="13" customFormat="1" customHeight="1" s="203"/>
    <row r="509" ht="13" customFormat="1" customHeight="1" s="203"/>
    <row r="510" ht="13" customFormat="1" customHeight="1" s="203"/>
    <row r="511" ht="13" customFormat="1" customHeight="1" s="203"/>
    <row r="512" ht="13" customFormat="1" customHeight="1" s="203"/>
    <row r="513" ht="13" customFormat="1" customHeight="1" s="203"/>
    <row r="514" ht="13" customFormat="1" customHeight="1" s="203"/>
    <row r="515" ht="13" customFormat="1" customHeight="1" s="203"/>
    <row r="516" ht="13" customFormat="1" customHeight="1" s="203"/>
    <row r="517" ht="13" customFormat="1" customHeight="1" s="203"/>
    <row r="518" ht="13" customFormat="1" customHeight="1" s="203"/>
    <row r="519" ht="13" customFormat="1" customHeight="1" s="203"/>
    <row r="520" ht="13" customFormat="1" customHeight="1" s="203"/>
    <row r="521" ht="13" customFormat="1" customHeight="1" s="203"/>
    <row r="522" ht="13" customFormat="1" customHeight="1" s="203"/>
    <row r="523" ht="13" customFormat="1" customHeight="1" s="203"/>
    <row r="524" ht="13" customFormat="1" customHeight="1" s="203"/>
    <row r="525" ht="13" customFormat="1" customHeight="1" s="203"/>
    <row r="526" ht="13" customFormat="1" customHeight="1" s="203"/>
    <row r="527" ht="13" customFormat="1" customHeight="1" s="203"/>
    <row r="528" ht="13" customFormat="1" customHeight="1" s="203"/>
    <row r="529" ht="13" customFormat="1" customHeight="1" s="203"/>
    <row r="530" ht="13" customFormat="1" customHeight="1" s="203"/>
    <row r="531" ht="13" customFormat="1" customHeight="1" s="203"/>
    <row r="532" ht="13" customFormat="1" customHeight="1" s="203"/>
    <row r="533" ht="13" customFormat="1" customHeight="1" s="203"/>
    <row r="534" ht="13" customFormat="1" customHeight="1" s="203"/>
    <row r="535" ht="13" customFormat="1" customHeight="1" s="203"/>
    <row r="536" ht="13" customFormat="1" customHeight="1" s="203"/>
    <row r="537" ht="13" customFormat="1" customHeight="1" s="203"/>
    <row r="538" ht="13" customFormat="1" customHeight="1" s="203"/>
    <row r="539" ht="13" customFormat="1" customHeight="1" s="203"/>
    <row r="540" ht="13" customFormat="1" customHeight="1" s="203"/>
    <row r="541" ht="13" customFormat="1" customHeight="1" s="203"/>
    <row r="542" ht="13" customFormat="1" customHeight="1" s="203"/>
    <row r="543" ht="13" customFormat="1" customHeight="1" s="203"/>
    <row r="544" ht="13" customFormat="1" customHeight="1" s="203"/>
    <row r="545" ht="13" customFormat="1" customHeight="1" s="203"/>
    <row r="546" ht="13" customFormat="1" customHeight="1" s="203"/>
    <row r="547" ht="13" customFormat="1" customHeight="1" s="203"/>
    <row r="548" ht="13" customFormat="1" customHeight="1" s="203"/>
    <row r="549" ht="13" customFormat="1" customHeight="1" s="203"/>
    <row r="550" ht="13" customFormat="1" customHeight="1" s="203"/>
    <row r="551" ht="13" customFormat="1" customHeight="1" s="203"/>
    <row r="552" ht="13" customFormat="1" customHeight="1" s="203"/>
    <row r="553" ht="13" customFormat="1" customHeight="1" s="203"/>
    <row r="554" ht="13" customFormat="1" customHeight="1" s="203"/>
    <row r="555" ht="13" customFormat="1" customHeight="1" s="203"/>
    <row r="556" ht="13" customFormat="1" customHeight="1" s="203"/>
    <row r="557" ht="13" customFormat="1" customHeight="1" s="203"/>
    <row r="558" ht="13" customFormat="1" customHeight="1" s="203"/>
    <row r="559" ht="13" customFormat="1" customHeight="1" s="203"/>
    <row r="560" ht="13" customFormat="1" customHeight="1" s="203"/>
    <row r="561" ht="13" customFormat="1" customHeight="1" s="203"/>
    <row r="562" ht="13" customFormat="1" customHeight="1" s="203"/>
    <row r="563" ht="13" customFormat="1" customHeight="1" s="203"/>
    <row r="564" ht="13" customFormat="1" customHeight="1" s="203"/>
    <row r="565" ht="13" customFormat="1" customHeight="1" s="203"/>
    <row r="566" ht="13" customFormat="1" customHeight="1" s="203"/>
    <row r="567" ht="13" customFormat="1" customHeight="1" s="203"/>
    <row r="568" ht="13" customFormat="1" customHeight="1" s="203"/>
    <row r="569" ht="13" customFormat="1" customHeight="1" s="203"/>
    <row r="570" ht="13" customFormat="1" customHeight="1" s="203"/>
    <row r="571" ht="13" customFormat="1" customHeight="1" s="203"/>
    <row r="572" ht="13" customFormat="1" customHeight="1" s="203"/>
    <row r="573" ht="13" customFormat="1" customHeight="1" s="203"/>
    <row r="574" ht="13" customFormat="1" customHeight="1" s="203"/>
    <row r="575" ht="13" customFormat="1" customHeight="1" s="203"/>
    <row r="576" ht="13" customFormat="1" customHeight="1" s="203"/>
    <row r="577" ht="13" customFormat="1" customHeight="1" s="203"/>
    <row r="578" ht="13" customFormat="1" customHeight="1" s="203"/>
    <row r="579" ht="13" customFormat="1" customHeight="1" s="203"/>
    <row r="580" ht="13" customFormat="1" customHeight="1" s="203"/>
    <row r="581" ht="13" customFormat="1" customHeight="1" s="203"/>
    <row r="582" ht="13" customFormat="1" customHeight="1" s="203"/>
    <row r="583" ht="13" customFormat="1" customHeight="1" s="203"/>
    <row r="584" ht="13" customFormat="1" customHeight="1" s="203"/>
    <row r="585" ht="13" customFormat="1" customHeight="1" s="203"/>
    <row r="586" ht="13" customFormat="1" customHeight="1" s="203"/>
    <row r="587" ht="13" customFormat="1" customHeight="1" s="203"/>
    <row r="588" ht="13" customFormat="1" customHeight="1" s="203"/>
    <row r="589" ht="13" customFormat="1" customHeight="1" s="203"/>
    <row r="590" ht="13" customFormat="1" customHeight="1" s="203"/>
    <row r="591" ht="13" customFormat="1" customHeight="1" s="203"/>
    <row r="592" ht="13" customFormat="1" customHeight="1" s="203"/>
    <row r="593" ht="13" customFormat="1" customHeight="1" s="203"/>
    <row r="594" ht="13" customFormat="1" customHeight="1" s="203"/>
    <row r="595" ht="13" customFormat="1" customHeight="1" s="203"/>
    <row r="596" ht="13" customFormat="1" customHeight="1" s="203"/>
    <row r="597" ht="13" customFormat="1" customHeight="1" s="203"/>
    <row r="598" ht="13" customFormat="1" customHeight="1" s="203"/>
    <row r="599" ht="13" customFormat="1" customHeight="1" s="203"/>
    <row r="600" ht="13" customFormat="1" customHeight="1" s="203"/>
    <row r="601" ht="13" customFormat="1" customHeight="1" s="203"/>
    <row r="602" ht="13" customFormat="1" customHeight="1" s="203"/>
    <row r="603" ht="13" customFormat="1" customHeight="1" s="203"/>
    <row r="604" ht="13" customFormat="1" customHeight="1" s="203"/>
    <row r="605" ht="13" customFormat="1" customHeight="1" s="203"/>
    <row r="606" ht="13" customFormat="1" customHeight="1" s="203"/>
    <row r="607" ht="13" customFormat="1" customHeight="1" s="203"/>
    <row r="608" ht="13" customFormat="1" customHeight="1" s="203"/>
    <row r="609" ht="13" customFormat="1" customHeight="1" s="203"/>
    <row r="610" ht="13" customFormat="1" customHeight="1" s="203"/>
    <row r="611" ht="13" customFormat="1" customHeight="1" s="203"/>
    <row r="612" ht="13" customFormat="1" customHeight="1" s="203"/>
    <row r="613" ht="13" customFormat="1" customHeight="1" s="203"/>
    <row r="614" ht="13" customFormat="1" customHeight="1" s="203"/>
    <row r="615" ht="13" customFormat="1" customHeight="1" s="203"/>
    <row r="616" ht="13" customFormat="1" customHeight="1" s="203"/>
    <row r="617" ht="13" customFormat="1" customHeight="1" s="203"/>
    <row r="618" ht="13" customFormat="1" customHeight="1" s="203"/>
    <row r="619" ht="13" customFormat="1" customHeight="1" s="203"/>
    <row r="620" ht="13" customFormat="1" customHeight="1" s="203"/>
    <row r="621" ht="13" customFormat="1" customHeight="1" s="203"/>
    <row r="622" ht="13" customFormat="1" customHeight="1" s="203"/>
    <row r="623" ht="13" customFormat="1" customHeight="1" s="203"/>
    <row r="624" ht="13" customFormat="1" customHeight="1" s="203"/>
    <row r="625" ht="13" customFormat="1" customHeight="1" s="203"/>
    <row r="626" ht="13" customFormat="1" customHeight="1" s="203"/>
    <row r="627" ht="13" customFormat="1" customHeight="1" s="203"/>
    <row r="628" ht="13" customFormat="1" customHeight="1" s="203"/>
    <row r="629" ht="13" customFormat="1" customHeight="1" s="203"/>
    <row r="630" ht="13" customFormat="1" customHeight="1" s="203"/>
    <row r="631" ht="13" customFormat="1" customHeight="1" s="203"/>
    <row r="632" ht="13" customFormat="1" customHeight="1" s="203"/>
    <row r="633" ht="13" customFormat="1" customHeight="1" s="203"/>
    <row r="634" ht="13" customFormat="1" customHeight="1" s="203"/>
    <row r="635" ht="13" customFormat="1" customHeight="1" s="203"/>
    <row r="636" ht="13" customFormat="1" customHeight="1" s="203"/>
    <row r="637" ht="13" customFormat="1" customHeight="1" s="203"/>
    <row r="638" ht="13" customFormat="1" customHeight="1" s="203"/>
    <row r="639" ht="13" customFormat="1" customHeight="1" s="203"/>
    <row r="640" ht="13" customFormat="1" customHeight="1" s="203"/>
    <row r="641" ht="13" customFormat="1" customHeight="1" s="203"/>
    <row r="642" ht="13" customFormat="1" customHeight="1" s="203"/>
    <row r="643" ht="13" customFormat="1" customHeight="1" s="203"/>
    <row r="644" ht="13" customFormat="1" customHeight="1" s="203"/>
    <row r="645" ht="13" customFormat="1" customHeight="1" s="203"/>
    <row r="646" ht="13" customFormat="1" customHeight="1" s="203"/>
    <row r="647" ht="13" customFormat="1" customHeight="1" s="203"/>
    <row r="648" ht="13" customFormat="1" customHeight="1" s="203"/>
    <row r="649" ht="13" customFormat="1" customHeight="1" s="203"/>
    <row r="650" ht="13" customFormat="1" customHeight="1" s="203"/>
    <row r="651" ht="13" customFormat="1" customHeight="1" s="203"/>
    <row r="652" ht="13" customFormat="1" customHeight="1" s="203"/>
    <row r="653" ht="13" customFormat="1" customHeight="1" s="203"/>
    <row r="654" ht="13" customFormat="1" customHeight="1" s="203"/>
    <row r="655" ht="13" customFormat="1" customHeight="1" s="203"/>
    <row r="656" ht="13" customFormat="1" customHeight="1" s="203"/>
    <row r="657" ht="13" customFormat="1" customHeight="1" s="203"/>
    <row r="658" ht="13" customFormat="1" customHeight="1" s="203"/>
    <row r="659" ht="13" customFormat="1" customHeight="1" s="203"/>
    <row r="660" ht="13" customFormat="1" customHeight="1" s="203"/>
    <row r="661" ht="13" customFormat="1" customHeight="1" s="203"/>
    <row r="662" ht="13" customFormat="1" customHeight="1" s="203"/>
    <row r="663" ht="13" customFormat="1" customHeight="1" s="203"/>
    <row r="664" ht="13" customFormat="1" customHeight="1" s="203"/>
    <row r="665" ht="13" customFormat="1" customHeight="1" s="203"/>
    <row r="666" ht="13" customFormat="1" customHeight="1" s="203"/>
    <row r="667" ht="13" customFormat="1" customHeight="1" s="203"/>
    <row r="668" ht="13" customFormat="1" customHeight="1" s="203"/>
    <row r="669" ht="13" customFormat="1" customHeight="1" s="203"/>
    <row r="670" ht="13" customFormat="1" customHeight="1" s="203"/>
    <row r="671" ht="13" customFormat="1" customHeight="1" s="203"/>
    <row r="672" ht="13" customFormat="1" customHeight="1" s="203"/>
    <row r="673" ht="13" customFormat="1" customHeight="1" s="203"/>
    <row r="674" ht="13" customFormat="1" customHeight="1" s="203"/>
    <row r="675" ht="13" customFormat="1" customHeight="1" s="203"/>
    <row r="676" ht="13" customFormat="1" customHeight="1" s="203"/>
    <row r="677" ht="13" customFormat="1" customHeight="1" s="203"/>
    <row r="678" ht="13" customFormat="1" customHeight="1" s="203"/>
    <row r="679" ht="13" customFormat="1" customHeight="1" s="203"/>
    <row r="680" ht="13" customFormat="1" customHeight="1" s="203"/>
    <row r="681" ht="13" customFormat="1" customHeight="1" s="203"/>
    <row r="682" ht="13" customFormat="1" customHeight="1" s="203"/>
    <row r="683" ht="13" customFormat="1" customHeight="1" s="203"/>
    <row r="684" ht="13" customFormat="1" customHeight="1" s="203"/>
    <row r="685" ht="13" customFormat="1" customHeight="1" s="203"/>
    <row r="686" ht="13" customFormat="1" customHeight="1" s="203"/>
    <row r="687" ht="13" customFormat="1" customHeight="1" s="203"/>
    <row r="688" ht="13" customFormat="1" customHeight="1" s="203"/>
    <row r="689" ht="13" customFormat="1" customHeight="1" s="203"/>
    <row r="690" ht="13" customFormat="1" customHeight="1" s="203"/>
    <row r="691" ht="13" customFormat="1" customHeight="1" s="203"/>
    <row r="692" ht="13" customFormat="1" customHeight="1" s="203"/>
    <row r="693" ht="13" customFormat="1" customHeight="1" s="203"/>
    <row r="694" ht="13" customFormat="1" customHeight="1" s="203"/>
    <row r="695" ht="13" customFormat="1" customHeight="1" s="203"/>
    <row r="696" ht="13" customFormat="1" customHeight="1" s="203"/>
    <row r="697" ht="13" customFormat="1" customHeight="1" s="203"/>
    <row r="698" ht="13" customFormat="1" customHeight="1" s="203"/>
    <row r="699" ht="13" customFormat="1" customHeight="1" s="203"/>
    <row r="700" ht="13" customFormat="1" customHeight="1" s="203"/>
    <row r="701" ht="13" customFormat="1" customHeight="1" s="203"/>
    <row r="702" ht="13" customFormat="1" customHeight="1" s="203"/>
    <row r="703" ht="13" customFormat="1" customHeight="1" s="203"/>
    <row r="704" ht="13" customFormat="1" customHeight="1" s="203"/>
    <row r="705" ht="13" customFormat="1" customHeight="1" s="203"/>
    <row r="706" ht="13" customFormat="1" customHeight="1" s="203"/>
    <row r="707" ht="13" customFormat="1" customHeight="1" s="203"/>
    <row r="708" ht="13" customFormat="1" customHeight="1" s="203"/>
    <row r="709" ht="13" customFormat="1" customHeight="1" s="203"/>
    <row r="710" ht="13" customFormat="1" customHeight="1" s="203"/>
    <row r="711" ht="13" customFormat="1" customHeight="1" s="203"/>
    <row r="712" ht="13" customFormat="1" customHeight="1" s="203"/>
    <row r="713" ht="13" customFormat="1" customHeight="1" s="203"/>
    <row r="714" ht="13" customFormat="1" customHeight="1" s="203"/>
    <row r="715" ht="13" customFormat="1" customHeight="1" s="203"/>
    <row r="716" ht="13" customFormat="1" customHeight="1" s="203"/>
    <row r="717" ht="13" customFormat="1" customHeight="1" s="203"/>
    <row r="718" ht="13" customFormat="1" customHeight="1" s="203"/>
    <row r="719" ht="13" customFormat="1" customHeight="1" s="203"/>
    <row r="720" ht="13" customFormat="1" customHeight="1" s="203"/>
    <row r="721" ht="13" customFormat="1" customHeight="1" s="203"/>
    <row r="722" ht="13" customFormat="1" customHeight="1" s="203"/>
    <row r="723" ht="13" customFormat="1" customHeight="1" s="203"/>
    <row r="724" ht="13" customFormat="1" customHeight="1" s="203"/>
    <row r="725" ht="13" customFormat="1" customHeight="1" s="203"/>
    <row r="726" ht="13" customFormat="1" customHeight="1" s="203"/>
    <row r="727" ht="13" customFormat="1" customHeight="1" s="203"/>
    <row r="728" ht="13" customFormat="1" customHeight="1" s="203"/>
    <row r="729" ht="13" customFormat="1" customHeight="1" s="203"/>
    <row r="730" ht="13" customFormat="1" customHeight="1" s="203"/>
    <row r="731" ht="13" customFormat="1" customHeight="1" s="203"/>
    <row r="732" ht="13" customFormat="1" customHeight="1" s="203"/>
    <row r="733" ht="13" customFormat="1" customHeight="1" s="203"/>
    <row r="734" ht="13" customFormat="1" customHeight="1" s="203"/>
    <row r="735" ht="13" customFormat="1" customHeight="1" s="203"/>
    <row r="736" ht="13" customFormat="1" customHeight="1" s="203"/>
    <row r="737" ht="13" customFormat="1" customHeight="1" s="203"/>
    <row r="738" ht="13" customFormat="1" customHeight="1" s="203"/>
    <row r="739" ht="13" customFormat="1" customHeight="1" s="203"/>
    <row r="740" ht="13" customFormat="1" customHeight="1" s="203"/>
    <row r="741" ht="13" customFormat="1" customHeight="1" s="203"/>
    <row r="742" ht="13" customFormat="1" customHeight="1" s="203"/>
    <row r="743" ht="13" customFormat="1" customHeight="1" s="203"/>
    <row r="744" ht="13" customFormat="1" customHeight="1" s="203"/>
    <row r="745" ht="13" customFormat="1" customHeight="1" s="203"/>
    <row r="746" ht="13" customFormat="1" customHeight="1" s="203"/>
    <row r="747" ht="13" customFormat="1" customHeight="1" s="203"/>
    <row r="748" ht="13" customFormat="1" customHeight="1" s="203"/>
    <row r="749" ht="13" customFormat="1" customHeight="1" s="203"/>
    <row r="750" ht="13" customFormat="1" customHeight="1" s="203"/>
    <row r="751" ht="13" customFormat="1" customHeight="1" s="203"/>
    <row r="752" ht="13" customFormat="1" customHeight="1" s="203"/>
    <row r="753" ht="13" customFormat="1" customHeight="1" s="203"/>
    <row r="754" ht="13" customFormat="1" customHeight="1" s="203"/>
    <row r="755" ht="13" customFormat="1" customHeight="1" s="203"/>
    <row r="756" ht="13" customFormat="1" customHeight="1" s="203"/>
    <row r="757" ht="13" customFormat="1" customHeight="1" s="203"/>
    <row r="758" ht="13" customFormat="1" customHeight="1" s="203"/>
    <row r="759" ht="13" customFormat="1" customHeight="1" s="203"/>
    <row r="760" ht="13" customFormat="1" customHeight="1" s="203"/>
    <row r="761" ht="13" customFormat="1" customHeight="1" s="203"/>
    <row r="762" ht="13" customFormat="1" customHeight="1" s="203"/>
    <row r="763" ht="13" customFormat="1" customHeight="1" s="203"/>
    <row r="764" ht="13" customFormat="1" customHeight="1" s="203"/>
    <row r="765" ht="13" customFormat="1" customHeight="1" s="203"/>
    <row r="766" ht="13" customFormat="1" customHeight="1" s="203"/>
    <row r="767" ht="13" customFormat="1" customHeight="1" s="203"/>
    <row r="768" ht="13" customFormat="1" customHeight="1" s="203"/>
    <row r="769" ht="13" customFormat="1" customHeight="1" s="203"/>
    <row r="770" ht="13" customFormat="1" customHeight="1" s="203"/>
    <row r="771" ht="13" customFormat="1" customHeight="1" s="203"/>
    <row r="772" ht="13" customFormat="1" customHeight="1" s="203"/>
    <row r="773" ht="13" customFormat="1" customHeight="1" s="203"/>
    <row r="774" ht="13" customFormat="1" customHeight="1" s="203"/>
    <row r="775" ht="13" customFormat="1" customHeight="1" s="203"/>
    <row r="776" ht="13" customFormat="1" customHeight="1" s="203"/>
    <row r="777" ht="13" customFormat="1" customHeight="1" s="203"/>
    <row r="778" ht="13" customFormat="1" customHeight="1" s="203"/>
    <row r="779" ht="13" customFormat="1" customHeight="1" s="203"/>
    <row r="780" ht="13" customFormat="1" customHeight="1" s="203"/>
    <row r="781" ht="13" customFormat="1" customHeight="1" s="203"/>
    <row r="782" ht="13" customFormat="1" customHeight="1" s="203"/>
    <row r="783" ht="13" customFormat="1" customHeight="1" s="203"/>
    <row r="784" ht="13" customFormat="1" customHeight="1" s="203"/>
    <row r="785" ht="13" customFormat="1" customHeight="1" s="203"/>
    <row r="786" ht="13" customFormat="1" customHeight="1" s="203"/>
    <row r="787" ht="13" customFormat="1" customHeight="1" s="203"/>
    <row r="788" ht="13" customFormat="1" customHeight="1" s="203"/>
    <row r="789" ht="13" customFormat="1" customHeight="1" s="203"/>
    <row r="790" ht="13" customFormat="1" customHeight="1" s="203"/>
    <row r="791" ht="13" customFormat="1" customHeight="1" s="203"/>
    <row r="792" ht="13" customFormat="1" customHeight="1" s="203"/>
    <row r="793" ht="13" customFormat="1" customHeight="1" s="203"/>
    <row r="794" ht="13" customFormat="1" customHeight="1" s="203"/>
    <row r="795" ht="13" customFormat="1" customHeight="1" s="203"/>
    <row r="796" ht="13" customFormat="1" customHeight="1" s="203"/>
    <row r="797" ht="13" customFormat="1" customHeight="1" s="203"/>
    <row r="798" ht="13" customFormat="1" customHeight="1" s="203"/>
    <row r="799" ht="13" customFormat="1" customHeight="1" s="203"/>
    <row r="800" ht="13" customFormat="1" customHeight="1" s="203"/>
    <row r="801" ht="13" customFormat="1" customHeight="1" s="203"/>
    <row r="802" ht="13" customFormat="1" customHeight="1" s="203"/>
    <row r="803" ht="13" customFormat="1" customHeight="1" s="203"/>
    <row r="804" ht="13" customFormat="1" customHeight="1" s="203"/>
    <row r="805" ht="13" customFormat="1" customHeight="1" s="203"/>
    <row r="806" ht="13" customFormat="1" customHeight="1" s="203"/>
    <row r="807" ht="13" customFormat="1" customHeight="1" s="203"/>
    <row r="808" ht="13" customFormat="1" customHeight="1" s="203"/>
    <row r="809" ht="13" customFormat="1" customHeight="1" s="203"/>
    <row r="810" ht="13" customFormat="1" customHeight="1" s="203"/>
    <row r="811" ht="13" customFormat="1" customHeight="1" s="203"/>
    <row r="812" ht="13" customFormat="1" customHeight="1" s="203"/>
    <row r="813" ht="13" customFormat="1" customHeight="1" s="203"/>
    <row r="814" ht="13" customFormat="1" customHeight="1" s="203"/>
    <row r="815" ht="13" customFormat="1" customHeight="1" s="203"/>
    <row r="816" ht="13" customFormat="1" customHeight="1" s="203"/>
    <row r="817" ht="13" customFormat="1" customHeight="1" s="203"/>
    <row r="818" ht="13" customFormat="1" customHeight="1" s="203"/>
    <row r="819" ht="13" customFormat="1" customHeight="1" s="203"/>
    <row r="820" ht="13" customFormat="1" customHeight="1" s="203"/>
    <row r="821" ht="13" customFormat="1" customHeight="1" s="203"/>
    <row r="822" ht="13" customFormat="1" customHeight="1" s="203"/>
    <row r="823" ht="13" customFormat="1" customHeight="1" s="203"/>
    <row r="824" ht="13" customFormat="1" customHeight="1" s="203"/>
    <row r="825" ht="13" customFormat="1" customHeight="1" s="203"/>
    <row r="826" ht="13" customFormat="1" customHeight="1" s="203"/>
    <row r="827" ht="13" customFormat="1" customHeight="1" s="203"/>
    <row r="828" ht="13" customFormat="1" customHeight="1" s="203"/>
    <row r="829" ht="13" customFormat="1" customHeight="1" s="203"/>
    <row r="830" ht="13" customFormat="1" customHeight="1" s="203"/>
    <row r="831" ht="13" customFormat="1" customHeight="1" s="203"/>
    <row r="832" ht="13" customFormat="1" customHeight="1" s="203"/>
    <row r="833" ht="13" customFormat="1" customHeight="1" s="203"/>
    <row r="834" ht="13" customFormat="1" customHeight="1" s="203"/>
    <row r="835" ht="13" customFormat="1" customHeight="1" s="203"/>
    <row r="836" ht="13" customFormat="1" customHeight="1" s="203"/>
    <row r="837" ht="13" customFormat="1" customHeight="1" s="203"/>
    <row r="838" ht="13" customFormat="1" customHeight="1" s="203"/>
    <row r="839" ht="13" customFormat="1" customHeight="1" s="203"/>
    <row r="840" ht="13" customFormat="1" customHeight="1" s="203"/>
    <row r="841" ht="13" customFormat="1" customHeight="1" s="203"/>
    <row r="842" ht="13" customFormat="1" customHeight="1" s="203"/>
    <row r="843" ht="13" customFormat="1" customHeight="1" s="203"/>
    <row r="844" ht="13" customFormat="1" customHeight="1" s="203"/>
    <row r="845" ht="13" customFormat="1" customHeight="1" s="203"/>
    <row r="846" ht="13" customFormat="1" customHeight="1" s="203"/>
    <row r="847" ht="13" customFormat="1" customHeight="1" s="203"/>
    <row r="848" ht="13" customFormat="1" customHeight="1" s="203"/>
    <row r="849" ht="13" customFormat="1" customHeight="1" s="203"/>
    <row r="850" ht="13" customFormat="1" customHeight="1" s="203"/>
    <row r="851" ht="13" customFormat="1" customHeight="1" s="203"/>
    <row r="852" ht="13" customFormat="1" customHeight="1" s="203"/>
    <row r="853" ht="13" customFormat="1" customHeight="1" s="203"/>
    <row r="854" ht="13" customFormat="1" customHeight="1" s="203"/>
    <row r="855" ht="13" customFormat="1" customHeight="1" s="203"/>
    <row r="856" ht="13" customFormat="1" customHeight="1" s="203"/>
    <row r="857" ht="13" customFormat="1" customHeight="1" s="203"/>
    <row r="858" ht="13" customFormat="1" customHeight="1" s="203"/>
    <row r="859" ht="13" customFormat="1" customHeight="1" s="203"/>
    <row r="860" ht="13" customFormat="1" customHeight="1" s="203"/>
    <row r="861" ht="13" customFormat="1" customHeight="1" s="203"/>
    <row r="862" ht="13" customFormat="1" customHeight="1" s="203"/>
    <row r="863" ht="13" customFormat="1" customHeight="1" s="203"/>
    <row r="864" ht="13" customFormat="1" customHeight="1" s="203"/>
    <row r="865" ht="13" customFormat="1" customHeight="1" s="203"/>
    <row r="866" ht="13" customFormat="1" customHeight="1" s="203"/>
    <row r="867" ht="13" customFormat="1" customHeight="1" s="203"/>
    <row r="868" ht="13" customFormat="1" customHeight="1" s="203"/>
    <row r="869" ht="13" customFormat="1" customHeight="1" s="203"/>
    <row r="870" ht="13" customFormat="1" customHeight="1" s="203"/>
    <row r="871" ht="13" customFormat="1" customHeight="1" s="203"/>
    <row r="872" ht="13" customFormat="1" customHeight="1" s="203"/>
    <row r="873" ht="13" customFormat="1" customHeight="1" s="203"/>
    <row r="874" ht="13" customFormat="1" customHeight="1" s="203"/>
    <row r="875" ht="13" customFormat="1" customHeight="1" s="203"/>
    <row r="876" ht="13" customFormat="1" customHeight="1" s="203"/>
    <row r="877" ht="13" customFormat="1" customHeight="1" s="203"/>
    <row r="878" ht="13" customFormat="1" customHeight="1" s="203"/>
    <row r="879" ht="13" customFormat="1" customHeight="1" s="203"/>
    <row r="880" ht="13" customFormat="1" customHeight="1" s="203"/>
    <row r="881" ht="13" customFormat="1" customHeight="1" s="203"/>
    <row r="882" ht="13" customFormat="1" customHeight="1" s="203"/>
    <row r="883" ht="13" customFormat="1" customHeight="1" s="203"/>
    <row r="884" ht="13" customFormat="1" customHeight="1" s="203"/>
    <row r="885" ht="13" customFormat="1" customHeight="1" s="203"/>
    <row r="886" ht="13" customFormat="1" customHeight="1" s="203"/>
    <row r="887" ht="13" customFormat="1" customHeight="1" s="203"/>
    <row r="888" ht="13" customFormat="1" customHeight="1" s="203"/>
    <row r="889" ht="13" customFormat="1" customHeight="1" s="203"/>
    <row r="890" ht="13" customFormat="1" customHeight="1" s="203"/>
    <row r="891" ht="13" customFormat="1" customHeight="1" s="203"/>
    <row r="892" ht="13" customFormat="1" customHeight="1" s="203"/>
    <row r="893" ht="13" customFormat="1" customHeight="1" s="203"/>
    <row r="894" ht="13" customFormat="1" customHeight="1" s="203"/>
    <row r="895" ht="13" customFormat="1" customHeight="1" s="203"/>
    <row r="896" ht="13" customFormat="1" customHeight="1" s="203"/>
    <row r="897" ht="13" customFormat="1" customHeight="1" s="203"/>
    <row r="898" ht="13" customFormat="1" customHeight="1" s="203"/>
    <row r="899" ht="13" customFormat="1" customHeight="1" s="203"/>
    <row r="900" ht="13" customFormat="1" customHeight="1" s="203"/>
    <row r="901" ht="13" customFormat="1" customHeight="1" s="203"/>
    <row r="902" ht="13" customFormat="1" customHeight="1" s="203"/>
    <row r="903" ht="13" customFormat="1" customHeight="1" s="203"/>
    <row r="904" ht="13" customFormat="1" customHeight="1" s="203"/>
    <row r="905" ht="13" customFormat="1" customHeight="1" s="203"/>
    <row r="906" ht="13" customFormat="1" customHeight="1" s="203"/>
    <row r="907" ht="13" customFormat="1" customHeight="1" s="203"/>
    <row r="908" ht="13" customFormat="1" customHeight="1" s="203"/>
    <row r="909" ht="13" customFormat="1" customHeight="1" s="203"/>
    <row r="910" ht="13" customFormat="1" customHeight="1" s="203"/>
    <row r="911" ht="13" customFormat="1" customHeight="1" s="203"/>
    <row r="912" ht="13" customFormat="1" customHeight="1" s="203"/>
    <row r="913" ht="13" customFormat="1" customHeight="1" s="203"/>
    <row r="914" ht="13" customFormat="1" customHeight="1" s="203"/>
    <row r="915" ht="13" customFormat="1" customHeight="1" s="203"/>
    <row r="916" ht="13" customFormat="1" customHeight="1" s="203"/>
    <row r="917" ht="13" customFormat="1" customHeight="1" s="203"/>
    <row r="918" ht="13" customFormat="1" customHeight="1" s="203"/>
    <row r="919" ht="13" customFormat="1" customHeight="1" s="203"/>
    <row r="920" ht="13" customFormat="1" customHeight="1" s="203"/>
    <row r="921" ht="13" customFormat="1" customHeight="1" s="203"/>
    <row r="922" ht="13" customFormat="1" customHeight="1" s="203"/>
    <row r="923" ht="13" customFormat="1" customHeight="1" s="203"/>
    <row r="924" ht="13" customFormat="1" customHeight="1" s="203"/>
    <row r="925" ht="13" customFormat="1" customHeight="1" s="203"/>
    <row r="926" ht="13" customFormat="1" customHeight="1" s="203"/>
    <row r="927" ht="13" customFormat="1" customHeight="1" s="203"/>
    <row r="928" ht="13" customFormat="1" customHeight="1" s="203"/>
    <row r="929" ht="13" customFormat="1" customHeight="1" s="203"/>
    <row r="930" ht="13" customFormat="1" customHeight="1" s="203"/>
    <row r="931" ht="13" customFormat="1" customHeight="1" s="203"/>
    <row r="932" ht="13" customFormat="1" customHeight="1" s="203"/>
    <row r="933" ht="13" customFormat="1" customHeight="1" s="203"/>
    <row r="934" ht="13" customFormat="1" customHeight="1" s="203"/>
    <row r="935" ht="13" customFormat="1" customHeight="1" s="203"/>
    <row r="936" ht="13" customFormat="1" customHeight="1" s="203"/>
    <row r="937" ht="13" customFormat="1" customHeight="1" s="203"/>
    <row r="938" ht="13" customFormat="1" customHeight="1" s="203"/>
    <row r="939" ht="13" customFormat="1" customHeight="1" s="203"/>
    <row r="940" ht="13" customFormat="1" customHeight="1" s="203"/>
    <row r="941" ht="13" customFormat="1" customHeight="1" s="203"/>
    <row r="942" ht="13" customFormat="1" customHeight="1" s="203"/>
    <row r="943" ht="13" customFormat="1" customHeight="1" s="203"/>
    <row r="944" ht="13" customFormat="1" customHeight="1" s="203"/>
    <row r="945" ht="13" customFormat="1" customHeight="1" s="203"/>
    <row r="946" ht="13" customFormat="1" customHeight="1" s="203"/>
    <row r="947" ht="13" customFormat="1" customHeight="1" s="203"/>
    <row r="948" ht="13" customFormat="1" customHeight="1" s="203"/>
    <row r="949" ht="13" customFormat="1" customHeight="1" s="203"/>
    <row r="950" ht="13" customFormat="1" customHeight="1" s="203"/>
    <row r="951" ht="13" customFormat="1" customHeight="1" s="203"/>
    <row r="952" ht="13" customFormat="1" customHeight="1" s="203"/>
    <row r="953" ht="13" customFormat="1" customHeight="1" s="203"/>
    <row r="954" ht="13" customFormat="1" customHeight="1" s="203"/>
    <row r="955" ht="13" customFormat="1" customHeight="1" s="203"/>
    <row r="956" ht="13" customFormat="1" customHeight="1" s="203"/>
    <row r="957" ht="13" customFormat="1" customHeight="1" s="203"/>
    <row r="958" ht="13" customFormat="1" customHeight="1" s="203"/>
    <row r="959" ht="13" customFormat="1" customHeight="1" s="203"/>
    <row r="960" ht="13" customFormat="1" customHeight="1" s="203"/>
    <row r="961" ht="13" customFormat="1" customHeight="1" s="203"/>
    <row r="962" ht="13" customFormat="1" customHeight="1" s="203"/>
    <row r="963" ht="13" customFormat="1" customHeight="1" s="203"/>
    <row r="964" ht="13" customFormat="1" customHeight="1" s="203"/>
    <row r="965" ht="13" customFormat="1" customHeight="1" s="203"/>
    <row r="966" ht="13" customFormat="1" customHeight="1" s="203"/>
    <row r="967" ht="13" customFormat="1" customHeight="1" s="203"/>
    <row r="968" ht="13" customFormat="1" customHeight="1" s="203"/>
    <row r="969" ht="13" customFormat="1" customHeight="1" s="203"/>
    <row r="970" ht="13" customFormat="1" customHeight="1" s="203"/>
    <row r="971" ht="13" customFormat="1" customHeight="1" s="203"/>
    <row r="972" ht="13" customFormat="1" customHeight="1" s="203"/>
    <row r="973" ht="13" customFormat="1" customHeight="1" s="203"/>
    <row r="974" ht="13" customFormat="1" customHeight="1" s="203"/>
    <row r="975" ht="13" customFormat="1" customHeight="1" s="203"/>
    <row r="976" ht="13" customFormat="1" customHeight="1" s="203"/>
    <row r="977" ht="13" customFormat="1" customHeight="1" s="203"/>
    <row r="978" ht="13" customFormat="1" customHeight="1" s="203"/>
    <row r="979" ht="13" customFormat="1" customHeight="1" s="203"/>
    <row r="980" ht="13" customFormat="1" customHeight="1" s="203"/>
    <row r="981" ht="13" customFormat="1" customHeight="1" s="203"/>
    <row r="982" ht="13" customFormat="1" customHeight="1" s="203"/>
    <row r="983" ht="13" customFormat="1" customHeight="1" s="203"/>
    <row r="984" ht="13" customFormat="1" customHeight="1" s="203"/>
    <row r="985" ht="13" customFormat="1" customHeight="1" s="203"/>
    <row r="986" ht="13" customFormat="1" customHeight="1" s="203"/>
    <row r="987" ht="13" customFormat="1" customHeight="1" s="203"/>
    <row r="988" ht="13" customFormat="1" customHeight="1" s="203"/>
    <row r="989" ht="13" customFormat="1" customHeight="1" s="203"/>
    <row r="990" ht="13" customFormat="1" customHeight="1" s="203"/>
    <row r="991" ht="13" customFormat="1" customHeight="1" s="203"/>
    <row r="992" ht="13" customFormat="1" customHeight="1" s="203"/>
    <row r="993" ht="13" customFormat="1" customHeight="1" s="203"/>
    <row r="994" ht="13" customFormat="1" customHeight="1" s="203"/>
    <row r="995" ht="13" customFormat="1" customHeight="1" s="203"/>
    <row r="996" ht="13" customFormat="1" customHeight="1" s="203"/>
    <row r="997" ht="13" customFormat="1" customHeight="1" s="203"/>
    <row r="998" ht="13" customFormat="1" customHeight="1" s="203"/>
    <row r="999" ht="13" customFormat="1" customHeight="1" s="203"/>
    <row r="1000" ht="13" customFormat="1" customHeight="1" s="203"/>
    <row r="1001" ht="13" customFormat="1" customHeight="1" s="203"/>
    <row r="1002" ht="13" customFormat="1" customHeight="1" s="203"/>
    <row r="1003" ht="13" customFormat="1" customHeight="1" s="203"/>
    <row r="1004" ht="13" customFormat="1" customHeight="1" s="203"/>
    <row r="1005" ht="13" customFormat="1" customHeight="1" s="203"/>
    <row r="1006" ht="13" customFormat="1" customHeight="1" s="203"/>
    <row r="1007" ht="13" customFormat="1" customHeight="1" s="203"/>
    <row r="1008" ht="13" customFormat="1" customHeight="1" s="203"/>
    <row r="1009" ht="13" customFormat="1" customHeight="1" s="203"/>
    <row r="1010" ht="13" customFormat="1" customHeight="1" s="203"/>
    <row r="1011" ht="13" customFormat="1" customHeight="1" s="203"/>
    <row r="1012" ht="13" customFormat="1" customHeight="1" s="203"/>
    <row r="1013" ht="13" customFormat="1" customHeight="1" s="203"/>
    <row r="1014" ht="13" customFormat="1" customHeight="1" s="203"/>
    <row r="1015" ht="13" customFormat="1" customHeight="1" s="203"/>
    <row r="1016" ht="13" customFormat="1" customHeight="1" s="203"/>
    <row r="1017" ht="13" customFormat="1" customHeight="1" s="203"/>
    <row r="1018" ht="13" customFormat="1" customHeight="1" s="203"/>
    <row r="1019" ht="13" customFormat="1" customHeight="1" s="203"/>
    <row r="1020" ht="13" customFormat="1" customHeight="1" s="203"/>
    <row r="1021" ht="13" customFormat="1" customHeight="1" s="203"/>
    <row r="1022" ht="13" customFormat="1" customHeight="1" s="203"/>
    <row r="1023" ht="13" customHeight="1" s="189"/>
    <row r="1024" ht="13" customHeight="1" s="189"/>
    <row r="1025" ht="13" customHeight="1" s="189"/>
    <row r="1026" ht="13" customHeight="1" s="189"/>
    <row r="1027" ht="13" customHeight="1" s="189"/>
    <row r="1028" ht="13" customHeight="1" s="189"/>
    <row r="1029" ht="13" customHeight="1" s="189"/>
    <row r="1030" ht="13" customHeight="1" s="189"/>
    <row r="1031" ht="13" customHeight="1" s="189"/>
    <row r="1032" ht="13" customHeight="1" s="189"/>
    <row r="1033" ht="13" customHeight="1" s="189"/>
    <row r="1034" ht="13" customHeight="1" s="189"/>
    <row r="1035" ht="13" customHeight="1" s="189"/>
    <row r="1036" ht="13" customHeight="1" s="189"/>
    <row r="1037" ht="13" customHeight="1" s="189"/>
    <row r="1038" ht="13" customHeight="1" s="189"/>
    <row r="1039" ht="13" customHeight="1" s="189"/>
    <row r="1040" ht="13" customHeight="1" s="189"/>
    <row r="1041" ht="13" customHeight="1" s="189"/>
    <row r="1042" ht="13" customHeight="1" s="189"/>
    <row r="1043" ht="13" customHeight="1" s="189"/>
    <row r="1044" ht="13" customHeight="1" s="189"/>
    <row r="1045" ht="13" customHeight="1" s="189"/>
    <row r="1046" ht="13" customHeight="1" s="189"/>
    <row r="1047" ht="13" customHeight="1" s="189"/>
    <row r="1048" ht="13" customHeight="1" s="189"/>
    <row r="1049" ht="13" customHeight="1" s="189"/>
    <row r="1050" ht="13" customHeight="1" s="189"/>
    <row r="1051" ht="13" customHeight="1" s="189"/>
    <row r="1052" ht="13" customHeight="1" s="189"/>
    <row r="1053" ht="13" customHeight="1" s="189"/>
    <row r="1054" ht="13" customHeight="1" s="189"/>
    <row r="1055" ht="13" customHeight="1" s="189"/>
    <row r="1056" ht="13" customHeight="1" s="189"/>
    <row r="1057" ht="13" customHeight="1" s="189"/>
    <row r="1058" ht="13" customHeight="1" s="189"/>
    <row r="1059" ht="13" customHeight="1" s="189"/>
    <row r="1060" ht="13" customHeight="1" s="189"/>
    <row r="1061" ht="13" customHeight="1" s="189"/>
    <row r="1062" ht="13" customHeight="1" s="189"/>
    <row r="1063" ht="13" customHeight="1" s="189"/>
    <row r="1064" ht="13" customHeight="1" s="189"/>
    <row r="1065" ht="13" customHeight="1" s="189"/>
    <row r="1066" ht="13" customHeight="1" s="189"/>
    <row r="1067" ht="13" customHeight="1" s="189"/>
    <row r="1068" ht="13" customHeight="1" s="189"/>
    <row r="1069" ht="13" customHeight="1" s="189"/>
    <row r="1070" ht="13" customHeight="1" s="189"/>
    <row r="1071" ht="13" customHeight="1" s="189"/>
    <row r="1072" ht="13" customHeight="1" s="189"/>
    <row r="1073" ht="13" customHeight="1" s="189"/>
    <row r="1074" ht="13" customHeight="1" s="189"/>
    <row r="1075" ht="13" customHeight="1" s="189"/>
    <row r="1076" ht="13" customHeight="1" s="189"/>
    <row r="1077" ht="13" customHeight="1" s="189"/>
    <row r="1078" ht="13" customHeight="1" s="189"/>
    <row r="1079" ht="13" customHeight="1" s="189"/>
    <row r="1080" ht="13" customHeight="1" s="189"/>
    <row r="1081" ht="13" customHeight="1" s="189"/>
    <row r="1082" ht="13" customHeight="1" s="189"/>
    <row r="1083" ht="13" customHeight="1" s="189"/>
    <row r="1084" ht="13" customHeight="1" s="189"/>
    <row r="1085" ht="13" customHeight="1" s="189"/>
    <row r="1086" ht="13" customHeight="1" s="189"/>
    <row r="1087" ht="13" customHeight="1" s="189"/>
    <row r="1088" ht="13" customHeight="1" s="189"/>
    <row r="1089" ht="13" customHeight="1" s="189"/>
    <row r="1090" ht="13" customHeight="1" s="189"/>
    <row r="1091" ht="13" customHeight="1" s="189"/>
    <row r="1092" ht="13" customHeight="1" s="189"/>
    <row r="1093" ht="13" customHeight="1" s="189"/>
  </sheetData>
  <mergeCells count="29">
    <mergeCell ref="K16:L16"/>
    <mergeCell ref="G6:I6"/>
    <mergeCell ref="K15:L15"/>
    <mergeCell ref="K9:L9"/>
    <mergeCell ref="K21:L21"/>
    <mergeCell ref="C4:D4"/>
    <mergeCell ref="K11:L11"/>
    <mergeCell ref="K20:L20"/>
    <mergeCell ref="A5:L5"/>
    <mergeCell ref="F4:L4"/>
    <mergeCell ref="K22:L22"/>
    <mergeCell ref="A3:B3"/>
    <mergeCell ref="A2:B2"/>
    <mergeCell ref="K12:L12"/>
    <mergeCell ref="C2:D2"/>
    <mergeCell ref="K8:L8"/>
    <mergeCell ref="F3:L3"/>
    <mergeCell ref="K14:L14"/>
    <mergeCell ref="K17:L17"/>
    <mergeCell ref="A4:B4"/>
    <mergeCell ref="K7:L7"/>
    <mergeCell ref="A1:L1"/>
    <mergeCell ref="K10:L10"/>
    <mergeCell ref="F2:L2"/>
    <mergeCell ref="K19:L19"/>
    <mergeCell ref="K6:L6"/>
    <mergeCell ref="K13:L13"/>
    <mergeCell ref="C3:D3"/>
    <mergeCell ref="K18:L1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1.xml><?xml version="1.0" encoding="utf-8"?>
<worksheet xmlns="http://schemas.openxmlformats.org/spreadsheetml/2006/main">
  <sheetPr filterMode="0">
    <outlinePr summaryBelow="1" summaryRight="1"/>
    <pageSetUpPr fitToPage="1"/>
  </sheetPr>
  <dimension ref="A1:N29"/>
  <sheetViews>
    <sheetView showFormulas="0" showGridLines="1" showRowColHeaders="1" showZeros="1" rightToLeft="0" tabSelected="0" showOutlineSymbols="1" defaultGridColor="1" view="normal" topLeftCell="A19" colorId="64" zoomScale="100" zoomScaleNormal="100" zoomScalePageLayoutView="100" workbookViewId="0">
      <selection pane="topLeft" activeCell="C23" activeCellId="0" sqref="C23"/>
    </sheetView>
  </sheetViews>
  <sheetFormatPr baseColWidth="8" defaultColWidth="9.0546875" defaultRowHeight="12.5" zeroHeight="0" outlineLevelRow="0"/>
  <cols>
    <col width="2.99" customWidth="1" style="205" min="1" max="1"/>
    <col width="12.17" customWidth="1" style="188" min="2" max="2"/>
    <col width="26.44" customWidth="1" style="188" min="3" max="3"/>
    <col width="6.81" customWidth="1" style="188" min="4" max="4"/>
    <col width="15.72" customWidth="1" style="188" min="5" max="5"/>
    <col width="15.81" customWidth="1" style="188" min="6" max="6"/>
    <col width="9.44" customWidth="1" style="188" min="7" max="10"/>
    <col width="7.72" customWidth="1" style="188" min="11" max="11"/>
    <col width="8.44" customWidth="1" style="188" min="12" max="12"/>
    <col hidden="1" width="2.81" customWidth="1" style="188" min="13" max="13"/>
  </cols>
  <sheetData>
    <row r="1" ht="15.5" customHeight="1" s="189">
      <c r="A1" s="243" t="inlineStr">
        <is>
          <t xml:space="preserve">Periodic Portfolio Review Report </t>
        </is>
      </c>
      <c r="B1" s="213" t="n"/>
      <c r="C1" s="213" t="n"/>
      <c r="D1" s="213" t="n"/>
      <c r="E1" s="213" t="n"/>
      <c r="F1" s="213" t="n"/>
      <c r="G1" s="213" t="n"/>
      <c r="H1" s="213" t="n"/>
      <c r="I1" s="213" t="n"/>
      <c r="J1" s="213" t="n"/>
      <c r="K1" s="213" t="n"/>
      <c r="L1" s="214" t="n"/>
      <c r="M1" s="347" t="n"/>
    </row>
    <row r="2" ht="13" customHeight="1" s="189">
      <c r="A2" s="207" t="inlineStr">
        <is>
          <t>Project</t>
        </is>
      </c>
      <c r="B2" s="214" t="n"/>
      <c r="C2" s="208">
        <f>Data!B1</f>
        <v/>
      </c>
      <c r="D2" s="214" t="n"/>
      <c r="E2" s="207" t="inlineStr">
        <is>
          <t>Project #</t>
        </is>
      </c>
      <c r="F2" s="208">
        <f>Data!B2</f>
        <v/>
      </c>
      <c r="G2" s="213" t="n"/>
      <c r="H2" s="213" t="n"/>
      <c r="I2" s="213" t="n"/>
      <c r="J2" s="213" t="n"/>
      <c r="K2" s="213" t="n"/>
      <c r="L2" s="214" t="n"/>
      <c r="M2" s="348" t="n"/>
    </row>
    <row r="3" ht="13" customHeight="1" s="189">
      <c r="A3" s="207" t="inlineStr">
        <is>
          <t>Project manager</t>
        </is>
      </c>
      <c r="B3" s="214" t="n"/>
      <c r="C3" s="208">
        <f>Data!B3</f>
        <v/>
      </c>
      <c r="D3" s="214" t="n"/>
      <c r="E3" s="207" t="inlineStr">
        <is>
          <t>Sponsor</t>
        </is>
      </c>
      <c r="F3" s="208">
        <f>Data!B4</f>
        <v/>
      </c>
      <c r="G3" s="213" t="n"/>
      <c r="H3" s="213" t="n"/>
      <c r="I3" s="213" t="n"/>
      <c r="J3" s="213" t="n"/>
      <c r="K3" s="213" t="n"/>
      <c r="L3" s="214" t="n"/>
      <c r="M3" s="348" t="n"/>
    </row>
    <row r="4" ht="13" customHeight="1" s="189">
      <c r="A4" s="207" t="inlineStr">
        <is>
          <t>Project artifacts</t>
        </is>
      </c>
      <c r="B4" s="214" t="n"/>
      <c r="C4" s="208">
        <f>Data!B5</f>
        <v/>
      </c>
      <c r="D4" s="214" t="n"/>
      <c r="E4" s="207" t="inlineStr">
        <is>
          <t>Updated</t>
        </is>
      </c>
      <c r="F4" s="208">
        <f>Data!B6</f>
        <v/>
      </c>
      <c r="G4" s="213" t="n"/>
      <c r="H4" s="213" t="n"/>
      <c r="I4" s="213" t="n"/>
      <c r="J4" s="213" t="n"/>
      <c r="K4" s="213" t="n"/>
      <c r="L4" s="214" t="n"/>
      <c r="M4" s="308" t="n"/>
    </row>
    <row r="5" ht="12.5" customHeight="1" s="189">
      <c r="A5" s="319" t="n"/>
      <c r="B5" s="213" t="n"/>
      <c r="C5" s="213" t="n"/>
      <c r="D5" s="213" t="n"/>
      <c r="E5" s="213" t="n"/>
      <c r="F5" s="213" t="n"/>
      <c r="G5" s="213" t="n"/>
      <c r="H5" s="213" t="n"/>
      <c r="I5" s="213" t="n"/>
      <c r="J5" s="213" t="n"/>
      <c r="K5" s="213" t="n"/>
      <c r="L5" s="213" t="n"/>
      <c r="M5" s="214" t="n"/>
      <c r="N5" s="349" t="n"/>
    </row>
    <row r="6" ht="12.75" customHeight="1" s="189">
      <c r="A6" s="280" t="n"/>
      <c r="B6" s="222" t="n"/>
      <c r="C6" s="222" t="n"/>
      <c r="D6" s="222" t="n"/>
      <c r="E6" s="343" t="inlineStr">
        <is>
          <t>Analysis</t>
        </is>
      </c>
      <c r="F6" s="214" t="n"/>
      <c r="G6" s="343" t="inlineStr">
        <is>
          <t>Status</t>
        </is>
      </c>
      <c r="H6" s="213" t="n"/>
      <c r="I6" s="213" t="n"/>
      <c r="J6" s="214" t="n"/>
      <c r="K6" s="350" t="n"/>
      <c r="L6" s="225" t="n"/>
      <c r="M6" s="226" t="n"/>
      <c r="N6" s="349" t="n"/>
    </row>
    <row r="7" ht="25.5" customFormat="1" customHeight="1" s="205">
      <c r="A7" s="281" t="inlineStr">
        <is>
          <t>ID</t>
        </is>
      </c>
      <c r="B7" s="281" t="inlineStr">
        <is>
          <t>Project Name</t>
        </is>
      </c>
      <c r="C7" s="281" t="inlineStr">
        <is>
          <t>Description</t>
        </is>
      </c>
      <c r="D7" s="281" t="inlineStr">
        <is>
          <t>Rank</t>
        </is>
      </c>
      <c r="E7" s="281" t="inlineStr">
        <is>
          <t>Costs (CPI)</t>
        </is>
      </c>
      <c r="F7" s="281" t="inlineStr">
        <is>
          <t>Schedule (SPI)</t>
        </is>
      </c>
      <c r="G7" s="281" t="inlineStr">
        <is>
          <t>Time</t>
        </is>
      </c>
      <c r="H7" s="281" t="inlineStr">
        <is>
          <t>Costs</t>
        </is>
      </c>
      <c r="I7" s="281" t="inlineStr">
        <is>
          <t>Scope</t>
        </is>
      </c>
      <c r="J7" s="281" t="inlineStr">
        <is>
          <t>Return</t>
        </is>
      </c>
      <c r="K7" s="281" t="inlineStr">
        <is>
          <t>Recommendation</t>
        </is>
      </c>
      <c r="L7" s="213" t="n"/>
      <c r="M7" s="214" t="n"/>
      <c r="N7" s="351" t="n"/>
    </row>
    <row r="8" ht="50.15" customFormat="1" customHeight="1" s="203">
      <c r="A8" s="344" t="n">
        <v>1</v>
      </c>
      <c r="B8" s="345" t="n"/>
      <c r="C8" s="346" t="n"/>
      <c r="D8" s="344" t="n"/>
      <c r="E8" s="344" t="n"/>
      <c r="F8" s="344" t="n"/>
      <c r="G8" s="346" t="n"/>
      <c r="H8" s="346" t="n"/>
      <c r="I8" s="346" t="n"/>
      <c r="J8" s="346" t="n"/>
      <c r="K8" s="344" t="n"/>
      <c r="L8" s="213" t="n"/>
      <c r="M8" s="214" t="n"/>
      <c r="N8" s="352" t="n"/>
    </row>
    <row r="9" ht="50.15" customFormat="1" customHeight="1" s="203">
      <c r="A9" s="344" t="n">
        <v>2</v>
      </c>
      <c r="B9" s="345" t="n"/>
      <c r="C9" s="346" t="n"/>
      <c r="D9" s="344" t="n"/>
      <c r="E9" s="344" t="n"/>
      <c r="F9" s="344" t="n"/>
      <c r="G9" s="346" t="n"/>
      <c r="H9" s="346" t="n"/>
      <c r="I9" s="346" t="n"/>
      <c r="J9" s="346" t="n"/>
      <c r="K9" s="344" t="n"/>
      <c r="L9" s="213" t="n"/>
      <c r="M9" s="214" t="n"/>
      <c r="N9" s="352" t="n"/>
    </row>
    <row r="10" ht="50.15" customFormat="1" customHeight="1" s="203">
      <c r="A10" s="344" t="n">
        <v>3</v>
      </c>
      <c r="B10" s="345" t="n"/>
      <c r="C10" s="346" t="n"/>
      <c r="D10" s="344" t="n"/>
      <c r="E10" s="344" t="n"/>
      <c r="F10" s="344" t="n"/>
      <c r="G10" s="353" t="n"/>
      <c r="H10" s="353" t="n"/>
      <c r="I10" s="353" t="n"/>
      <c r="J10" s="353" t="n"/>
      <c r="K10" s="344" t="n"/>
      <c r="L10" s="213" t="n"/>
      <c r="M10" s="214" t="n"/>
      <c r="N10" s="352" t="n"/>
    </row>
    <row r="11" ht="50.15" customFormat="1" customHeight="1" s="203">
      <c r="A11" s="344" t="n">
        <v>4</v>
      </c>
      <c r="B11" s="345" t="n"/>
      <c r="C11" s="346" t="n"/>
      <c r="D11" s="344" t="n"/>
      <c r="E11" s="344" t="n"/>
      <c r="F11" s="344" t="n"/>
      <c r="G11" s="346" t="n"/>
      <c r="H11" s="346" t="n"/>
      <c r="I11" s="346" t="n"/>
      <c r="J11" s="346" t="n"/>
      <c r="K11" s="344" t="n"/>
      <c r="L11" s="213" t="n"/>
      <c r="M11" s="214" t="n"/>
      <c r="N11" s="352" t="n"/>
    </row>
    <row r="12" ht="50.15" customFormat="1" customHeight="1" s="203">
      <c r="A12" s="344" t="n">
        <v>5</v>
      </c>
      <c r="B12" s="345" t="n"/>
      <c r="C12" s="346" t="n"/>
      <c r="D12" s="344" t="n"/>
      <c r="E12" s="344" t="n"/>
      <c r="F12" s="344" t="n"/>
      <c r="G12" s="353" t="n"/>
      <c r="H12" s="353" t="n"/>
      <c r="I12" s="353" t="n"/>
      <c r="J12" s="353" t="n"/>
      <c r="K12" s="344" t="n"/>
      <c r="L12" s="213" t="n"/>
      <c r="M12" s="214" t="n"/>
      <c r="N12" s="352" t="n"/>
    </row>
    <row r="13" ht="49.5" customFormat="1" customHeight="1" s="203">
      <c r="A13" s="344" t="n">
        <v>6</v>
      </c>
      <c r="B13" s="345" t="n"/>
      <c r="C13" s="346" t="n"/>
      <c r="D13" s="344" t="n"/>
      <c r="E13" s="344" t="n"/>
      <c r="F13" s="344" t="n"/>
      <c r="G13" s="346" t="n"/>
      <c r="H13" s="346" t="n"/>
      <c r="I13" s="346" t="n"/>
      <c r="J13" s="346" t="n"/>
      <c r="K13" s="344" t="n"/>
      <c r="L13" s="213" t="n"/>
      <c r="M13" s="214" t="n"/>
      <c r="N13" s="352" t="n"/>
    </row>
    <row r="14" ht="50.15" customFormat="1" customHeight="1" s="203">
      <c r="A14" s="344" t="n">
        <v>7</v>
      </c>
      <c r="B14" s="345" t="n"/>
      <c r="C14" s="346" t="n"/>
      <c r="D14" s="344" t="n"/>
      <c r="E14" s="344" t="n"/>
      <c r="F14" s="344" t="n"/>
      <c r="G14" s="346" t="n"/>
      <c r="H14" s="346" t="n"/>
      <c r="I14" s="346" t="n"/>
      <c r="J14" s="346" t="n"/>
      <c r="K14" s="344" t="n"/>
      <c r="L14" s="213" t="n"/>
      <c r="M14" s="214" t="n"/>
      <c r="N14" s="352" t="n"/>
    </row>
    <row r="15" ht="50.15" customFormat="1" customHeight="1" s="203">
      <c r="A15" s="344" t="n">
        <v>8</v>
      </c>
      <c r="B15" s="284" t="n"/>
      <c r="C15" s="285" t="n"/>
      <c r="D15" s="284" t="n"/>
      <c r="E15" s="284" t="n"/>
      <c r="F15" s="285" t="n"/>
      <c r="G15" s="285" t="n"/>
      <c r="H15" s="285" t="n"/>
      <c r="I15" s="285" t="n"/>
      <c r="J15" s="285" t="n"/>
      <c r="K15" s="344" t="n"/>
      <c r="L15" s="213" t="n"/>
      <c r="M15" s="214" t="n"/>
      <c r="N15" s="352" t="n"/>
    </row>
    <row r="16" ht="15.75" customFormat="1" customHeight="1" s="203">
      <c r="A16" s="243" t="inlineStr">
        <is>
          <t xml:space="preserve">Periodic Portfolio Review Report </t>
        </is>
      </c>
      <c r="B16" s="213" t="n"/>
      <c r="C16" s="213" t="n"/>
      <c r="D16" s="213" t="n"/>
      <c r="E16" s="213" t="n"/>
      <c r="F16" s="213" t="n"/>
      <c r="G16" s="213" t="n"/>
      <c r="H16" s="213" t="n"/>
      <c r="I16" s="213" t="n"/>
      <c r="J16" s="213" t="n"/>
      <c r="K16" s="213" t="n"/>
      <c r="L16" s="214" t="n"/>
      <c r="M16" s="347" t="n"/>
      <c r="N16" s="352" t="n"/>
    </row>
    <row r="17" ht="15.75" customFormat="1" customHeight="1" s="203">
      <c r="A17" s="207" t="inlineStr">
        <is>
          <t>Project</t>
        </is>
      </c>
      <c r="B17" s="214" t="n"/>
      <c r="C17" s="208">
        <f>(C2)</f>
        <v/>
      </c>
      <c r="D17" s="214" t="n"/>
      <c r="E17" s="207" t="inlineStr">
        <is>
          <t>Project #</t>
        </is>
      </c>
      <c r="F17" s="208">
        <f>(F2)</f>
        <v/>
      </c>
      <c r="G17" s="213" t="n"/>
      <c r="H17" s="213" t="n"/>
      <c r="I17" s="213" t="n"/>
      <c r="J17" s="213" t="n"/>
      <c r="K17" s="213" t="n"/>
      <c r="L17" s="214" t="n"/>
      <c r="M17" s="348" t="n"/>
      <c r="N17" s="352" t="n"/>
    </row>
    <row r="18" ht="15.75" customFormat="1" customHeight="1" s="203">
      <c r="A18" s="207" t="inlineStr">
        <is>
          <t>Project manager</t>
        </is>
      </c>
      <c r="B18" s="214" t="n"/>
      <c r="C18" s="208">
        <f>(C3)</f>
        <v/>
      </c>
      <c r="D18" s="214" t="n"/>
      <c r="E18" s="207" t="inlineStr">
        <is>
          <t>Sponsor</t>
        </is>
      </c>
      <c r="F18" s="208">
        <f>(F3)</f>
        <v/>
      </c>
      <c r="G18" s="213" t="n"/>
      <c r="H18" s="213" t="n"/>
      <c r="I18" s="213" t="n"/>
      <c r="J18" s="213" t="n"/>
      <c r="K18" s="213" t="n"/>
      <c r="L18" s="214" t="n"/>
      <c r="M18" s="348" t="n"/>
      <c r="N18" s="352" t="n"/>
    </row>
    <row r="19" ht="15.75" customFormat="1" customHeight="1" s="203">
      <c r="A19" s="207" t="inlineStr">
        <is>
          <t>Project artifacts</t>
        </is>
      </c>
      <c r="B19" s="214" t="n"/>
      <c r="C19" s="208">
        <f>(C4)</f>
        <v/>
      </c>
      <c r="D19" s="214" t="n"/>
      <c r="E19" s="207" t="inlineStr">
        <is>
          <t>Updated</t>
        </is>
      </c>
      <c r="F19" s="208">
        <f>(F4)</f>
        <v/>
      </c>
      <c r="G19" s="213" t="n"/>
      <c r="H19" s="213" t="n"/>
      <c r="I19" s="213" t="n"/>
      <c r="J19" s="213" t="n"/>
      <c r="K19" s="213" t="n"/>
      <c r="L19" s="214" t="n"/>
      <c r="M19" s="308" t="n"/>
      <c r="N19" s="352" t="n"/>
    </row>
    <row r="20" ht="15.75" customFormat="1" customHeight="1" s="203">
      <c r="A20" s="319" t="n"/>
      <c r="B20" s="213" t="n"/>
      <c r="C20" s="213" t="n"/>
      <c r="D20" s="213" t="n"/>
      <c r="E20" s="213" t="n"/>
      <c r="F20" s="213" t="n"/>
      <c r="G20" s="213" t="n"/>
      <c r="H20" s="213" t="n"/>
      <c r="I20" s="213" t="n"/>
      <c r="J20" s="213" t="n"/>
      <c r="K20" s="213" t="n"/>
      <c r="L20" s="213" t="n"/>
      <c r="M20" s="214" t="n"/>
      <c r="N20" s="352" t="n"/>
    </row>
    <row r="21" ht="12.75" customFormat="1" customHeight="1" s="203">
      <c r="A21" s="280" t="n"/>
      <c r="B21" s="222" t="n"/>
      <c r="C21" s="222" t="n"/>
      <c r="D21" s="222" t="n"/>
      <c r="E21" s="343" t="inlineStr">
        <is>
          <t>Analysis</t>
        </is>
      </c>
      <c r="F21" s="214" t="n"/>
      <c r="G21" s="343" t="inlineStr">
        <is>
          <t>Status</t>
        </is>
      </c>
      <c r="H21" s="213" t="n"/>
      <c r="I21" s="213" t="n"/>
      <c r="J21" s="214" t="n"/>
      <c r="K21" s="350" t="n"/>
      <c r="L21" s="225" t="n"/>
      <c r="M21" s="226" t="n"/>
      <c r="N21" s="352" t="n"/>
    </row>
    <row r="22" ht="25.5" customFormat="1" customHeight="1" s="203">
      <c r="A22" s="281" t="inlineStr">
        <is>
          <t>ID</t>
        </is>
      </c>
      <c r="B22" s="281" t="inlineStr">
        <is>
          <t>Project Name</t>
        </is>
      </c>
      <c r="C22" s="281" t="inlineStr">
        <is>
          <t>Description</t>
        </is>
      </c>
      <c r="D22" s="281" t="inlineStr">
        <is>
          <t>Rank</t>
        </is>
      </c>
      <c r="E22" s="281" t="inlineStr">
        <is>
          <t>Costs (CPI)</t>
        </is>
      </c>
      <c r="F22" s="281" t="inlineStr">
        <is>
          <t>Schedule (SPI)</t>
        </is>
      </c>
      <c r="G22" s="281" t="inlineStr">
        <is>
          <t>Time</t>
        </is>
      </c>
      <c r="H22" s="281" t="inlineStr">
        <is>
          <t>Costs</t>
        </is>
      </c>
      <c r="I22" s="281" t="inlineStr">
        <is>
          <t>Scope</t>
        </is>
      </c>
      <c r="J22" s="281" t="inlineStr">
        <is>
          <t>Return</t>
        </is>
      </c>
      <c r="K22" s="281" t="inlineStr">
        <is>
          <t>Recommendation</t>
        </is>
      </c>
      <c r="L22" s="213" t="n"/>
      <c r="M22" s="214" t="n"/>
      <c r="N22" s="352" t="n"/>
    </row>
    <row r="23" ht="50.25" customFormat="1" customHeight="1" s="203">
      <c r="A23" s="344" t="n">
        <v>9</v>
      </c>
      <c r="B23" s="284" t="n"/>
      <c r="C23" s="285" t="n"/>
      <c r="D23" s="284" t="n"/>
      <c r="E23" s="284" t="n"/>
      <c r="F23" s="285" t="n"/>
      <c r="G23" s="285" t="n"/>
      <c r="H23" s="285" t="n"/>
      <c r="I23" s="285" t="n"/>
      <c r="J23" s="285" t="n"/>
      <c r="K23" s="344" t="n"/>
      <c r="L23" s="213" t="n"/>
      <c r="M23" s="214" t="n"/>
    </row>
    <row r="24" ht="50.25" customFormat="1" customHeight="1" s="203">
      <c r="A24" s="344" t="n">
        <v>10</v>
      </c>
      <c r="B24" s="284" t="n"/>
      <c r="C24" s="285" t="n"/>
      <c r="D24" s="284" t="n"/>
      <c r="E24" s="284" t="n"/>
      <c r="F24" s="285" t="n"/>
      <c r="G24" s="285" t="n"/>
      <c r="H24" s="285" t="n"/>
      <c r="I24" s="285" t="n"/>
      <c r="J24" s="285" t="n"/>
      <c r="K24" s="344" t="n"/>
      <c r="L24" s="213" t="n"/>
      <c r="M24" s="214" t="n"/>
    </row>
    <row r="25" ht="50.25" customFormat="1" customHeight="1" s="203">
      <c r="A25" s="344" t="n">
        <v>11</v>
      </c>
      <c r="B25" s="284" t="n"/>
      <c r="C25" s="285" t="n"/>
      <c r="D25" s="284" t="n"/>
      <c r="E25" s="284" t="n"/>
      <c r="F25" s="285" t="n"/>
      <c r="G25" s="285" t="n"/>
      <c r="H25" s="285" t="n"/>
      <c r="I25" s="285" t="n"/>
      <c r="J25" s="285" t="n"/>
      <c r="K25" s="344" t="n"/>
      <c r="L25" s="213" t="n"/>
      <c r="M25" s="214" t="n"/>
    </row>
    <row r="26" ht="50.25" customFormat="1" customHeight="1" s="203">
      <c r="A26" s="344" t="n">
        <v>12</v>
      </c>
      <c r="B26" s="284" t="n"/>
      <c r="C26" s="285" t="n"/>
      <c r="D26" s="284" t="n"/>
      <c r="E26" s="284" t="n"/>
      <c r="F26" s="285" t="n"/>
      <c r="G26" s="285" t="n"/>
      <c r="H26" s="285" t="n"/>
      <c r="I26" s="285" t="n"/>
      <c r="J26" s="285" t="n"/>
      <c r="K26" s="344" t="n"/>
      <c r="L26" s="213" t="n"/>
      <c r="M26" s="214" t="n"/>
    </row>
    <row r="27" ht="50.25" customFormat="1" customHeight="1" s="203">
      <c r="A27" s="344" t="n">
        <v>13</v>
      </c>
      <c r="B27" s="284" t="n"/>
      <c r="C27" s="285" t="n"/>
      <c r="D27" s="284" t="n"/>
      <c r="E27" s="284" t="n"/>
      <c r="F27" s="285" t="n"/>
      <c r="G27" s="285" t="n"/>
      <c r="H27" s="285" t="n"/>
      <c r="I27" s="285" t="n"/>
      <c r="J27" s="285" t="n"/>
      <c r="K27" s="344" t="n"/>
      <c r="L27" s="213" t="n"/>
      <c r="M27" s="214" t="n"/>
    </row>
    <row r="28" ht="50.25" customFormat="1" customHeight="1" s="203">
      <c r="A28" s="344" t="n">
        <v>14</v>
      </c>
      <c r="B28" s="284" t="n"/>
      <c r="C28" s="285" t="n"/>
      <c r="D28" s="284" t="n"/>
      <c r="E28" s="284" t="n"/>
      <c r="F28" s="285" t="n"/>
      <c r="G28" s="285" t="n"/>
      <c r="H28" s="285" t="n"/>
      <c r="I28" s="285" t="n"/>
      <c r="J28" s="285" t="n"/>
      <c r="K28" s="344" t="n"/>
      <c r="L28" s="213" t="n"/>
      <c r="M28" s="214" t="n"/>
    </row>
    <row r="29" ht="50.25" customFormat="1" customHeight="1" s="203">
      <c r="A29" s="344" t="n">
        <v>15</v>
      </c>
      <c r="B29" s="284" t="n"/>
      <c r="C29" s="285" t="n"/>
      <c r="D29" s="284" t="n"/>
      <c r="E29" s="284" t="n"/>
      <c r="F29" s="285" t="n"/>
      <c r="G29" s="285" t="n"/>
      <c r="H29" s="285" t="n"/>
      <c r="I29" s="285" t="n"/>
      <c r="J29" s="285" t="n"/>
      <c r="K29" s="344" t="n"/>
      <c r="L29" s="213" t="n"/>
      <c r="M29" s="214" t="n"/>
    </row>
    <row r="30" ht="13" customFormat="1" customHeight="1" s="203"/>
    <row r="31" ht="13" customFormat="1" customHeight="1" s="203"/>
    <row r="32" ht="13" customFormat="1" customHeight="1" s="203"/>
    <row r="33" ht="13" customFormat="1" customHeight="1" s="203"/>
    <row r="34" ht="13" customFormat="1" customHeight="1" s="203"/>
    <row r="35" ht="13" customFormat="1" customHeight="1" s="203"/>
    <row r="36" ht="13" customFormat="1" customHeight="1" s="203"/>
    <row r="37" ht="13" customFormat="1" customHeight="1" s="203"/>
    <row r="38" ht="13" customFormat="1" customHeight="1" s="203"/>
    <row r="39" ht="13" customFormat="1" customHeight="1" s="203"/>
    <row r="40" ht="13" customFormat="1" customHeight="1" s="203"/>
    <row r="41" ht="13" customFormat="1" customHeight="1" s="203"/>
    <row r="42" ht="13" customFormat="1" customHeight="1" s="203"/>
    <row r="43" ht="13" customFormat="1" customHeight="1" s="203"/>
    <row r="44" ht="13" customFormat="1" customHeight="1" s="203"/>
    <row r="45" ht="13" customFormat="1" customHeight="1" s="203"/>
    <row r="46" ht="13" customFormat="1" customHeight="1" s="203"/>
    <row r="47" ht="13" customFormat="1" customHeight="1" s="203"/>
    <row r="48" ht="13" customFormat="1" customHeight="1" s="203"/>
    <row r="49" ht="13" customFormat="1" customHeight="1" s="203"/>
    <row r="50" ht="13" customFormat="1" customHeight="1" s="203"/>
    <row r="51" ht="13" customFormat="1" customHeight="1" s="203"/>
    <row r="52" ht="13" customFormat="1" customHeight="1" s="203"/>
    <row r="53" ht="13" customFormat="1" customHeight="1" s="203"/>
    <row r="54" ht="13" customFormat="1" customHeight="1" s="203"/>
    <row r="55" ht="13" customFormat="1" customHeight="1" s="203"/>
    <row r="56" ht="13" customFormat="1" customHeight="1" s="203"/>
    <row r="57" ht="13" customFormat="1" customHeight="1" s="203"/>
    <row r="58" ht="13" customFormat="1" customHeight="1" s="203"/>
    <row r="59" ht="13" customFormat="1" customHeight="1" s="203"/>
    <row r="60" ht="13" customFormat="1" customHeight="1" s="203"/>
    <row r="61" ht="13" customFormat="1" customHeight="1" s="203"/>
    <row r="62" ht="13" customFormat="1" customHeight="1" s="203"/>
    <row r="63" ht="13" customFormat="1" customHeight="1" s="203"/>
    <row r="64" ht="13" customFormat="1" customHeight="1" s="203"/>
    <row r="65" ht="13" customFormat="1" customHeight="1" s="203"/>
    <row r="66" ht="13" customFormat="1" customHeight="1" s="203"/>
    <row r="67" ht="13" customFormat="1" customHeight="1" s="203"/>
    <row r="68" ht="13" customFormat="1" customHeight="1" s="203"/>
    <row r="69" ht="13" customFormat="1" customHeight="1" s="203"/>
    <row r="70" ht="13" customFormat="1" customHeight="1" s="203"/>
    <row r="71" ht="13" customFormat="1" customHeight="1" s="203"/>
    <row r="72" ht="13" customFormat="1" customHeight="1" s="203"/>
    <row r="73" ht="13" customFormat="1" customHeight="1" s="203"/>
    <row r="74" ht="13" customFormat="1" customHeight="1" s="203"/>
    <row r="75" ht="13" customFormat="1" customHeight="1" s="203"/>
    <row r="76" ht="13" customFormat="1" customHeight="1" s="203"/>
    <row r="77" ht="13" customFormat="1" customHeight="1" s="203"/>
    <row r="78" ht="13" customFormat="1" customHeight="1" s="203"/>
    <row r="79" ht="13" customFormat="1" customHeight="1" s="203"/>
    <row r="80" ht="13" customFormat="1" customHeight="1" s="203"/>
    <row r="81" ht="13" customFormat="1" customHeight="1" s="203"/>
    <row r="82" ht="13" customFormat="1" customHeight="1" s="203"/>
    <row r="83" ht="13" customFormat="1" customHeight="1" s="203"/>
    <row r="84" ht="13" customFormat="1" customHeight="1" s="203"/>
    <row r="85" ht="13" customFormat="1" customHeight="1" s="203"/>
    <row r="86" ht="13" customFormat="1" customHeight="1" s="203"/>
    <row r="87" ht="13" customFormat="1" customHeight="1" s="203"/>
    <row r="88" ht="13" customFormat="1" customHeight="1" s="203"/>
    <row r="89" ht="13" customFormat="1" customHeight="1" s="203"/>
    <row r="90" ht="13" customFormat="1" customHeight="1" s="203"/>
    <row r="91" ht="13" customFormat="1" customHeight="1" s="203"/>
    <row r="92" ht="13" customFormat="1" customHeight="1" s="203"/>
    <row r="93" ht="13" customFormat="1" customHeight="1" s="203"/>
    <row r="94" ht="13" customFormat="1" customHeight="1" s="203"/>
    <row r="95" ht="13" customFormat="1" customHeight="1" s="203"/>
    <row r="96" ht="13" customFormat="1" customHeight="1" s="203"/>
    <row r="97" ht="13" customFormat="1" customHeight="1" s="203"/>
    <row r="98" ht="13" customFormat="1" customHeight="1" s="203"/>
    <row r="99" ht="13" customFormat="1" customHeight="1" s="203"/>
    <row r="100" ht="13" customFormat="1" customHeight="1" s="203"/>
    <row r="101" ht="13" customFormat="1" customHeight="1" s="203"/>
    <row r="102" ht="13" customFormat="1" customHeight="1" s="203"/>
    <row r="103" ht="13" customFormat="1" customHeight="1" s="203"/>
    <row r="104" ht="13" customFormat="1" customHeight="1" s="203"/>
    <row r="105" ht="13" customFormat="1" customHeight="1" s="203"/>
    <row r="106" ht="13" customFormat="1" customHeight="1" s="203"/>
    <row r="107" ht="13" customFormat="1" customHeight="1" s="203"/>
    <row r="108" ht="13" customFormat="1" customHeight="1" s="203"/>
    <row r="109" ht="13" customFormat="1" customHeight="1" s="203"/>
    <row r="110" ht="13" customFormat="1" customHeight="1" s="203"/>
    <row r="111" ht="13" customFormat="1" customHeight="1" s="203"/>
    <row r="112" ht="13" customFormat="1" customHeight="1" s="203"/>
    <row r="113" ht="13" customFormat="1" customHeight="1" s="203"/>
    <row r="114" ht="13" customFormat="1" customHeight="1" s="203"/>
    <row r="115" ht="13" customFormat="1" customHeight="1" s="203"/>
    <row r="116" ht="13" customFormat="1" customHeight="1" s="203"/>
    <row r="117" ht="13" customFormat="1" customHeight="1" s="203"/>
    <row r="118" ht="13" customFormat="1" customHeight="1" s="203"/>
    <row r="119" ht="13" customFormat="1" customHeight="1" s="203"/>
    <row r="120" ht="13" customFormat="1" customHeight="1" s="203"/>
    <row r="121" ht="13" customFormat="1" customHeight="1" s="203"/>
    <row r="122" ht="13" customFormat="1" customHeight="1" s="203"/>
    <row r="123" ht="13" customFormat="1" customHeight="1" s="203"/>
    <row r="124" ht="13" customFormat="1" customHeight="1" s="203"/>
    <row r="125" ht="13" customFormat="1" customHeight="1" s="203"/>
    <row r="126" ht="13" customFormat="1" customHeight="1" s="203"/>
    <row r="127" ht="13" customFormat="1" customHeight="1" s="203"/>
    <row r="128" ht="13" customFormat="1" customHeight="1" s="203"/>
    <row r="129" ht="13" customFormat="1" customHeight="1" s="203"/>
    <row r="130" ht="13" customFormat="1" customHeight="1" s="203"/>
    <row r="131" ht="13" customFormat="1" customHeight="1" s="203"/>
    <row r="132" ht="13" customFormat="1" customHeight="1" s="203"/>
    <row r="133" ht="13" customFormat="1" customHeight="1" s="203"/>
    <row r="134" ht="13" customFormat="1" customHeight="1" s="203"/>
    <row r="135" ht="13" customFormat="1" customHeight="1" s="203"/>
    <row r="136" ht="13" customFormat="1" customHeight="1" s="203"/>
    <row r="137" ht="13" customFormat="1" customHeight="1" s="203"/>
    <row r="138" ht="13" customFormat="1" customHeight="1" s="203"/>
    <row r="139" ht="13" customFormat="1" customHeight="1" s="203"/>
    <row r="140" ht="13" customFormat="1" customHeight="1" s="203"/>
    <row r="141" ht="13" customFormat="1" customHeight="1" s="203"/>
    <row r="142" ht="13" customFormat="1" customHeight="1" s="203"/>
    <row r="143" ht="13" customFormat="1" customHeight="1" s="203"/>
    <row r="144" ht="13" customFormat="1" customHeight="1" s="203"/>
    <row r="145" ht="13" customFormat="1" customHeight="1" s="203"/>
    <row r="146" ht="13" customFormat="1" customHeight="1" s="203"/>
    <row r="147" ht="13" customFormat="1" customHeight="1" s="203"/>
    <row r="148" ht="13" customFormat="1" customHeight="1" s="203"/>
    <row r="149" ht="13" customFormat="1" customHeight="1" s="203"/>
    <row r="150" ht="13" customFormat="1" customHeight="1" s="203"/>
    <row r="151" ht="13" customFormat="1" customHeight="1" s="203"/>
    <row r="152" ht="13" customFormat="1" customHeight="1" s="203"/>
    <row r="153" ht="13" customFormat="1" customHeight="1" s="203"/>
    <row r="154" ht="13" customFormat="1" customHeight="1" s="203"/>
    <row r="155" ht="13" customFormat="1" customHeight="1" s="203"/>
    <row r="156" ht="13" customFormat="1" customHeight="1" s="203"/>
    <row r="157" ht="13" customFormat="1" customHeight="1" s="203"/>
    <row r="158" ht="13" customFormat="1" customHeight="1" s="203"/>
    <row r="159" ht="13" customFormat="1" customHeight="1" s="203"/>
    <row r="160" ht="13" customFormat="1" customHeight="1" s="203"/>
    <row r="161" ht="13" customFormat="1" customHeight="1" s="203"/>
    <row r="162" ht="13" customFormat="1" customHeight="1" s="203"/>
    <row r="163" ht="13" customFormat="1" customHeight="1" s="203"/>
    <row r="164" ht="13" customFormat="1" customHeight="1" s="203"/>
    <row r="165" ht="13" customFormat="1" customHeight="1" s="203"/>
    <row r="166" ht="13" customFormat="1" customHeight="1" s="203"/>
    <row r="167" ht="13" customFormat="1" customHeight="1" s="203"/>
    <row r="168" ht="13" customFormat="1" customHeight="1" s="203"/>
    <row r="169" ht="13" customFormat="1" customHeight="1" s="203"/>
    <row r="170" ht="13" customFormat="1" customHeight="1" s="203"/>
    <row r="171" ht="13" customFormat="1" customHeight="1" s="203"/>
    <row r="172" ht="13" customFormat="1" customHeight="1" s="203"/>
    <row r="173" ht="13" customFormat="1" customHeight="1" s="203"/>
    <row r="174" ht="13" customFormat="1" customHeight="1" s="203"/>
    <row r="175" ht="13" customFormat="1" customHeight="1" s="203"/>
    <row r="176" ht="13" customFormat="1" customHeight="1" s="203"/>
    <row r="177" ht="13" customFormat="1" customHeight="1" s="203"/>
    <row r="178" ht="13" customFormat="1" customHeight="1" s="203"/>
    <row r="179" ht="13" customFormat="1" customHeight="1" s="203"/>
    <row r="180" ht="13" customFormat="1" customHeight="1" s="203"/>
    <row r="181" ht="13" customFormat="1" customHeight="1" s="203"/>
    <row r="182" ht="13" customFormat="1" customHeight="1" s="203"/>
    <row r="183" ht="13" customFormat="1" customHeight="1" s="203"/>
    <row r="184" ht="13" customFormat="1" customHeight="1" s="203"/>
    <row r="185" ht="13" customFormat="1" customHeight="1" s="203"/>
    <row r="186" ht="13" customFormat="1" customHeight="1" s="203"/>
    <row r="187" ht="13" customFormat="1" customHeight="1" s="203"/>
    <row r="188" ht="13" customFormat="1" customHeight="1" s="203"/>
    <row r="189" ht="13" customFormat="1" customHeight="1" s="203"/>
    <row r="190" ht="13" customFormat="1" customHeight="1" s="203"/>
    <row r="191" ht="13" customFormat="1" customHeight="1" s="203"/>
    <row r="192" ht="13" customFormat="1" customHeight="1" s="203"/>
    <row r="193" ht="13" customFormat="1" customHeight="1" s="203"/>
    <row r="194" ht="13" customFormat="1" customHeight="1" s="203"/>
    <row r="195" ht="13" customFormat="1" customHeight="1" s="203"/>
    <row r="196" ht="13" customFormat="1" customHeight="1" s="203"/>
    <row r="197" ht="13" customFormat="1" customHeight="1" s="203"/>
    <row r="198" ht="13" customFormat="1" customHeight="1" s="203"/>
    <row r="199" ht="13" customFormat="1" customHeight="1" s="203"/>
    <row r="200" ht="13" customFormat="1" customHeight="1" s="203"/>
    <row r="201" ht="13" customFormat="1" customHeight="1" s="203"/>
    <row r="202" ht="13" customFormat="1" customHeight="1" s="203"/>
    <row r="203" ht="13" customFormat="1" customHeight="1" s="203"/>
    <row r="204" ht="13" customFormat="1" customHeight="1" s="203"/>
    <row r="205" ht="13" customFormat="1" customHeight="1" s="203"/>
    <row r="206" ht="13" customFormat="1" customHeight="1" s="203"/>
    <row r="207" ht="13" customFormat="1" customHeight="1" s="203"/>
    <row r="208" ht="13" customFormat="1" customHeight="1" s="203"/>
    <row r="209" ht="13" customFormat="1" customHeight="1" s="203"/>
    <row r="210" ht="13" customFormat="1" customHeight="1" s="203"/>
    <row r="211" ht="13" customFormat="1" customHeight="1" s="203"/>
    <row r="212" ht="13" customFormat="1" customHeight="1" s="203"/>
    <row r="213" ht="13" customFormat="1" customHeight="1" s="203"/>
    <row r="214" ht="13" customFormat="1" customHeight="1" s="203"/>
    <row r="215" ht="13" customFormat="1" customHeight="1" s="203"/>
    <row r="216" ht="13" customFormat="1" customHeight="1" s="203"/>
    <row r="217" ht="13" customFormat="1" customHeight="1" s="203"/>
    <row r="218" ht="13" customFormat="1" customHeight="1" s="203"/>
    <row r="219" ht="13" customFormat="1" customHeight="1" s="203"/>
    <row r="220" ht="13" customFormat="1" customHeight="1" s="203"/>
    <row r="221" ht="13" customFormat="1" customHeight="1" s="203"/>
    <row r="222" ht="13" customFormat="1" customHeight="1" s="203"/>
    <row r="223" ht="13" customFormat="1" customHeight="1" s="203"/>
    <row r="224" ht="13" customFormat="1" customHeight="1" s="203"/>
    <row r="225" ht="13" customFormat="1" customHeight="1" s="203"/>
    <row r="226" ht="13" customFormat="1" customHeight="1" s="203"/>
    <row r="227" ht="13" customFormat="1" customHeight="1" s="203"/>
    <row r="228" ht="13" customFormat="1" customHeight="1" s="203"/>
    <row r="229" ht="13" customFormat="1" customHeight="1" s="203"/>
    <row r="230" ht="13" customFormat="1" customHeight="1" s="203"/>
    <row r="231" ht="13" customFormat="1" customHeight="1" s="203"/>
    <row r="232" ht="13" customFormat="1" customHeight="1" s="203"/>
    <row r="233" ht="13" customFormat="1" customHeight="1" s="203"/>
    <row r="234" ht="13" customFormat="1" customHeight="1" s="203"/>
    <row r="235" ht="13" customFormat="1" customHeight="1" s="203"/>
    <row r="236" ht="13" customFormat="1" customHeight="1" s="203"/>
    <row r="237" ht="13" customFormat="1" customHeight="1" s="203"/>
    <row r="238" ht="13" customFormat="1" customHeight="1" s="203"/>
    <row r="239" ht="13" customFormat="1" customHeight="1" s="203"/>
    <row r="240" ht="13" customFormat="1" customHeight="1" s="203"/>
    <row r="241" ht="13" customFormat="1" customHeight="1" s="203"/>
    <row r="242" ht="13" customFormat="1" customHeight="1" s="203"/>
    <row r="243" ht="13" customFormat="1" customHeight="1" s="203"/>
    <row r="244" ht="13" customFormat="1" customHeight="1" s="203"/>
    <row r="245" ht="13" customFormat="1" customHeight="1" s="203"/>
    <row r="246" ht="13" customFormat="1" customHeight="1" s="203"/>
    <row r="247" ht="13" customFormat="1" customHeight="1" s="203"/>
    <row r="248" ht="13" customFormat="1" customHeight="1" s="203"/>
    <row r="249" ht="13" customFormat="1" customHeight="1" s="203"/>
    <row r="250" ht="13" customFormat="1" customHeight="1" s="203"/>
    <row r="251" ht="13" customFormat="1" customHeight="1" s="203"/>
    <row r="252" ht="13" customFormat="1" customHeight="1" s="203"/>
    <row r="253" ht="13" customFormat="1" customHeight="1" s="203"/>
    <row r="254" ht="13" customFormat="1" customHeight="1" s="203"/>
    <row r="255" ht="13" customFormat="1" customHeight="1" s="203"/>
    <row r="256" ht="13" customFormat="1" customHeight="1" s="203"/>
    <row r="257" ht="13" customFormat="1" customHeight="1" s="203"/>
    <row r="258" ht="13" customFormat="1" customHeight="1" s="203"/>
    <row r="259" ht="13" customFormat="1" customHeight="1" s="203"/>
    <row r="260" ht="13" customFormat="1" customHeight="1" s="203"/>
    <row r="261" ht="13" customFormat="1" customHeight="1" s="203"/>
    <row r="262" ht="13" customFormat="1" customHeight="1" s="203"/>
    <row r="263" ht="13" customFormat="1" customHeight="1" s="203"/>
    <row r="264" ht="13" customFormat="1" customHeight="1" s="203"/>
    <row r="265" ht="13" customFormat="1" customHeight="1" s="203"/>
    <row r="266" ht="13" customFormat="1" customHeight="1" s="203"/>
    <row r="267" ht="13" customFormat="1" customHeight="1" s="203"/>
    <row r="268" ht="13" customFormat="1" customHeight="1" s="203"/>
    <row r="269" ht="13" customFormat="1" customHeight="1" s="203"/>
    <row r="270" ht="13" customFormat="1" customHeight="1" s="203"/>
    <row r="271" ht="13" customFormat="1" customHeight="1" s="203"/>
    <row r="272" ht="13" customFormat="1" customHeight="1" s="203"/>
    <row r="273" ht="13" customFormat="1" customHeight="1" s="203"/>
    <row r="274" ht="13" customFormat="1" customHeight="1" s="203"/>
    <row r="275" ht="13" customFormat="1" customHeight="1" s="203"/>
    <row r="276" ht="13" customFormat="1" customHeight="1" s="203"/>
    <row r="277" ht="13" customFormat="1" customHeight="1" s="203"/>
    <row r="278" ht="13" customFormat="1" customHeight="1" s="203"/>
    <row r="279" ht="13" customFormat="1" customHeight="1" s="203"/>
    <row r="280" ht="13" customFormat="1" customHeight="1" s="203"/>
    <row r="281" ht="13" customFormat="1" customHeight="1" s="203"/>
    <row r="282" ht="13" customFormat="1" customHeight="1" s="203"/>
    <row r="283" ht="13" customFormat="1" customHeight="1" s="203"/>
    <row r="284" ht="13" customFormat="1" customHeight="1" s="203"/>
    <row r="285" ht="13" customFormat="1" customHeight="1" s="203"/>
    <row r="286" ht="13" customFormat="1" customHeight="1" s="203"/>
    <row r="287" ht="13" customFormat="1" customHeight="1" s="203"/>
    <row r="288" ht="13" customFormat="1" customHeight="1" s="203"/>
    <row r="289" ht="13" customFormat="1" customHeight="1" s="203"/>
    <row r="290" ht="13" customFormat="1" customHeight="1" s="203"/>
    <row r="291" ht="13" customFormat="1" customHeight="1" s="203"/>
    <row r="292" ht="13" customFormat="1" customHeight="1" s="203"/>
    <row r="293" ht="13" customFormat="1" customHeight="1" s="203"/>
    <row r="294" ht="13" customFormat="1" customHeight="1" s="203"/>
    <row r="295" ht="13" customFormat="1" customHeight="1" s="203"/>
    <row r="296" ht="13" customFormat="1" customHeight="1" s="203"/>
    <row r="297" ht="13" customFormat="1" customHeight="1" s="203"/>
    <row r="298" ht="13" customFormat="1" customHeight="1" s="203"/>
    <row r="299" ht="13" customFormat="1" customHeight="1" s="203"/>
    <row r="300" ht="13" customFormat="1" customHeight="1" s="203"/>
    <row r="301" ht="13" customFormat="1" customHeight="1" s="203"/>
    <row r="302" ht="13" customFormat="1" customHeight="1" s="203"/>
    <row r="303" ht="13" customFormat="1" customHeight="1" s="203"/>
    <row r="304" ht="13" customFormat="1" customHeight="1" s="203"/>
    <row r="305" ht="13" customFormat="1" customHeight="1" s="203"/>
    <row r="306" ht="13" customFormat="1" customHeight="1" s="203"/>
    <row r="307" ht="13" customFormat="1" customHeight="1" s="203"/>
    <row r="308" ht="13" customFormat="1" customHeight="1" s="203"/>
    <row r="309" ht="13" customFormat="1" customHeight="1" s="203"/>
    <row r="310" ht="13" customFormat="1" customHeight="1" s="203"/>
    <row r="311" ht="13" customFormat="1" customHeight="1" s="203"/>
    <row r="312" ht="13" customFormat="1" customHeight="1" s="203"/>
    <row r="313" ht="13" customFormat="1" customHeight="1" s="203"/>
    <row r="314" ht="13" customFormat="1" customHeight="1" s="203"/>
    <row r="315" ht="13" customFormat="1" customHeight="1" s="203"/>
    <row r="316" ht="13" customFormat="1" customHeight="1" s="203"/>
    <row r="317" ht="13" customFormat="1" customHeight="1" s="203"/>
    <row r="318" ht="13" customFormat="1" customHeight="1" s="203"/>
    <row r="319" ht="13" customFormat="1" customHeight="1" s="203"/>
    <row r="320" ht="13" customFormat="1" customHeight="1" s="203"/>
    <row r="321" ht="13" customFormat="1" customHeight="1" s="203"/>
    <row r="322" ht="13" customFormat="1" customHeight="1" s="203"/>
    <row r="323" ht="13" customFormat="1" customHeight="1" s="203"/>
    <row r="324" ht="13" customFormat="1" customHeight="1" s="203"/>
    <row r="325" ht="13" customFormat="1" customHeight="1" s="203"/>
    <row r="326" ht="13" customFormat="1" customHeight="1" s="203"/>
    <row r="327" ht="13" customFormat="1" customHeight="1" s="203"/>
    <row r="328" ht="13" customFormat="1" customHeight="1" s="203"/>
    <row r="329" ht="13" customFormat="1" customHeight="1" s="203"/>
    <row r="330" ht="13" customFormat="1" customHeight="1" s="203"/>
    <row r="331" ht="13" customFormat="1" customHeight="1" s="203"/>
    <row r="332" ht="13" customFormat="1" customHeight="1" s="203"/>
    <row r="333" ht="13" customFormat="1" customHeight="1" s="203"/>
    <row r="334" ht="13" customFormat="1" customHeight="1" s="203"/>
    <row r="335" ht="13" customFormat="1" customHeight="1" s="203"/>
    <row r="336" ht="13" customFormat="1" customHeight="1" s="203"/>
    <row r="337" ht="13" customFormat="1" customHeight="1" s="203"/>
    <row r="338" ht="13" customFormat="1" customHeight="1" s="203"/>
    <row r="339" ht="13" customFormat="1" customHeight="1" s="203"/>
    <row r="340" ht="13" customFormat="1" customHeight="1" s="203"/>
    <row r="341" ht="13" customFormat="1" customHeight="1" s="203"/>
    <row r="342" ht="13" customFormat="1" customHeight="1" s="203"/>
    <row r="343" ht="13" customFormat="1" customHeight="1" s="203"/>
    <row r="344" ht="13" customFormat="1" customHeight="1" s="203"/>
    <row r="345" ht="13" customFormat="1" customHeight="1" s="203"/>
    <row r="346" ht="13" customFormat="1" customHeight="1" s="203"/>
    <row r="347" ht="13" customFormat="1" customHeight="1" s="203"/>
    <row r="348" ht="13" customFormat="1" customHeight="1" s="203"/>
    <row r="349" ht="13" customFormat="1" customHeight="1" s="203"/>
    <row r="350" ht="13" customFormat="1" customHeight="1" s="203"/>
    <row r="351" ht="13" customFormat="1" customHeight="1" s="203"/>
    <row r="352" ht="13" customFormat="1" customHeight="1" s="203"/>
    <row r="353" ht="13" customFormat="1" customHeight="1" s="203"/>
    <row r="354" ht="13" customFormat="1" customHeight="1" s="203"/>
    <row r="355" ht="13" customFormat="1" customHeight="1" s="203"/>
    <row r="356" ht="13" customFormat="1" customHeight="1" s="203"/>
    <row r="357" ht="13" customFormat="1" customHeight="1" s="203"/>
    <row r="358" ht="13" customFormat="1" customHeight="1" s="203"/>
    <row r="359" ht="13" customFormat="1" customHeight="1" s="203"/>
    <row r="360" ht="13" customFormat="1" customHeight="1" s="203"/>
    <row r="361" ht="13" customFormat="1" customHeight="1" s="203"/>
    <row r="362" ht="13" customFormat="1" customHeight="1" s="203"/>
    <row r="363" ht="13" customFormat="1" customHeight="1" s="203"/>
    <row r="364" ht="13" customFormat="1" customHeight="1" s="203"/>
    <row r="365" ht="13" customFormat="1" customHeight="1" s="203"/>
    <row r="366" ht="13" customFormat="1" customHeight="1" s="203"/>
    <row r="367" ht="13" customFormat="1" customHeight="1" s="203"/>
    <row r="368" ht="13" customFormat="1" customHeight="1" s="203"/>
    <row r="369" ht="13" customFormat="1" customHeight="1" s="203"/>
    <row r="370" ht="13" customFormat="1" customHeight="1" s="203"/>
    <row r="371" ht="13" customFormat="1" customHeight="1" s="203"/>
    <row r="372" ht="13" customFormat="1" customHeight="1" s="203"/>
    <row r="373" ht="13" customFormat="1" customHeight="1" s="203"/>
    <row r="374" ht="13" customFormat="1" customHeight="1" s="203"/>
    <row r="375" ht="13" customFormat="1" customHeight="1" s="203"/>
    <row r="376" ht="13" customFormat="1" customHeight="1" s="203"/>
    <row r="377" ht="13" customFormat="1" customHeight="1" s="203"/>
    <row r="378" ht="13" customFormat="1" customHeight="1" s="203"/>
    <row r="379" ht="13" customFormat="1" customHeight="1" s="203"/>
    <row r="380" ht="13" customFormat="1" customHeight="1" s="203"/>
    <row r="381" ht="13" customFormat="1" customHeight="1" s="203"/>
    <row r="382" ht="13" customFormat="1" customHeight="1" s="203"/>
    <row r="383" ht="13" customFormat="1" customHeight="1" s="203"/>
    <row r="384" ht="13" customFormat="1" customHeight="1" s="203"/>
    <row r="385" ht="13" customFormat="1" customHeight="1" s="203"/>
    <row r="386" ht="13" customFormat="1" customHeight="1" s="203"/>
    <row r="387" ht="13" customFormat="1" customHeight="1" s="203"/>
    <row r="388" ht="13" customFormat="1" customHeight="1" s="203"/>
    <row r="389" ht="13" customFormat="1" customHeight="1" s="203"/>
    <row r="390" ht="13" customFormat="1" customHeight="1" s="203"/>
    <row r="391" ht="13" customFormat="1" customHeight="1" s="203"/>
    <row r="392" ht="13" customFormat="1" customHeight="1" s="203"/>
    <row r="393" ht="13" customFormat="1" customHeight="1" s="203"/>
    <row r="394" ht="13" customFormat="1" customHeight="1" s="203"/>
    <row r="395" ht="13" customFormat="1" customHeight="1" s="203"/>
    <row r="396" ht="13" customFormat="1" customHeight="1" s="203"/>
    <row r="397" ht="13" customFormat="1" customHeight="1" s="203"/>
    <row r="398" ht="13" customFormat="1" customHeight="1" s="203"/>
    <row r="399" ht="13" customFormat="1" customHeight="1" s="203"/>
    <row r="400" ht="13" customFormat="1" customHeight="1" s="203"/>
    <row r="401" ht="13" customFormat="1" customHeight="1" s="203"/>
    <row r="402" ht="13" customFormat="1" customHeight="1" s="203"/>
    <row r="403" ht="13" customFormat="1" customHeight="1" s="203"/>
    <row r="404" ht="13" customFormat="1" customHeight="1" s="203"/>
    <row r="405" ht="13" customFormat="1" customHeight="1" s="203"/>
    <row r="406" ht="13" customFormat="1" customHeight="1" s="203"/>
    <row r="407" ht="13" customFormat="1" customHeight="1" s="203"/>
    <row r="408" ht="13" customFormat="1" customHeight="1" s="203"/>
    <row r="409" ht="13" customFormat="1" customHeight="1" s="203"/>
    <row r="410" ht="13" customFormat="1" customHeight="1" s="203"/>
    <row r="411" ht="13" customFormat="1" customHeight="1" s="203"/>
    <row r="412" ht="13" customFormat="1" customHeight="1" s="203"/>
    <row r="413" ht="13" customFormat="1" customHeight="1" s="203"/>
    <row r="414" ht="13" customFormat="1" customHeight="1" s="203"/>
    <row r="415" ht="13" customFormat="1" customHeight="1" s="203"/>
    <row r="416" ht="13" customFormat="1" customHeight="1" s="203"/>
    <row r="417" ht="13" customFormat="1" customHeight="1" s="203"/>
    <row r="418" ht="13" customFormat="1" customHeight="1" s="203"/>
    <row r="419" ht="13" customFormat="1" customHeight="1" s="203"/>
    <row r="420" ht="13" customFormat="1" customHeight="1" s="203"/>
    <row r="421" ht="13" customFormat="1" customHeight="1" s="203"/>
    <row r="422" ht="13" customFormat="1" customHeight="1" s="203"/>
    <row r="423" ht="13" customFormat="1" customHeight="1" s="203"/>
    <row r="424" ht="13" customFormat="1" customHeight="1" s="203"/>
    <row r="425" ht="13" customFormat="1" customHeight="1" s="203"/>
    <row r="426" ht="13" customFormat="1" customHeight="1" s="203"/>
    <row r="427" ht="13" customFormat="1" customHeight="1" s="203"/>
    <row r="428" ht="13" customFormat="1" customHeight="1" s="203"/>
    <row r="429" ht="13" customFormat="1" customHeight="1" s="203"/>
    <row r="430" ht="13" customFormat="1" customHeight="1" s="203"/>
    <row r="431" ht="13" customFormat="1" customHeight="1" s="203"/>
    <row r="432" ht="13" customFormat="1" customHeight="1" s="203"/>
    <row r="433" ht="13" customFormat="1" customHeight="1" s="203"/>
    <row r="434" ht="13" customFormat="1" customHeight="1" s="203"/>
    <row r="435" ht="13" customFormat="1" customHeight="1" s="203"/>
    <row r="436" ht="13" customFormat="1" customHeight="1" s="203"/>
    <row r="437" ht="13" customFormat="1" customHeight="1" s="203"/>
    <row r="438" ht="13" customFormat="1" customHeight="1" s="203"/>
    <row r="439" ht="13" customFormat="1" customHeight="1" s="203"/>
    <row r="440" ht="13" customFormat="1" customHeight="1" s="203"/>
    <row r="441" ht="13" customFormat="1" customHeight="1" s="203"/>
    <row r="442" ht="13" customFormat="1" customHeight="1" s="203"/>
    <row r="443" ht="13" customFormat="1" customHeight="1" s="203"/>
    <row r="444" ht="13" customFormat="1" customHeight="1" s="203"/>
    <row r="445" ht="13" customFormat="1" customHeight="1" s="203"/>
    <row r="446" ht="13" customFormat="1" customHeight="1" s="203"/>
    <row r="447" ht="13" customFormat="1" customHeight="1" s="203"/>
    <row r="448" ht="13" customFormat="1" customHeight="1" s="203"/>
    <row r="449" ht="13" customFormat="1" customHeight="1" s="203"/>
    <row r="450" ht="13" customFormat="1" customHeight="1" s="203"/>
    <row r="451" ht="13" customFormat="1" customHeight="1" s="203"/>
    <row r="452" ht="13" customFormat="1" customHeight="1" s="203"/>
    <row r="453" ht="13" customFormat="1" customHeight="1" s="203"/>
    <row r="454" ht="13" customFormat="1" customHeight="1" s="203"/>
    <row r="455" ht="13" customFormat="1" customHeight="1" s="203"/>
    <row r="456" ht="13" customFormat="1" customHeight="1" s="203"/>
    <row r="457" ht="13" customFormat="1" customHeight="1" s="203"/>
    <row r="458" ht="13" customFormat="1" customHeight="1" s="203"/>
    <row r="459" ht="13" customFormat="1" customHeight="1" s="203"/>
    <row r="460" ht="13" customFormat="1" customHeight="1" s="203"/>
    <row r="461" ht="13" customFormat="1" customHeight="1" s="203"/>
    <row r="462" ht="13" customFormat="1" customHeight="1" s="203"/>
    <row r="463" ht="13" customFormat="1" customHeight="1" s="203"/>
    <row r="464" ht="13" customFormat="1" customHeight="1" s="203"/>
    <row r="465" ht="13" customFormat="1" customHeight="1" s="203"/>
    <row r="466" ht="13" customFormat="1" customHeight="1" s="203"/>
    <row r="467" ht="13" customFormat="1" customHeight="1" s="203"/>
    <row r="468" ht="13" customFormat="1" customHeight="1" s="203"/>
    <row r="469" ht="13" customFormat="1" customHeight="1" s="203"/>
    <row r="470" ht="13" customFormat="1" customHeight="1" s="203"/>
    <row r="471" ht="13" customFormat="1" customHeight="1" s="203"/>
    <row r="472" ht="13" customFormat="1" customHeight="1" s="203"/>
    <row r="473" ht="13" customFormat="1" customHeight="1" s="203"/>
    <row r="474" ht="13" customFormat="1" customHeight="1" s="203"/>
    <row r="475" ht="13" customFormat="1" customHeight="1" s="203"/>
    <row r="476" ht="13" customFormat="1" customHeight="1" s="203"/>
    <row r="477" ht="13" customFormat="1" customHeight="1" s="203"/>
    <row r="478" ht="13" customFormat="1" customHeight="1" s="203"/>
    <row r="479" ht="13" customFormat="1" customHeight="1" s="203"/>
    <row r="480" ht="13" customFormat="1" customHeight="1" s="203"/>
    <row r="481" ht="13" customFormat="1" customHeight="1" s="203"/>
    <row r="482" ht="13" customFormat="1" customHeight="1" s="203"/>
    <row r="483" ht="13" customFormat="1" customHeight="1" s="203"/>
    <row r="484" ht="13" customFormat="1" customHeight="1" s="203"/>
    <row r="485" ht="13" customFormat="1" customHeight="1" s="203"/>
    <row r="486" ht="13" customFormat="1" customHeight="1" s="203"/>
    <row r="487" ht="13" customFormat="1" customHeight="1" s="203"/>
    <row r="488" ht="13" customFormat="1" customHeight="1" s="203"/>
    <row r="489" ht="13" customFormat="1" customHeight="1" s="203"/>
    <row r="490" ht="13" customFormat="1" customHeight="1" s="203"/>
    <row r="491" ht="13" customFormat="1" customHeight="1" s="203"/>
    <row r="492" ht="13" customFormat="1" customHeight="1" s="203"/>
    <row r="493" ht="13" customFormat="1" customHeight="1" s="203"/>
    <row r="494" ht="13" customFormat="1" customHeight="1" s="203"/>
    <row r="495" ht="13" customFormat="1" customHeight="1" s="203"/>
    <row r="496" ht="13" customFormat="1" customHeight="1" s="203"/>
    <row r="497" ht="13" customFormat="1" customHeight="1" s="203"/>
    <row r="498" ht="13" customFormat="1" customHeight="1" s="203"/>
    <row r="499" ht="13" customFormat="1" customHeight="1" s="203"/>
    <row r="500" ht="13" customFormat="1" customHeight="1" s="203"/>
    <row r="501" ht="13" customFormat="1" customHeight="1" s="203"/>
    <row r="502" ht="13" customFormat="1" customHeight="1" s="203"/>
    <row r="503" ht="13" customFormat="1" customHeight="1" s="203"/>
    <row r="504" ht="13" customFormat="1" customHeight="1" s="203"/>
    <row r="505" ht="13" customFormat="1" customHeight="1" s="203"/>
    <row r="506" ht="13" customFormat="1" customHeight="1" s="203"/>
    <row r="507" ht="13" customFormat="1" customHeight="1" s="203"/>
    <row r="508" ht="13" customFormat="1" customHeight="1" s="203"/>
    <row r="509" ht="13" customFormat="1" customHeight="1" s="203"/>
    <row r="510" ht="13" customFormat="1" customHeight="1" s="203"/>
    <row r="511" ht="13" customFormat="1" customHeight="1" s="203"/>
    <row r="512" ht="13" customFormat="1" customHeight="1" s="203"/>
    <row r="513" ht="13" customFormat="1" customHeight="1" s="203"/>
    <row r="514" ht="13" customFormat="1" customHeight="1" s="203"/>
    <row r="515" ht="13" customFormat="1" customHeight="1" s="203"/>
    <row r="516" ht="13" customFormat="1" customHeight="1" s="203"/>
    <row r="517" ht="13" customFormat="1" customHeight="1" s="203"/>
    <row r="518" ht="13" customFormat="1" customHeight="1" s="203"/>
    <row r="519" ht="13" customFormat="1" customHeight="1" s="203"/>
    <row r="520" ht="13" customFormat="1" customHeight="1" s="203"/>
    <row r="521" ht="13" customFormat="1" customHeight="1" s="203"/>
    <row r="522" ht="13" customFormat="1" customHeight="1" s="203"/>
    <row r="523" ht="13" customFormat="1" customHeight="1" s="203"/>
    <row r="524" ht="13" customFormat="1" customHeight="1" s="203"/>
    <row r="525" ht="13" customFormat="1" customHeight="1" s="203"/>
    <row r="526" ht="13" customFormat="1" customHeight="1" s="203"/>
    <row r="527" ht="13" customFormat="1" customHeight="1" s="203"/>
    <row r="528" ht="13" customFormat="1" customHeight="1" s="203"/>
    <row r="529" ht="13" customFormat="1" customHeight="1" s="203"/>
    <row r="530" ht="13" customFormat="1" customHeight="1" s="203"/>
    <row r="531" ht="13" customFormat="1" customHeight="1" s="203"/>
    <row r="532" ht="13" customFormat="1" customHeight="1" s="203"/>
    <row r="533" ht="13" customFormat="1" customHeight="1" s="203"/>
    <row r="534" ht="13" customFormat="1" customHeight="1" s="203"/>
    <row r="535" ht="13" customFormat="1" customHeight="1" s="203"/>
    <row r="536" ht="13" customFormat="1" customHeight="1" s="203"/>
    <row r="537" ht="13" customFormat="1" customHeight="1" s="203"/>
    <row r="538" ht="13" customFormat="1" customHeight="1" s="203"/>
    <row r="539" ht="13" customFormat="1" customHeight="1" s="203"/>
    <row r="540" ht="13" customFormat="1" customHeight="1" s="203"/>
    <row r="541" ht="13" customFormat="1" customHeight="1" s="203"/>
    <row r="542" ht="13" customFormat="1" customHeight="1" s="203"/>
    <row r="543" ht="13" customFormat="1" customHeight="1" s="203"/>
    <row r="544" ht="13" customFormat="1" customHeight="1" s="203"/>
    <row r="545" ht="13" customFormat="1" customHeight="1" s="203"/>
    <row r="546" ht="13" customFormat="1" customHeight="1" s="203"/>
    <row r="547" ht="13" customFormat="1" customHeight="1" s="203"/>
    <row r="548" ht="13" customFormat="1" customHeight="1" s="203"/>
    <row r="549" ht="13" customFormat="1" customHeight="1" s="203"/>
    <row r="550" ht="13" customFormat="1" customHeight="1" s="203"/>
    <row r="551" ht="13" customFormat="1" customHeight="1" s="203"/>
    <row r="552" ht="13" customFormat="1" customHeight="1" s="203"/>
    <row r="553" ht="13" customFormat="1" customHeight="1" s="203"/>
    <row r="554" ht="13" customFormat="1" customHeight="1" s="203"/>
    <row r="555" ht="13" customFormat="1" customHeight="1" s="203"/>
    <row r="556" ht="13" customFormat="1" customHeight="1" s="203"/>
    <row r="557" ht="13" customFormat="1" customHeight="1" s="203"/>
    <row r="558" ht="13" customFormat="1" customHeight="1" s="203"/>
    <row r="559" ht="13" customFormat="1" customHeight="1" s="203"/>
    <row r="560" ht="13" customFormat="1" customHeight="1" s="203"/>
    <row r="561" ht="13" customFormat="1" customHeight="1" s="203"/>
    <row r="562" ht="13" customFormat="1" customHeight="1" s="203"/>
    <row r="563" ht="13" customFormat="1" customHeight="1" s="203"/>
    <row r="564" ht="13" customFormat="1" customHeight="1" s="203"/>
    <row r="565" ht="13" customFormat="1" customHeight="1" s="203"/>
    <row r="566" ht="13" customFormat="1" customHeight="1" s="203"/>
    <row r="567" ht="13" customFormat="1" customHeight="1" s="203"/>
    <row r="568" ht="13" customFormat="1" customHeight="1" s="203"/>
    <row r="569" ht="13" customFormat="1" customHeight="1" s="203"/>
    <row r="570" ht="13" customFormat="1" customHeight="1" s="203"/>
    <row r="571" ht="13" customFormat="1" customHeight="1" s="203"/>
    <row r="572" ht="13" customFormat="1" customHeight="1" s="203"/>
    <row r="573" ht="13" customFormat="1" customHeight="1" s="203"/>
    <row r="574" ht="13" customFormat="1" customHeight="1" s="203"/>
    <row r="575" ht="13" customFormat="1" customHeight="1" s="203"/>
    <row r="576" ht="13" customFormat="1" customHeight="1" s="203"/>
    <row r="577" ht="13" customFormat="1" customHeight="1" s="203"/>
    <row r="578" ht="13" customFormat="1" customHeight="1" s="203"/>
    <row r="579" ht="13" customFormat="1" customHeight="1" s="203"/>
    <row r="580" ht="13" customFormat="1" customHeight="1" s="203"/>
    <row r="581" ht="13" customFormat="1" customHeight="1" s="203"/>
    <row r="582" ht="13" customFormat="1" customHeight="1" s="203"/>
    <row r="583" ht="13" customFormat="1" customHeight="1" s="203"/>
    <row r="584" ht="13" customFormat="1" customHeight="1" s="203"/>
    <row r="585" ht="13" customFormat="1" customHeight="1" s="203"/>
    <row r="586" ht="13" customFormat="1" customHeight="1" s="203"/>
    <row r="587" ht="13" customFormat="1" customHeight="1" s="203"/>
    <row r="588" ht="13" customFormat="1" customHeight="1" s="203"/>
    <row r="589" ht="13" customFormat="1" customHeight="1" s="203"/>
    <row r="590" ht="13" customFormat="1" customHeight="1" s="203"/>
    <row r="591" ht="13" customFormat="1" customHeight="1" s="203"/>
    <row r="592" ht="13" customFormat="1" customHeight="1" s="203"/>
    <row r="593" ht="13" customFormat="1" customHeight="1" s="203"/>
    <row r="594" ht="13" customFormat="1" customHeight="1" s="203"/>
    <row r="595" ht="13" customFormat="1" customHeight="1" s="203"/>
    <row r="596" ht="13" customFormat="1" customHeight="1" s="203"/>
    <row r="597" ht="13" customFormat="1" customHeight="1" s="203"/>
    <row r="598" ht="13" customFormat="1" customHeight="1" s="203"/>
    <row r="599" ht="13" customFormat="1" customHeight="1" s="203"/>
    <row r="600" ht="13" customFormat="1" customHeight="1" s="203"/>
    <row r="601" ht="13" customFormat="1" customHeight="1" s="203"/>
    <row r="602" ht="13" customFormat="1" customHeight="1" s="203"/>
    <row r="603" ht="13" customFormat="1" customHeight="1" s="203"/>
    <row r="604" ht="13" customFormat="1" customHeight="1" s="203"/>
    <row r="605" ht="13" customFormat="1" customHeight="1" s="203"/>
    <row r="606" ht="13" customFormat="1" customHeight="1" s="203"/>
    <row r="607" ht="13" customFormat="1" customHeight="1" s="203"/>
    <row r="608" ht="13" customFormat="1" customHeight="1" s="203"/>
    <row r="609" ht="13" customFormat="1" customHeight="1" s="203"/>
    <row r="610" ht="13" customFormat="1" customHeight="1" s="203"/>
    <row r="611" ht="13" customFormat="1" customHeight="1" s="203"/>
    <row r="612" ht="13" customFormat="1" customHeight="1" s="203"/>
    <row r="613" ht="13" customFormat="1" customHeight="1" s="203"/>
    <row r="614" ht="13" customFormat="1" customHeight="1" s="203"/>
    <row r="615" ht="13" customFormat="1" customHeight="1" s="203"/>
    <row r="616" ht="13" customFormat="1" customHeight="1" s="203"/>
    <row r="617" ht="13" customFormat="1" customHeight="1" s="203"/>
    <row r="618" ht="13" customFormat="1" customHeight="1" s="203"/>
    <row r="619" ht="13" customFormat="1" customHeight="1" s="203"/>
    <row r="620" ht="13" customFormat="1" customHeight="1" s="203"/>
    <row r="621" ht="13" customFormat="1" customHeight="1" s="203"/>
    <row r="622" ht="13" customFormat="1" customHeight="1" s="203"/>
    <row r="623" ht="13" customFormat="1" customHeight="1" s="203"/>
    <row r="624" ht="13" customFormat="1" customHeight="1" s="203"/>
    <row r="625" ht="13" customFormat="1" customHeight="1" s="203"/>
    <row r="626" ht="13" customFormat="1" customHeight="1" s="203"/>
    <row r="627" ht="13" customFormat="1" customHeight="1" s="203"/>
    <row r="628" ht="13" customFormat="1" customHeight="1" s="203"/>
    <row r="629" ht="13" customFormat="1" customHeight="1" s="203"/>
    <row r="630" ht="13" customFormat="1" customHeight="1" s="203"/>
    <row r="631" ht="13" customFormat="1" customHeight="1" s="203"/>
    <row r="632" ht="13" customFormat="1" customHeight="1" s="203"/>
    <row r="633" ht="13" customFormat="1" customHeight="1" s="203"/>
    <row r="634" ht="13" customFormat="1" customHeight="1" s="203"/>
    <row r="635" ht="13" customFormat="1" customHeight="1" s="203"/>
    <row r="636" ht="13" customFormat="1" customHeight="1" s="203"/>
    <row r="637" ht="13" customFormat="1" customHeight="1" s="203"/>
    <row r="638" ht="13" customFormat="1" customHeight="1" s="203"/>
    <row r="639" ht="13" customFormat="1" customHeight="1" s="203"/>
    <row r="640" ht="13" customFormat="1" customHeight="1" s="203"/>
    <row r="641" ht="13" customFormat="1" customHeight="1" s="203"/>
    <row r="642" ht="13" customFormat="1" customHeight="1" s="203"/>
    <row r="643" ht="13" customFormat="1" customHeight="1" s="203"/>
    <row r="644" ht="13" customFormat="1" customHeight="1" s="203"/>
    <row r="645" ht="13" customFormat="1" customHeight="1" s="203"/>
    <row r="646" ht="13" customFormat="1" customHeight="1" s="203"/>
    <row r="647" ht="13" customFormat="1" customHeight="1" s="203"/>
    <row r="648" ht="13" customFormat="1" customHeight="1" s="203"/>
    <row r="649" ht="13" customFormat="1" customHeight="1" s="203"/>
    <row r="650" ht="13" customFormat="1" customHeight="1" s="203"/>
    <row r="651" ht="13" customFormat="1" customHeight="1" s="203"/>
    <row r="652" ht="13" customFormat="1" customHeight="1" s="203"/>
    <row r="653" ht="13" customFormat="1" customHeight="1" s="203"/>
    <row r="654" ht="13" customFormat="1" customHeight="1" s="203"/>
    <row r="655" ht="13" customFormat="1" customHeight="1" s="203"/>
    <row r="656" ht="13" customFormat="1" customHeight="1" s="203"/>
    <row r="657" ht="13" customFormat="1" customHeight="1" s="203"/>
    <row r="658" ht="13" customFormat="1" customHeight="1" s="203"/>
    <row r="659" ht="13" customFormat="1" customHeight="1" s="203"/>
    <row r="660" ht="13" customFormat="1" customHeight="1" s="203"/>
    <row r="661" ht="13" customFormat="1" customHeight="1" s="203"/>
    <row r="662" ht="13" customFormat="1" customHeight="1" s="203"/>
    <row r="663" ht="13" customFormat="1" customHeight="1" s="203"/>
    <row r="664" ht="13" customFormat="1" customHeight="1" s="203"/>
    <row r="665" ht="13" customFormat="1" customHeight="1" s="203"/>
    <row r="666" ht="13" customFormat="1" customHeight="1" s="203"/>
    <row r="667" ht="13" customFormat="1" customHeight="1" s="203"/>
    <row r="668" ht="13" customFormat="1" customHeight="1" s="203"/>
    <row r="669" ht="13" customFormat="1" customHeight="1" s="203"/>
    <row r="670" ht="13" customFormat="1" customHeight="1" s="203"/>
    <row r="671" ht="13" customFormat="1" customHeight="1" s="203"/>
    <row r="672" ht="13" customFormat="1" customHeight="1" s="203"/>
    <row r="673" ht="13" customFormat="1" customHeight="1" s="203"/>
    <row r="674" ht="13" customFormat="1" customHeight="1" s="203"/>
    <row r="675" ht="13" customFormat="1" customHeight="1" s="203"/>
    <row r="676" ht="13" customFormat="1" customHeight="1" s="203"/>
    <row r="677" ht="13" customFormat="1" customHeight="1" s="203"/>
    <row r="678" ht="13" customFormat="1" customHeight="1" s="203"/>
    <row r="679" ht="13" customFormat="1" customHeight="1" s="203"/>
    <row r="680" ht="13" customFormat="1" customHeight="1" s="203"/>
    <row r="681" ht="13" customFormat="1" customHeight="1" s="203"/>
    <row r="682" ht="13" customFormat="1" customHeight="1" s="203"/>
    <row r="683" ht="13" customFormat="1" customHeight="1" s="203"/>
    <row r="684" ht="13" customFormat="1" customHeight="1" s="203"/>
    <row r="685" ht="13" customFormat="1" customHeight="1" s="203"/>
    <row r="686" ht="13" customFormat="1" customHeight="1" s="203"/>
    <row r="687" ht="13" customFormat="1" customHeight="1" s="203"/>
    <row r="688" ht="13" customFormat="1" customHeight="1" s="203"/>
    <row r="689" ht="13" customFormat="1" customHeight="1" s="203"/>
    <row r="690" ht="13" customFormat="1" customHeight="1" s="203"/>
    <row r="691" ht="13" customFormat="1" customHeight="1" s="203"/>
    <row r="692" ht="13" customFormat="1" customHeight="1" s="203"/>
    <row r="693" ht="13" customFormat="1" customHeight="1" s="203"/>
    <row r="694" ht="13" customFormat="1" customHeight="1" s="203"/>
    <row r="695" ht="13" customFormat="1" customHeight="1" s="203"/>
    <row r="696" ht="13" customFormat="1" customHeight="1" s="203"/>
    <row r="697" ht="13" customFormat="1" customHeight="1" s="203"/>
    <row r="698" ht="13" customFormat="1" customHeight="1" s="203"/>
    <row r="699" ht="13" customFormat="1" customHeight="1" s="203"/>
    <row r="700" ht="13" customFormat="1" customHeight="1" s="203"/>
    <row r="701" ht="13" customFormat="1" customHeight="1" s="203"/>
    <row r="702" ht="13" customFormat="1" customHeight="1" s="203"/>
    <row r="703" ht="13" customFormat="1" customHeight="1" s="203"/>
    <row r="704" ht="13" customFormat="1" customHeight="1" s="203"/>
    <row r="705" ht="13" customFormat="1" customHeight="1" s="203"/>
    <row r="706" ht="13" customFormat="1" customHeight="1" s="203"/>
    <row r="707" ht="13" customFormat="1" customHeight="1" s="203"/>
    <row r="708" ht="13" customFormat="1" customHeight="1" s="203"/>
    <row r="709" ht="13" customFormat="1" customHeight="1" s="203"/>
    <row r="710" ht="13" customFormat="1" customHeight="1" s="203"/>
    <row r="711" ht="13" customFormat="1" customHeight="1" s="203"/>
    <row r="712" ht="13" customFormat="1" customHeight="1" s="203"/>
    <row r="713" ht="13" customFormat="1" customHeight="1" s="203"/>
    <row r="714" ht="13" customFormat="1" customHeight="1" s="203"/>
    <row r="715" ht="13" customFormat="1" customHeight="1" s="203"/>
    <row r="716" ht="13" customFormat="1" customHeight="1" s="203"/>
    <row r="717" ht="13" customFormat="1" customHeight="1" s="203"/>
    <row r="718" ht="13" customFormat="1" customHeight="1" s="203"/>
    <row r="719" ht="13" customFormat="1" customHeight="1" s="203"/>
    <row r="720" ht="13" customFormat="1" customHeight="1" s="203"/>
    <row r="721" ht="13" customFormat="1" customHeight="1" s="203"/>
    <row r="722" ht="13" customFormat="1" customHeight="1" s="203"/>
    <row r="723" ht="13" customFormat="1" customHeight="1" s="203"/>
    <row r="724" ht="13" customFormat="1" customHeight="1" s="203"/>
    <row r="725" ht="13" customFormat="1" customHeight="1" s="203"/>
    <row r="726" ht="13" customFormat="1" customHeight="1" s="203"/>
    <row r="727" ht="13" customFormat="1" customHeight="1" s="203"/>
    <row r="728" ht="13" customFormat="1" customHeight="1" s="203"/>
    <row r="729" ht="13" customFormat="1" customHeight="1" s="203"/>
    <row r="730" ht="13" customFormat="1" customHeight="1" s="203"/>
    <row r="731" ht="13" customFormat="1" customHeight="1" s="203"/>
    <row r="732" ht="13" customFormat="1" customHeight="1" s="203"/>
    <row r="733" ht="13" customFormat="1" customHeight="1" s="203"/>
    <row r="734" ht="13" customFormat="1" customHeight="1" s="203"/>
    <row r="735" ht="13" customFormat="1" customHeight="1" s="203"/>
    <row r="736" ht="13" customFormat="1" customHeight="1" s="203"/>
    <row r="737" ht="13" customFormat="1" customHeight="1" s="203"/>
    <row r="738" ht="13" customFormat="1" customHeight="1" s="203"/>
    <row r="739" ht="13" customFormat="1" customHeight="1" s="203"/>
    <row r="740" ht="13" customFormat="1" customHeight="1" s="203"/>
    <row r="741" ht="13" customFormat="1" customHeight="1" s="203"/>
    <row r="742" ht="13" customFormat="1" customHeight="1" s="203"/>
    <row r="743" ht="13" customFormat="1" customHeight="1" s="203"/>
    <row r="744" ht="13" customFormat="1" customHeight="1" s="203"/>
    <row r="745" ht="13" customFormat="1" customHeight="1" s="203"/>
    <row r="746" ht="13" customFormat="1" customHeight="1" s="203"/>
    <row r="747" ht="13" customFormat="1" customHeight="1" s="203"/>
    <row r="748" ht="13" customFormat="1" customHeight="1" s="203"/>
    <row r="749" ht="13" customFormat="1" customHeight="1" s="203"/>
    <row r="750" ht="13" customFormat="1" customHeight="1" s="203"/>
    <row r="751" ht="13" customFormat="1" customHeight="1" s="203"/>
    <row r="752" ht="13" customFormat="1" customHeight="1" s="203"/>
    <row r="753" ht="13" customFormat="1" customHeight="1" s="203"/>
    <row r="754" ht="13" customFormat="1" customHeight="1" s="203"/>
    <row r="755" ht="13" customFormat="1" customHeight="1" s="203"/>
    <row r="756" ht="13" customFormat="1" customHeight="1" s="203"/>
    <row r="757" ht="13" customFormat="1" customHeight="1" s="203"/>
    <row r="758" ht="13" customFormat="1" customHeight="1" s="203"/>
    <row r="759" ht="13" customFormat="1" customHeight="1" s="203"/>
    <row r="760" ht="13" customFormat="1" customHeight="1" s="203"/>
    <row r="761" ht="13" customFormat="1" customHeight="1" s="203"/>
    <row r="762" ht="13" customFormat="1" customHeight="1" s="203"/>
    <row r="763" ht="13" customFormat="1" customHeight="1" s="203"/>
    <row r="764" ht="13" customFormat="1" customHeight="1" s="203"/>
    <row r="765" ht="13" customFormat="1" customHeight="1" s="203"/>
    <row r="766" ht="13" customFormat="1" customHeight="1" s="203"/>
    <row r="767" ht="13" customFormat="1" customHeight="1" s="203"/>
    <row r="768" ht="13" customFormat="1" customHeight="1" s="203"/>
    <row r="769" ht="13" customFormat="1" customHeight="1" s="203"/>
    <row r="770" ht="13" customFormat="1" customHeight="1" s="203"/>
    <row r="771" ht="13" customFormat="1" customHeight="1" s="203"/>
    <row r="772" ht="13" customFormat="1" customHeight="1" s="203"/>
    <row r="773" ht="13" customFormat="1" customHeight="1" s="203"/>
    <row r="774" ht="13" customFormat="1" customHeight="1" s="203"/>
    <row r="775" ht="13" customFormat="1" customHeight="1" s="203"/>
    <row r="776" ht="13" customFormat="1" customHeight="1" s="203"/>
    <row r="777" ht="13" customFormat="1" customHeight="1" s="203"/>
    <row r="778" ht="13" customFormat="1" customHeight="1" s="203"/>
    <row r="779" ht="13" customFormat="1" customHeight="1" s="203"/>
    <row r="780" ht="13" customFormat="1" customHeight="1" s="203"/>
    <row r="781" ht="13" customFormat="1" customHeight="1" s="203"/>
    <row r="782" ht="13" customFormat="1" customHeight="1" s="203"/>
    <row r="783" ht="13" customFormat="1" customHeight="1" s="203"/>
    <row r="784" ht="13" customFormat="1" customHeight="1" s="203"/>
    <row r="785" ht="13" customFormat="1" customHeight="1" s="203"/>
    <row r="786" ht="13" customFormat="1" customHeight="1" s="203"/>
    <row r="787" ht="13" customFormat="1" customHeight="1" s="203"/>
    <row r="788" ht="13" customFormat="1" customHeight="1" s="203"/>
    <row r="789" ht="13" customFormat="1" customHeight="1" s="203"/>
    <row r="790" ht="13" customFormat="1" customHeight="1" s="203"/>
    <row r="791" ht="13" customFormat="1" customHeight="1" s="203"/>
    <row r="792" ht="13" customFormat="1" customHeight="1" s="203"/>
    <row r="793" ht="13" customFormat="1" customHeight="1" s="203"/>
    <row r="794" ht="13" customFormat="1" customHeight="1" s="203"/>
    <row r="795" ht="13" customFormat="1" customHeight="1" s="203"/>
    <row r="796" ht="13" customFormat="1" customHeight="1" s="203"/>
    <row r="797" ht="13" customFormat="1" customHeight="1" s="203"/>
    <row r="798" ht="13" customFormat="1" customHeight="1" s="203"/>
    <row r="799" ht="13" customFormat="1" customHeight="1" s="203"/>
    <row r="800" ht="13" customFormat="1" customHeight="1" s="203"/>
    <row r="801" ht="13" customFormat="1" customHeight="1" s="203"/>
    <row r="802" ht="13" customFormat="1" customHeight="1" s="203"/>
    <row r="803" ht="13" customFormat="1" customHeight="1" s="203"/>
    <row r="804" ht="13" customFormat="1" customHeight="1" s="203"/>
    <row r="805" ht="13" customFormat="1" customHeight="1" s="203"/>
    <row r="806" ht="13" customFormat="1" customHeight="1" s="203"/>
    <row r="807" ht="13" customFormat="1" customHeight="1" s="203"/>
    <row r="808" ht="13" customFormat="1" customHeight="1" s="203"/>
    <row r="809" ht="13" customFormat="1" customHeight="1" s="203"/>
    <row r="810" ht="13" customFormat="1" customHeight="1" s="203"/>
    <row r="811" ht="13" customFormat="1" customHeight="1" s="203"/>
    <row r="812" ht="13" customFormat="1" customHeight="1" s="203"/>
    <row r="813" ht="13" customFormat="1" customHeight="1" s="203"/>
    <row r="814" ht="13" customFormat="1" customHeight="1" s="203"/>
    <row r="815" ht="13" customFormat="1" customHeight="1" s="203"/>
    <row r="816" ht="13" customFormat="1" customHeight="1" s="203"/>
    <row r="817" ht="13" customFormat="1" customHeight="1" s="203"/>
    <row r="818" ht="13" customFormat="1" customHeight="1" s="203"/>
    <row r="819" ht="13" customFormat="1" customHeight="1" s="203"/>
    <row r="820" ht="13" customFormat="1" customHeight="1" s="203"/>
    <row r="821" ht="13" customFormat="1" customHeight="1" s="203"/>
    <row r="822" ht="13" customFormat="1" customHeight="1" s="203"/>
    <row r="823" ht="13" customFormat="1" customHeight="1" s="203"/>
    <row r="824" ht="13" customFormat="1" customHeight="1" s="203"/>
    <row r="825" ht="13" customFormat="1" customHeight="1" s="203"/>
    <row r="826" ht="13" customFormat="1" customHeight="1" s="203"/>
    <row r="827" ht="13" customFormat="1" customHeight="1" s="203"/>
    <row r="828" ht="13" customFormat="1" customHeight="1" s="203"/>
    <row r="829" ht="13" customFormat="1" customHeight="1" s="203"/>
    <row r="830" ht="13" customFormat="1" customHeight="1" s="203"/>
    <row r="831" ht="13" customFormat="1" customHeight="1" s="203"/>
    <row r="832" ht="13" customFormat="1" customHeight="1" s="203"/>
    <row r="833" ht="13" customFormat="1" customHeight="1" s="203"/>
    <row r="834" ht="13" customFormat="1" customHeight="1" s="203"/>
    <row r="835" ht="13" customFormat="1" customHeight="1" s="203"/>
    <row r="836" ht="13" customFormat="1" customHeight="1" s="203"/>
    <row r="837" ht="13" customFormat="1" customHeight="1" s="203"/>
    <row r="838" ht="13" customFormat="1" customHeight="1" s="203"/>
    <row r="839" ht="13" customFormat="1" customHeight="1" s="203"/>
    <row r="840" ht="13" customFormat="1" customHeight="1" s="203"/>
    <row r="841" ht="13" customFormat="1" customHeight="1" s="203"/>
    <row r="842" ht="13" customFormat="1" customHeight="1" s="203"/>
    <row r="843" ht="13" customFormat="1" customHeight="1" s="203"/>
    <row r="844" ht="13" customFormat="1" customHeight="1" s="203"/>
    <row r="845" ht="13" customFormat="1" customHeight="1" s="203"/>
    <row r="846" ht="13" customFormat="1" customHeight="1" s="203"/>
    <row r="847" ht="13" customFormat="1" customHeight="1" s="203"/>
    <row r="848" ht="13" customFormat="1" customHeight="1" s="203"/>
    <row r="849" ht="13" customFormat="1" customHeight="1" s="203"/>
    <row r="850" ht="13" customFormat="1" customHeight="1" s="203"/>
    <row r="851" ht="13" customFormat="1" customHeight="1" s="203"/>
    <row r="852" ht="13" customFormat="1" customHeight="1" s="203"/>
    <row r="853" ht="13" customFormat="1" customHeight="1" s="203"/>
    <row r="854" ht="13" customFormat="1" customHeight="1" s="203"/>
    <row r="855" ht="13" customFormat="1" customHeight="1" s="203"/>
    <row r="856" ht="13" customFormat="1" customHeight="1" s="203"/>
    <row r="857" ht="13" customFormat="1" customHeight="1" s="203"/>
    <row r="858" ht="13" customFormat="1" customHeight="1" s="203"/>
    <row r="859" ht="13" customFormat="1" customHeight="1" s="203"/>
    <row r="860" ht="13" customFormat="1" customHeight="1" s="203"/>
    <row r="861" ht="13" customFormat="1" customHeight="1" s="203"/>
    <row r="862" ht="13" customFormat="1" customHeight="1" s="203"/>
    <row r="863" ht="13" customFormat="1" customHeight="1" s="203"/>
    <row r="864" ht="13" customFormat="1" customHeight="1" s="203"/>
    <row r="865" ht="13" customFormat="1" customHeight="1" s="203"/>
    <row r="866" ht="13" customFormat="1" customHeight="1" s="203"/>
    <row r="867" ht="13" customFormat="1" customHeight="1" s="203"/>
    <row r="868" ht="13" customFormat="1" customHeight="1" s="203"/>
    <row r="869" ht="13" customFormat="1" customHeight="1" s="203"/>
    <row r="870" ht="13" customFormat="1" customHeight="1" s="203"/>
    <row r="871" ht="13" customFormat="1" customHeight="1" s="203"/>
    <row r="872" ht="13" customFormat="1" customHeight="1" s="203"/>
    <row r="873" ht="13" customFormat="1" customHeight="1" s="203"/>
    <row r="874" ht="13" customFormat="1" customHeight="1" s="203"/>
    <row r="875" ht="13" customFormat="1" customHeight="1" s="203"/>
    <row r="876" ht="13" customFormat="1" customHeight="1" s="203"/>
    <row r="877" ht="13" customFormat="1" customHeight="1" s="203"/>
    <row r="878" ht="13" customFormat="1" customHeight="1" s="203"/>
    <row r="879" ht="13" customFormat="1" customHeight="1" s="203"/>
    <row r="880" ht="13" customFormat="1" customHeight="1" s="203"/>
    <row r="881" ht="13" customFormat="1" customHeight="1" s="203"/>
    <row r="882" ht="13" customFormat="1" customHeight="1" s="203"/>
    <row r="883" ht="13" customFormat="1" customHeight="1" s="203"/>
    <row r="884" ht="13" customFormat="1" customHeight="1" s="203"/>
    <row r="885" ht="13" customFormat="1" customHeight="1" s="203"/>
    <row r="886" ht="13" customFormat="1" customHeight="1" s="203"/>
    <row r="887" ht="13" customFormat="1" customHeight="1" s="203"/>
    <row r="888" ht="13" customFormat="1" customHeight="1" s="203"/>
    <row r="889" ht="13" customFormat="1" customHeight="1" s="203"/>
    <row r="890" ht="13" customFormat="1" customHeight="1" s="203"/>
    <row r="891" ht="13" customFormat="1" customHeight="1" s="203"/>
    <row r="892" ht="13" customFormat="1" customHeight="1" s="203"/>
    <row r="893" ht="13" customFormat="1" customHeight="1" s="203"/>
    <row r="894" ht="13" customFormat="1" customHeight="1" s="203"/>
    <row r="895" ht="13" customFormat="1" customHeight="1" s="203"/>
    <row r="896" ht="13" customFormat="1" customHeight="1" s="203"/>
    <row r="897" ht="13" customFormat="1" customHeight="1" s="203"/>
    <row r="898" ht="13" customFormat="1" customHeight="1" s="203"/>
    <row r="899" ht="13" customFormat="1" customHeight="1" s="203"/>
    <row r="900" ht="13" customFormat="1" customHeight="1" s="203"/>
    <row r="901" ht="13" customFormat="1" customHeight="1" s="203"/>
    <row r="902" ht="13" customFormat="1" customHeight="1" s="203"/>
    <row r="903" ht="13" customFormat="1" customHeight="1" s="203"/>
    <row r="904" ht="13" customFormat="1" customHeight="1" s="203"/>
    <row r="905" ht="13" customFormat="1" customHeight="1" s="203"/>
    <row r="906" ht="13" customFormat="1" customHeight="1" s="203"/>
    <row r="907" ht="13" customFormat="1" customHeight="1" s="203"/>
    <row r="908" ht="13" customFormat="1" customHeight="1" s="203"/>
    <row r="909" ht="13" customFormat="1" customHeight="1" s="203"/>
    <row r="910" ht="13" customFormat="1" customHeight="1" s="203"/>
    <row r="911" ht="13" customFormat="1" customHeight="1" s="203"/>
    <row r="912" ht="13" customFormat="1" customHeight="1" s="203"/>
    <row r="913" ht="13" customFormat="1" customHeight="1" s="203"/>
    <row r="914" ht="13" customFormat="1" customHeight="1" s="203"/>
    <row r="915" ht="13" customFormat="1" customHeight="1" s="203"/>
    <row r="916" ht="13" customFormat="1" customHeight="1" s="203"/>
    <row r="917" ht="13" customFormat="1" customHeight="1" s="203"/>
    <row r="918" ht="13" customFormat="1" customHeight="1" s="203"/>
    <row r="919" ht="13" customFormat="1" customHeight="1" s="203"/>
    <row r="920" ht="13" customFormat="1" customHeight="1" s="203"/>
    <row r="921" ht="13" customFormat="1" customHeight="1" s="203"/>
    <row r="922" ht="13" customFormat="1" customHeight="1" s="203"/>
    <row r="923" ht="13" customFormat="1" customHeight="1" s="203"/>
    <row r="924" ht="13" customFormat="1" customHeight="1" s="203"/>
    <row r="925" ht="13" customFormat="1" customHeight="1" s="203"/>
    <row r="926" ht="13" customFormat="1" customHeight="1" s="203"/>
    <row r="927" ht="13" customFormat="1" customHeight="1" s="203"/>
    <row r="928" ht="13" customFormat="1" customHeight="1" s="203"/>
    <row r="929" ht="13" customFormat="1" customHeight="1" s="203"/>
    <row r="930" ht="13" customFormat="1" customHeight="1" s="203"/>
    <row r="931" ht="13" customFormat="1" customHeight="1" s="203"/>
    <row r="932" ht="13" customFormat="1" customHeight="1" s="203"/>
    <row r="933" ht="13" customFormat="1" customHeight="1" s="203"/>
    <row r="934" ht="13" customFormat="1" customHeight="1" s="203"/>
    <row r="935" ht="13" customFormat="1" customHeight="1" s="203"/>
    <row r="936" ht="13" customFormat="1" customHeight="1" s="203"/>
    <row r="937" ht="13" customFormat="1" customHeight="1" s="203"/>
    <row r="938" ht="13" customFormat="1" customHeight="1" s="203"/>
    <row r="939" ht="13" customFormat="1" customHeight="1" s="203"/>
    <row r="940" ht="13" customFormat="1" customHeight="1" s="203"/>
    <row r="941" ht="13" customFormat="1" customHeight="1" s="203"/>
    <row r="942" ht="13" customFormat="1" customHeight="1" s="203"/>
    <row r="943" ht="13" customFormat="1" customHeight="1" s="203"/>
    <row r="944" ht="13" customFormat="1" customHeight="1" s="203"/>
    <row r="945" ht="13" customFormat="1" customHeight="1" s="203"/>
    <row r="946" ht="13" customFormat="1" customHeight="1" s="203"/>
    <row r="947" ht="13" customFormat="1" customHeight="1" s="203"/>
    <row r="948" ht="13" customFormat="1" customHeight="1" s="203"/>
    <row r="949" ht="13" customFormat="1" customHeight="1" s="203"/>
    <row r="950" ht="13" customFormat="1" customHeight="1" s="203"/>
    <row r="951" ht="13" customFormat="1" customHeight="1" s="203"/>
    <row r="952" ht="13" customFormat="1" customHeight="1" s="203"/>
    <row r="953" ht="13" customFormat="1" customHeight="1" s="203"/>
    <row r="954" ht="13" customFormat="1" customHeight="1" s="203"/>
    <row r="955" ht="13" customFormat="1" customHeight="1" s="203"/>
    <row r="956" ht="13" customFormat="1" customHeight="1" s="203"/>
    <row r="957" ht="13" customFormat="1" customHeight="1" s="203"/>
    <row r="958" ht="13" customFormat="1" customHeight="1" s="203"/>
    <row r="959" ht="13" customFormat="1" customHeight="1" s="203"/>
    <row r="960" ht="13" customFormat="1" customHeight="1" s="203"/>
    <row r="961" ht="13" customFormat="1" customHeight="1" s="203"/>
    <row r="962" ht="13" customFormat="1" customHeight="1" s="203"/>
    <row r="963" ht="13" customFormat="1" customHeight="1" s="203"/>
    <row r="964" ht="13" customFormat="1" customHeight="1" s="203"/>
    <row r="965" ht="13" customFormat="1" customHeight="1" s="203"/>
    <row r="966" ht="13" customFormat="1" customHeight="1" s="203"/>
    <row r="967" ht="13" customFormat="1" customHeight="1" s="203"/>
    <row r="968" ht="13" customFormat="1" customHeight="1" s="203"/>
    <row r="969" ht="13" customFormat="1" customHeight="1" s="203"/>
    <row r="970" ht="13" customFormat="1" customHeight="1" s="203"/>
    <row r="971" ht="13" customFormat="1" customHeight="1" s="203"/>
    <row r="972" ht="13" customFormat="1" customHeight="1" s="203"/>
    <row r="973" ht="13" customFormat="1" customHeight="1" s="203"/>
    <row r="974" ht="13" customFormat="1" customHeight="1" s="203"/>
    <row r="975" ht="13" customFormat="1" customHeight="1" s="203"/>
    <row r="976" ht="13" customFormat="1" customHeight="1" s="203"/>
    <row r="977" ht="13" customFormat="1" customHeight="1" s="203"/>
    <row r="978" ht="13" customFormat="1" customHeight="1" s="203"/>
    <row r="979" ht="13" customFormat="1" customHeight="1" s="203"/>
    <row r="980" ht="13" customFormat="1" customHeight="1" s="203"/>
    <row r="981" ht="13" customFormat="1" customHeight="1" s="203"/>
    <row r="982" ht="13" customFormat="1" customHeight="1" s="203"/>
    <row r="983" ht="13" customFormat="1" customHeight="1" s="203"/>
    <row r="984" ht="13" customFormat="1" customHeight="1" s="203"/>
    <row r="985" ht="13" customFormat="1" customHeight="1" s="203"/>
    <row r="986" ht="13" customFormat="1" customHeight="1" s="203"/>
    <row r="987" ht="13" customFormat="1" customHeight="1" s="203"/>
    <row r="988" ht="13" customFormat="1" customHeight="1" s="203"/>
    <row r="989" ht="13" customFormat="1" customHeight="1" s="203"/>
    <row r="990" ht="13" customFormat="1" customHeight="1" s="203"/>
    <row r="991" ht="13" customFormat="1" customHeight="1" s="203"/>
    <row r="992" ht="13" customFormat="1" customHeight="1" s="203"/>
    <row r="993" ht="13" customFormat="1" customHeight="1" s="203"/>
    <row r="994" ht="13" customFormat="1" customHeight="1" s="203"/>
    <row r="995" ht="13" customFormat="1" customHeight="1" s="203"/>
    <row r="996" ht="13" customFormat="1" customHeight="1" s="203"/>
    <row r="997" ht="13" customFormat="1" customHeight="1" s="203"/>
    <row r="998" ht="13" customFormat="1" customHeight="1" s="203"/>
    <row r="999" ht="13" customFormat="1" customHeight="1" s="203"/>
    <row r="1000" ht="13" customFormat="1" customHeight="1" s="203"/>
    <row r="1001" ht="13" customFormat="1" customHeight="1" s="203"/>
    <row r="1002" ht="13" customFormat="1" customHeight="1" s="203"/>
    <row r="1003" ht="13" customFormat="1" customHeight="1" s="203"/>
    <row r="1004" ht="13" customFormat="1" customHeight="1" s="203"/>
    <row r="1005" ht="13" customFormat="1" customHeight="1" s="203"/>
    <row r="1006" ht="13" customFormat="1" customHeight="1" s="203"/>
    <row r="1007" ht="13" customFormat="1" customHeight="1" s="203"/>
    <row r="1008" ht="13" customFormat="1" customHeight="1" s="203"/>
    <row r="1009" ht="13" customFormat="1" customHeight="1" s="203"/>
    <row r="1010" ht="13" customFormat="1" customHeight="1" s="203"/>
    <row r="1011" ht="13" customFormat="1" customHeight="1" s="203"/>
    <row r="1012" ht="13" customFormat="1" customHeight="1" s="203"/>
    <row r="1013" ht="13" customFormat="1" customHeight="1" s="203"/>
    <row r="1014" ht="13" customFormat="1" customHeight="1" s="203"/>
    <row r="1015" ht="13" customFormat="1" customHeight="1" s="203"/>
    <row r="1016" ht="13" customFormat="1" customHeight="1" s="203"/>
    <row r="1017" ht="13" customFormat="1" customHeight="1" s="203"/>
    <row r="1018" ht="13" customFormat="1" customHeight="1" s="203"/>
    <row r="1019" ht="13" customFormat="1" customHeight="1" s="203"/>
    <row r="1020" ht="13" customFormat="1" customHeight="1" s="203"/>
    <row r="1021" ht="13" customFormat="1" customHeight="1" s="203"/>
    <row r="1022" ht="13" customFormat="1" customHeight="1" s="203"/>
    <row r="1023" ht="13" customFormat="1" customHeight="1" s="203"/>
    <row r="1024" ht="13" customFormat="1" customHeight="1" s="203"/>
    <row r="1025" ht="13" customFormat="1" customHeight="1" s="203"/>
    <row r="1026" ht="13" customFormat="1" customHeight="1" s="203"/>
    <row r="1027" ht="13" customFormat="1" customHeight="1" s="203"/>
    <row r="1028" ht="13" customFormat="1" customHeight="1" s="203"/>
    <row r="1029" ht="13" customFormat="1" customHeight="1" s="203"/>
    <row r="1030" ht="13" customHeight="1" s="189"/>
    <row r="1031" ht="13" customHeight="1" s="189"/>
    <row r="1032" ht="13" customHeight="1" s="189"/>
    <row r="1033" ht="13" customHeight="1" s="189"/>
    <row r="1034" ht="13" customHeight="1" s="189"/>
    <row r="1035" ht="13" customHeight="1" s="189"/>
    <row r="1036" ht="13" customHeight="1" s="189"/>
    <row r="1037" ht="13" customHeight="1" s="189"/>
    <row r="1038" ht="13" customHeight="1" s="189"/>
    <row r="1039" ht="13" customHeight="1" s="189"/>
    <row r="1040" ht="13" customHeight="1" s="189"/>
    <row r="1041" ht="13" customHeight="1" s="189"/>
    <row r="1042" ht="13" customHeight="1" s="189"/>
    <row r="1043" ht="13" customHeight="1" s="189"/>
    <row r="1044" ht="13" customHeight="1" s="189"/>
    <row r="1045" ht="13" customHeight="1" s="189"/>
    <row r="1046" ht="13" customHeight="1" s="189"/>
    <row r="1047" ht="13" customHeight="1" s="189"/>
    <row r="1048" ht="13" customHeight="1" s="189"/>
    <row r="1049" ht="13" customHeight="1" s="189"/>
    <row r="1050" ht="13" customHeight="1" s="189"/>
    <row r="1051" ht="13" customHeight="1" s="189"/>
    <row r="1052" ht="13" customHeight="1" s="189"/>
    <row r="1053" ht="13" customHeight="1" s="189"/>
    <row r="1054" ht="13" customHeight="1" s="189"/>
    <row r="1055" ht="13" customHeight="1" s="189"/>
    <row r="1056" ht="13" customHeight="1" s="189"/>
    <row r="1057" ht="13" customHeight="1" s="189"/>
    <row r="1058" ht="13" customHeight="1" s="189"/>
    <row r="1059" ht="13" customHeight="1" s="189"/>
    <row r="1060" ht="13" customHeight="1" s="189"/>
    <row r="1061" ht="13" customHeight="1" s="189"/>
    <row r="1062" ht="13" customHeight="1" s="189"/>
    <row r="1063" ht="13" customHeight="1" s="189"/>
    <row r="1064" ht="13" customHeight="1" s="189"/>
    <row r="1065" ht="13" customHeight="1" s="189"/>
    <row r="1066" ht="13" customHeight="1" s="189"/>
    <row r="1067" ht="13" customHeight="1" s="189"/>
    <row r="1068" ht="13" customHeight="1" s="189"/>
    <row r="1069" ht="13" customHeight="1" s="189"/>
    <row r="1070" ht="13" customHeight="1" s="189"/>
    <row r="1071" ht="13" customHeight="1" s="189"/>
    <row r="1072" ht="13" customHeight="1" s="189"/>
    <row r="1073" ht="13" customHeight="1" s="189"/>
    <row r="1074" ht="13" customHeight="1" s="189"/>
    <row r="1075" ht="13" customHeight="1" s="189"/>
    <row r="1076" ht="13" customHeight="1" s="189"/>
    <row r="1077" ht="13" customHeight="1" s="189"/>
    <row r="1078" ht="13" customHeight="1" s="189"/>
    <row r="1079" ht="13" customHeight="1" s="189"/>
    <row r="1080" ht="13" customHeight="1" s="189"/>
    <row r="1081" ht="13" customHeight="1" s="189"/>
    <row r="1082" ht="13" customHeight="1" s="189"/>
    <row r="1083" ht="13" customHeight="1" s="189"/>
    <row r="1084" ht="13" customHeight="1" s="189"/>
    <row r="1085" ht="13" customHeight="1" s="189"/>
    <row r="1086" ht="13" customHeight="1" s="189"/>
    <row r="1087" ht="13" customHeight="1" s="189"/>
    <row r="1088" ht="13" customHeight="1" s="189"/>
    <row r="1089" ht="13" customHeight="1" s="189"/>
    <row r="1090" ht="13" customHeight="1" s="189"/>
    <row r="1091" ht="13" customHeight="1" s="189"/>
    <row r="1092" ht="13" customHeight="1" s="189"/>
    <row r="1093" ht="13" customHeight="1" s="189"/>
    <row r="1094" ht="13" customHeight="1" s="189"/>
    <row r="1095" ht="13" customHeight="1" s="189"/>
    <row r="1096" ht="13" customHeight="1" s="189"/>
    <row r="1097" ht="13" customHeight="1" s="189"/>
    <row r="1098" ht="13" customHeight="1" s="189"/>
    <row r="1099" ht="13" customHeight="1" s="189"/>
    <row r="1100" ht="13" customHeight="1" s="189"/>
  </sheetData>
  <mergeCells count="45">
    <mergeCell ref="A16:L16"/>
    <mergeCell ref="A5:M5"/>
    <mergeCell ref="K22:M22"/>
    <mergeCell ref="K12:M12"/>
    <mergeCell ref="A20:M20"/>
    <mergeCell ref="C18:D18"/>
    <mergeCell ref="C4:D4"/>
    <mergeCell ref="K8:M8"/>
    <mergeCell ref="K27:M27"/>
    <mergeCell ref="K14:M14"/>
    <mergeCell ref="F4:L4"/>
    <mergeCell ref="K23:M23"/>
    <mergeCell ref="G21:J21"/>
    <mergeCell ref="A18:B18"/>
    <mergeCell ref="A3:B3"/>
    <mergeCell ref="K7:M7"/>
    <mergeCell ref="F19:L19"/>
    <mergeCell ref="A2:B2"/>
    <mergeCell ref="E6:F6"/>
    <mergeCell ref="C2:D2"/>
    <mergeCell ref="K10:M10"/>
    <mergeCell ref="K28:M28"/>
    <mergeCell ref="K6:M6"/>
    <mergeCell ref="K13:M13"/>
    <mergeCell ref="F3:L3"/>
    <mergeCell ref="A17:B17"/>
    <mergeCell ref="C17:D17"/>
    <mergeCell ref="K25:M25"/>
    <mergeCell ref="F18:L18"/>
    <mergeCell ref="K15:M15"/>
    <mergeCell ref="A4:B4"/>
    <mergeCell ref="G6:J6"/>
    <mergeCell ref="K24:M24"/>
    <mergeCell ref="K9:M9"/>
    <mergeCell ref="F17:L17"/>
    <mergeCell ref="A19:B19"/>
    <mergeCell ref="A1:L1"/>
    <mergeCell ref="C19:D19"/>
    <mergeCell ref="F2:L2"/>
    <mergeCell ref="K21:M21"/>
    <mergeCell ref="K26:M26"/>
    <mergeCell ref="C3:D3"/>
    <mergeCell ref="K29:M29"/>
    <mergeCell ref="K11:M11"/>
    <mergeCell ref="E21:F21"/>
  </mergeCells>
  <printOptions horizontalCentered="1"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rowBreaks count="1" manualBreakCount="1">
    <brk id="15" min="0" max="16383" man="1"/>
  </rowBreaks>
  <colBreaks count="1" manualBreakCount="1">
    <brk id="12" min="0" max="65535" man="1"/>
  </colBreaks>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Default User</dc:creator>
  <dc:language xmlns:dc="http://purl.org/dc/elements/1.1/">en-US</dc:language>
  <dcterms:created xmlns:dcterms="http://purl.org/dc/terms/" xmlns:xsi="http://www.w3.org/2001/XMLSchema-instance" xsi:type="dcterms:W3CDTF">2005-01-19T15:26:17Z</dcterms:created>
  <dcterms:modified xmlns:dcterms="http://purl.org/dc/terms/" xmlns:xsi="http://www.w3.org/2001/XMLSchema-instance" xsi:type="dcterms:W3CDTF">2026-04-02T09:52:05Z</dcterms:modified>
  <cp:lastModifiedBy>Reda</cp:lastModifiedBy>
  <cp:revision>0</cp:revision>
  <cp:lastPrinted>2008-08-18T19:27:28Z</cp:lastPrinted>
</cp:coreProperties>
</file>